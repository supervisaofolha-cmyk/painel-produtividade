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EC7CE61A-91BE-4A25-BA45-2D69AB25EB59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9" i="1" l="1"/>
  <c r="I539" i="1"/>
  <c r="K539" i="1" s="1"/>
  <c r="L539" i="1" s="1"/>
  <c r="J4508" i="1"/>
  <c r="I4508" i="1"/>
  <c r="K4508" i="1" s="1"/>
  <c r="L4508" i="1" s="1"/>
  <c r="J532" i="1"/>
  <c r="I532" i="1"/>
  <c r="K532" i="1" s="1"/>
  <c r="L532" i="1" s="1"/>
  <c r="J4507" i="1"/>
  <c r="I4507" i="1"/>
  <c r="K4507" i="1" s="1"/>
  <c r="L4507" i="1" s="1"/>
  <c r="J120" i="1"/>
  <c r="I120" i="1"/>
  <c r="K120" i="1" s="1"/>
  <c r="L120" i="1" s="1"/>
  <c r="J230" i="1"/>
  <c r="I230" i="1"/>
  <c r="K230" i="1" s="1"/>
  <c r="L230" i="1" s="1"/>
  <c r="J229" i="1"/>
  <c r="I229" i="1"/>
  <c r="K229" i="1" s="1"/>
  <c r="L229" i="1" s="1"/>
  <c r="J4364" i="1"/>
  <c r="I4364" i="1"/>
  <c r="K4364" i="1" s="1"/>
  <c r="L4364" i="1" s="1"/>
  <c r="J228" i="1"/>
  <c r="I228" i="1"/>
  <c r="K228" i="1" s="1"/>
  <c r="L228" i="1" s="1"/>
  <c r="J119" i="1"/>
  <c r="I119" i="1"/>
  <c r="K119" i="1" s="1"/>
  <c r="L119" i="1" s="1"/>
  <c r="J525" i="1"/>
  <c r="I525" i="1"/>
  <c r="K525" i="1" s="1"/>
  <c r="L525" i="1" s="1"/>
  <c r="J518" i="1"/>
  <c r="I518" i="1"/>
  <c r="K518" i="1" s="1"/>
  <c r="L518" i="1" s="1"/>
  <c r="J118" i="1"/>
  <c r="I118" i="1"/>
  <c r="K118" i="1" s="1"/>
  <c r="L118" i="1" s="1"/>
  <c r="J4506" i="1"/>
  <c r="I4506" i="1"/>
  <c r="K4506" i="1" s="1"/>
  <c r="L4506" i="1" s="1"/>
  <c r="L511" i="1"/>
  <c r="L4363" i="1"/>
  <c r="J4362" i="1"/>
  <c r="I4362" i="1"/>
  <c r="K4362" i="1" s="1"/>
  <c r="L4362" i="1" s="1"/>
  <c r="J502" i="1"/>
  <c r="I502" i="1"/>
  <c r="K502" i="1" s="1"/>
  <c r="L502" i="1" s="1"/>
  <c r="J227" i="1"/>
  <c r="I227" i="1"/>
  <c r="K227" i="1" s="1"/>
  <c r="L227" i="1" s="1"/>
  <c r="L495" i="1"/>
  <c r="J226" i="1"/>
  <c r="I226" i="1"/>
  <c r="K226" i="1" s="1"/>
  <c r="L226" i="1" s="1"/>
  <c r="L488" i="1"/>
  <c r="J4361" i="1"/>
  <c r="I4361" i="1"/>
  <c r="K4361" i="1" s="1"/>
  <c r="L4361" i="1" s="1"/>
  <c r="L283" i="1"/>
  <c r="J275" i="1"/>
  <c r="I275" i="1"/>
  <c r="K275" i="1" s="1"/>
  <c r="L275" i="1" s="1"/>
  <c r="J4360" i="1"/>
  <c r="I4360" i="1"/>
  <c r="K4360" i="1" s="1"/>
  <c r="L4360" i="1" s="1"/>
  <c r="L4505" i="1"/>
  <c r="J4359" i="1"/>
  <c r="I4359" i="1"/>
  <c r="K4359" i="1" s="1"/>
  <c r="L4359" i="1" s="1"/>
  <c r="J268" i="1"/>
  <c r="I268" i="1"/>
  <c r="K268" i="1" s="1"/>
  <c r="L268" i="1" s="1"/>
  <c r="J4358" i="1"/>
  <c r="I4358" i="1"/>
  <c r="K4358" i="1" s="1"/>
  <c r="L4358" i="1" s="1"/>
  <c r="J117" i="1"/>
  <c r="I117" i="1"/>
  <c r="K117" i="1" s="1"/>
  <c r="L117" i="1" s="1"/>
  <c r="L261" i="1"/>
  <c r="J4504" i="1"/>
  <c r="I4504" i="1"/>
  <c r="K4504" i="1" s="1"/>
  <c r="L4504" i="1" s="1"/>
  <c r="L4357" i="1"/>
  <c r="J254" i="1"/>
  <c r="I254" i="1"/>
  <c r="K254" i="1" s="1"/>
  <c r="L254" i="1" s="1"/>
  <c r="J4503" i="1"/>
  <c r="I4503" i="1"/>
  <c r="K4503" i="1" s="1"/>
  <c r="L4503" i="1" s="1"/>
  <c r="J116" i="1"/>
  <c r="I116" i="1"/>
  <c r="K116" i="1" s="1"/>
  <c r="L116" i="1" s="1"/>
  <c r="J4356" i="1"/>
  <c r="I4356" i="1"/>
  <c r="K4356" i="1" s="1"/>
  <c r="L4356" i="1" s="1"/>
  <c r="J4355" i="1"/>
  <c r="I4355" i="1"/>
  <c r="K4355" i="1" s="1"/>
  <c r="L4355" i="1" s="1"/>
  <c r="J115" i="1"/>
  <c r="I115" i="1"/>
  <c r="K115" i="1" s="1"/>
  <c r="L115" i="1" s="1"/>
  <c r="J247" i="1"/>
  <c r="I247" i="1"/>
  <c r="K247" i="1" s="1"/>
  <c r="L247" i="1" s="1"/>
  <c r="J4502" i="1"/>
  <c r="I4502" i="1"/>
  <c r="K4502" i="1" s="1"/>
  <c r="L4502" i="1" s="1"/>
  <c r="L239" i="1"/>
  <c r="J4354" i="1"/>
  <c r="I4354" i="1"/>
  <c r="K4354" i="1" s="1"/>
  <c r="L4354" i="1" s="1"/>
  <c r="J538" i="1"/>
  <c r="I538" i="1"/>
  <c r="K538" i="1" s="1"/>
  <c r="L538" i="1" s="1"/>
  <c r="J4501" i="1"/>
  <c r="I4501" i="1"/>
  <c r="K4501" i="1" s="1"/>
  <c r="L4501" i="1" s="1"/>
  <c r="J531" i="1"/>
  <c r="I531" i="1"/>
  <c r="K531" i="1" s="1"/>
  <c r="L531" i="1" s="1"/>
  <c r="J4500" i="1"/>
  <c r="I4500" i="1"/>
  <c r="K4500" i="1" s="1"/>
  <c r="L4500" i="1" s="1"/>
  <c r="J114" i="1"/>
  <c r="I114" i="1"/>
  <c r="K114" i="1" s="1"/>
  <c r="L114" i="1" s="1"/>
  <c r="J225" i="1"/>
  <c r="I225" i="1"/>
  <c r="K225" i="1" s="1"/>
  <c r="L225" i="1" s="1"/>
  <c r="J224" i="1"/>
  <c r="I224" i="1"/>
  <c r="K224" i="1" s="1"/>
  <c r="L224" i="1" s="1"/>
  <c r="L4353" i="1"/>
  <c r="L223" i="1"/>
  <c r="J113" i="1"/>
  <c r="I113" i="1"/>
  <c r="K113" i="1" s="1"/>
  <c r="L113" i="1" s="1"/>
  <c r="J524" i="1"/>
  <c r="I524" i="1"/>
  <c r="K524" i="1" s="1"/>
  <c r="L524" i="1" s="1"/>
  <c r="J517" i="1"/>
  <c r="I517" i="1"/>
  <c r="K517" i="1" s="1"/>
  <c r="L517" i="1" s="1"/>
  <c r="J112" i="1"/>
  <c r="I112" i="1"/>
  <c r="K112" i="1" s="1"/>
  <c r="L112" i="1" s="1"/>
  <c r="J4499" i="1"/>
  <c r="I4499" i="1"/>
  <c r="K4499" i="1" s="1"/>
  <c r="L4499" i="1" s="1"/>
  <c r="L510" i="1"/>
  <c r="L4352" i="1"/>
  <c r="J4351" i="1"/>
  <c r="I4351" i="1"/>
  <c r="K4351" i="1" s="1"/>
  <c r="L4351" i="1" s="1"/>
  <c r="J501" i="1"/>
  <c r="I501" i="1"/>
  <c r="K501" i="1" s="1"/>
  <c r="L501" i="1" s="1"/>
  <c r="J222" i="1"/>
  <c r="I222" i="1"/>
  <c r="K222" i="1" s="1"/>
  <c r="L222" i="1" s="1"/>
  <c r="L494" i="1"/>
  <c r="J221" i="1"/>
  <c r="I221" i="1"/>
  <c r="K221" i="1" s="1"/>
  <c r="L221" i="1" s="1"/>
  <c r="L487" i="1"/>
  <c r="J4350" i="1"/>
  <c r="I4350" i="1"/>
  <c r="K4350" i="1" s="1"/>
  <c r="L4350" i="1" s="1"/>
  <c r="J281" i="1"/>
  <c r="I281" i="1"/>
  <c r="K281" i="1" s="1"/>
  <c r="L281" i="1" s="1"/>
  <c r="J274" i="1"/>
  <c r="I274" i="1"/>
  <c r="K274" i="1" s="1"/>
  <c r="L274" i="1" s="1"/>
  <c r="J4349" i="1"/>
  <c r="I4349" i="1"/>
  <c r="K4349" i="1" s="1"/>
  <c r="L4349" i="1" s="1"/>
  <c r="L111" i="1"/>
  <c r="J4348" i="1"/>
  <c r="I4348" i="1"/>
  <c r="K4348" i="1" s="1"/>
  <c r="L4348" i="1" s="1"/>
  <c r="J267" i="1"/>
  <c r="I267" i="1"/>
  <c r="K267" i="1" s="1"/>
  <c r="L267" i="1" s="1"/>
  <c r="J4347" i="1"/>
  <c r="I4347" i="1"/>
  <c r="K4347" i="1" s="1"/>
  <c r="L4347" i="1" s="1"/>
  <c r="J109" i="1"/>
  <c r="I109" i="1"/>
  <c r="K109" i="1" s="1"/>
  <c r="L109" i="1" s="1"/>
  <c r="L260" i="1"/>
  <c r="J4498" i="1"/>
  <c r="I4498" i="1"/>
  <c r="K4498" i="1" s="1"/>
  <c r="L4498" i="1" s="1"/>
  <c r="L4346" i="1"/>
  <c r="J253" i="1"/>
  <c r="I253" i="1"/>
  <c r="K253" i="1" s="1"/>
  <c r="L253" i="1" s="1"/>
  <c r="J4497" i="1"/>
  <c r="I4497" i="1"/>
  <c r="K4497" i="1" s="1"/>
  <c r="L4497" i="1" s="1"/>
  <c r="J108" i="1"/>
  <c r="I108" i="1"/>
  <c r="K108" i="1" s="1"/>
  <c r="L108" i="1" s="1"/>
  <c r="J4345" i="1"/>
  <c r="I4345" i="1"/>
  <c r="K4345" i="1" s="1"/>
  <c r="L4345" i="1" s="1"/>
  <c r="J4344" i="1"/>
  <c r="I4344" i="1"/>
  <c r="K4344" i="1" s="1"/>
  <c r="L4344" i="1" s="1"/>
  <c r="J107" i="1"/>
  <c r="I107" i="1"/>
  <c r="K107" i="1" s="1"/>
  <c r="L107" i="1" s="1"/>
  <c r="L246" i="1"/>
  <c r="J4496" i="1"/>
  <c r="I4496" i="1"/>
  <c r="K4496" i="1" s="1"/>
  <c r="L4496" i="1" s="1"/>
  <c r="L238" i="1"/>
  <c r="J4343" i="1"/>
  <c r="I4343" i="1"/>
  <c r="K4343" i="1" s="1"/>
  <c r="L4343" i="1" s="1"/>
  <c r="J537" i="1"/>
  <c r="I537" i="1"/>
  <c r="K537" i="1" s="1"/>
  <c r="L537" i="1" s="1"/>
  <c r="J4495" i="1"/>
  <c r="I4495" i="1"/>
  <c r="K4495" i="1" s="1"/>
  <c r="L4495" i="1" s="1"/>
  <c r="J530" i="1"/>
  <c r="I530" i="1"/>
  <c r="K530" i="1" s="1"/>
  <c r="L530" i="1" s="1"/>
  <c r="J4494" i="1"/>
  <c r="I4494" i="1"/>
  <c r="K4494" i="1" s="1"/>
  <c r="L4494" i="1" s="1"/>
  <c r="J106" i="1"/>
  <c r="I106" i="1"/>
  <c r="K106" i="1" s="1"/>
  <c r="L106" i="1" s="1"/>
  <c r="J220" i="1"/>
  <c r="I220" i="1"/>
  <c r="K220" i="1" s="1"/>
  <c r="L220" i="1" s="1"/>
  <c r="J219" i="1"/>
  <c r="I219" i="1"/>
  <c r="K219" i="1" s="1"/>
  <c r="L219" i="1" s="1"/>
  <c r="L4342" i="1"/>
  <c r="J218" i="1"/>
  <c r="I218" i="1"/>
  <c r="K218" i="1" s="1"/>
  <c r="L218" i="1" s="1"/>
  <c r="J105" i="1"/>
  <c r="I105" i="1"/>
  <c r="K105" i="1" s="1"/>
  <c r="L105" i="1" s="1"/>
  <c r="J523" i="1"/>
  <c r="I523" i="1"/>
  <c r="K523" i="1" s="1"/>
  <c r="L523" i="1" s="1"/>
  <c r="J516" i="1"/>
  <c r="I516" i="1"/>
  <c r="K516" i="1" s="1"/>
  <c r="L516" i="1" s="1"/>
  <c r="J104" i="1"/>
  <c r="I104" i="1"/>
  <c r="K104" i="1" s="1"/>
  <c r="L104" i="1" s="1"/>
  <c r="J4493" i="1"/>
  <c r="I4493" i="1"/>
  <c r="K4493" i="1" s="1"/>
  <c r="L4493" i="1" s="1"/>
  <c r="L509" i="1"/>
  <c r="L4341" i="1"/>
  <c r="J4340" i="1"/>
  <c r="I4340" i="1"/>
  <c r="K4340" i="1" s="1"/>
  <c r="L4340" i="1" s="1"/>
  <c r="J500" i="1"/>
  <c r="I500" i="1"/>
  <c r="K500" i="1" s="1"/>
  <c r="L500" i="1" s="1"/>
  <c r="J217" i="1"/>
  <c r="I217" i="1"/>
  <c r="K217" i="1" s="1"/>
  <c r="L217" i="1" s="1"/>
  <c r="L493" i="1"/>
  <c r="J216" i="1"/>
  <c r="I216" i="1"/>
  <c r="K216" i="1" s="1"/>
  <c r="L216" i="1" s="1"/>
  <c r="L486" i="1"/>
  <c r="J4339" i="1"/>
  <c r="I4339" i="1"/>
  <c r="K4339" i="1" s="1"/>
  <c r="L4339" i="1" s="1"/>
  <c r="J280" i="1"/>
  <c r="I280" i="1"/>
  <c r="K280" i="1" s="1"/>
  <c r="L280" i="1" s="1"/>
  <c r="J273" i="1"/>
  <c r="I273" i="1"/>
  <c r="K273" i="1" s="1"/>
  <c r="L273" i="1" s="1"/>
  <c r="J4312" i="1"/>
  <c r="I4312" i="1"/>
  <c r="K4312" i="1" s="1"/>
  <c r="L4312" i="1" s="1"/>
  <c r="J4492" i="1"/>
  <c r="I4492" i="1"/>
  <c r="K4492" i="1" s="1"/>
  <c r="L4492" i="1" s="1"/>
  <c r="J4268" i="1"/>
  <c r="I4268" i="1"/>
  <c r="K4268" i="1" s="1"/>
  <c r="L4268" i="1" s="1"/>
  <c r="J266" i="1"/>
  <c r="I266" i="1"/>
  <c r="K266" i="1" s="1"/>
  <c r="L266" i="1" s="1"/>
  <c r="J4224" i="1"/>
  <c r="I4224" i="1"/>
  <c r="K4224" i="1" s="1"/>
  <c r="L4224" i="1" s="1"/>
  <c r="J103" i="1"/>
  <c r="I103" i="1"/>
  <c r="K103" i="1" s="1"/>
  <c r="L103" i="1" s="1"/>
  <c r="L259" i="1"/>
  <c r="J4491" i="1"/>
  <c r="I4491" i="1"/>
  <c r="K4491" i="1" s="1"/>
  <c r="L4491" i="1" s="1"/>
  <c r="L4180" i="1"/>
  <c r="J252" i="1"/>
  <c r="I252" i="1"/>
  <c r="K252" i="1" s="1"/>
  <c r="L252" i="1" s="1"/>
  <c r="J4490" i="1"/>
  <c r="I4490" i="1"/>
  <c r="K4490" i="1" s="1"/>
  <c r="L4490" i="1" s="1"/>
  <c r="J102" i="1"/>
  <c r="I102" i="1"/>
  <c r="K102" i="1" s="1"/>
  <c r="L102" i="1" s="1"/>
  <c r="J4136" i="1"/>
  <c r="I4136" i="1"/>
  <c r="K4136" i="1" s="1"/>
  <c r="L4136" i="1" s="1"/>
  <c r="J4092" i="1"/>
  <c r="I4092" i="1"/>
  <c r="K4092" i="1" s="1"/>
  <c r="L4092" i="1" s="1"/>
  <c r="J101" i="1"/>
  <c r="I101" i="1"/>
  <c r="K101" i="1" s="1"/>
  <c r="L101" i="1" s="1"/>
  <c r="L245" i="1"/>
  <c r="J4489" i="1"/>
  <c r="I4489" i="1"/>
  <c r="K4489" i="1" s="1"/>
  <c r="L4489" i="1" s="1"/>
  <c r="L237" i="1"/>
  <c r="J4048" i="1"/>
  <c r="I4048" i="1"/>
  <c r="K4048" i="1" s="1"/>
  <c r="L4048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L100" i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488" i="1"/>
  <c r="I4488" i="1"/>
  <c r="K4488" i="1" s="1"/>
  <c r="L448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L99" i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J4487" i="1"/>
  <c r="I4487" i="1"/>
  <c r="K4487" i="1" s="1"/>
  <c r="L4487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98" i="1"/>
  <c r="I98" i="1"/>
  <c r="K98" i="1" s="1"/>
  <c r="L98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486" i="1"/>
  <c r="I4486" i="1"/>
  <c r="K4486" i="1" s="1"/>
  <c r="L4486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97" i="1"/>
  <c r="I97" i="1"/>
  <c r="K97" i="1" s="1"/>
  <c r="L97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J96" i="1"/>
  <c r="I96" i="1"/>
  <c r="K96" i="1" s="1"/>
  <c r="L96" i="1" s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J4485" i="1"/>
  <c r="I4485" i="1"/>
  <c r="K4485" i="1" s="1"/>
  <c r="L4485" i="1" s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J95" i="1"/>
  <c r="I95" i="1"/>
  <c r="K95" i="1" s="1"/>
  <c r="L95" i="1" s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J4484" i="1"/>
  <c r="I4484" i="1"/>
  <c r="K4484" i="1" s="1"/>
  <c r="L4484" i="1" s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J4483" i="1"/>
  <c r="I4483" i="1"/>
  <c r="K4483" i="1" s="1"/>
  <c r="L4483" i="1" s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J4482" i="1"/>
  <c r="I4482" i="1"/>
  <c r="K4482" i="1" s="1"/>
  <c r="L4482" i="1" s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J4481" i="1"/>
  <c r="I4481" i="1"/>
  <c r="K4481" i="1" s="1"/>
  <c r="L4481" i="1" s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J4480" i="1"/>
  <c r="I4480" i="1"/>
  <c r="K4480" i="1" s="1"/>
  <c r="L4480" i="1" s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4479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L3619" i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L3613" i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94" i="1"/>
  <c r="I94" i="1"/>
  <c r="K94" i="1" s="1"/>
  <c r="L94" i="1" s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L3603" i="1"/>
  <c r="J3602" i="1"/>
  <c r="I3602" i="1"/>
  <c r="K3602" i="1" s="1"/>
  <c r="L3602" i="1" s="1"/>
  <c r="L3601" i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J3595" i="1"/>
  <c r="I3595" i="1"/>
  <c r="J3594" i="1"/>
  <c r="I3594" i="1"/>
  <c r="J3593" i="1"/>
  <c r="I3593" i="1"/>
  <c r="L3592" i="1"/>
  <c r="J3591" i="1"/>
  <c r="I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8" i="1"/>
  <c r="J3577" i="1"/>
  <c r="I3577" i="1"/>
  <c r="J3576" i="1"/>
  <c r="I3576" i="1"/>
  <c r="L3575" i="1"/>
  <c r="J3574" i="1"/>
  <c r="I3574" i="1"/>
  <c r="J3573" i="1"/>
  <c r="I3573" i="1"/>
  <c r="J3572" i="1"/>
  <c r="I3572" i="1"/>
  <c r="J3571" i="1"/>
  <c r="I3571" i="1"/>
  <c r="J3570" i="1"/>
  <c r="I3570" i="1"/>
  <c r="L3569" i="1"/>
  <c r="J3568" i="1"/>
  <c r="I3568" i="1"/>
  <c r="J3567" i="1"/>
  <c r="I3567" i="1"/>
  <c r="J3566" i="1"/>
  <c r="I3566" i="1"/>
  <c r="J3565" i="1"/>
  <c r="I3565" i="1"/>
  <c r="J4478" i="1"/>
  <c r="I4478" i="1"/>
  <c r="J3563" i="1"/>
  <c r="I3563" i="1"/>
  <c r="J3562" i="1"/>
  <c r="I3562" i="1"/>
  <c r="J3561" i="1"/>
  <c r="I3561" i="1"/>
  <c r="L3560" i="1"/>
  <c r="L3559" i="1"/>
  <c r="J3558" i="1"/>
  <c r="I3558" i="1"/>
  <c r="L3557" i="1"/>
  <c r="J3556" i="1"/>
  <c r="I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4477" i="1"/>
  <c r="I4477" i="1"/>
  <c r="J3519" i="1"/>
  <c r="I3519" i="1"/>
  <c r="L3518" i="1"/>
  <c r="J3517" i="1"/>
  <c r="I3517" i="1"/>
  <c r="J3516" i="1"/>
  <c r="I3516" i="1"/>
  <c r="L3515" i="1"/>
  <c r="J3514" i="1"/>
  <c r="I3514" i="1"/>
  <c r="L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J3482" i="1"/>
  <c r="I3482" i="1"/>
  <c r="L3481" i="1"/>
  <c r="L3480" i="1"/>
  <c r="J3479" i="1"/>
  <c r="I3479" i="1"/>
  <c r="J3478" i="1"/>
  <c r="I3478" i="1"/>
  <c r="J3477" i="1"/>
  <c r="I3477" i="1"/>
  <c r="J4476" i="1"/>
  <c r="I4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L3451" i="1"/>
  <c r="L3450" i="1"/>
  <c r="J3449" i="1"/>
  <c r="I3449" i="1"/>
  <c r="L3448" i="1"/>
  <c r="J3447" i="1"/>
  <c r="I3447" i="1"/>
  <c r="J3446" i="1"/>
  <c r="I3446" i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4475" i="1"/>
  <c r="I4475" i="1"/>
  <c r="K4475" i="1" s="1"/>
  <c r="L4475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4474" i="1"/>
  <c r="I4474" i="1"/>
  <c r="K4474" i="1" s="1"/>
  <c r="L4474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L4473" i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J4472" i="1"/>
  <c r="I4472" i="1"/>
  <c r="K4472" i="1" s="1"/>
  <c r="L4472" i="1" s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L2574" i="1"/>
  <c r="L2573" i="1"/>
  <c r="L2572" i="1"/>
  <c r="L2571" i="1"/>
  <c r="L2570" i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L2563" i="1"/>
  <c r="J2562" i="1"/>
  <c r="I2562" i="1"/>
  <c r="K2562" i="1" s="1"/>
  <c r="L2562" i="1" s="1"/>
  <c r="J2561" i="1"/>
  <c r="I2561" i="1"/>
  <c r="K2561" i="1" s="1"/>
  <c r="L2561" i="1" s="1"/>
  <c r="L2560" i="1"/>
  <c r="L2559" i="1"/>
  <c r="J2558" i="1"/>
  <c r="I2558" i="1"/>
  <c r="K2558" i="1" s="1"/>
  <c r="L2558" i="1" s="1"/>
  <c r="L2557" i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L2547" i="1"/>
  <c r="J2546" i="1"/>
  <c r="I2546" i="1"/>
  <c r="K2546" i="1" s="1"/>
  <c r="L2546" i="1" s="1"/>
  <c r="L2545" i="1"/>
  <c r="J2544" i="1"/>
  <c r="I2544" i="1"/>
  <c r="K2544" i="1" s="1"/>
  <c r="L2544" i="1" s="1"/>
  <c r="J2543" i="1"/>
  <c r="I2543" i="1"/>
  <c r="K2543" i="1" s="1"/>
  <c r="L2543" i="1" s="1"/>
  <c r="L2542" i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L2536" i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L2530" i="1"/>
  <c r="L2529" i="1"/>
  <c r="L2528" i="1"/>
  <c r="L2527" i="1"/>
  <c r="L2526" i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L2519" i="1"/>
  <c r="J2518" i="1"/>
  <c r="I2518" i="1"/>
  <c r="K2518" i="1" s="1"/>
  <c r="L2518" i="1" s="1"/>
  <c r="J2517" i="1"/>
  <c r="I2517" i="1"/>
  <c r="K2517" i="1" s="1"/>
  <c r="L2517" i="1" s="1"/>
  <c r="L2516" i="1"/>
  <c r="L2515" i="1"/>
  <c r="J2514" i="1"/>
  <c r="I2514" i="1"/>
  <c r="K2514" i="1" s="1"/>
  <c r="L2514" i="1" s="1"/>
  <c r="L2513" i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L2503" i="1"/>
  <c r="J2502" i="1"/>
  <c r="I2502" i="1"/>
  <c r="L2501" i="1"/>
  <c r="J2500" i="1"/>
  <c r="I2500" i="1"/>
  <c r="J2499" i="1"/>
  <c r="I2499" i="1"/>
  <c r="L2498" i="1"/>
  <c r="J2497" i="1"/>
  <c r="I2497" i="1"/>
  <c r="J2496" i="1"/>
  <c r="I2496" i="1"/>
  <c r="J2495" i="1"/>
  <c r="I2495" i="1"/>
  <c r="J2494" i="1"/>
  <c r="I2494" i="1"/>
  <c r="J2493" i="1"/>
  <c r="I2493" i="1"/>
  <c r="L2492" i="1"/>
  <c r="J2491" i="1"/>
  <c r="I2491" i="1"/>
  <c r="J2490" i="1"/>
  <c r="I2490" i="1"/>
  <c r="J2489" i="1"/>
  <c r="I2489" i="1"/>
  <c r="J2488" i="1"/>
  <c r="I2488" i="1"/>
  <c r="J2487" i="1"/>
  <c r="I2487" i="1"/>
  <c r="L2486" i="1"/>
  <c r="L2485" i="1"/>
  <c r="L2484" i="1"/>
  <c r="L2483" i="1"/>
  <c r="L2482" i="1"/>
  <c r="J2481" i="1"/>
  <c r="I2481" i="1"/>
  <c r="J2480" i="1"/>
  <c r="I2480" i="1"/>
  <c r="J2479" i="1"/>
  <c r="I2479" i="1"/>
  <c r="J2478" i="1"/>
  <c r="I2478" i="1"/>
  <c r="J2477" i="1"/>
  <c r="I2477" i="1"/>
  <c r="J2476" i="1"/>
  <c r="I2476" i="1"/>
  <c r="L2475" i="1"/>
  <c r="J2474" i="1"/>
  <c r="I2474" i="1"/>
  <c r="J2473" i="1"/>
  <c r="I2473" i="1"/>
  <c r="L2472" i="1"/>
  <c r="L2471" i="1"/>
  <c r="J2470" i="1"/>
  <c r="I2470" i="1"/>
  <c r="L2469" i="1"/>
  <c r="L2468" i="1"/>
  <c r="J2467" i="1"/>
  <c r="I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L2459" i="1"/>
  <c r="J2458" i="1"/>
  <c r="I2458" i="1"/>
  <c r="L2457" i="1"/>
  <c r="J2456" i="1"/>
  <c r="I2456" i="1"/>
  <c r="J2455" i="1"/>
  <c r="I2455" i="1"/>
  <c r="L2454" i="1"/>
  <c r="J2453" i="1"/>
  <c r="I2453" i="1"/>
  <c r="J2452" i="1"/>
  <c r="I2452" i="1"/>
  <c r="J2451" i="1"/>
  <c r="I2451" i="1"/>
  <c r="J2450" i="1"/>
  <c r="I2450" i="1"/>
  <c r="J2449" i="1"/>
  <c r="I2449" i="1"/>
  <c r="L2448" i="1"/>
  <c r="J2447" i="1"/>
  <c r="I2447" i="1"/>
  <c r="J2446" i="1"/>
  <c r="I2446" i="1"/>
  <c r="J2445" i="1"/>
  <c r="I2445" i="1"/>
  <c r="J2444" i="1"/>
  <c r="I2444" i="1"/>
  <c r="L2443" i="1"/>
  <c r="L2442" i="1"/>
  <c r="L2441" i="1"/>
  <c r="L2440" i="1"/>
  <c r="L2439" i="1"/>
  <c r="L2438" i="1"/>
  <c r="J2437" i="1"/>
  <c r="I2437" i="1"/>
  <c r="J2436" i="1"/>
  <c r="I2436" i="1"/>
  <c r="J2435" i="1"/>
  <c r="I2435" i="1"/>
  <c r="J2434" i="1"/>
  <c r="I2434" i="1"/>
  <c r="J2433" i="1"/>
  <c r="I2433" i="1"/>
  <c r="J2432" i="1"/>
  <c r="I2432" i="1"/>
  <c r="L2431" i="1"/>
  <c r="J2430" i="1"/>
  <c r="I2430" i="1"/>
  <c r="J2429" i="1"/>
  <c r="I2429" i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K2393" i="1" s="1"/>
  <c r="L2393" i="1" s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K2385" i="1" s="1"/>
  <c r="L2385" i="1" s="1"/>
  <c r="L2384" i="1"/>
  <c r="J2383" i="1"/>
  <c r="I2383" i="1"/>
  <c r="K2383" i="1" s="1"/>
  <c r="L2383" i="1" s="1"/>
  <c r="J2382" i="1"/>
  <c r="I2382" i="1"/>
  <c r="K2382" i="1" s="1"/>
  <c r="L2382" i="1" s="1"/>
  <c r="L2381" i="1"/>
  <c r="J2380" i="1"/>
  <c r="I2380" i="1"/>
  <c r="K2380" i="1" s="1"/>
  <c r="L2380" i="1" s="1"/>
  <c r="J2379" i="1"/>
  <c r="I2379" i="1"/>
  <c r="K2379" i="1" s="1"/>
  <c r="L2379" i="1" s="1"/>
  <c r="J2378" i="1"/>
  <c r="I2378" i="1"/>
  <c r="K2378" i="1" s="1"/>
  <c r="L2378" i="1" s="1"/>
  <c r="J2377" i="1"/>
  <c r="I2377" i="1"/>
  <c r="K2377" i="1" s="1"/>
  <c r="L2377" i="1" s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L2371" i="1"/>
  <c r="J2370" i="1"/>
  <c r="I2370" i="1"/>
  <c r="K2370" i="1" s="1"/>
  <c r="L2370" i="1" s="1"/>
  <c r="L2369" i="1"/>
  <c r="L2368" i="1"/>
  <c r="L2367" i="1"/>
  <c r="L2366" i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L2360" i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L2344" i="1"/>
  <c r="L2343" i="1"/>
  <c r="J2342" i="1"/>
  <c r="I2342" i="1"/>
  <c r="K2342" i="1" s="1"/>
  <c r="L2342" i="1" s="1"/>
  <c r="J2341" i="1"/>
  <c r="I2341" i="1"/>
  <c r="K2341" i="1" s="1"/>
  <c r="L2341" i="1" s="1"/>
  <c r="L2340" i="1"/>
  <c r="J2339" i="1"/>
  <c r="I2339" i="1"/>
  <c r="K2339" i="1" s="1"/>
  <c r="L2339" i="1" s="1"/>
  <c r="J2338" i="1"/>
  <c r="I2338" i="1"/>
  <c r="K2338" i="1" s="1"/>
  <c r="L2338" i="1" s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J1394" i="1"/>
  <c r="I1394" i="1"/>
  <c r="J1393" i="1"/>
  <c r="I1393" i="1"/>
  <c r="L1392" i="1"/>
  <c r="J1391" i="1"/>
  <c r="I1391" i="1"/>
  <c r="J1390" i="1"/>
  <c r="I1390" i="1"/>
  <c r="J1389" i="1"/>
  <c r="I1389" i="1"/>
  <c r="J1388" i="1"/>
  <c r="I1388" i="1"/>
  <c r="L1387" i="1"/>
  <c r="L1386" i="1"/>
  <c r="L1385" i="1"/>
  <c r="L1384" i="1"/>
  <c r="J1383" i="1"/>
  <c r="I1383" i="1"/>
  <c r="L1382" i="1"/>
  <c r="J1381" i="1"/>
  <c r="I1381" i="1"/>
  <c r="J1380" i="1"/>
  <c r="I1380" i="1"/>
  <c r="J1379" i="1"/>
  <c r="I1379" i="1"/>
  <c r="J1378" i="1"/>
  <c r="I1378" i="1"/>
  <c r="J1377" i="1"/>
  <c r="I1377" i="1"/>
  <c r="J1376" i="1"/>
  <c r="I1376" i="1"/>
  <c r="L1375" i="1"/>
  <c r="J1374" i="1"/>
  <c r="I1374" i="1"/>
  <c r="J1373" i="1"/>
  <c r="I1373" i="1"/>
  <c r="L1372" i="1"/>
  <c r="J1371" i="1"/>
  <c r="I1371" i="1"/>
  <c r="J1370" i="1"/>
  <c r="I1370" i="1"/>
  <c r="L1369" i="1"/>
  <c r="L1368" i="1"/>
  <c r="J1367" i="1"/>
  <c r="I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L1360" i="1"/>
  <c r="L1359" i="1"/>
  <c r="J1358" i="1"/>
  <c r="I1358" i="1"/>
  <c r="L1357" i="1"/>
  <c r="J1356" i="1"/>
  <c r="I1356" i="1"/>
  <c r="J1355" i="1"/>
  <c r="I1355" i="1"/>
  <c r="L1354" i="1"/>
  <c r="J1353" i="1"/>
  <c r="I1353" i="1"/>
  <c r="J1352" i="1"/>
  <c r="I1352" i="1"/>
  <c r="J1351" i="1"/>
  <c r="I1351" i="1"/>
  <c r="J1350" i="1"/>
  <c r="I1350" i="1"/>
  <c r="J1349" i="1"/>
  <c r="I1349" i="1"/>
  <c r="L1348" i="1"/>
  <c r="J1347" i="1"/>
  <c r="I1347" i="1"/>
  <c r="J1346" i="1"/>
  <c r="I1346" i="1"/>
  <c r="J1345" i="1"/>
  <c r="I1345" i="1"/>
  <c r="J1344" i="1"/>
  <c r="I1344" i="1"/>
  <c r="L1343" i="1"/>
  <c r="L1342" i="1"/>
  <c r="L1341" i="1"/>
  <c r="L1340" i="1"/>
  <c r="J1339" i="1"/>
  <c r="I1339" i="1"/>
  <c r="L1338" i="1"/>
  <c r="L1337" i="1"/>
  <c r="J1336" i="1"/>
  <c r="I1336" i="1"/>
  <c r="J1335" i="1"/>
  <c r="I1335" i="1"/>
  <c r="J1334" i="1"/>
  <c r="I1334" i="1"/>
  <c r="J1333" i="1"/>
  <c r="I1333" i="1"/>
  <c r="J1332" i="1"/>
  <c r="I1332" i="1"/>
  <c r="L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L1316" i="1"/>
  <c r="L1315" i="1"/>
  <c r="J1314" i="1"/>
  <c r="I1314" i="1"/>
  <c r="L1313" i="1"/>
  <c r="J1312" i="1"/>
  <c r="I1312" i="1"/>
  <c r="J1311" i="1"/>
  <c r="I1311" i="1"/>
  <c r="L1310" i="1"/>
  <c r="J1309" i="1"/>
  <c r="I1309" i="1"/>
  <c r="J1308" i="1"/>
  <c r="I1308" i="1"/>
  <c r="J1307" i="1"/>
  <c r="I1307" i="1"/>
  <c r="J1306" i="1"/>
  <c r="I1306" i="1"/>
  <c r="J1305" i="1"/>
  <c r="I1305" i="1"/>
  <c r="L1304" i="1"/>
  <c r="J1303" i="1"/>
  <c r="I1303" i="1"/>
  <c r="J1302" i="1"/>
  <c r="I1302" i="1"/>
  <c r="J1301" i="1"/>
  <c r="I1301" i="1"/>
  <c r="L1300" i="1"/>
  <c r="L1299" i="1"/>
  <c r="L1298" i="1"/>
  <c r="L1297" i="1"/>
  <c r="L1296" i="1"/>
  <c r="J1295" i="1"/>
  <c r="I1295" i="1"/>
  <c r="L1294" i="1"/>
  <c r="J1293" i="1"/>
  <c r="I1293" i="1"/>
  <c r="J1292" i="1"/>
  <c r="I1292" i="1"/>
  <c r="J1291" i="1"/>
  <c r="I1291" i="1"/>
  <c r="J1290" i="1"/>
  <c r="I1290" i="1"/>
  <c r="J1289" i="1"/>
  <c r="I1289" i="1"/>
  <c r="J1288" i="1"/>
  <c r="I1288" i="1"/>
  <c r="K1288" i="1" s="1"/>
  <c r="L1288" i="1" s="1"/>
  <c r="L1287" i="1"/>
  <c r="J1286" i="1"/>
  <c r="I1286" i="1"/>
  <c r="K1286" i="1" s="1"/>
  <c r="L1286" i="1" s="1"/>
  <c r="J1285" i="1"/>
  <c r="I1285" i="1"/>
  <c r="K1285" i="1" s="1"/>
  <c r="L1285" i="1" s="1"/>
  <c r="L1284" i="1"/>
  <c r="J1283" i="1"/>
  <c r="I1283" i="1"/>
  <c r="K1283" i="1" s="1"/>
  <c r="L1283" i="1" s="1"/>
  <c r="J1282" i="1"/>
  <c r="I1282" i="1"/>
  <c r="K1282" i="1" s="1"/>
  <c r="L1282" i="1" s="1"/>
  <c r="L1281" i="1"/>
  <c r="J1280" i="1"/>
  <c r="I1280" i="1"/>
  <c r="K1280" i="1" s="1"/>
  <c r="L1280" i="1" s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L1272" i="1"/>
  <c r="L1271" i="1"/>
  <c r="J1270" i="1"/>
  <c r="I1270" i="1"/>
  <c r="K1270" i="1" s="1"/>
  <c r="L1270" i="1" s="1"/>
  <c r="L1269" i="1"/>
  <c r="J1268" i="1"/>
  <c r="I1268" i="1"/>
  <c r="J1267" i="1"/>
  <c r="I1267" i="1"/>
  <c r="K1267" i="1" s="1"/>
  <c r="L1267" i="1" s="1"/>
  <c r="L1266" i="1"/>
  <c r="J1265" i="1"/>
  <c r="I1265" i="1"/>
  <c r="K1265" i="1" s="1"/>
  <c r="L1265" i="1" s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L1260" i="1"/>
  <c r="J1259" i="1"/>
  <c r="I1259" i="1"/>
  <c r="J1258" i="1"/>
  <c r="I1258" i="1"/>
  <c r="J1257" i="1"/>
  <c r="I1257" i="1"/>
  <c r="J1256" i="1"/>
  <c r="I1256" i="1"/>
  <c r="K1256" i="1" s="1"/>
  <c r="L1256" i="1" s="1"/>
  <c r="L1255" i="1"/>
  <c r="L1254" i="1"/>
  <c r="L1253" i="1"/>
  <c r="L1252" i="1"/>
  <c r="L1251" i="1"/>
  <c r="L1250" i="1"/>
  <c r="J1249" i="1"/>
  <c r="I1249" i="1"/>
  <c r="K1249" i="1" s="1"/>
  <c r="L1249" i="1" s="1"/>
  <c r="J1248" i="1"/>
  <c r="I1248" i="1"/>
  <c r="K1248" i="1" s="1"/>
  <c r="L1248" i="1" s="1"/>
  <c r="L1247" i="1"/>
  <c r="J1246" i="1"/>
  <c r="I1246" i="1"/>
  <c r="K1246" i="1" s="1"/>
  <c r="L1246" i="1" s="1"/>
  <c r="J1245" i="1"/>
  <c r="I1245" i="1"/>
  <c r="K1245" i="1" s="1"/>
  <c r="L1245" i="1" s="1"/>
  <c r="J1244" i="1"/>
  <c r="I1244" i="1"/>
  <c r="K1244" i="1" s="1"/>
  <c r="L1244" i="1" s="1"/>
  <c r="L1243" i="1"/>
  <c r="J1242" i="1"/>
  <c r="I1242" i="1"/>
  <c r="K1242" i="1" s="1"/>
  <c r="L1242" i="1" s="1"/>
  <c r="J1241" i="1"/>
  <c r="I1241" i="1"/>
  <c r="K1241" i="1" s="1"/>
  <c r="L1241" i="1" s="1"/>
  <c r="L1240" i="1"/>
  <c r="J1239" i="1"/>
  <c r="I1239" i="1"/>
  <c r="K1239" i="1" s="1"/>
  <c r="L1239" i="1" s="1"/>
  <c r="J1238" i="1"/>
  <c r="I1238" i="1"/>
  <c r="K1238" i="1" s="1"/>
  <c r="L1238" i="1" s="1"/>
  <c r="L1237" i="1"/>
  <c r="J1236" i="1"/>
  <c r="I1236" i="1"/>
  <c r="K1236" i="1" s="1"/>
  <c r="L1236" i="1" s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L1228" i="1"/>
  <c r="L1227" i="1"/>
  <c r="J1226" i="1"/>
  <c r="I1226" i="1"/>
  <c r="K1226" i="1" s="1"/>
  <c r="L1226" i="1" s="1"/>
  <c r="L1225" i="1"/>
  <c r="J1224" i="1"/>
  <c r="I1224" i="1"/>
  <c r="K1224" i="1" s="1"/>
  <c r="L1224" i="1" s="1"/>
  <c r="J1223" i="1"/>
  <c r="I1223" i="1"/>
  <c r="K1223" i="1" s="1"/>
  <c r="L1223" i="1" s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K1198" i="1" s="1"/>
  <c r="L1198" i="1" s="1"/>
  <c r="J1197" i="1"/>
  <c r="I1197" i="1"/>
  <c r="K1197" i="1" s="1"/>
  <c r="L1197" i="1" s="1"/>
  <c r="L1196" i="1"/>
  <c r="J1195" i="1"/>
  <c r="I1195" i="1"/>
  <c r="K1195" i="1" s="1"/>
  <c r="L1195" i="1" s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L481" i="1"/>
  <c r="L4471" i="1"/>
  <c r="L480" i="1"/>
  <c r="L4470" i="1"/>
  <c r="L93" i="1"/>
  <c r="L215" i="1"/>
  <c r="L214" i="1"/>
  <c r="L4004" i="1"/>
  <c r="L213" i="1"/>
  <c r="L92" i="1"/>
  <c r="L479" i="1"/>
  <c r="L477" i="1"/>
  <c r="L91" i="1"/>
  <c r="L4469" i="1"/>
  <c r="L476" i="1"/>
  <c r="L3960" i="1"/>
  <c r="L3916" i="1"/>
  <c r="L475" i="1"/>
  <c r="L212" i="1"/>
  <c r="L474" i="1"/>
  <c r="L211" i="1"/>
  <c r="L473" i="1"/>
  <c r="L3872" i="1"/>
  <c r="L472" i="1"/>
  <c r="L471" i="1"/>
  <c r="L3828" i="1"/>
  <c r="J748" i="1"/>
  <c r="I748" i="1"/>
  <c r="K748" i="1" s="1"/>
  <c r="L748" i="1" s="1"/>
  <c r="J747" i="1"/>
  <c r="I747" i="1"/>
  <c r="K747" i="1" s="1"/>
  <c r="L747" i="1" s="1"/>
  <c r="L3784" i="1"/>
  <c r="L470" i="1"/>
  <c r="L3740" i="1"/>
  <c r="L90" i="1"/>
  <c r="L469" i="1"/>
  <c r="L4468" i="1"/>
  <c r="L3696" i="1"/>
  <c r="L468" i="1"/>
  <c r="L4467" i="1"/>
  <c r="L89" i="1"/>
  <c r="L3652" i="1"/>
  <c r="L3608" i="1"/>
  <c r="L210" i="1"/>
  <c r="L467" i="1"/>
  <c r="L4466" i="1"/>
  <c r="L466" i="1"/>
  <c r="L3564" i="1"/>
  <c r="J465" i="1"/>
  <c r="I465" i="1"/>
  <c r="J4465" i="1"/>
  <c r="I4465" i="1"/>
  <c r="K4465" i="1" s="1"/>
  <c r="L4465" i="1" s="1"/>
  <c r="J464" i="1"/>
  <c r="I464" i="1"/>
  <c r="J4464" i="1"/>
  <c r="I4464" i="1"/>
  <c r="K4464" i="1" s="1"/>
  <c r="L4464" i="1" s="1"/>
  <c r="J88" i="1"/>
  <c r="I88" i="1"/>
  <c r="K88" i="1" s="1"/>
  <c r="L88" i="1" s="1"/>
  <c r="J209" i="1"/>
  <c r="I209" i="1"/>
  <c r="K209" i="1" s="1"/>
  <c r="L209" i="1" s="1"/>
  <c r="J208" i="1"/>
  <c r="I208" i="1"/>
  <c r="K208" i="1" s="1"/>
  <c r="L208" i="1" s="1"/>
  <c r="J3520" i="1"/>
  <c r="I3520" i="1"/>
  <c r="K3520" i="1" s="1"/>
  <c r="L3520" i="1" s="1"/>
  <c r="J207" i="1"/>
  <c r="I207" i="1"/>
  <c r="K207" i="1" s="1"/>
  <c r="L207" i="1" s="1"/>
  <c r="J87" i="1"/>
  <c r="I87" i="1"/>
  <c r="K87" i="1" s="1"/>
  <c r="L87" i="1" s="1"/>
  <c r="J463" i="1"/>
  <c r="I463" i="1"/>
  <c r="L462" i="1"/>
  <c r="J86" i="1"/>
  <c r="I86" i="1"/>
  <c r="K86" i="1" s="1"/>
  <c r="L86" i="1" s="1"/>
  <c r="J4463" i="1"/>
  <c r="I4463" i="1"/>
  <c r="K4463" i="1" s="1"/>
  <c r="L4463" i="1" s="1"/>
  <c r="J461" i="1"/>
  <c r="I461" i="1"/>
  <c r="L3476" i="1"/>
  <c r="J3432" i="1"/>
  <c r="I3432" i="1"/>
  <c r="K3432" i="1" s="1"/>
  <c r="L3432" i="1" s="1"/>
  <c r="J460" i="1"/>
  <c r="I460" i="1"/>
  <c r="J206" i="1"/>
  <c r="I206" i="1"/>
  <c r="K206" i="1" s="1"/>
  <c r="L206" i="1" s="1"/>
  <c r="J459" i="1"/>
  <c r="I459" i="1"/>
  <c r="J205" i="1"/>
  <c r="I205" i="1"/>
  <c r="K205" i="1" s="1"/>
  <c r="L205" i="1" s="1"/>
  <c r="L458" i="1"/>
  <c r="J3388" i="1"/>
  <c r="I3388" i="1"/>
  <c r="K3388" i="1" s="1"/>
  <c r="L3388" i="1" s="1"/>
  <c r="J457" i="1"/>
  <c r="I457" i="1"/>
  <c r="J455" i="1"/>
  <c r="I455" i="1"/>
  <c r="J3344" i="1"/>
  <c r="I3344" i="1"/>
  <c r="K3344" i="1" s="1"/>
  <c r="L3344" i="1" s="1"/>
  <c r="J639" i="1"/>
  <c r="I639" i="1"/>
  <c r="K639" i="1" s="1"/>
  <c r="L639" i="1" s="1"/>
  <c r="J638" i="1"/>
  <c r="I638" i="1"/>
  <c r="K638" i="1" s="1"/>
  <c r="L638" i="1" s="1"/>
  <c r="L3300" i="1"/>
  <c r="J454" i="1"/>
  <c r="I454" i="1"/>
  <c r="J774" i="1"/>
  <c r="I774" i="1"/>
  <c r="K774" i="1" s="1"/>
  <c r="L774" i="1" s="1"/>
  <c r="J85" i="1"/>
  <c r="I85" i="1"/>
  <c r="K85" i="1" s="1"/>
  <c r="L85" i="1" s="1"/>
  <c r="L453" i="1"/>
  <c r="J4462" i="1"/>
  <c r="I4462" i="1"/>
  <c r="K4462" i="1" s="1"/>
  <c r="L4462" i="1" s="1"/>
  <c r="L773" i="1"/>
  <c r="J452" i="1"/>
  <c r="I452" i="1"/>
  <c r="J4461" i="1"/>
  <c r="I4461" i="1"/>
  <c r="K4461" i="1" s="1"/>
  <c r="L4461" i="1" s="1"/>
  <c r="J84" i="1"/>
  <c r="I84" i="1"/>
  <c r="K84" i="1" s="1"/>
  <c r="L84" i="1" s="1"/>
  <c r="J772" i="1"/>
  <c r="I772" i="1"/>
  <c r="K772" i="1" s="1"/>
  <c r="L772" i="1" s="1"/>
  <c r="J771" i="1"/>
  <c r="I771" i="1"/>
  <c r="K771" i="1" s="1"/>
  <c r="L771" i="1" s="1"/>
  <c r="J204" i="1"/>
  <c r="I204" i="1"/>
  <c r="K204" i="1" s="1"/>
  <c r="L204" i="1" s="1"/>
  <c r="J451" i="1"/>
  <c r="I451" i="1"/>
  <c r="J4460" i="1"/>
  <c r="I4460" i="1"/>
  <c r="K4460" i="1" s="1"/>
  <c r="L4460" i="1" s="1"/>
  <c r="L450" i="1"/>
  <c r="J770" i="1"/>
  <c r="I770" i="1"/>
  <c r="K770" i="1" s="1"/>
  <c r="L770" i="1" s="1"/>
  <c r="J449" i="1"/>
  <c r="I449" i="1"/>
  <c r="J4459" i="1"/>
  <c r="I4459" i="1"/>
  <c r="K4459" i="1" s="1"/>
  <c r="L4459" i="1" s="1"/>
  <c r="J448" i="1"/>
  <c r="I448" i="1"/>
  <c r="J4458" i="1"/>
  <c r="I4458" i="1"/>
  <c r="K4458" i="1" s="1"/>
  <c r="L4458" i="1" s="1"/>
  <c r="J83" i="1"/>
  <c r="I83" i="1"/>
  <c r="K83" i="1" s="1"/>
  <c r="L83" i="1" s="1"/>
  <c r="J203" i="1"/>
  <c r="I203" i="1"/>
  <c r="K203" i="1" s="1"/>
  <c r="L203" i="1" s="1"/>
  <c r="J202" i="1"/>
  <c r="I202" i="1"/>
  <c r="K202" i="1" s="1"/>
  <c r="L202" i="1" s="1"/>
  <c r="L769" i="1"/>
  <c r="J201" i="1"/>
  <c r="I201" i="1"/>
  <c r="K201" i="1" s="1"/>
  <c r="L201" i="1" s="1"/>
  <c r="J82" i="1"/>
  <c r="I82" i="1"/>
  <c r="K82" i="1" s="1"/>
  <c r="L82" i="1" s="1"/>
  <c r="J447" i="1"/>
  <c r="I447" i="1"/>
  <c r="J446" i="1"/>
  <c r="I446" i="1"/>
  <c r="J81" i="1"/>
  <c r="I81" i="1"/>
  <c r="K81" i="1" s="1"/>
  <c r="L81" i="1" s="1"/>
  <c r="J4457" i="1"/>
  <c r="I4457" i="1"/>
  <c r="K4457" i="1" s="1"/>
  <c r="L4457" i="1" s="1"/>
  <c r="J445" i="1"/>
  <c r="I445" i="1"/>
  <c r="L768" i="1"/>
  <c r="J767" i="1"/>
  <c r="I767" i="1"/>
  <c r="K767" i="1" s="1"/>
  <c r="L767" i="1" s="1"/>
  <c r="J444" i="1"/>
  <c r="I444" i="1"/>
  <c r="J200" i="1"/>
  <c r="I200" i="1"/>
  <c r="K200" i="1" s="1"/>
  <c r="L200" i="1" s="1"/>
  <c r="J443" i="1"/>
  <c r="I443" i="1"/>
  <c r="J198" i="1"/>
  <c r="I198" i="1"/>
  <c r="K198" i="1" s="1"/>
  <c r="L198" i="1" s="1"/>
  <c r="L442" i="1"/>
  <c r="J766" i="1"/>
  <c r="I766" i="1"/>
  <c r="K766" i="1" s="1"/>
  <c r="L766" i="1" s="1"/>
  <c r="J441" i="1"/>
  <c r="I441" i="1"/>
  <c r="J440" i="1"/>
  <c r="I440" i="1"/>
  <c r="J765" i="1"/>
  <c r="I765" i="1"/>
  <c r="K765" i="1" s="1"/>
  <c r="L765" i="1" s="1"/>
  <c r="L594" i="1"/>
  <c r="J593" i="1"/>
  <c r="I593" i="1"/>
  <c r="K593" i="1" s="1"/>
  <c r="L593" i="1" s="1"/>
  <c r="L764" i="1"/>
  <c r="L439" i="1"/>
  <c r="J763" i="1"/>
  <c r="I763" i="1"/>
  <c r="K763" i="1" s="1"/>
  <c r="L763" i="1" s="1"/>
  <c r="J80" i="1"/>
  <c r="I80" i="1"/>
  <c r="K80" i="1" s="1"/>
  <c r="L80" i="1" s="1"/>
  <c r="L438" i="1"/>
  <c r="J4456" i="1"/>
  <c r="I4456" i="1"/>
  <c r="K4456" i="1" s="1"/>
  <c r="L4456" i="1" s="1"/>
  <c r="L762" i="1"/>
  <c r="J437" i="1"/>
  <c r="I437" i="1"/>
  <c r="J4455" i="1"/>
  <c r="I4455" i="1"/>
  <c r="K4455" i="1" s="1"/>
  <c r="L4455" i="1" s="1"/>
  <c r="J79" i="1"/>
  <c r="I79" i="1"/>
  <c r="K79" i="1" s="1"/>
  <c r="L79" i="1" s="1"/>
  <c r="J761" i="1"/>
  <c r="I761" i="1"/>
  <c r="K761" i="1" s="1"/>
  <c r="L761" i="1" s="1"/>
  <c r="J760" i="1"/>
  <c r="I760" i="1"/>
  <c r="K760" i="1" s="1"/>
  <c r="L760" i="1" s="1"/>
  <c r="J197" i="1"/>
  <c r="I197" i="1"/>
  <c r="K197" i="1" s="1"/>
  <c r="L197" i="1" s="1"/>
  <c r="J436" i="1"/>
  <c r="I436" i="1"/>
  <c r="J4454" i="1"/>
  <c r="I4454" i="1"/>
  <c r="K4454" i="1" s="1"/>
  <c r="L4454" i="1" s="1"/>
  <c r="L435" i="1"/>
  <c r="J759" i="1"/>
  <c r="I759" i="1"/>
  <c r="K759" i="1" s="1"/>
  <c r="L759" i="1" s="1"/>
  <c r="J434" i="1"/>
  <c r="I434" i="1"/>
  <c r="J4453" i="1"/>
  <c r="I4453" i="1"/>
  <c r="K4453" i="1" s="1"/>
  <c r="L4453" i="1" s="1"/>
  <c r="J433" i="1"/>
  <c r="I433" i="1"/>
  <c r="J4452" i="1"/>
  <c r="I4452" i="1"/>
  <c r="K4452" i="1" s="1"/>
  <c r="L4452" i="1" s="1"/>
  <c r="J78" i="1"/>
  <c r="I78" i="1"/>
  <c r="K78" i="1" s="1"/>
  <c r="L78" i="1" s="1"/>
  <c r="J196" i="1"/>
  <c r="I196" i="1"/>
  <c r="K196" i="1" s="1"/>
  <c r="L196" i="1" s="1"/>
  <c r="J195" i="1"/>
  <c r="I195" i="1"/>
  <c r="K195" i="1" s="1"/>
  <c r="L195" i="1" s="1"/>
  <c r="L758" i="1"/>
  <c r="J194" i="1"/>
  <c r="I194" i="1"/>
  <c r="K194" i="1" s="1"/>
  <c r="L194" i="1" s="1"/>
  <c r="J77" i="1"/>
  <c r="I77" i="1"/>
  <c r="K77" i="1" s="1"/>
  <c r="L77" i="1" s="1"/>
  <c r="J432" i="1"/>
  <c r="I432" i="1"/>
  <c r="J431" i="1"/>
  <c r="I431" i="1"/>
  <c r="J76" i="1"/>
  <c r="I76" i="1"/>
  <c r="K76" i="1" s="1"/>
  <c r="L76" i="1" s="1"/>
  <c r="J4451" i="1"/>
  <c r="I4451" i="1"/>
  <c r="K4451" i="1" s="1"/>
  <c r="L4451" i="1" s="1"/>
  <c r="J429" i="1"/>
  <c r="I429" i="1"/>
  <c r="L757" i="1"/>
  <c r="J756" i="1"/>
  <c r="I756" i="1"/>
  <c r="K756" i="1" s="1"/>
  <c r="L756" i="1" s="1"/>
  <c r="J428" i="1"/>
  <c r="I428" i="1"/>
  <c r="J193" i="1"/>
  <c r="I193" i="1"/>
  <c r="K193" i="1" s="1"/>
  <c r="L193" i="1" s="1"/>
  <c r="J427" i="1"/>
  <c r="I427" i="1"/>
  <c r="J191" i="1"/>
  <c r="I191" i="1"/>
  <c r="K191" i="1" s="1"/>
  <c r="L191" i="1" s="1"/>
  <c r="L426" i="1"/>
  <c r="J755" i="1"/>
  <c r="I755" i="1"/>
  <c r="K755" i="1" s="1"/>
  <c r="L755" i="1" s="1"/>
  <c r="J425" i="1"/>
  <c r="I425" i="1"/>
  <c r="J424" i="1"/>
  <c r="I424" i="1"/>
  <c r="J754" i="1"/>
  <c r="I754" i="1"/>
  <c r="K754" i="1" s="1"/>
  <c r="L754" i="1" s="1"/>
  <c r="J549" i="1"/>
  <c r="I549" i="1"/>
  <c r="K549" i="1" s="1"/>
  <c r="L549" i="1" s="1"/>
  <c r="J548" i="1"/>
  <c r="I548" i="1"/>
  <c r="K548" i="1" s="1"/>
  <c r="L548" i="1" s="1"/>
  <c r="L753" i="1"/>
  <c r="L423" i="1"/>
  <c r="J752" i="1"/>
  <c r="I752" i="1"/>
  <c r="K752" i="1" s="1"/>
  <c r="L752" i="1" s="1"/>
  <c r="J75" i="1"/>
  <c r="I75" i="1"/>
  <c r="K75" i="1" s="1"/>
  <c r="L75" i="1" s="1"/>
  <c r="L422" i="1"/>
  <c r="J4450" i="1"/>
  <c r="I4450" i="1"/>
  <c r="K4450" i="1" s="1"/>
  <c r="L4450" i="1" s="1"/>
  <c r="L751" i="1"/>
  <c r="J421" i="1"/>
  <c r="I421" i="1"/>
  <c r="J4449" i="1"/>
  <c r="I4449" i="1"/>
  <c r="K4449" i="1" s="1"/>
  <c r="L4449" i="1" s="1"/>
  <c r="J74" i="1"/>
  <c r="I74" i="1"/>
  <c r="K74" i="1" s="1"/>
  <c r="L74" i="1" s="1"/>
  <c r="J750" i="1"/>
  <c r="I750" i="1"/>
  <c r="K750" i="1" s="1"/>
  <c r="L750" i="1" s="1"/>
  <c r="J749" i="1"/>
  <c r="I749" i="1"/>
  <c r="K749" i="1" s="1"/>
  <c r="L749" i="1" s="1"/>
  <c r="J190" i="1"/>
  <c r="I190" i="1"/>
  <c r="K190" i="1" s="1"/>
  <c r="L190" i="1" s="1"/>
  <c r="J420" i="1"/>
  <c r="I420" i="1"/>
  <c r="J4448" i="1"/>
  <c r="I4448" i="1"/>
  <c r="K4448" i="1" s="1"/>
  <c r="L4448" i="1" s="1"/>
  <c r="L419" i="1"/>
  <c r="J746" i="1"/>
  <c r="I746" i="1"/>
  <c r="K746" i="1" s="1"/>
  <c r="L746" i="1" s="1"/>
  <c r="J418" i="1"/>
  <c r="I418" i="1"/>
  <c r="J4447" i="1"/>
  <c r="I4447" i="1"/>
  <c r="K4447" i="1" s="1"/>
  <c r="L4447" i="1" s="1"/>
  <c r="J417" i="1"/>
  <c r="I417" i="1"/>
  <c r="J4446" i="1"/>
  <c r="I4446" i="1"/>
  <c r="K4446" i="1" s="1"/>
  <c r="L4446" i="1" s="1"/>
  <c r="J73" i="1"/>
  <c r="I73" i="1"/>
  <c r="K73" i="1" s="1"/>
  <c r="L73" i="1" s="1"/>
  <c r="J189" i="1"/>
  <c r="I189" i="1"/>
  <c r="K189" i="1" s="1"/>
  <c r="L189" i="1" s="1"/>
  <c r="J188" i="1"/>
  <c r="I188" i="1"/>
  <c r="K188" i="1" s="1"/>
  <c r="L188" i="1" s="1"/>
  <c r="J745" i="1"/>
  <c r="I745" i="1"/>
  <c r="K745" i="1" s="1"/>
  <c r="L745" i="1" s="1"/>
  <c r="J187" i="1"/>
  <c r="I187" i="1"/>
  <c r="K187" i="1" s="1"/>
  <c r="L187" i="1" s="1"/>
  <c r="J72" i="1"/>
  <c r="I72" i="1"/>
  <c r="K72" i="1" s="1"/>
  <c r="L72" i="1" s="1"/>
  <c r="J416" i="1"/>
  <c r="I416" i="1"/>
  <c r="J415" i="1"/>
  <c r="I415" i="1"/>
  <c r="J71" i="1"/>
  <c r="I71" i="1"/>
  <c r="K71" i="1" s="1"/>
  <c r="L71" i="1" s="1"/>
  <c r="J4445" i="1"/>
  <c r="I4445" i="1"/>
  <c r="K4445" i="1" s="1"/>
  <c r="L4445" i="1" s="1"/>
  <c r="J414" i="1"/>
  <c r="I414" i="1"/>
  <c r="L744" i="1"/>
  <c r="J743" i="1"/>
  <c r="I743" i="1"/>
  <c r="K743" i="1" s="1"/>
  <c r="L743" i="1" s="1"/>
  <c r="J413" i="1"/>
  <c r="I413" i="1"/>
  <c r="J186" i="1"/>
  <c r="I186" i="1"/>
  <c r="K186" i="1" s="1"/>
  <c r="L186" i="1" s="1"/>
  <c r="J411" i="1"/>
  <c r="I411" i="1"/>
  <c r="J185" i="1"/>
  <c r="I185" i="1"/>
  <c r="K185" i="1" s="1"/>
  <c r="L185" i="1" s="1"/>
  <c r="L410" i="1"/>
  <c r="J742" i="1"/>
  <c r="I742" i="1"/>
  <c r="K742" i="1" s="1"/>
  <c r="L742" i="1" s="1"/>
  <c r="J409" i="1"/>
  <c r="I409" i="1"/>
  <c r="J408" i="1"/>
  <c r="I408" i="1"/>
  <c r="J741" i="1"/>
  <c r="I741" i="1"/>
  <c r="K741" i="1" s="1"/>
  <c r="L741" i="1" s="1"/>
  <c r="J504" i="1"/>
  <c r="I504" i="1"/>
  <c r="J503" i="1"/>
  <c r="I503" i="1"/>
  <c r="L740" i="1"/>
  <c r="J407" i="1"/>
  <c r="I407" i="1"/>
  <c r="J739" i="1"/>
  <c r="I739" i="1"/>
  <c r="K739" i="1" s="1"/>
  <c r="L739" i="1" s="1"/>
  <c r="J70" i="1"/>
  <c r="I70" i="1"/>
  <c r="K70" i="1" s="1"/>
  <c r="L70" i="1" s="1"/>
  <c r="L406" i="1"/>
  <c r="J4444" i="1"/>
  <c r="I4444" i="1"/>
  <c r="K4444" i="1" s="1"/>
  <c r="L4444" i="1" s="1"/>
  <c r="L738" i="1"/>
  <c r="J405" i="1"/>
  <c r="I405" i="1"/>
  <c r="J4443" i="1"/>
  <c r="I4443" i="1"/>
  <c r="K4443" i="1" s="1"/>
  <c r="L4443" i="1" s="1"/>
  <c r="J69" i="1"/>
  <c r="I69" i="1"/>
  <c r="K69" i="1" s="1"/>
  <c r="L69" i="1" s="1"/>
  <c r="J737" i="1"/>
  <c r="I737" i="1"/>
  <c r="K737" i="1" s="1"/>
  <c r="L737" i="1" s="1"/>
  <c r="J736" i="1"/>
  <c r="I736" i="1"/>
  <c r="K736" i="1" s="1"/>
  <c r="L736" i="1" s="1"/>
  <c r="J184" i="1"/>
  <c r="I184" i="1"/>
  <c r="K184" i="1" s="1"/>
  <c r="L184" i="1" s="1"/>
  <c r="J404" i="1"/>
  <c r="I404" i="1"/>
  <c r="J4442" i="1"/>
  <c r="I4442" i="1"/>
  <c r="K4442" i="1" s="1"/>
  <c r="L4442" i="1" s="1"/>
  <c r="L403" i="1"/>
  <c r="J735" i="1"/>
  <c r="I735" i="1"/>
  <c r="K735" i="1" s="1"/>
  <c r="L735" i="1" s="1"/>
  <c r="J402" i="1"/>
  <c r="I402" i="1"/>
  <c r="J4441" i="1"/>
  <c r="I4441" i="1"/>
  <c r="K4441" i="1" s="1"/>
  <c r="L4441" i="1" s="1"/>
  <c r="J401" i="1"/>
  <c r="I401" i="1"/>
  <c r="J4440" i="1"/>
  <c r="I4440" i="1"/>
  <c r="K4440" i="1" s="1"/>
  <c r="L4440" i="1" s="1"/>
  <c r="J68" i="1"/>
  <c r="I68" i="1"/>
  <c r="K68" i="1" s="1"/>
  <c r="L68" i="1" s="1"/>
  <c r="J67" i="1"/>
  <c r="I67" i="1"/>
  <c r="K67" i="1" s="1"/>
  <c r="L67" i="1" s="1"/>
  <c r="J65" i="1"/>
  <c r="I65" i="1"/>
  <c r="K65" i="1" s="1"/>
  <c r="L65" i="1" s="1"/>
  <c r="J478" i="1"/>
  <c r="I478" i="1"/>
  <c r="J64" i="1"/>
  <c r="I64" i="1"/>
  <c r="K64" i="1" s="1"/>
  <c r="L64" i="1" s="1"/>
  <c r="J63" i="1"/>
  <c r="I63" i="1"/>
  <c r="K63" i="1" s="1"/>
  <c r="L63" i="1" s="1"/>
  <c r="J183" i="1"/>
  <c r="I183" i="1"/>
  <c r="K183" i="1" s="1"/>
  <c r="L183" i="1" s="1"/>
  <c r="J182" i="1"/>
  <c r="I182" i="1"/>
  <c r="K182" i="1" s="1"/>
  <c r="L182" i="1" s="1"/>
  <c r="J734" i="1"/>
  <c r="I734" i="1"/>
  <c r="K734" i="1" s="1"/>
  <c r="L734" i="1" s="1"/>
  <c r="J181" i="1"/>
  <c r="I181" i="1"/>
  <c r="K181" i="1" s="1"/>
  <c r="L181" i="1" s="1"/>
  <c r="J400" i="1"/>
  <c r="I400" i="1"/>
  <c r="J399" i="1"/>
  <c r="I399" i="1"/>
  <c r="J4439" i="1"/>
  <c r="I4439" i="1"/>
  <c r="K4439" i="1" s="1"/>
  <c r="L4439" i="1" s="1"/>
  <c r="L398" i="1"/>
  <c r="L733" i="1"/>
  <c r="J732" i="1"/>
  <c r="I732" i="1"/>
  <c r="K732" i="1" s="1"/>
  <c r="L732" i="1" s="1"/>
  <c r="J397" i="1"/>
  <c r="I397" i="1"/>
  <c r="J180" i="1"/>
  <c r="I180" i="1"/>
  <c r="K180" i="1" s="1"/>
  <c r="L180" i="1" s="1"/>
  <c r="J396" i="1"/>
  <c r="I396" i="1"/>
  <c r="J179" i="1"/>
  <c r="I179" i="1"/>
  <c r="K179" i="1" s="1"/>
  <c r="L179" i="1" s="1"/>
  <c r="L395" i="1"/>
  <c r="J731" i="1"/>
  <c r="I731" i="1"/>
  <c r="K731" i="1" s="1"/>
  <c r="L731" i="1" s="1"/>
  <c r="J394" i="1"/>
  <c r="I394" i="1"/>
  <c r="J393" i="1"/>
  <c r="I393" i="1"/>
  <c r="J730" i="1"/>
  <c r="I730" i="1"/>
  <c r="K730" i="1" s="1"/>
  <c r="L730" i="1" s="1"/>
  <c r="J456" i="1"/>
  <c r="I456" i="1"/>
  <c r="L665" i="1"/>
  <c r="J664" i="1"/>
  <c r="I664" i="1"/>
  <c r="K664" i="1" s="1"/>
  <c r="L664" i="1" s="1"/>
  <c r="L392" i="1"/>
  <c r="J4438" i="1"/>
  <c r="I4438" i="1"/>
  <c r="K4438" i="1" s="1"/>
  <c r="L4438" i="1" s="1"/>
  <c r="L663" i="1"/>
  <c r="J391" i="1"/>
  <c r="I391" i="1"/>
  <c r="J4437" i="1"/>
  <c r="I4437" i="1"/>
  <c r="K4437" i="1" s="1"/>
  <c r="L4437" i="1" s="1"/>
  <c r="J662" i="1"/>
  <c r="I662" i="1"/>
  <c r="K662" i="1" s="1"/>
  <c r="L662" i="1" s="1"/>
  <c r="J661" i="1"/>
  <c r="I661" i="1"/>
  <c r="K661" i="1" s="1"/>
  <c r="L661" i="1" s="1"/>
  <c r="J178" i="1"/>
  <c r="I178" i="1"/>
  <c r="K178" i="1" s="1"/>
  <c r="L178" i="1" s="1"/>
  <c r="L390" i="1"/>
  <c r="J4436" i="1"/>
  <c r="I4436" i="1"/>
  <c r="K4436" i="1" s="1"/>
  <c r="L4436" i="1" s="1"/>
  <c r="L389" i="1"/>
  <c r="J660" i="1"/>
  <c r="I660" i="1"/>
  <c r="K660" i="1" s="1"/>
  <c r="L660" i="1" s="1"/>
  <c r="J388" i="1"/>
  <c r="I388" i="1"/>
  <c r="J4435" i="1"/>
  <c r="I4435" i="1"/>
  <c r="K4435" i="1" s="1"/>
  <c r="L4435" i="1" s="1"/>
  <c r="J387" i="1"/>
  <c r="I387" i="1"/>
  <c r="J4434" i="1"/>
  <c r="I4434" i="1"/>
  <c r="K4434" i="1" s="1"/>
  <c r="L4434" i="1" s="1"/>
  <c r="J177" i="1"/>
  <c r="I177" i="1"/>
  <c r="K177" i="1" s="1"/>
  <c r="L177" i="1" s="1"/>
  <c r="J176" i="1"/>
  <c r="I176" i="1"/>
  <c r="K176" i="1" s="1"/>
  <c r="L176" i="1" s="1"/>
  <c r="J659" i="1"/>
  <c r="I659" i="1"/>
  <c r="K659" i="1" s="1"/>
  <c r="L659" i="1" s="1"/>
  <c r="J175" i="1"/>
  <c r="I175" i="1"/>
  <c r="K175" i="1" s="1"/>
  <c r="L175" i="1" s="1"/>
  <c r="J62" i="1"/>
  <c r="I62" i="1"/>
  <c r="K62" i="1" s="1"/>
  <c r="L62" i="1" s="1"/>
  <c r="J61" i="1"/>
  <c r="I61" i="1"/>
  <c r="K61" i="1" s="1"/>
  <c r="L61" i="1" s="1"/>
  <c r="J60" i="1"/>
  <c r="I60" i="1"/>
  <c r="K60" i="1" s="1"/>
  <c r="L60" i="1" s="1"/>
  <c r="J430" i="1"/>
  <c r="I430" i="1"/>
  <c r="J59" i="1"/>
  <c r="I59" i="1"/>
  <c r="K59" i="1" s="1"/>
  <c r="L59" i="1" s="1"/>
  <c r="J58" i="1"/>
  <c r="I58" i="1"/>
  <c r="K58" i="1" s="1"/>
  <c r="L58" i="1" s="1"/>
  <c r="J57" i="1"/>
  <c r="I57" i="1"/>
  <c r="K57" i="1" s="1"/>
  <c r="L57" i="1" s="1"/>
  <c r="J386" i="1"/>
  <c r="I386" i="1"/>
  <c r="J385" i="1"/>
  <c r="I385" i="1"/>
  <c r="J4433" i="1"/>
  <c r="I4433" i="1"/>
  <c r="K4433" i="1" s="1"/>
  <c r="L4433" i="1" s="1"/>
  <c r="L384" i="1"/>
  <c r="L658" i="1"/>
  <c r="J657" i="1"/>
  <c r="I657" i="1"/>
  <c r="K657" i="1" s="1"/>
  <c r="L657" i="1" s="1"/>
  <c r="J383" i="1"/>
  <c r="I383" i="1"/>
  <c r="J174" i="1"/>
  <c r="I174" i="1"/>
  <c r="K174" i="1" s="1"/>
  <c r="L174" i="1" s="1"/>
  <c r="J173" i="1"/>
  <c r="I173" i="1"/>
  <c r="K173" i="1" s="1"/>
  <c r="L173" i="1" s="1"/>
  <c r="L382" i="1"/>
  <c r="J656" i="1"/>
  <c r="I656" i="1"/>
  <c r="K656" i="1" s="1"/>
  <c r="L656" i="1" s="1"/>
  <c r="J381" i="1"/>
  <c r="I381" i="1"/>
  <c r="J380" i="1"/>
  <c r="I380" i="1"/>
  <c r="J655" i="1"/>
  <c r="I655" i="1"/>
  <c r="K655" i="1" s="1"/>
  <c r="L655" i="1" s="1"/>
  <c r="J412" i="1"/>
  <c r="I412" i="1"/>
  <c r="L654" i="1"/>
  <c r="J653" i="1"/>
  <c r="I653" i="1"/>
  <c r="K653" i="1" s="1"/>
  <c r="L653" i="1" s="1"/>
  <c r="L379" i="1"/>
  <c r="J4432" i="1"/>
  <c r="I4432" i="1"/>
  <c r="K4432" i="1" s="1"/>
  <c r="L4432" i="1" s="1"/>
  <c r="L652" i="1"/>
  <c r="J378" i="1"/>
  <c r="I378" i="1"/>
  <c r="J4431" i="1"/>
  <c r="I4431" i="1"/>
  <c r="K4431" i="1" s="1"/>
  <c r="L4431" i="1" s="1"/>
  <c r="J651" i="1"/>
  <c r="I651" i="1"/>
  <c r="K651" i="1" s="1"/>
  <c r="L651" i="1" s="1"/>
  <c r="J650" i="1"/>
  <c r="I650" i="1"/>
  <c r="K650" i="1" s="1"/>
  <c r="L650" i="1" s="1"/>
  <c r="J377" i="1"/>
  <c r="I377" i="1"/>
  <c r="J4430" i="1"/>
  <c r="I4430" i="1"/>
  <c r="K4430" i="1" s="1"/>
  <c r="L4430" i="1" s="1"/>
  <c r="L376" i="1"/>
  <c r="J649" i="1"/>
  <c r="I649" i="1"/>
  <c r="K649" i="1" s="1"/>
  <c r="L649" i="1" s="1"/>
  <c r="J375" i="1"/>
  <c r="I375" i="1"/>
  <c r="J4429" i="1"/>
  <c r="I4429" i="1"/>
  <c r="K4429" i="1" s="1"/>
  <c r="L4429" i="1" s="1"/>
  <c r="J374" i="1"/>
  <c r="I374" i="1"/>
  <c r="J4428" i="1"/>
  <c r="I4428" i="1"/>
  <c r="K4428" i="1" s="1"/>
  <c r="L4428" i="1" s="1"/>
  <c r="J172" i="1"/>
  <c r="I172" i="1"/>
  <c r="K172" i="1" s="1"/>
  <c r="L172" i="1" s="1"/>
  <c r="J171" i="1"/>
  <c r="I171" i="1"/>
  <c r="K171" i="1" s="1"/>
  <c r="L171" i="1" s="1"/>
  <c r="J648" i="1"/>
  <c r="I648" i="1"/>
  <c r="K648" i="1" s="1"/>
  <c r="L648" i="1" s="1"/>
  <c r="J170" i="1"/>
  <c r="I170" i="1"/>
  <c r="K170" i="1" s="1"/>
  <c r="L170" i="1" s="1"/>
  <c r="J56" i="1"/>
  <c r="I56" i="1"/>
  <c r="K56" i="1" s="1"/>
  <c r="L56" i="1" s="1"/>
  <c r="J55" i="1"/>
  <c r="I55" i="1"/>
  <c r="K55" i="1" s="1"/>
  <c r="L55" i="1" s="1"/>
  <c r="J54" i="1"/>
  <c r="I54" i="1"/>
  <c r="K54" i="1" s="1"/>
  <c r="L54" i="1" s="1"/>
  <c r="J53" i="1"/>
  <c r="I53" i="1"/>
  <c r="K53" i="1" s="1"/>
  <c r="L53" i="1" s="1"/>
  <c r="J52" i="1"/>
  <c r="I52" i="1"/>
  <c r="K52" i="1" s="1"/>
  <c r="L52" i="1" s="1"/>
  <c r="J373" i="1"/>
  <c r="I373" i="1"/>
  <c r="J372" i="1"/>
  <c r="I372" i="1"/>
  <c r="J51" i="1"/>
  <c r="I51" i="1"/>
  <c r="J4427" i="1"/>
  <c r="I4427" i="1"/>
  <c r="L371" i="1"/>
  <c r="L647" i="1"/>
  <c r="J646" i="1"/>
  <c r="I646" i="1"/>
  <c r="J370" i="1"/>
  <c r="I370" i="1"/>
  <c r="J169" i="1"/>
  <c r="I169" i="1"/>
  <c r="J368" i="1"/>
  <c r="I368" i="1"/>
  <c r="J168" i="1"/>
  <c r="I168" i="1"/>
  <c r="L367" i="1"/>
  <c r="J645" i="1"/>
  <c r="I645" i="1"/>
  <c r="J366" i="1"/>
  <c r="I366" i="1"/>
  <c r="J365" i="1"/>
  <c r="I365" i="1"/>
  <c r="J644" i="1"/>
  <c r="I644" i="1"/>
  <c r="J369" i="1"/>
  <c r="I369" i="1"/>
  <c r="L643" i="1"/>
  <c r="L364" i="1"/>
  <c r="J642" i="1"/>
  <c r="I642" i="1"/>
  <c r="L363" i="1"/>
  <c r="J4426" i="1"/>
  <c r="I4426" i="1"/>
  <c r="L641" i="1"/>
  <c r="J362" i="1"/>
  <c r="I362" i="1"/>
  <c r="J4425" i="1"/>
  <c r="I4425" i="1"/>
  <c r="J640" i="1"/>
  <c r="I640" i="1"/>
  <c r="J637" i="1"/>
  <c r="I637" i="1"/>
  <c r="J361" i="1"/>
  <c r="I361" i="1"/>
  <c r="J4424" i="1"/>
  <c r="I4424" i="1"/>
  <c r="L360" i="1"/>
  <c r="J636" i="1"/>
  <c r="I636" i="1"/>
  <c r="J359" i="1"/>
  <c r="I359" i="1"/>
  <c r="J4423" i="1"/>
  <c r="I4423" i="1"/>
  <c r="J358" i="1"/>
  <c r="I358" i="1"/>
  <c r="J4422" i="1"/>
  <c r="I4422" i="1"/>
  <c r="J167" i="1"/>
  <c r="I167" i="1"/>
  <c r="K167" i="1" s="1"/>
  <c r="L167" i="1" s="1"/>
  <c r="J166" i="1"/>
  <c r="I166" i="1"/>
  <c r="J635" i="1"/>
  <c r="I635" i="1"/>
  <c r="K635" i="1" s="1"/>
  <c r="L635" i="1" s="1"/>
  <c r="J165" i="1"/>
  <c r="I165" i="1"/>
  <c r="J357" i="1"/>
  <c r="I357" i="1"/>
  <c r="J356" i="1"/>
  <c r="I356" i="1"/>
  <c r="J50" i="1"/>
  <c r="I50" i="1"/>
  <c r="J49" i="1"/>
  <c r="I49" i="1"/>
  <c r="J48" i="1"/>
  <c r="I48" i="1"/>
  <c r="J47" i="1"/>
  <c r="I47" i="1"/>
  <c r="J46" i="1"/>
  <c r="I46" i="1"/>
  <c r="J45" i="1"/>
  <c r="I45" i="1"/>
  <c r="J4421" i="1"/>
  <c r="I4421" i="1"/>
  <c r="L355" i="1"/>
  <c r="L634" i="1"/>
  <c r="J633" i="1"/>
  <c r="I633" i="1"/>
  <c r="J354" i="1"/>
  <c r="I354" i="1"/>
  <c r="L164" i="1"/>
  <c r="J353" i="1"/>
  <c r="I353" i="1"/>
  <c r="J163" i="1"/>
  <c r="I163" i="1"/>
  <c r="L352" i="1"/>
  <c r="J632" i="1"/>
  <c r="I632" i="1"/>
  <c r="J351" i="1"/>
  <c r="I351" i="1"/>
  <c r="J350" i="1"/>
  <c r="I350" i="1"/>
  <c r="J631" i="1"/>
  <c r="I631" i="1"/>
  <c r="J325" i="1"/>
  <c r="I325" i="1"/>
  <c r="L630" i="1"/>
  <c r="L349" i="1"/>
  <c r="J629" i="1"/>
  <c r="I629" i="1"/>
  <c r="L348" i="1"/>
  <c r="J4420" i="1"/>
  <c r="I4420" i="1"/>
  <c r="L628" i="1"/>
  <c r="J347" i="1"/>
  <c r="I347" i="1"/>
  <c r="J4419" i="1"/>
  <c r="I4419" i="1"/>
  <c r="J627" i="1"/>
  <c r="I627" i="1"/>
  <c r="J626" i="1"/>
  <c r="I626" i="1"/>
  <c r="J346" i="1"/>
  <c r="I346" i="1"/>
  <c r="J4418" i="1"/>
  <c r="I4418" i="1"/>
  <c r="L345" i="1"/>
  <c r="J625" i="1"/>
  <c r="I625" i="1"/>
  <c r="J344" i="1"/>
  <c r="I344" i="1"/>
  <c r="J4417" i="1"/>
  <c r="I4417" i="1"/>
  <c r="J343" i="1"/>
  <c r="I343" i="1"/>
  <c r="J4416" i="1"/>
  <c r="I4416" i="1"/>
  <c r="J162" i="1"/>
  <c r="I162" i="1"/>
  <c r="J161" i="1"/>
  <c r="I161" i="1"/>
  <c r="J624" i="1"/>
  <c r="I624" i="1"/>
  <c r="J160" i="1"/>
  <c r="I160" i="1"/>
  <c r="J342" i="1"/>
  <c r="I342" i="1"/>
  <c r="J341" i="1"/>
  <c r="I341" i="1"/>
  <c r="J44" i="1"/>
  <c r="I44" i="1"/>
  <c r="J43" i="1"/>
  <c r="I43" i="1"/>
  <c r="J42" i="1"/>
  <c r="I42" i="1"/>
  <c r="J41" i="1"/>
  <c r="I41" i="1"/>
  <c r="J40" i="1"/>
  <c r="I40" i="1"/>
  <c r="J4415" i="1"/>
  <c r="I4415" i="1"/>
  <c r="L340" i="1"/>
  <c r="L623" i="1"/>
  <c r="J622" i="1"/>
  <c r="I622" i="1"/>
  <c r="J339" i="1"/>
  <c r="I339" i="1"/>
  <c r="J159" i="1"/>
  <c r="I159" i="1"/>
  <c r="J338" i="1"/>
  <c r="I338" i="1"/>
  <c r="J158" i="1"/>
  <c r="I158" i="1"/>
  <c r="L337" i="1"/>
  <c r="J621" i="1"/>
  <c r="I621" i="1"/>
  <c r="J336" i="1"/>
  <c r="I336" i="1"/>
  <c r="J335" i="1"/>
  <c r="I335" i="1"/>
  <c r="J620" i="1"/>
  <c r="I620" i="1"/>
  <c r="J282" i="1"/>
  <c r="I282" i="1"/>
  <c r="J39" i="1"/>
  <c r="I39" i="1"/>
  <c r="L619" i="1"/>
  <c r="L334" i="1"/>
  <c r="J618" i="1"/>
  <c r="I618" i="1"/>
  <c r="L333" i="1"/>
  <c r="J4414" i="1"/>
  <c r="I4414" i="1"/>
  <c r="L617" i="1"/>
  <c r="J332" i="1"/>
  <c r="I332" i="1"/>
  <c r="J4413" i="1"/>
  <c r="I4413" i="1"/>
  <c r="J616" i="1"/>
  <c r="I616" i="1"/>
  <c r="J615" i="1"/>
  <c r="I615" i="1"/>
  <c r="J331" i="1"/>
  <c r="I331" i="1"/>
  <c r="J4412" i="1"/>
  <c r="I4412" i="1"/>
  <c r="L330" i="1"/>
  <c r="J614" i="1"/>
  <c r="I614" i="1"/>
  <c r="J329" i="1"/>
  <c r="I329" i="1"/>
  <c r="J4411" i="1"/>
  <c r="I4411" i="1"/>
  <c r="J328" i="1"/>
  <c r="I328" i="1"/>
  <c r="J4410" i="1"/>
  <c r="I4410" i="1"/>
  <c r="J157" i="1"/>
  <c r="I157" i="1"/>
  <c r="J156" i="1"/>
  <c r="I156" i="1"/>
  <c r="J613" i="1"/>
  <c r="I613" i="1"/>
  <c r="J155" i="1"/>
  <c r="I155" i="1"/>
  <c r="J327" i="1"/>
  <c r="I327" i="1"/>
  <c r="J326" i="1"/>
  <c r="I326" i="1"/>
  <c r="J4409" i="1"/>
  <c r="I4409" i="1"/>
  <c r="L324" i="1"/>
  <c r="L612" i="1"/>
  <c r="J611" i="1"/>
  <c r="I611" i="1"/>
  <c r="J323" i="1"/>
  <c r="I323" i="1"/>
  <c r="J153" i="1"/>
  <c r="I153" i="1"/>
  <c r="J322" i="1"/>
  <c r="I322" i="1"/>
  <c r="J152" i="1"/>
  <c r="I152" i="1"/>
  <c r="L321" i="1"/>
  <c r="J610" i="1"/>
  <c r="I610" i="1"/>
  <c r="J320" i="1"/>
  <c r="I320" i="1"/>
  <c r="J319" i="1"/>
  <c r="I319" i="1"/>
  <c r="J609" i="1"/>
  <c r="I609" i="1"/>
  <c r="J243" i="1"/>
  <c r="I243" i="1"/>
  <c r="J38" i="1"/>
  <c r="I38" i="1"/>
  <c r="J37" i="1"/>
  <c r="I37" i="1"/>
  <c r="J36" i="1"/>
  <c r="I36" i="1"/>
  <c r="L608" i="1"/>
  <c r="L318" i="1"/>
  <c r="J607" i="1"/>
  <c r="I607" i="1"/>
  <c r="J35" i="1"/>
  <c r="I35" i="1"/>
  <c r="J34" i="1"/>
  <c r="I34" i="1"/>
  <c r="J33" i="1"/>
  <c r="I33" i="1"/>
  <c r="L317" i="1"/>
  <c r="J4408" i="1"/>
  <c r="I4408" i="1"/>
  <c r="L606" i="1"/>
  <c r="J316" i="1"/>
  <c r="I316" i="1"/>
  <c r="J4407" i="1"/>
  <c r="I4407" i="1"/>
  <c r="J605" i="1"/>
  <c r="I605" i="1"/>
  <c r="J604" i="1"/>
  <c r="I604" i="1"/>
  <c r="J315" i="1"/>
  <c r="I315" i="1"/>
  <c r="J4406" i="1"/>
  <c r="I4406" i="1"/>
  <c r="L314" i="1"/>
  <c r="J603" i="1"/>
  <c r="I603" i="1"/>
  <c r="J313" i="1"/>
  <c r="I313" i="1"/>
  <c r="L4405" i="1"/>
  <c r="J312" i="1"/>
  <c r="I312" i="1"/>
  <c r="J4404" i="1"/>
  <c r="I4404" i="1"/>
  <c r="J151" i="1"/>
  <c r="I151" i="1"/>
  <c r="J150" i="1"/>
  <c r="I150" i="1"/>
  <c r="J602" i="1"/>
  <c r="I602" i="1"/>
  <c r="J149" i="1"/>
  <c r="I149" i="1"/>
  <c r="J311" i="1"/>
  <c r="I311" i="1"/>
  <c r="J310" i="1"/>
  <c r="I310" i="1"/>
  <c r="J4403" i="1"/>
  <c r="I4403" i="1"/>
  <c r="L309" i="1"/>
  <c r="L601" i="1"/>
  <c r="J600" i="1"/>
  <c r="I600" i="1"/>
  <c r="J308" i="1"/>
  <c r="I308" i="1"/>
  <c r="J148" i="1"/>
  <c r="I148" i="1"/>
  <c r="J307" i="1"/>
  <c r="I307" i="1"/>
  <c r="J147" i="1"/>
  <c r="I147" i="1"/>
  <c r="L306" i="1"/>
  <c r="J599" i="1"/>
  <c r="I599" i="1"/>
  <c r="J305" i="1"/>
  <c r="I305" i="1"/>
  <c r="J304" i="1"/>
  <c r="I304" i="1"/>
  <c r="J598" i="1"/>
  <c r="I598" i="1"/>
  <c r="J199" i="1"/>
  <c r="I199" i="1"/>
  <c r="L597" i="1"/>
  <c r="L303" i="1"/>
  <c r="J596" i="1"/>
  <c r="I596" i="1"/>
  <c r="J32" i="1"/>
  <c r="I32" i="1"/>
  <c r="J31" i="1"/>
  <c r="I31" i="1"/>
  <c r="J30" i="1"/>
  <c r="I30" i="1"/>
  <c r="J192" i="1"/>
  <c r="I192" i="1"/>
  <c r="J29" i="1"/>
  <c r="I29" i="1"/>
  <c r="J28" i="1"/>
  <c r="I28" i="1"/>
  <c r="J27" i="1"/>
  <c r="I27" i="1"/>
  <c r="L302" i="1"/>
  <c r="J4402" i="1"/>
  <c r="I4402" i="1"/>
  <c r="L595" i="1"/>
  <c r="J301" i="1"/>
  <c r="I301" i="1"/>
  <c r="J4401" i="1"/>
  <c r="I4401" i="1"/>
  <c r="J592" i="1"/>
  <c r="I592" i="1"/>
  <c r="J591" i="1"/>
  <c r="I591" i="1"/>
  <c r="J300" i="1"/>
  <c r="I300" i="1"/>
  <c r="J4400" i="1"/>
  <c r="I4400" i="1"/>
  <c r="L299" i="1"/>
  <c r="J590" i="1"/>
  <c r="I590" i="1"/>
  <c r="J298" i="1"/>
  <c r="I298" i="1"/>
  <c r="J4399" i="1"/>
  <c r="I4399" i="1"/>
  <c r="J297" i="1"/>
  <c r="I297" i="1"/>
  <c r="J4398" i="1"/>
  <c r="I4398" i="1"/>
  <c r="J146" i="1"/>
  <c r="I146" i="1"/>
  <c r="J145" i="1"/>
  <c r="I145" i="1"/>
  <c r="J589" i="1"/>
  <c r="I589" i="1"/>
  <c r="L144" i="1"/>
  <c r="J296" i="1"/>
  <c r="I296" i="1"/>
  <c r="J295" i="1"/>
  <c r="I295" i="1"/>
  <c r="J4397" i="1"/>
  <c r="I4397" i="1"/>
  <c r="L294" i="1"/>
  <c r="L588" i="1"/>
  <c r="J587" i="1"/>
  <c r="I587" i="1"/>
  <c r="J293" i="1"/>
  <c r="I293" i="1"/>
  <c r="J143" i="1"/>
  <c r="I143" i="1"/>
  <c r="J292" i="1"/>
  <c r="I292" i="1"/>
  <c r="J142" i="1"/>
  <c r="I142" i="1"/>
  <c r="L291" i="1"/>
  <c r="J586" i="1"/>
  <c r="I586" i="1"/>
  <c r="J290" i="1"/>
  <c r="I290" i="1"/>
  <c r="J289" i="1"/>
  <c r="I289" i="1"/>
  <c r="J585" i="1"/>
  <c r="I585" i="1"/>
  <c r="J154" i="1"/>
  <c r="I154" i="1"/>
  <c r="L584" i="1"/>
  <c r="L288" i="1"/>
  <c r="J583" i="1"/>
  <c r="I583" i="1"/>
  <c r="J26" i="1"/>
  <c r="I26" i="1"/>
  <c r="J25" i="1"/>
  <c r="I25" i="1"/>
  <c r="L287" i="1"/>
  <c r="J4396" i="1"/>
  <c r="I4396" i="1"/>
  <c r="L582" i="1"/>
  <c r="J286" i="1"/>
  <c r="I286" i="1"/>
  <c r="J4395" i="1"/>
  <c r="I4395" i="1"/>
  <c r="J24" i="1"/>
  <c r="I24" i="1"/>
  <c r="J23" i="1"/>
  <c r="I23" i="1"/>
  <c r="J22" i="1"/>
  <c r="I22" i="1"/>
  <c r="J21" i="1"/>
  <c r="I21" i="1"/>
  <c r="J581" i="1"/>
  <c r="I581" i="1"/>
  <c r="J580" i="1"/>
  <c r="I580" i="1"/>
  <c r="J285" i="1"/>
  <c r="I285" i="1"/>
  <c r="J4394" i="1"/>
  <c r="I4394" i="1"/>
  <c r="L284" i="1"/>
  <c r="J579" i="1"/>
  <c r="I579" i="1"/>
  <c r="J542" i="1"/>
  <c r="I542" i="1"/>
  <c r="J4393" i="1"/>
  <c r="I4393" i="1"/>
  <c r="J535" i="1"/>
  <c r="I535" i="1"/>
  <c r="J4392" i="1"/>
  <c r="I4392" i="1"/>
  <c r="J141" i="1"/>
  <c r="I141" i="1"/>
  <c r="J140" i="1"/>
  <c r="I140" i="1"/>
  <c r="J578" i="1"/>
  <c r="I578" i="1"/>
  <c r="L139" i="1"/>
  <c r="J528" i="1"/>
  <c r="I528" i="1"/>
  <c r="J521" i="1"/>
  <c r="I521" i="1"/>
  <c r="J4391" i="1"/>
  <c r="I4391" i="1"/>
  <c r="L514" i="1"/>
  <c r="L577" i="1"/>
  <c r="J576" i="1"/>
  <c r="I576" i="1"/>
  <c r="J507" i="1"/>
  <c r="I507" i="1"/>
  <c r="J138" i="1"/>
  <c r="I138" i="1"/>
  <c r="J498" i="1"/>
  <c r="I498" i="1"/>
  <c r="J137" i="1"/>
  <c r="I137" i="1"/>
  <c r="L491" i="1"/>
  <c r="J575" i="1"/>
  <c r="I575" i="1"/>
  <c r="J484" i="1"/>
  <c r="I484" i="1"/>
  <c r="J278" i="1"/>
  <c r="I278" i="1"/>
  <c r="J574" i="1"/>
  <c r="I574" i="1"/>
  <c r="J110" i="1"/>
  <c r="I110" i="1"/>
  <c r="L573" i="1"/>
  <c r="L271" i="1"/>
  <c r="J572" i="1"/>
  <c r="I572" i="1"/>
  <c r="L264" i="1"/>
  <c r="J4390" i="1"/>
  <c r="I4390" i="1"/>
  <c r="L571" i="1"/>
  <c r="J257" i="1"/>
  <c r="I257" i="1"/>
  <c r="J4389" i="1"/>
  <c r="I4389" i="1"/>
  <c r="J20" i="1"/>
  <c r="I20" i="1"/>
  <c r="J18" i="1"/>
  <c r="I18" i="1"/>
  <c r="J17" i="1"/>
  <c r="I17" i="1"/>
  <c r="J16" i="1"/>
  <c r="I16" i="1"/>
  <c r="J15" i="1"/>
  <c r="I15" i="1"/>
  <c r="J14" i="1"/>
  <c r="I14" i="1"/>
  <c r="J570" i="1"/>
  <c r="I570" i="1"/>
  <c r="J569" i="1"/>
  <c r="I569" i="1"/>
  <c r="J250" i="1"/>
  <c r="I250" i="1"/>
  <c r="J4388" i="1"/>
  <c r="I4388" i="1"/>
  <c r="L242" i="1"/>
  <c r="J568" i="1"/>
  <c r="I568" i="1"/>
  <c r="J541" i="1"/>
  <c r="I541" i="1"/>
  <c r="J4387" i="1"/>
  <c r="I4387" i="1"/>
  <c r="J534" i="1"/>
  <c r="I534" i="1"/>
  <c r="J4386" i="1"/>
  <c r="I4386" i="1"/>
  <c r="J136" i="1"/>
  <c r="I136" i="1"/>
  <c r="J135" i="1"/>
  <c r="I135" i="1"/>
  <c r="J567" i="1"/>
  <c r="I567" i="1"/>
  <c r="J134" i="1"/>
  <c r="I134" i="1"/>
  <c r="J527" i="1"/>
  <c r="I527" i="1"/>
  <c r="J520" i="1"/>
  <c r="I520" i="1"/>
  <c r="J4385" i="1"/>
  <c r="I4385" i="1"/>
  <c r="L513" i="1"/>
  <c r="L566" i="1"/>
  <c r="J565" i="1"/>
  <c r="I565" i="1"/>
  <c r="J506" i="1"/>
  <c r="I506" i="1"/>
  <c r="J133" i="1"/>
  <c r="I133" i="1"/>
  <c r="J497" i="1"/>
  <c r="I497" i="1"/>
  <c r="J132" i="1"/>
  <c r="I132" i="1"/>
  <c r="L490" i="1"/>
  <c r="J564" i="1"/>
  <c r="I564" i="1"/>
  <c r="J483" i="1"/>
  <c r="I483" i="1"/>
  <c r="J277" i="1"/>
  <c r="I277" i="1"/>
  <c r="J563" i="1"/>
  <c r="I563" i="1"/>
  <c r="J66" i="1"/>
  <c r="I66" i="1"/>
  <c r="L562" i="1"/>
  <c r="L270" i="1"/>
  <c r="J561" i="1"/>
  <c r="I561" i="1"/>
  <c r="L263" i="1"/>
  <c r="J4384" i="1"/>
  <c r="I4384" i="1"/>
  <c r="L560" i="1"/>
  <c r="J256" i="1"/>
  <c r="I256" i="1"/>
  <c r="J4383" i="1"/>
  <c r="I4383" i="1"/>
  <c r="J13" i="1"/>
  <c r="I13" i="1"/>
  <c r="J12" i="1"/>
  <c r="I12" i="1"/>
  <c r="J559" i="1"/>
  <c r="I559" i="1"/>
  <c r="J558" i="1"/>
  <c r="I558" i="1"/>
  <c r="L11" i="1"/>
  <c r="J10" i="1"/>
  <c r="I10" i="1"/>
  <c r="J9" i="1"/>
  <c r="I9" i="1"/>
  <c r="J8" i="1"/>
  <c r="I8" i="1"/>
  <c r="J249" i="1"/>
  <c r="I249" i="1"/>
  <c r="J4382" i="1"/>
  <c r="I4382" i="1"/>
  <c r="L241" i="1"/>
  <c r="J557" i="1"/>
  <c r="I557" i="1"/>
  <c r="J540" i="1"/>
  <c r="I540" i="1"/>
  <c r="J4381" i="1"/>
  <c r="I4381" i="1"/>
  <c r="J533" i="1"/>
  <c r="I533" i="1"/>
  <c r="J4380" i="1"/>
  <c r="I4380" i="1"/>
  <c r="J7" i="1"/>
  <c r="I7" i="1"/>
  <c r="J131" i="1"/>
  <c r="I131" i="1"/>
  <c r="J130" i="1"/>
  <c r="I130" i="1"/>
  <c r="J556" i="1"/>
  <c r="I556" i="1"/>
  <c r="J129" i="1"/>
  <c r="I129" i="1"/>
  <c r="J6" i="1"/>
  <c r="I6" i="1"/>
  <c r="J526" i="1"/>
  <c r="I526" i="1"/>
  <c r="J519" i="1"/>
  <c r="I519" i="1"/>
  <c r="J5" i="1"/>
  <c r="I5" i="1"/>
  <c r="J4379" i="1"/>
  <c r="I4379" i="1"/>
  <c r="L512" i="1"/>
  <c r="L555" i="1"/>
  <c r="J554" i="1"/>
  <c r="I554" i="1"/>
  <c r="J505" i="1"/>
  <c r="I505" i="1"/>
  <c r="J128" i="1"/>
  <c r="I128" i="1"/>
  <c r="J496" i="1"/>
  <c r="I496" i="1"/>
  <c r="J127" i="1"/>
  <c r="I127" i="1"/>
  <c r="L489" i="1"/>
  <c r="J553" i="1"/>
  <c r="I553" i="1"/>
  <c r="J482" i="1"/>
  <c r="I482" i="1"/>
  <c r="J276" i="1"/>
  <c r="I276" i="1"/>
  <c r="J552" i="1"/>
  <c r="I552" i="1"/>
  <c r="J19" i="1"/>
  <c r="I19" i="1"/>
  <c r="J551" i="1"/>
  <c r="I551" i="1"/>
  <c r="L269" i="1"/>
  <c r="J550" i="1"/>
  <c r="I550" i="1"/>
  <c r="J4" i="1"/>
  <c r="I4" i="1"/>
  <c r="L262" i="1"/>
  <c r="J4378" i="1"/>
  <c r="I4378" i="1"/>
  <c r="L547" i="1"/>
  <c r="J255" i="1"/>
  <c r="I255" i="1"/>
  <c r="J4377" i="1"/>
  <c r="I4377" i="1"/>
  <c r="J3" i="1"/>
  <c r="I3" i="1"/>
  <c r="J546" i="1"/>
  <c r="I546" i="1"/>
  <c r="J545" i="1"/>
  <c r="I545" i="1"/>
  <c r="J2" i="1"/>
  <c r="I2" i="1"/>
  <c r="J248" i="1"/>
  <c r="I248" i="1"/>
  <c r="J4376" i="1"/>
  <c r="I4376" i="1"/>
  <c r="L240" i="1"/>
  <c r="J544" i="1"/>
  <c r="I544" i="1"/>
  <c r="K428" i="1" l="1"/>
  <c r="L428" i="1" s="1"/>
  <c r="K427" i="1"/>
  <c r="L427" i="1" s="1"/>
  <c r="K463" i="1"/>
  <c r="L463" i="1" s="1"/>
  <c r="K459" i="1"/>
  <c r="L459" i="1" s="1"/>
  <c r="K425" i="1"/>
  <c r="L425" i="1" s="1"/>
  <c r="K465" i="1"/>
  <c r="L465" i="1" s="1"/>
  <c r="K461" i="1"/>
  <c r="L461" i="1" s="1"/>
  <c r="K460" i="1"/>
  <c r="L460" i="1" s="1"/>
  <c r="K457" i="1"/>
  <c r="L457" i="1" s="1"/>
  <c r="K452" i="1"/>
  <c r="L452" i="1" s="1"/>
  <c r="K449" i="1"/>
  <c r="L449" i="1" s="1"/>
  <c r="K448" i="1"/>
  <c r="L448" i="1" s="1"/>
  <c r="K429" i="1"/>
  <c r="L429" i="1" s="1"/>
  <c r="K420" i="1"/>
  <c r="L420" i="1" s="1"/>
  <c r="K416" i="1"/>
  <c r="L416" i="1" s="1"/>
  <c r="K413" i="1"/>
  <c r="L413" i="1" s="1"/>
  <c r="K408" i="1"/>
  <c r="L408" i="1" s="1"/>
  <c r="K407" i="1"/>
  <c r="L407" i="1" s="1"/>
  <c r="K402" i="1"/>
  <c r="L402" i="1" s="1"/>
  <c r="K400" i="1"/>
  <c r="L400" i="1" s="1"/>
  <c r="K396" i="1"/>
  <c r="L396" i="1" s="1"/>
  <c r="K456" i="1"/>
  <c r="L456" i="1" s="1"/>
  <c r="K387" i="1"/>
  <c r="L387" i="1" s="1"/>
  <c r="K385" i="1"/>
  <c r="L385" i="1" s="1"/>
  <c r="K380" i="1"/>
  <c r="L380" i="1" s="1"/>
  <c r="K377" i="1"/>
  <c r="L377" i="1" s="1"/>
  <c r="K373" i="1"/>
  <c r="L373" i="1" s="1"/>
  <c r="K464" i="1"/>
  <c r="L464" i="1" s="1"/>
  <c r="K454" i="1"/>
  <c r="L454" i="1" s="1"/>
  <c r="K446" i="1"/>
  <c r="L446" i="1" s="1"/>
  <c r="K444" i="1"/>
  <c r="L444" i="1" s="1"/>
  <c r="K441" i="1"/>
  <c r="L441" i="1" s="1"/>
  <c r="K437" i="1"/>
  <c r="L437" i="1" s="1"/>
  <c r="K434" i="1"/>
  <c r="L434" i="1" s="1"/>
  <c r="K432" i="1"/>
  <c r="L432" i="1" s="1"/>
  <c r="K424" i="1"/>
  <c r="L424" i="1" s="1"/>
  <c r="K418" i="1"/>
  <c r="L418" i="1" s="1"/>
  <c r="K415" i="1"/>
  <c r="L415" i="1" s="1"/>
  <c r="K411" i="1"/>
  <c r="L411" i="1" s="1"/>
  <c r="K504" i="1"/>
  <c r="L504" i="1" s="1"/>
  <c r="K405" i="1"/>
  <c r="L405" i="1" s="1"/>
  <c r="K401" i="1"/>
  <c r="L401" i="1" s="1"/>
  <c r="K399" i="1"/>
  <c r="L399" i="1" s="1"/>
  <c r="K394" i="1"/>
  <c r="L394" i="1" s="1"/>
  <c r="K391" i="1"/>
  <c r="L391" i="1" s="1"/>
  <c r="K430" i="1"/>
  <c r="L430" i="1" s="1"/>
  <c r="K383" i="1"/>
  <c r="L383" i="1" s="1"/>
  <c r="K412" i="1"/>
  <c r="L412" i="1" s="1"/>
  <c r="K375" i="1"/>
  <c r="L375" i="1" s="1"/>
  <c r="K372" i="1"/>
  <c r="L372" i="1" s="1"/>
  <c r="K354" i="1"/>
  <c r="L354" i="1" s="1"/>
  <c r="K455" i="1"/>
  <c r="L455" i="1" s="1"/>
  <c r="K451" i="1"/>
  <c r="L451" i="1" s="1"/>
  <c r="K447" i="1"/>
  <c r="L447" i="1" s="1"/>
  <c r="K445" i="1"/>
  <c r="L445" i="1" s="1"/>
  <c r="K443" i="1"/>
  <c r="L443" i="1" s="1"/>
  <c r="K440" i="1"/>
  <c r="L440" i="1" s="1"/>
  <c r="K436" i="1"/>
  <c r="L436" i="1" s="1"/>
  <c r="K433" i="1"/>
  <c r="L433" i="1" s="1"/>
  <c r="K431" i="1"/>
  <c r="L431" i="1" s="1"/>
  <c r="K421" i="1"/>
  <c r="L421" i="1" s="1"/>
  <c r="K417" i="1"/>
  <c r="L417" i="1" s="1"/>
  <c r="K414" i="1"/>
  <c r="L414" i="1" s="1"/>
  <c r="K409" i="1"/>
  <c r="L409" i="1" s="1"/>
  <c r="K503" i="1"/>
  <c r="L503" i="1" s="1"/>
  <c r="K404" i="1"/>
  <c r="L404" i="1" s="1"/>
  <c r="K478" i="1"/>
  <c r="L478" i="1" s="1"/>
  <c r="K397" i="1"/>
  <c r="L397" i="1" s="1"/>
  <c r="K393" i="1"/>
  <c r="L393" i="1" s="1"/>
  <c r="K388" i="1"/>
  <c r="L388" i="1" s="1"/>
  <c r="K386" i="1"/>
  <c r="L386" i="1" s="1"/>
  <c r="K381" i="1"/>
  <c r="L381" i="1" s="1"/>
  <c r="K378" i="1"/>
  <c r="L378" i="1" s="1"/>
  <c r="K374" i="1"/>
  <c r="L374" i="1" s="1"/>
  <c r="K357" i="1"/>
  <c r="L357" i="1" s="1"/>
  <c r="K3595" i="1"/>
  <c r="L3595" i="1" s="1"/>
  <c r="K3590" i="1"/>
  <c r="L3590" i="1" s="1"/>
  <c r="K3586" i="1"/>
  <c r="L3586" i="1" s="1"/>
  <c r="K3582" i="1"/>
  <c r="L3582" i="1" s="1"/>
  <c r="K3577" i="1"/>
  <c r="L3577" i="1" s="1"/>
  <c r="K3576" i="1"/>
  <c r="L3576" i="1" s="1"/>
  <c r="K3571" i="1"/>
  <c r="L3571" i="1" s="1"/>
  <c r="K3566" i="1"/>
  <c r="L3566" i="1" s="1"/>
  <c r="K3594" i="1"/>
  <c r="L3594" i="1" s="1"/>
  <c r="K3589" i="1"/>
  <c r="L3589" i="1" s="1"/>
  <c r="K3585" i="1"/>
  <c r="L3585" i="1" s="1"/>
  <c r="K3581" i="1"/>
  <c r="L3581" i="1" s="1"/>
  <c r="K3572" i="1"/>
  <c r="L3572" i="1" s="1"/>
  <c r="K3567" i="1"/>
  <c r="L3567" i="1" s="1"/>
  <c r="K3514" i="1"/>
  <c r="L3514" i="1" s="1"/>
  <c r="K3596" i="1"/>
  <c r="L3596" i="1" s="1"/>
  <c r="K3591" i="1"/>
  <c r="L3591" i="1" s="1"/>
  <c r="K3587" i="1"/>
  <c r="L3587" i="1" s="1"/>
  <c r="K3583" i="1"/>
  <c r="L3583" i="1" s="1"/>
  <c r="K3579" i="1"/>
  <c r="L3579" i="1" s="1"/>
  <c r="K3573" i="1"/>
  <c r="L3573" i="1" s="1"/>
  <c r="K3568" i="1"/>
  <c r="L3568" i="1" s="1"/>
  <c r="K3519" i="1"/>
  <c r="L3519" i="1" s="1"/>
  <c r="K3517" i="1"/>
  <c r="L3517" i="1" s="1"/>
  <c r="K3593" i="1"/>
  <c r="L3593" i="1" s="1"/>
  <c r="K3588" i="1"/>
  <c r="L3588" i="1" s="1"/>
  <c r="K3584" i="1"/>
  <c r="L3584" i="1" s="1"/>
  <c r="K3580" i="1"/>
  <c r="L3580" i="1" s="1"/>
  <c r="K3574" i="1"/>
  <c r="L3574" i="1" s="1"/>
  <c r="K3570" i="1"/>
  <c r="L3570" i="1" s="1"/>
  <c r="K3565" i="1"/>
  <c r="L3565" i="1" s="1"/>
  <c r="K49" i="1"/>
  <c r="L49" i="1" s="1"/>
  <c r="K46" i="1"/>
  <c r="L46" i="1" s="1"/>
  <c r="K633" i="1"/>
  <c r="L633" i="1" s="1"/>
  <c r="K353" i="1"/>
  <c r="L353" i="1" s="1"/>
  <c r="K632" i="1"/>
  <c r="L632" i="1" s="1"/>
  <c r="K351" i="1"/>
  <c r="L351" i="1" s="1"/>
  <c r="K346" i="1"/>
  <c r="L346" i="1" s="1"/>
  <c r="K344" i="1"/>
  <c r="L344" i="1" s="1"/>
  <c r="K160" i="1"/>
  <c r="L160" i="1" s="1"/>
  <c r="K43" i="1"/>
  <c r="L43" i="1" s="1"/>
  <c r="K40" i="1"/>
  <c r="L40" i="1" s="1"/>
  <c r="K159" i="1"/>
  <c r="L159" i="1" s="1"/>
  <c r="K336" i="1"/>
  <c r="L336" i="1" s="1"/>
  <c r="K1259" i="1"/>
  <c r="L1259" i="1" s="1"/>
  <c r="K1257" i="1"/>
  <c r="L1257" i="1" s="1"/>
  <c r="K51" i="1"/>
  <c r="L51" i="1" s="1"/>
  <c r="K646" i="1"/>
  <c r="L646" i="1" s="1"/>
  <c r="K169" i="1"/>
  <c r="L169" i="1" s="1"/>
  <c r="K168" i="1"/>
  <c r="L168" i="1" s="1"/>
  <c r="K366" i="1"/>
  <c r="L366" i="1" s="1"/>
  <c r="K644" i="1"/>
  <c r="L644" i="1" s="1"/>
  <c r="K642" i="1"/>
  <c r="L642" i="1" s="1"/>
  <c r="K362" i="1"/>
  <c r="L362" i="1" s="1"/>
  <c r="K640" i="1"/>
  <c r="L640" i="1" s="1"/>
  <c r="K361" i="1"/>
  <c r="L361" i="1" s="1"/>
  <c r="K636" i="1"/>
  <c r="L636" i="1" s="1"/>
  <c r="K4423" i="1"/>
  <c r="L4423" i="1" s="1"/>
  <c r="K4422" i="1"/>
  <c r="L4422" i="1" s="1"/>
  <c r="K165" i="1"/>
  <c r="L165" i="1" s="1"/>
  <c r="K356" i="1"/>
  <c r="L356" i="1" s="1"/>
  <c r="K48" i="1"/>
  <c r="L48" i="1" s="1"/>
  <c r="K45" i="1"/>
  <c r="L45" i="1" s="1"/>
  <c r="K163" i="1"/>
  <c r="L163" i="1" s="1"/>
  <c r="K350" i="1"/>
  <c r="L350" i="1" s="1"/>
  <c r="K629" i="1"/>
  <c r="L629" i="1" s="1"/>
  <c r="K4419" i="1"/>
  <c r="L4419" i="1" s="1"/>
  <c r="K4418" i="1"/>
  <c r="L4418" i="1" s="1"/>
  <c r="K343" i="1"/>
  <c r="L343" i="1" s="1"/>
  <c r="K624" i="1"/>
  <c r="L624" i="1" s="1"/>
  <c r="K44" i="1"/>
  <c r="L44" i="1" s="1"/>
  <c r="K41" i="1"/>
  <c r="L41" i="1" s="1"/>
  <c r="K339" i="1"/>
  <c r="L339" i="1" s="1"/>
  <c r="K621" i="1"/>
  <c r="L621" i="1" s="1"/>
  <c r="K1258" i="1"/>
  <c r="L1258" i="1" s="1"/>
  <c r="K4427" i="1"/>
  <c r="L4427" i="1" s="1"/>
  <c r="K370" i="1"/>
  <c r="L370" i="1" s="1"/>
  <c r="K368" i="1"/>
  <c r="L368" i="1" s="1"/>
  <c r="K645" i="1"/>
  <c r="L645" i="1" s="1"/>
  <c r="K365" i="1"/>
  <c r="L365" i="1" s="1"/>
  <c r="K369" i="1"/>
  <c r="L369" i="1" s="1"/>
  <c r="K4426" i="1"/>
  <c r="L4426" i="1" s="1"/>
  <c r="K4425" i="1"/>
  <c r="L4425" i="1" s="1"/>
  <c r="K637" i="1"/>
  <c r="L637" i="1" s="1"/>
  <c r="K4424" i="1"/>
  <c r="L4424" i="1" s="1"/>
  <c r="K359" i="1"/>
  <c r="L359" i="1" s="1"/>
  <c r="K358" i="1"/>
  <c r="L358" i="1" s="1"/>
  <c r="K166" i="1"/>
  <c r="L166" i="1" s="1"/>
  <c r="K50" i="1"/>
  <c r="L50" i="1" s="1"/>
  <c r="K47" i="1"/>
  <c r="L47" i="1" s="1"/>
  <c r="K4421" i="1"/>
  <c r="L4421" i="1" s="1"/>
  <c r="K631" i="1"/>
  <c r="L631" i="1" s="1"/>
  <c r="K325" i="1"/>
  <c r="L325" i="1" s="1"/>
  <c r="K4420" i="1"/>
  <c r="L4420" i="1" s="1"/>
  <c r="K347" i="1"/>
  <c r="L347" i="1" s="1"/>
  <c r="K626" i="1"/>
  <c r="L626" i="1" s="1"/>
  <c r="K625" i="1"/>
  <c r="L625" i="1" s="1"/>
  <c r="K4416" i="1"/>
  <c r="L4416" i="1" s="1"/>
  <c r="K162" i="1"/>
  <c r="L162" i="1" s="1"/>
  <c r="K342" i="1"/>
  <c r="L342" i="1" s="1"/>
  <c r="K42" i="1"/>
  <c r="L42" i="1" s="1"/>
  <c r="K622" i="1"/>
  <c r="L622" i="1" s="1"/>
  <c r="K338" i="1"/>
  <c r="L338" i="1" s="1"/>
  <c r="K335" i="1"/>
  <c r="L335" i="1" s="1"/>
  <c r="K627" i="1"/>
  <c r="L627" i="1" s="1"/>
  <c r="K4417" i="1"/>
  <c r="L4417" i="1" s="1"/>
  <c r="K161" i="1"/>
  <c r="L161" i="1" s="1"/>
  <c r="K341" i="1"/>
  <c r="L341" i="1" s="1"/>
  <c r="K4415" i="1"/>
  <c r="L4415" i="1" s="1"/>
  <c r="K158" i="1"/>
  <c r="L158" i="1" s="1"/>
  <c r="K3563" i="1"/>
  <c r="L3563" i="1" s="1"/>
  <c r="K3561" i="1"/>
  <c r="L3561" i="1" s="1"/>
  <c r="K3556" i="1"/>
  <c r="L3556" i="1" s="1"/>
  <c r="K3554" i="1"/>
  <c r="L3554" i="1" s="1"/>
  <c r="K3552" i="1"/>
  <c r="L3552" i="1" s="1"/>
  <c r="K3550" i="1"/>
  <c r="L3550" i="1" s="1"/>
  <c r="K3547" i="1"/>
  <c r="L3547" i="1" s="1"/>
  <c r="K3545" i="1"/>
  <c r="L3545" i="1" s="1"/>
  <c r="K3543" i="1"/>
  <c r="L3543" i="1" s="1"/>
  <c r="K3541" i="1"/>
  <c r="L3541" i="1" s="1"/>
  <c r="K3539" i="1"/>
  <c r="L3539" i="1" s="1"/>
  <c r="K3537" i="1"/>
  <c r="L3537" i="1" s="1"/>
  <c r="K3535" i="1"/>
  <c r="L3535" i="1" s="1"/>
  <c r="K3533" i="1"/>
  <c r="L3533" i="1" s="1"/>
  <c r="K3530" i="1"/>
  <c r="L3530" i="1" s="1"/>
  <c r="K3528" i="1"/>
  <c r="L3528" i="1" s="1"/>
  <c r="K3526" i="1"/>
  <c r="L3526" i="1" s="1"/>
  <c r="K3522" i="1"/>
  <c r="L3522" i="1" s="1"/>
  <c r="K4477" i="1"/>
  <c r="L4477" i="1" s="1"/>
  <c r="K3512" i="1"/>
  <c r="L3512" i="1" s="1"/>
  <c r="K3510" i="1"/>
  <c r="L3510" i="1" s="1"/>
  <c r="K3508" i="1"/>
  <c r="L3508" i="1" s="1"/>
  <c r="K3506" i="1"/>
  <c r="L3506" i="1" s="1"/>
  <c r="K3503" i="1"/>
  <c r="L3503" i="1" s="1"/>
  <c r="K3501" i="1"/>
  <c r="L3501" i="1" s="1"/>
  <c r="K3499" i="1"/>
  <c r="L3499" i="1" s="1"/>
  <c r="K3497" i="1"/>
  <c r="L3497" i="1" s="1"/>
  <c r="K3495" i="1"/>
  <c r="L3495" i="1" s="1"/>
  <c r="K3493" i="1"/>
  <c r="L3493" i="1" s="1"/>
  <c r="K3491" i="1"/>
  <c r="L3491" i="1" s="1"/>
  <c r="K3489" i="1"/>
  <c r="L3489" i="1" s="1"/>
  <c r="K3485" i="1"/>
  <c r="L3485" i="1" s="1"/>
  <c r="K3483" i="1"/>
  <c r="L3483" i="1" s="1"/>
  <c r="K3479" i="1"/>
  <c r="L3479" i="1" s="1"/>
  <c r="K3477" i="1"/>
  <c r="L3477" i="1" s="1"/>
  <c r="K3473" i="1"/>
  <c r="L3473" i="1" s="1"/>
  <c r="K3470" i="1"/>
  <c r="L3470" i="1" s="1"/>
  <c r="K3466" i="1"/>
  <c r="L3466" i="1" s="1"/>
  <c r="K3464" i="1"/>
  <c r="L3464" i="1" s="1"/>
  <c r="K2509" i="1"/>
  <c r="L2509" i="1" s="1"/>
  <c r="K2506" i="1"/>
  <c r="L2506" i="1" s="1"/>
  <c r="K2502" i="1"/>
  <c r="L2502" i="1" s="1"/>
  <c r="K2497" i="1"/>
  <c r="L2497" i="1" s="1"/>
  <c r="K2494" i="1"/>
  <c r="L2494" i="1" s="1"/>
  <c r="K2490" i="1"/>
  <c r="L2490" i="1" s="1"/>
  <c r="K2487" i="1"/>
  <c r="L2487" i="1" s="1"/>
  <c r="K2479" i="1"/>
  <c r="L2479" i="1" s="1"/>
  <c r="K2476" i="1"/>
  <c r="L2476" i="1" s="1"/>
  <c r="K2470" i="1"/>
  <c r="L2470" i="1" s="1"/>
  <c r="K2465" i="1"/>
  <c r="L2465" i="1" s="1"/>
  <c r="K2462" i="1"/>
  <c r="L2462" i="1" s="1"/>
  <c r="K2458" i="1"/>
  <c r="L2458" i="1" s="1"/>
  <c r="K2453" i="1"/>
  <c r="L2453" i="1" s="1"/>
  <c r="K2450" i="1"/>
  <c r="L2450" i="1" s="1"/>
  <c r="K2446" i="1"/>
  <c r="L2446" i="1" s="1"/>
  <c r="K2437" i="1"/>
  <c r="L2437" i="1" s="1"/>
  <c r="K2434" i="1"/>
  <c r="L2434" i="1" s="1"/>
  <c r="K2422" i="1"/>
  <c r="L2422" i="1" s="1"/>
  <c r="K1394" i="1"/>
  <c r="L1394" i="1" s="1"/>
  <c r="K1389" i="1"/>
  <c r="L1389" i="1" s="1"/>
  <c r="K1380" i="1"/>
  <c r="L1380" i="1" s="1"/>
  <c r="K1376" i="1"/>
  <c r="L1376" i="1" s="1"/>
  <c r="K1370" i="1"/>
  <c r="L1370" i="1" s="1"/>
  <c r="K1364" i="1"/>
  <c r="L1364" i="1" s="1"/>
  <c r="K1358" i="1"/>
  <c r="L1358" i="1" s="1"/>
  <c r="K1352" i="1"/>
  <c r="L1352" i="1" s="1"/>
  <c r="K1344" i="1"/>
  <c r="L1344" i="1" s="1"/>
  <c r="K1329" i="1"/>
  <c r="L1329" i="1" s="1"/>
  <c r="K1323" i="1"/>
  <c r="L1323" i="1" s="1"/>
  <c r="K1319" i="1"/>
  <c r="L1319" i="1" s="1"/>
  <c r="K1312" i="1"/>
  <c r="L1312" i="1" s="1"/>
  <c r="K1307" i="1"/>
  <c r="L1307" i="1" s="1"/>
  <c r="K1302" i="1"/>
  <c r="L1302" i="1" s="1"/>
  <c r="K1292" i="1"/>
  <c r="L1292" i="1" s="1"/>
  <c r="K1291" i="1"/>
  <c r="L1291" i="1" s="1"/>
  <c r="K2507" i="1"/>
  <c r="L2507" i="1" s="1"/>
  <c r="K2504" i="1"/>
  <c r="L2504" i="1" s="1"/>
  <c r="K2499" i="1"/>
  <c r="L2499" i="1" s="1"/>
  <c r="K2495" i="1"/>
  <c r="L2495" i="1" s="1"/>
  <c r="K2491" i="1"/>
  <c r="L2491" i="1" s="1"/>
  <c r="K2488" i="1"/>
  <c r="L2488" i="1" s="1"/>
  <c r="K2480" i="1"/>
  <c r="L2480" i="1" s="1"/>
  <c r="K2477" i="1"/>
  <c r="L2477" i="1" s="1"/>
  <c r="K2473" i="1"/>
  <c r="L2473" i="1" s="1"/>
  <c r="K2466" i="1"/>
  <c r="L2466" i="1" s="1"/>
  <c r="K2463" i="1"/>
  <c r="L2463" i="1" s="1"/>
  <c r="K2460" i="1"/>
  <c r="L2460" i="1" s="1"/>
  <c r="K2455" i="1"/>
  <c r="L2455" i="1" s="1"/>
  <c r="K2451" i="1"/>
  <c r="L2451" i="1" s="1"/>
  <c r="K2447" i="1"/>
  <c r="L2447" i="1" s="1"/>
  <c r="K2444" i="1"/>
  <c r="L2444" i="1" s="1"/>
  <c r="K2435" i="1"/>
  <c r="L2435" i="1" s="1"/>
  <c r="K1395" i="1"/>
  <c r="L1395" i="1" s="1"/>
  <c r="K1390" i="1"/>
  <c r="L1390" i="1" s="1"/>
  <c r="K1381" i="1"/>
  <c r="L1381" i="1" s="1"/>
  <c r="K1377" i="1"/>
  <c r="L1377" i="1" s="1"/>
  <c r="K1371" i="1"/>
  <c r="L1371" i="1" s="1"/>
  <c r="K1365" i="1"/>
  <c r="L1365" i="1" s="1"/>
  <c r="K1361" i="1"/>
  <c r="L1361" i="1" s="1"/>
  <c r="K1353" i="1"/>
  <c r="L1353" i="1" s="1"/>
  <c r="K1349" i="1"/>
  <c r="L1349" i="1" s="1"/>
  <c r="K1347" i="1"/>
  <c r="L1347" i="1" s="1"/>
  <c r="K1339" i="1"/>
  <c r="L1339" i="1" s="1"/>
  <c r="K1334" i="1"/>
  <c r="L1334" i="1" s="1"/>
  <c r="K1333" i="1"/>
  <c r="L1333" i="1" s="1"/>
  <c r="K1327" i="1"/>
  <c r="L1327" i="1" s="1"/>
  <c r="K1322" i="1"/>
  <c r="L1322" i="1" s="1"/>
  <c r="K1318" i="1"/>
  <c r="L1318" i="1" s="1"/>
  <c r="K1311" i="1"/>
  <c r="L1311" i="1" s="1"/>
  <c r="K1306" i="1"/>
  <c r="L1306" i="1" s="1"/>
  <c r="K1301" i="1"/>
  <c r="L1301" i="1" s="1"/>
  <c r="K1391" i="1"/>
  <c r="L1391" i="1" s="1"/>
  <c r="K1383" i="1"/>
  <c r="L1383" i="1" s="1"/>
  <c r="K1378" i="1"/>
  <c r="L1378" i="1" s="1"/>
  <c r="K1373" i="1"/>
  <c r="L1373" i="1" s="1"/>
  <c r="K1366" i="1"/>
  <c r="L1366" i="1" s="1"/>
  <c r="K1362" i="1"/>
  <c r="L1362" i="1" s="1"/>
  <c r="K1355" i="1"/>
  <c r="L1355" i="1" s="1"/>
  <c r="K1350" i="1"/>
  <c r="L1350" i="1" s="1"/>
  <c r="K1345" i="1"/>
  <c r="L1345" i="1" s="1"/>
  <c r="K1335" i="1"/>
  <c r="L1335" i="1" s="1"/>
  <c r="K1330" i="1"/>
  <c r="L1330" i="1" s="1"/>
  <c r="K1324" i="1"/>
  <c r="L1324" i="1" s="1"/>
  <c r="K1320" i="1"/>
  <c r="L1320" i="1" s="1"/>
  <c r="K1314" i="1"/>
  <c r="L1314" i="1" s="1"/>
  <c r="K1308" i="1"/>
  <c r="L1308" i="1" s="1"/>
  <c r="K1303" i="1"/>
  <c r="L1303" i="1" s="1"/>
  <c r="K1293" i="1"/>
  <c r="L1293" i="1" s="1"/>
  <c r="K1289" i="1"/>
  <c r="L1289" i="1" s="1"/>
  <c r="K4478" i="1"/>
  <c r="L4478" i="1" s="1"/>
  <c r="K3562" i="1"/>
  <c r="L3562" i="1" s="1"/>
  <c r="K3558" i="1"/>
  <c r="L3558" i="1" s="1"/>
  <c r="K3555" i="1"/>
  <c r="L3555" i="1" s="1"/>
  <c r="K3553" i="1"/>
  <c r="L3553" i="1" s="1"/>
  <c r="K3551" i="1"/>
  <c r="L3551" i="1" s="1"/>
  <c r="K3549" i="1"/>
  <c r="L3549" i="1" s="1"/>
  <c r="K3546" i="1"/>
  <c r="L3546" i="1" s="1"/>
  <c r="K3544" i="1"/>
  <c r="L3544" i="1" s="1"/>
  <c r="K3542" i="1"/>
  <c r="L3542" i="1" s="1"/>
  <c r="K3540" i="1"/>
  <c r="L3540" i="1" s="1"/>
  <c r="K3538" i="1"/>
  <c r="L3538" i="1" s="1"/>
  <c r="K3536" i="1"/>
  <c r="L3536" i="1" s="1"/>
  <c r="K3534" i="1"/>
  <c r="L3534" i="1" s="1"/>
  <c r="K3532" i="1"/>
  <c r="L3532" i="1" s="1"/>
  <c r="K3529" i="1"/>
  <c r="L3529" i="1" s="1"/>
  <c r="K3527" i="1"/>
  <c r="L3527" i="1" s="1"/>
  <c r="K3524" i="1"/>
  <c r="L3524" i="1" s="1"/>
  <c r="K3521" i="1"/>
  <c r="L3521" i="1" s="1"/>
  <c r="K3516" i="1"/>
  <c r="L3516" i="1" s="1"/>
  <c r="K3511" i="1"/>
  <c r="L3511" i="1" s="1"/>
  <c r="K3509" i="1"/>
  <c r="L3509" i="1" s="1"/>
  <c r="K3507" i="1"/>
  <c r="L3507" i="1" s="1"/>
  <c r="K3505" i="1"/>
  <c r="L3505" i="1" s="1"/>
  <c r="K3502" i="1"/>
  <c r="L3502" i="1" s="1"/>
  <c r="K3500" i="1"/>
  <c r="L3500" i="1" s="1"/>
  <c r="K3498" i="1"/>
  <c r="L3498" i="1" s="1"/>
  <c r="K3496" i="1"/>
  <c r="L3496" i="1" s="1"/>
  <c r="K3494" i="1"/>
  <c r="L3494" i="1" s="1"/>
  <c r="K3492" i="1"/>
  <c r="L3492" i="1" s="1"/>
  <c r="K3490" i="1"/>
  <c r="L3490" i="1" s="1"/>
  <c r="K3486" i="1"/>
  <c r="L3486" i="1" s="1"/>
  <c r="K3484" i="1"/>
  <c r="L3484" i="1" s="1"/>
  <c r="K3482" i="1"/>
  <c r="L3482" i="1" s="1"/>
  <c r="K3478" i="1"/>
  <c r="L3478" i="1" s="1"/>
  <c r="K4476" i="1"/>
  <c r="L4476" i="1" s="1"/>
  <c r="K3472" i="1"/>
  <c r="L3472" i="1" s="1"/>
  <c r="K3467" i="1"/>
  <c r="L3467" i="1" s="1"/>
  <c r="K3465" i="1"/>
  <c r="L3465" i="1" s="1"/>
  <c r="K2508" i="1"/>
  <c r="L2508" i="1" s="1"/>
  <c r="K2505" i="1"/>
  <c r="L2505" i="1" s="1"/>
  <c r="K2500" i="1"/>
  <c r="L2500" i="1" s="1"/>
  <c r="K2496" i="1"/>
  <c r="L2496" i="1" s="1"/>
  <c r="K2493" i="1"/>
  <c r="L2493" i="1" s="1"/>
  <c r="K2489" i="1"/>
  <c r="L2489" i="1" s="1"/>
  <c r="K2481" i="1"/>
  <c r="L2481" i="1" s="1"/>
  <c r="K2478" i="1"/>
  <c r="L2478" i="1" s="1"/>
  <c r="K2474" i="1"/>
  <c r="L2474" i="1" s="1"/>
  <c r="K2467" i="1"/>
  <c r="L2467" i="1" s="1"/>
  <c r="K2464" i="1"/>
  <c r="L2464" i="1" s="1"/>
  <c r="K2461" i="1"/>
  <c r="L2461" i="1" s="1"/>
  <c r="K2456" i="1"/>
  <c r="L2456" i="1" s="1"/>
  <c r="K2452" i="1"/>
  <c r="L2452" i="1" s="1"/>
  <c r="K2449" i="1"/>
  <c r="L2449" i="1" s="1"/>
  <c r="K2445" i="1"/>
  <c r="L2445" i="1" s="1"/>
  <c r="K2436" i="1"/>
  <c r="L2436" i="1" s="1"/>
  <c r="K1393" i="1"/>
  <c r="L1393" i="1" s="1"/>
  <c r="K1388" i="1"/>
  <c r="L1388" i="1" s="1"/>
  <c r="K1379" i="1"/>
  <c r="L1379" i="1" s="1"/>
  <c r="K1374" i="1"/>
  <c r="L1374" i="1" s="1"/>
  <c r="K1367" i="1"/>
  <c r="L1367" i="1" s="1"/>
  <c r="K1363" i="1"/>
  <c r="L1363" i="1" s="1"/>
  <c r="K1356" i="1"/>
  <c r="L1356" i="1" s="1"/>
  <c r="K1351" i="1"/>
  <c r="L1351" i="1" s="1"/>
  <c r="K1346" i="1"/>
  <c r="L1346" i="1" s="1"/>
  <c r="K1336" i="1"/>
  <c r="L1336" i="1" s="1"/>
  <c r="K1332" i="1"/>
  <c r="L1332" i="1" s="1"/>
  <c r="K1326" i="1"/>
  <c r="L1326" i="1" s="1"/>
  <c r="K1321" i="1"/>
  <c r="L1321" i="1" s="1"/>
  <c r="K1317" i="1"/>
  <c r="L1317" i="1" s="1"/>
  <c r="K1309" i="1"/>
  <c r="L1309" i="1" s="1"/>
  <c r="K1305" i="1"/>
  <c r="L1305" i="1" s="1"/>
  <c r="K1295" i="1"/>
  <c r="L1295" i="1" s="1"/>
  <c r="K1290" i="1"/>
  <c r="L1290" i="1" s="1"/>
  <c r="K2433" i="1"/>
  <c r="L2433" i="1" s="1"/>
  <c r="K2430" i="1"/>
  <c r="L2430" i="1" s="1"/>
  <c r="K2427" i="1"/>
  <c r="L2427" i="1" s="1"/>
  <c r="K2424" i="1"/>
  <c r="L2424" i="1" s="1"/>
  <c r="K2421" i="1"/>
  <c r="L2421" i="1" s="1"/>
  <c r="K2419" i="1"/>
  <c r="L2419" i="1" s="1"/>
  <c r="K2432" i="1"/>
  <c r="L2432" i="1" s="1"/>
  <c r="K2429" i="1"/>
  <c r="L2429" i="1" s="1"/>
  <c r="K2426" i="1"/>
  <c r="L2426" i="1" s="1"/>
  <c r="K2423" i="1"/>
  <c r="L2423" i="1" s="1"/>
  <c r="K2420" i="1"/>
  <c r="L2420" i="1" s="1"/>
  <c r="K2418" i="1"/>
  <c r="L2418" i="1" s="1"/>
  <c r="K2417" i="1"/>
  <c r="L2417" i="1" s="1"/>
  <c r="K2414" i="1"/>
  <c r="L2414" i="1" s="1"/>
  <c r="K2409" i="1"/>
  <c r="L2409" i="1" s="1"/>
  <c r="K2407" i="1"/>
  <c r="L2407" i="1" s="1"/>
  <c r="K2405" i="1"/>
  <c r="L2405" i="1" s="1"/>
  <c r="K2402" i="1"/>
  <c r="L2402" i="1" s="1"/>
  <c r="K2400" i="1"/>
  <c r="L2400" i="1" s="1"/>
  <c r="K2391" i="1"/>
  <c r="L2391" i="1" s="1"/>
  <c r="K2389" i="1"/>
  <c r="L2389" i="1" s="1"/>
  <c r="K2416" i="1"/>
  <c r="L2416" i="1" s="1"/>
  <c r="K2411" i="1"/>
  <c r="L2411" i="1" s="1"/>
  <c r="K2408" i="1"/>
  <c r="L2408" i="1" s="1"/>
  <c r="K2406" i="1"/>
  <c r="L2406" i="1" s="1"/>
  <c r="K2403" i="1"/>
  <c r="L2403" i="1" s="1"/>
  <c r="K2401" i="1"/>
  <c r="L2401" i="1" s="1"/>
  <c r="K2392" i="1"/>
  <c r="L2392" i="1" s="1"/>
  <c r="K2390" i="1"/>
  <c r="L2390" i="1" s="1"/>
  <c r="K2386" i="1"/>
  <c r="L2386" i="1" s="1"/>
  <c r="K620" i="1"/>
  <c r="L620" i="1" s="1"/>
  <c r="K39" i="1"/>
  <c r="L39" i="1" s="1"/>
  <c r="K4414" i="1"/>
  <c r="L4414" i="1" s="1"/>
  <c r="K4413" i="1"/>
  <c r="L4413" i="1" s="1"/>
  <c r="K615" i="1"/>
  <c r="L615" i="1" s="1"/>
  <c r="K4412" i="1"/>
  <c r="L4412" i="1" s="1"/>
  <c r="K329" i="1"/>
  <c r="L329" i="1" s="1"/>
  <c r="K328" i="1"/>
  <c r="L328" i="1" s="1"/>
  <c r="K157" i="1"/>
  <c r="L157" i="1" s="1"/>
  <c r="K613" i="1"/>
  <c r="L613" i="1" s="1"/>
  <c r="K327" i="1"/>
  <c r="L327" i="1" s="1"/>
  <c r="K4409" i="1"/>
  <c r="L4409" i="1" s="1"/>
  <c r="K323" i="1"/>
  <c r="L323" i="1" s="1"/>
  <c r="K322" i="1"/>
  <c r="L322" i="1" s="1"/>
  <c r="K610" i="1"/>
  <c r="L610" i="1" s="1"/>
  <c r="K319" i="1"/>
  <c r="L319" i="1" s="1"/>
  <c r="K243" i="1"/>
  <c r="L243" i="1" s="1"/>
  <c r="K37" i="1"/>
  <c r="L37" i="1" s="1"/>
  <c r="K607" i="1"/>
  <c r="L607" i="1" s="1"/>
  <c r="K34" i="1"/>
  <c r="L34" i="1" s="1"/>
  <c r="K4408" i="1"/>
  <c r="L4408" i="1" s="1"/>
  <c r="K4407" i="1"/>
  <c r="L4407" i="1" s="1"/>
  <c r="K604" i="1"/>
  <c r="L604" i="1" s="1"/>
  <c r="K4406" i="1"/>
  <c r="L4406" i="1" s="1"/>
  <c r="K313" i="1"/>
  <c r="L313" i="1" s="1"/>
  <c r="K4404" i="1"/>
  <c r="L4404" i="1" s="1"/>
  <c r="K150" i="1"/>
  <c r="L150" i="1" s="1"/>
  <c r="K149" i="1"/>
  <c r="L149" i="1" s="1"/>
  <c r="K310" i="1"/>
  <c r="L310" i="1" s="1"/>
  <c r="K282" i="1"/>
  <c r="L282" i="1" s="1"/>
  <c r="K618" i="1"/>
  <c r="L618" i="1" s="1"/>
  <c r="K332" i="1"/>
  <c r="L332" i="1" s="1"/>
  <c r="K616" i="1"/>
  <c r="L616" i="1" s="1"/>
  <c r="K331" i="1"/>
  <c r="L331" i="1" s="1"/>
  <c r="K614" i="1"/>
  <c r="L614" i="1" s="1"/>
  <c r="K4411" i="1"/>
  <c r="L4411" i="1" s="1"/>
  <c r="K4410" i="1"/>
  <c r="L4410" i="1" s="1"/>
  <c r="K156" i="1"/>
  <c r="L156" i="1" s="1"/>
  <c r="K155" i="1"/>
  <c r="L155" i="1" s="1"/>
  <c r="K326" i="1"/>
  <c r="L326" i="1" s="1"/>
  <c r="K611" i="1"/>
  <c r="L611" i="1" s="1"/>
  <c r="K153" i="1"/>
  <c r="L153" i="1" s="1"/>
  <c r="K152" i="1"/>
  <c r="L152" i="1" s="1"/>
  <c r="K320" i="1"/>
  <c r="L320" i="1" s="1"/>
  <c r="K609" i="1"/>
  <c r="L609" i="1" s="1"/>
  <c r="K38" i="1"/>
  <c r="L38" i="1" s="1"/>
  <c r="K36" i="1"/>
  <c r="L36" i="1" s="1"/>
  <c r="K35" i="1"/>
  <c r="L35" i="1" s="1"/>
  <c r="K33" i="1"/>
  <c r="L33" i="1" s="1"/>
  <c r="K316" i="1"/>
  <c r="L316" i="1" s="1"/>
  <c r="K605" i="1"/>
  <c r="L605" i="1" s="1"/>
  <c r="K603" i="1"/>
  <c r="L603" i="1" s="1"/>
  <c r="K312" i="1"/>
  <c r="L312" i="1" s="1"/>
  <c r="K151" i="1"/>
  <c r="L151" i="1" s="1"/>
  <c r="K602" i="1"/>
  <c r="L602" i="1" s="1"/>
  <c r="K311" i="1"/>
  <c r="L311" i="1" s="1"/>
  <c r="K4403" i="1"/>
  <c r="L4403" i="1" s="1"/>
  <c r="K3454" i="1"/>
  <c r="L3454" i="1" s="1"/>
  <c r="K3447" i="1"/>
  <c r="L3447" i="1" s="1"/>
  <c r="K3420" i="1"/>
  <c r="L3420" i="1" s="1"/>
  <c r="K3462" i="1"/>
  <c r="L3462" i="1" s="1"/>
  <c r="K3458" i="1"/>
  <c r="L3458" i="1" s="1"/>
  <c r="K3455" i="1"/>
  <c r="L3455" i="1" s="1"/>
  <c r="K3449" i="1"/>
  <c r="L3449" i="1" s="1"/>
  <c r="K3463" i="1"/>
  <c r="L3463" i="1" s="1"/>
  <c r="K3461" i="1"/>
  <c r="L3461" i="1" s="1"/>
  <c r="K3457" i="1"/>
  <c r="L3457" i="1" s="1"/>
  <c r="K3453" i="1"/>
  <c r="L3453" i="1" s="1"/>
  <c r="K3446" i="1"/>
  <c r="L3446" i="1" s="1"/>
  <c r="K1268" i="1"/>
  <c r="L1268" i="1" s="1"/>
  <c r="K3459" i="1"/>
  <c r="L3459" i="1" s="1"/>
  <c r="K3456" i="1"/>
  <c r="L3456" i="1" s="1"/>
  <c r="K3452" i="1"/>
  <c r="L3452" i="1" s="1"/>
  <c r="K285" i="1"/>
  <c r="L285" i="1" s="1"/>
  <c r="K4393" i="1"/>
  <c r="L4393" i="1" s="1"/>
  <c r="K140" i="1"/>
  <c r="L140" i="1" s="1"/>
  <c r="K4391" i="1"/>
  <c r="L4391" i="1" s="1"/>
  <c r="K498" i="1"/>
  <c r="L498" i="1" s="1"/>
  <c r="K278" i="1"/>
  <c r="L278" i="1" s="1"/>
  <c r="K4390" i="1"/>
  <c r="L4390" i="1" s="1"/>
  <c r="K18" i="1"/>
  <c r="L18" i="1" s="1"/>
  <c r="K14" i="1"/>
  <c r="L14" i="1" s="1"/>
  <c r="K4388" i="1"/>
  <c r="L4388" i="1" s="1"/>
  <c r="K534" i="1"/>
  <c r="L534" i="1" s="1"/>
  <c r="K567" i="1"/>
  <c r="L567" i="1" s="1"/>
  <c r="K4385" i="1"/>
  <c r="L4385" i="1" s="1"/>
  <c r="K497" i="1"/>
  <c r="L497" i="1" s="1"/>
  <c r="K277" i="1"/>
  <c r="L277" i="1" s="1"/>
  <c r="K4384" i="1"/>
  <c r="L4384" i="1" s="1"/>
  <c r="K12" i="1"/>
  <c r="L12" i="1" s="1"/>
  <c r="K9" i="1"/>
  <c r="L9" i="1" s="1"/>
  <c r="K557" i="1"/>
  <c r="L557" i="1" s="1"/>
  <c r="K4380" i="1"/>
  <c r="L4380" i="1" s="1"/>
  <c r="K556" i="1"/>
  <c r="L556" i="1" s="1"/>
  <c r="K519" i="1"/>
  <c r="L519" i="1" s="1"/>
  <c r="K505" i="1"/>
  <c r="L505" i="1" s="1"/>
  <c r="K553" i="1"/>
  <c r="L553" i="1" s="1"/>
  <c r="K19" i="1"/>
  <c r="L19" i="1" s="1"/>
  <c r="K4378" i="1"/>
  <c r="L4378" i="1" s="1"/>
  <c r="K3" i="1"/>
  <c r="L3" i="1" s="1"/>
  <c r="K546" i="1"/>
  <c r="L546" i="1" s="1"/>
  <c r="K4400" i="1"/>
  <c r="L4400" i="1" s="1"/>
  <c r="K4399" i="1"/>
  <c r="L4399" i="1" s="1"/>
  <c r="K146" i="1"/>
  <c r="L146" i="1" s="1"/>
  <c r="K296" i="1"/>
  <c r="L296" i="1" s="1"/>
  <c r="K587" i="1"/>
  <c r="L587" i="1" s="1"/>
  <c r="K292" i="1"/>
  <c r="L292" i="1" s="1"/>
  <c r="K290" i="1"/>
  <c r="L290" i="1" s="1"/>
  <c r="K154" i="1"/>
  <c r="L154" i="1" s="1"/>
  <c r="K25" i="1"/>
  <c r="L25" i="1" s="1"/>
  <c r="K4395" i="1"/>
  <c r="L4395" i="1" s="1"/>
  <c r="K22" i="1"/>
  <c r="L22" i="1" s="1"/>
  <c r="K580" i="1"/>
  <c r="L580" i="1" s="1"/>
  <c r="K542" i="1"/>
  <c r="L542" i="1" s="1"/>
  <c r="K141" i="1"/>
  <c r="L141" i="1" s="1"/>
  <c r="K521" i="1"/>
  <c r="L521" i="1" s="1"/>
  <c r="K138" i="1"/>
  <c r="L138" i="1" s="1"/>
  <c r="K484" i="1"/>
  <c r="L484" i="1" s="1"/>
  <c r="K572" i="1"/>
  <c r="L572" i="1" s="1"/>
  <c r="K20" i="1"/>
  <c r="L20" i="1" s="1"/>
  <c r="K15" i="1"/>
  <c r="L15" i="1" s="1"/>
  <c r="K250" i="1"/>
  <c r="L250" i="1" s="1"/>
  <c r="K4387" i="1"/>
  <c r="L4387" i="1" s="1"/>
  <c r="K135" i="1"/>
  <c r="L135" i="1" s="1"/>
  <c r="K520" i="1"/>
  <c r="L520" i="1" s="1"/>
  <c r="K133" i="1"/>
  <c r="L133" i="1" s="1"/>
  <c r="K483" i="1"/>
  <c r="L483" i="1" s="1"/>
  <c r="K561" i="1"/>
  <c r="L561" i="1" s="1"/>
  <c r="K13" i="1"/>
  <c r="L13" i="1" s="1"/>
  <c r="K10" i="1"/>
  <c r="L10" i="1" s="1"/>
  <c r="K4382" i="1"/>
  <c r="L4382" i="1" s="1"/>
  <c r="K533" i="1"/>
  <c r="L533" i="1" s="1"/>
  <c r="K130" i="1"/>
  <c r="L130" i="1" s="1"/>
  <c r="K526" i="1"/>
  <c r="L526" i="1" s="1"/>
  <c r="K554" i="1"/>
  <c r="L554" i="1" s="1"/>
  <c r="K127" i="1"/>
  <c r="L127" i="1" s="1"/>
  <c r="K552" i="1"/>
  <c r="L552" i="1" s="1"/>
  <c r="K4" i="1"/>
  <c r="L4" i="1" s="1"/>
  <c r="K248" i="1"/>
  <c r="L248" i="1" s="1"/>
  <c r="K4376" i="1"/>
  <c r="L4376" i="1" s="1"/>
  <c r="K315" i="1"/>
  <c r="L315" i="1" s="1"/>
  <c r="K600" i="1"/>
  <c r="L600" i="1" s="1"/>
  <c r="K148" i="1"/>
  <c r="L148" i="1" s="1"/>
  <c r="K147" i="1"/>
  <c r="L147" i="1" s="1"/>
  <c r="K305" i="1"/>
  <c r="L305" i="1" s="1"/>
  <c r="K598" i="1"/>
  <c r="L598" i="1" s="1"/>
  <c r="K596" i="1"/>
  <c r="L596" i="1" s="1"/>
  <c r="K31" i="1"/>
  <c r="L31" i="1" s="1"/>
  <c r="K192" i="1"/>
  <c r="L192" i="1" s="1"/>
  <c r="K28" i="1"/>
  <c r="L28" i="1" s="1"/>
  <c r="K4402" i="1"/>
  <c r="L4402" i="1" s="1"/>
  <c r="K4401" i="1"/>
  <c r="L4401" i="1" s="1"/>
  <c r="K591" i="1"/>
  <c r="L591" i="1" s="1"/>
  <c r="K590" i="1"/>
  <c r="L590" i="1" s="1"/>
  <c r="K297" i="1"/>
  <c r="L297" i="1" s="1"/>
  <c r="K145" i="1"/>
  <c r="L145" i="1" s="1"/>
  <c r="K295" i="1"/>
  <c r="L295" i="1" s="1"/>
  <c r="K293" i="1"/>
  <c r="L293" i="1" s="1"/>
  <c r="K142" i="1"/>
  <c r="L142" i="1" s="1"/>
  <c r="K289" i="1"/>
  <c r="L289" i="1" s="1"/>
  <c r="K583" i="1"/>
  <c r="L583" i="1" s="1"/>
  <c r="K4396" i="1"/>
  <c r="L4396" i="1" s="1"/>
  <c r="K24" i="1"/>
  <c r="L24" i="1" s="1"/>
  <c r="K21" i="1"/>
  <c r="L21" i="1" s="1"/>
  <c r="K4394" i="1"/>
  <c r="L4394" i="1" s="1"/>
  <c r="K535" i="1"/>
  <c r="L535" i="1" s="1"/>
  <c r="K578" i="1"/>
  <c r="L578" i="1" s="1"/>
  <c r="K576" i="1"/>
  <c r="L576" i="1" s="1"/>
  <c r="K137" i="1"/>
  <c r="L137" i="1" s="1"/>
  <c r="K574" i="1"/>
  <c r="L574" i="1" s="1"/>
  <c r="K257" i="1"/>
  <c r="L257" i="1" s="1"/>
  <c r="K17" i="1"/>
  <c r="L17" i="1" s="1"/>
  <c r="K570" i="1"/>
  <c r="L570" i="1" s="1"/>
  <c r="K568" i="1"/>
  <c r="L568" i="1" s="1"/>
  <c r="K4386" i="1"/>
  <c r="L4386" i="1" s="1"/>
  <c r="K134" i="1"/>
  <c r="L134" i="1" s="1"/>
  <c r="K565" i="1"/>
  <c r="L565" i="1" s="1"/>
  <c r="K132" i="1"/>
  <c r="L132" i="1" s="1"/>
  <c r="K563" i="1"/>
  <c r="L563" i="1" s="1"/>
  <c r="K256" i="1"/>
  <c r="L256" i="1" s="1"/>
  <c r="K559" i="1"/>
  <c r="L559" i="1" s="1"/>
  <c r="K8" i="1"/>
  <c r="L8" i="1" s="1"/>
  <c r="K540" i="1"/>
  <c r="L540" i="1" s="1"/>
  <c r="K7" i="1"/>
  <c r="L7" i="1" s="1"/>
  <c r="K129" i="1"/>
  <c r="L129" i="1" s="1"/>
  <c r="K5" i="1"/>
  <c r="L5" i="1" s="1"/>
  <c r="K128" i="1"/>
  <c r="L128" i="1" s="1"/>
  <c r="K482" i="1"/>
  <c r="L482" i="1" s="1"/>
  <c r="K551" i="1"/>
  <c r="L551" i="1" s="1"/>
  <c r="K255" i="1"/>
  <c r="L255" i="1" s="1"/>
  <c r="K545" i="1"/>
  <c r="L545" i="1" s="1"/>
  <c r="K544" i="1"/>
  <c r="L544" i="1" s="1"/>
  <c r="K308" i="1"/>
  <c r="L308" i="1" s="1"/>
  <c r="K307" i="1"/>
  <c r="L307" i="1" s="1"/>
  <c r="K599" i="1"/>
  <c r="L599" i="1" s="1"/>
  <c r="K304" i="1"/>
  <c r="L304" i="1" s="1"/>
  <c r="K199" i="1"/>
  <c r="L199" i="1" s="1"/>
  <c r="K32" i="1"/>
  <c r="L32" i="1" s="1"/>
  <c r="K30" i="1"/>
  <c r="L30" i="1" s="1"/>
  <c r="K29" i="1"/>
  <c r="L29" i="1" s="1"/>
  <c r="K27" i="1"/>
  <c r="L27" i="1" s="1"/>
  <c r="K301" i="1"/>
  <c r="L301" i="1" s="1"/>
  <c r="K592" i="1"/>
  <c r="L592" i="1" s="1"/>
  <c r="K300" i="1"/>
  <c r="L300" i="1" s="1"/>
  <c r="K298" i="1"/>
  <c r="L298" i="1" s="1"/>
  <c r="K4398" i="1"/>
  <c r="L4398" i="1" s="1"/>
  <c r="K589" i="1"/>
  <c r="L589" i="1" s="1"/>
  <c r="K4397" i="1"/>
  <c r="L4397" i="1" s="1"/>
  <c r="K143" i="1"/>
  <c r="L143" i="1" s="1"/>
  <c r="K586" i="1"/>
  <c r="L586" i="1" s="1"/>
  <c r="K585" i="1"/>
  <c r="L585" i="1" s="1"/>
  <c r="K26" i="1"/>
  <c r="L26" i="1" s="1"/>
  <c r="K286" i="1"/>
  <c r="L286" i="1" s="1"/>
  <c r="K23" i="1"/>
  <c r="L23" i="1" s="1"/>
  <c r="K581" i="1"/>
  <c r="L581" i="1" s="1"/>
  <c r="K579" i="1"/>
  <c r="L579" i="1" s="1"/>
  <c r="K4392" i="1"/>
  <c r="L4392" i="1" s="1"/>
  <c r="K528" i="1"/>
  <c r="L528" i="1" s="1"/>
  <c r="K507" i="1"/>
  <c r="L507" i="1" s="1"/>
  <c r="K575" i="1"/>
  <c r="L575" i="1" s="1"/>
  <c r="K110" i="1"/>
  <c r="L110" i="1" s="1"/>
  <c r="K4389" i="1"/>
  <c r="L4389" i="1" s="1"/>
  <c r="K16" i="1"/>
  <c r="L16" i="1" s="1"/>
  <c r="K569" i="1"/>
  <c r="L569" i="1" s="1"/>
  <c r="K541" i="1"/>
  <c r="L541" i="1" s="1"/>
  <c r="K136" i="1"/>
  <c r="L136" i="1" s="1"/>
  <c r="K527" i="1"/>
  <c r="L527" i="1" s="1"/>
  <c r="K506" i="1"/>
  <c r="L506" i="1" s="1"/>
  <c r="K564" i="1"/>
  <c r="L564" i="1" s="1"/>
  <c r="K66" i="1"/>
  <c r="L66" i="1" s="1"/>
  <c r="K4383" i="1"/>
  <c r="L4383" i="1" s="1"/>
  <c r="K558" i="1"/>
  <c r="L558" i="1" s="1"/>
  <c r="K249" i="1"/>
  <c r="L249" i="1" s="1"/>
  <c r="K4381" i="1"/>
  <c r="L4381" i="1" s="1"/>
  <c r="K131" i="1"/>
  <c r="L131" i="1" s="1"/>
  <c r="K6" i="1"/>
  <c r="L6" i="1" s="1"/>
  <c r="K4379" i="1"/>
  <c r="L4379" i="1" s="1"/>
  <c r="K496" i="1"/>
  <c r="L496" i="1" s="1"/>
  <c r="K276" i="1"/>
  <c r="L276" i="1" s="1"/>
  <c r="K550" i="1"/>
  <c r="L550" i="1" s="1"/>
  <c r="K4377" i="1"/>
  <c r="L4377" i="1" s="1"/>
  <c r="K2" i="1"/>
  <c r="L2" i="1" s="1"/>
</calcChain>
</file>

<file path=xl/sharedStrings.xml><?xml version="1.0" encoding="utf-8"?>
<sst xmlns="http://schemas.openxmlformats.org/spreadsheetml/2006/main" count="9058" uniqueCount="125">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</sst>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515"/>
  <sheetViews>
    <sheetView tabSelected="1" zoomScale="85" zoomScaleNormal="85" workbookViewId="0">
      <selection activeCell="B244" sqref="B244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22</v>
      </c>
      <c r="C2" s="3" t="s">
        <v>23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99.11</v>
      </c>
      <c r="O2" s="9">
        <v>17.721518987341771</v>
      </c>
    </row>
    <row r="3" spans="1:16" hidden="1" x14ac:dyDescent="0.25">
      <c r="A3" s="5">
        <v>46146</v>
      </c>
      <c r="B3" s="6" t="s">
        <v>26</v>
      </c>
      <c r="C3" s="3" t="s">
        <v>23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96.43</v>
      </c>
      <c r="O3" s="9">
        <v>20</v>
      </c>
    </row>
    <row r="4" spans="1:16" hidden="1" x14ac:dyDescent="0.25">
      <c r="A4" s="5">
        <v>46146</v>
      </c>
      <c r="B4" s="6" t="s">
        <v>32</v>
      </c>
      <c r="C4" s="3" t="s">
        <v>23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29.032258064516132</v>
      </c>
    </row>
    <row r="5" spans="1:16" hidden="1" x14ac:dyDescent="0.25">
      <c r="A5" s="5">
        <v>46146</v>
      </c>
      <c r="B5" s="6" t="s">
        <v>51</v>
      </c>
      <c r="C5" s="3" t="s">
        <v>23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11.864406779661021</v>
      </c>
    </row>
    <row r="6" spans="1:16" hidden="1" x14ac:dyDescent="0.25">
      <c r="A6" s="5">
        <v>46146</v>
      </c>
      <c r="B6" s="6" t="s">
        <v>54</v>
      </c>
      <c r="C6" s="3" t="s">
        <v>23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16.814159292035399</v>
      </c>
    </row>
    <row r="7" spans="1:16" hidden="1" x14ac:dyDescent="0.25">
      <c r="A7" s="5">
        <v>46146</v>
      </c>
      <c r="B7" s="6" t="s">
        <v>59</v>
      </c>
      <c r="C7" s="3" t="s">
        <v>23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98.11</v>
      </c>
      <c r="O7" s="9">
        <v>20.408163265306118</v>
      </c>
    </row>
    <row r="8" spans="1:16" hidden="1" x14ac:dyDescent="0.25">
      <c r="A8" s="5">
        <v>46147</v>
      </c>
      <c r="B8" s="6" t="s">
        <v>22</v>
      </c>
      <c r="C8" s="3" t="s">
        <v>23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99.11</v>
      </c>
      <c r="O8" s="3">
        <v>17.721518987341771</v>
      </c>
    </row>
    <row r="9" spans="1:16" hidden="1" x14ac:dyDescent="0.25">
      <c r="A9" s="5">
        <v>46147</v>
      </c>
      <c r="B9" s="6" t="s">
        <v>26</v>
      </c>
      <c r="C9" s="3" t="s">
        <v>23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96.43</v>
      </c>
      <c r="O9" s="3">
        <v>20</v>
      </c>
    </row>
    <row r="10" spans="1:16" hidden="1" x14ac:dyDescent="0.25">
      <c r="A10" s="5">
        <v>46147</v>
      </c>
      <c r="B10" s="6" t="s">
        <v>32</v>
      </c>
      <c r="C10" s="3" t="s">
        <v>23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29.032258064516132</v>
      </c>
    </row>
    <row r="11" spans="1:16" hidden="1" x14ac:dyDescent="0.25">
      <c r="A11" s="5">
        <v>46147</v>
      </c>
      <c r="B11" s="6" t="s">
        <v>51</v>
      </c>
      <c r="C11" s="3" t="s">
        <v>23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11.864406779661021</v>
      </c>
    </row>
    <row r="12" spans="1:16" hidden="1" x14ac:dyDescent="0.25">
      <c r="A12" s="5">
        <v>46147</v>
      </c>
      <c r="B12" s="6" t="s">
        <v>54</v>
      </c>
      <c r="C12" s="3" t="s">
        <v>23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16.814159292035399</v>
      </c>
    </row>
    <row r="13" spans="1:16" hidden="1" x14ac:dyDescent="0.25">
      <c r="A13" s="5">
        <v>46147</v>
      </c>
      <c r="B13" s="6" t="s">
        <v>59</v>
      </c>
      <c r="C13" s="3" t="s">
        <v>23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98.11</v>
      </c>
      <c r="O13" s="3">
        <v>20.408163265306118</v>
      </c>
    </row>
    <row r="14" spans="1:16" hidden="1" x14ac:dyDescent="0.25">
      <c r="A14" s="5">
        <v>46148</v>
      </c>
      <c r="B14" s="6" t="s">
        <v>22</v>
      </c>
      <c r="C14" s="3" t="s">
        <v>23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99.11</v>
      </c>
      <c r="O14" s="3">
        <v>17.721518987341771</v>
      </c>
    </row>
    <row r="15" spans="1:16" hidden="1" x14ac:dyDescent="0.25">
      <c r="A15" s="5">
        <v>46148</v>
      </c>
      <c r="B15" s="6" t="s">
        <v>26</v>
      </c>
      <c r="C15" s="3" t="s">
        <v>23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96.43</v>
      </c>
      <c r="O15" s="3">
        <v>20</v>
      </c>
    </row>
    <row r="16" spans="1:16" hidden="1" x14ac:dyDescent="0.25">
      <c r="A16" s="5">
        <v>46148</v>
      </c>
      <c r="B16" s="6" t="s">
        <v>32</v>
      </c>
      <c r="C16" s="3" t="s">
        <v>23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29.032258064516132</v>
      </c>
    </row>
    <row r="17" spans="1:15" hidden="1" x14ac:dyDescent="0.25">
      <c r="A17" s="5">
        <v>46148</v>
      </c>
      <c r="B17" s="6" t="s">
        <v>51</v>
      </c>
      <c r="C17" s="3" t="s">
        <v>23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11.864406779661021</v>
      </c>
    </row>
    <row r="18" spans="1:15" hidden="1" x14ac:dyDescent="0.25">
      <c r="A18" s="5">
        <v>46148</v>
      </c>
      <c r="B18" s="6" t="s">
        <v>54</v>
      </c>
      <c r="C18" s="3" t="s">
        <v>23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16.814159292035399</v>
      </c>
    </row>
    <row r="19" spans="1:15" hidden="1" x14ac:dyDescent="0.25">
      <c r="A19" s="11">
        <v>46024</v>
      </c>
      <c r="B19" t="s">
        <v>36</v>
      </c>
      <c r="C19" t="s">
        <v>20</v>
      </c>
      <c r="D19">
        <v>17</v>
      </c>
      <c r="E19">
        <v>17</v>
      </c>
      <c r="F19">
        <v>27.06</v>
      </c>
      <c r="I19" s="3">
        <f t="shared" si="4"/>
        <v>17</v>
      </c>
      <c r="J19" s="3">
        <f t="shared" si="5"/>
        <v>8</v>
      </c>
      <c r="K19" s="3">
        <f t="shared" si="6"/>
        <v>9</v>
      </c>
      <c r="L19" s="3" t="str">
        <f t="shared" si="3"/>
        <v>EXCELENTE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59</v>
      </c>
      <c r="C20" s="3" t="s">
        <v>23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98.11</v>
      </c>
      <c r="O20" s="3">
        <v>20.408163265306118</v>
      </c>
    </row>
    <row r="21" spans="1:15" hidden="1" x14ac:dyDescent="0.25">
      <c r="A21" s="5">
        <v>46149</v>
      </c>
      <c r="B21" s="6" t="s">
        <v>22</v>
      </c>
      <c r="C21" s="3" t="s">
        <v>23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99.11</v>
      </c>
      <c r="O21" s="3">
        <v>17.721518987341771</v>
      </c>
    </row>
    <row r="22" spans="1:15" hidden="1" x14ac:dyDescent="0.25">
      <c r="A22" s="5">
        <v>46149</v>
      </c>
      <c r="B22" s="6" t="s">
        <v>26</v>
      </c>
      <c r="C22" s="3" t="s">
        <v>23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96.43</v>
      </c>
      <c r="O22" s="3">
        <v>20</v>
      </c>
    </row>
    <row r="23" spans="1:15" hidden="1" x14ac:dyDescent="0.25">
      <c r="A23" s="5">
        <v>46149</v>
      </c>
      <c r="B23" s="6" t="s">
        <v>32</v>
      </c>
      <c r="C23" s="3" t="s">
        <v>23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29.032258064516132</v>
      </c>
    </row>
    <row r="24" spans="1:15" hidden="1" x14ac:dyDescent="0.25">
      <c r="A24" s="5">
        <v>46149</v>
      </c>
      <c r="B24" s="6" t="s">
        <v>51</v>
      </c>
      <c r="C24" s="3" t="s">
        <v>23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11.864406779661021</v>
      </c>
    </row>
    <row r="25" spans="1:15" hidden="1" x14ac:dyDescent="0.25">
      <c r="A25" s="5">
        <v>46149</v>
      </c>
      <c r="B25" s="6" t="s">
        <v>54</v>
      </c>
      <c r="C25" s="3" t="s">
        <v>23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16.814159292035399</v>
      </c>
    </row>
    <row r="26" spans="1:15" hidden="1" x14ac:dyDescent="0.25">
      <c r="A26" s="5">
        <v>46149</v>
      </c>
      <c r="B26" s="6" t="s">
        <v>59</v>
      </c>
      <c r="C26" s="3" t="s">
        <v>23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98.11</v>
      </c>
      <c r="O26" s="3">
        <v>20.408163265306118</v>
      </c>
    </row>
    <row r="27" spans="1:15" hidden="1" x14ac:dyDescent="0.25">
      <c r="A27" s="5">
        <v>46150</v>
      </c>
      <c r="B27" s="6" t="s">
        <v>22</v>
      </c>
      <c r="C27" s="3" t="s">
        <v>23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99.11</v>
      </c>
      <c r="O27">
        <v>17.721518987341771</v>
      </c>
    </row>
    <row r="28" spans="1:15" hidden="1" x14ac:dyDescent="0.25">
      <c r="A28" s="5">
        <v>46150</v>
      </c>
      <c r="B28" s="6" t="s">
        <v>26</v>
      </c>
      <c r="C28" s="3" t="s">
        <v>23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96.43</v>
      </c>
      <c r="O28">
        <v>20</v>
      </c>
    </row>
    <row r="29" spans="1:15" hidden="1" x14ac:dyDescent="0.25">
      <c r="A29" s="5">
        <v>46150</v>
      </c>
      <c r="B29" s="6" t="s">
        <v>32</v>
      </c>
      <c r="C29" s="3" t="s">
        <v>23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29.032258064516132</v>
      </c>
    </row>
    <row r="30" spans="1:15" hidden="1" x14ac:dyDescent="0.25">
      <c r="A30" s="5">
        <v>46150</v>
      </c>
      <c r="B30" s="6" t="s">
        <v>51</v>
      </c>
      <c r="C30" s="3" t="s">
        <v>23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11.864406779661021</v>
      </c>
    </row>
    <row r="31" spans="1:15" hidden="1" x14ac:dyDescent="0.25">
      <c r="A31" s="5">
        <v>46150</v>
      </c>
      <c r="B31" s="6" t="s">
        <v>54</v>
      </c>
      <c r="C31" s="3" t="s">
        <v>23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16.814159292035399</v>
      </c>
    </row>
    <row r="32" spans="1:15" hidden="1" x14ac:dyDescent="0.25">
      <c r="A32" s="5">
        <v>46150</v>
      </c>
      <c r="B32" s="6" t="s">
        <v>59</v>
      </c>
      <c r="C32" s="3" t="s">
        <v>23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98.11</v>
      </c>
      <c r="O32">
        <v>20.408163265306118</v>
      </c>
    </row>
    <row r="33" spans="1:15" hidden="1" x14ac:dyDescent="0.25">
      <c r="A33" s="5">
        <v>46153</v>
      </c>
      <c r="B33" s="6" t="s">
        <v>22</v>
      </c>
      <c r="C33" s="3" t="s">
        <v>23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99.11</v>
      </c>
      <c r="O33">
        <v>17.721518987341771</v>
      </c>
    </row>
    <row r="34" spans="1:15" hidden="1" x14ac:dyDescent="0.25">
      <c r="A34" s="5">
        <v>46153</v>
      </c>
      <c r="B34" s="6" t="s">
        <v>26</v>
      </c>
      <c r="C34" s="3" t="s">
        <v>23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96.43</v>
      </c>
      <c r="O34">
        <v>20</v>
      </c>
    </row>
    <row r="35" spans="1:15" hidden="1" x14ac:dyDescent="0.25">
      <c r="A35" s="5">
        <v>46153</v>
      </c>
      <c r="B35" s="6" t="s">
        <v>32</v>
      </c>
      <c r="C35" s="3" t="s">
        <v>23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29.032258064516132</v>
      </c>
    </row>
    <row r="36" spans="1:15" hidden="1" x14ac:dyDescent="0.25">
      <c r="A36" s="5">
        <v>46153</v>
      </c>
      <c r="B36" s="6" t="s">
        <v>51</v>
      </c>
      <c r="C36" s="3" t="s">
        <v>23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11.864406779661021</v>
      </c>
    </row>
    <row r="37" spans="1:15" hidden="1" x14ac:dyDescent="0.25">
      <c r="A37" s="5">
        <v>46153</v>
      </c>
      <c r="B37" s="6" t="s">
        <v>54</v>
      </c>
      <c r="C37" s="3" t="s">
        <v>23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16.814159292035399</v>
      </c>
    </row>
    <row r="38" spans="1:15" hidden="1" x14ac:dyDescent="0.25">
      <c r="A38" s="5">
        <v>46153</v>
      </c>
      <c r="B38" s="6" t="s">
        <v>59</v>
      </c>
      <c r="C38" s="3" t="s">
        <v>23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98.11</v>
      </c>
      <c r="O38">
        <v>20.408163265306118</v>
      </c>
    </row>
    <row r="39" spans="1:15" hidden="1" x14ac:dyDescent="0.25">
      <c r="A39" s="5">
        <v>46154</v>
      </c>
      <c r="B39" s="6" t="s">
        <v>22</v>
      </c>
      <c r="C39" s="3" t="s">
        <v>23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99.11</v>
      </c>
      <c r="O39">
        <v>17.721518987341771</v>
      </c>
    </row>
    <row r="40" spans="1:15" hidden="1" x14ac:dyDescent="0.25">
      <c r="A40" s="5">
        <v>46154</v>
      </c>
      <c r="B40" s="6" t="s">
        <v>26</v>
      </c>
      <c r="C40" s="3" t="s">
        <v>23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96.43</v>
      </c>
      <c r="O40">
        <v>20</v>
      </c>
    </row>
    <row r="41" spans="1:15" hidden="1" x14ac:dyDescent="0.25">
      <c r="A41" s="5">
        <v>46154</v>
      </c>
      <c r="B41" s="6" t="s">
        <v>32</v>
      </c>
      <c r="C41" s="3" t="s">
        <v>23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29.032258064516132</v>
      </c>
    </row>
    <row r="42" spans="1:15" hidden="1" x14ac:dyDescent="0.25">
      <c r="A42" s="5">
        <v>46154</v>
      </c>
      <c r="B42" s="6" t="s">
        <v>51</v>
      </c>
      <c r="C42" s="3" t="s">
        <v>23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11.864406779661021</v>
      </c>
    </row>
    <row r="43" spans="1:15" hidden="1" x14ac:dyDescent="0.25">
      <c r="A43" s="5">
        <v>46154</v>
      </c>
      <c r="B43" s="6" t="s">
        <v>54</v>
      </c>
      <c r="C43" s="3" t="s">
        <v>23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16.814159292035399</v>
      </c>
    </row>
    <row r="44" spans="1:15" hidden="1" x14ac:dyDescent="0.25">
      <c r="A44" s="5">
        <v>46154</v>
      </c>
      <c r="B44" s="6" t="s">
        <v>59</v>
      </c>
      <c r="C44" s="3" t="s">
        <v>23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98.11</v>
      </c>
      <c r="O44">
        <v>20.408163265306118</v>
      </c>
    </row>
    <row r="45" spans="1:15" hidden="1" x14ac:dyDescent="0.25">
      <c r="A45" s="5">
        <v>46155</v>
      </c>
      <c r="B45" s="6" t="s">
        <v>22</v>
      </c>
      <c r="C45" s="3" t="s">
        <v>23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99.11</v>
      </c>
      <c r="O45">
        <v>17.721518987341771</v>
      </c>
    </row>
    <row r="46" spans="1:15" hidden="1" x14ac:dyDescent="0.25">
      <c r="A46" s="5">
        <v>46155</v>
      </c>
      <c r="B46" s="6" t="s">
        <v>26</v>
      </c>
      <c r="C46" s="3" t="s">
        <v>23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96.43</v>
      </c>
      <c r="O46">
        <v>20</v>
      </c>
    </row>
    <row r="47" spans="1:15" hidden="1" x14ac:dyDescent="0.25">
      <c r="A47" s="5">
        <v>46155</v>
      </c>
      <c r="B47" s="6" t="s">
        <v>32</v>
      </c>
      <c r="C47" s="3" t="s">
        <v>23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29.032258064516132</v>
      </c>
    </row>
    <row r="48" spans="1:15" hidden="1" x14ac:dyDescent="0.25">
      <c r="A48" s="5">
        <v>46155</v>
      </c>
      <c r="B48" s="6" t="s">
        <v>51</v>
      </c>
      <c r="C48" s="3" t="s">
        <v>23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11.864406779661021</v>
      </c>
    </row>
    <row r="49" spans="1:15" hidden="1" x14ac:dyDescent="0.25">
      <c r="A49" s="5">
        <v>46155</v>
      </c>
      <c r="B49" s="6" t="s">
        <v>54</v>
      </c>
      <c r="C49" s="3" t="s">
        <v>23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16.814159292035399</v>
      </c>
    </row>
    <row r="50" spans="1:15" hidden="1" x14ac:dyDescent="0.25">
      <c r="A50" s="5">
        <v>46155</v>
      </c>
      <c r="B50" s="6" t="s">
        <v>59</v>
      </c>
      <c r="C50" s="3" t="s">
        <v>23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98.11</v>
      </c>
      <c r="O50">
        <v>20.408163265306118</v>
      </c>
    </row>
    <row r="51" spans="1:15" hidden="1" x14ac:dyDescent="0.25">
      <c r="A51" s="5">
        <v>46156</v>
      </c>
      <c r="B51" s="6" t="s">
        <v>22</v>
      </c>
      <c r="C51" s="3" t="s">
        <v>23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99.11</v>
      </c>
      <c r="O51">
        <v>17.721518987341771</v>
      </c>
    </row>
    <row r="52" spans="1:15" hidden="1" x14ac:dyDescent="0.25">
      <c r="A52" s="5">
        <v>46156</v>
      </c>
      <c r="B52" s="6" t="s">
        <v>26</v>
      </c>
      <c r="C52" s="3" t="s">
        <v>23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96.43</v>
      </c>
      <c r="O52">
        <v>20</v>
      </c>
    </row>
    <row r="53" spans="1:15" hidden="1" x14ac:dyDescent="0.25">
      <c r="A53" s="5">
        <v>46156</v>
      </c>
      <c r="B53" s="6" t="s">
        <v>32</v>
      </c>
      <c r="C53" s="3" t="s">
        <v>23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29.032258064516132</v>
      </c>
    </row>
    <row r="54" spans="1:15" hidden="1" x14ac:dyDescent="0.25">
      <c r="A54" s="5">
        <v>46156</v>
      </c>
      <c r="B54" s="6" t="s">
        <v>51</v>
      </c>
      <c r="C54" s="3" t="s">
        <v>23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11.864406779661021</v>
      </c>
    </row>
    <row r="55" spans="1:15" hidden="1" x14ac:dyDescent="0.25">
      <c r="A55" s="5">
        <v>46156</v>
      </c>
      <c r="B55" s="6" t="s">
        <v>54</v>
      </c>
      <c r="C55" s="3" t="s">
        <v>23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16.814159292035399</v>
      </c>
    </row>
    <row r="56" spans="1:15" hidden="1" x14ac:dyDescent="0.25">
      <c r="A56" s="5">
        <v>46156</v>
      </c>
      <c r="B56" s="6" t="s">
        <v>59</v>
      </c>
      <c r="C56" s="3" t="s">
        <v>23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98.11</v>
      </c>
      <c r="O56">
        <v>20.408163265306118</v>
      </c>
    </row>
    <row r="57" spans="1:15" hidden="1" x14ac:dyDescent="0.25">
      <c r="A57" s="5">
        <v>46157</v>
      </c>
      <c r="B57" s="6" t="s">
        <v>22</v>
      </c>
      <c r="C57" s="3" t="s">
        <v>23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99.11</v>
      </c>
      <c r="O57">
        <v>17.721518987341771</v>
      </c>
    </row>
    <row r="58" spans="1:15" hidden="1" x14ac:dyDescent="0.25">
      <c r="A58" s="5">
        <v>46157</v>
      </c>
      <c r="B58" s="6" t="s">
        <v>26</v>
      </c>
      <c r="C58" s="3" t="s">
        <v>23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96.43</v>
      </c>
      <c r="O58">
        <v>20</v>
      </c>
    </row>
    <row r="59" spans="1:15" hidden="1" x14ac:dyDescent="0.25">
      <c r="A59" s="5">
        <v>46157</v>
      </c>
      <c r="B59" s="6" t="s">
        <v>32</v>
      </c>
      <c r="C59" s="3" t="s">
        <v>23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29.032258064516132</v>
      </c>
    </row>
    <row r="60" spans="1:15" hidden="1" x14ac:dyDescent="0.25">
      <c r="A60" s="5">
        <v>46157</v>
      </c>
      <c r="B60" s="6" t="s">
        <v>51</v>
      </c>
      <c r="C60" s="3" t="s">
        <v>23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11.864406779661021</v>
      </c>
    </row>
    <row r="61" spans="1:15" hidden="1" x14ac:dyDescent="0.25">
      <c r="A61" s="5">
        <v>46157</v>
      </c>
      <c r="B61" s="6" t="s">
        <v>54</v>
      </c>
      <c r="C61" s="3" t="s">
        <v>23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16.814159292035399</v>
      </c>
    </row>
    <row r="62" spans="1:15" hidden="1" x14ac:dyDescent="0.25">
      <c r="A62" s="5">
        <v>46157</v>
      </c>
      <c r="B62" s="6" t="s">
        <v>59</v>
      </c>
      <c r="C62" s="3" t="s">
        <v>23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98.11</v>
      </c>
      <c r="O62">
        <v>20.408163265306118</v>
      </c>
    </row>
    <row r="63" spans="1:15" hidden="1" x14ac:dyDescent="0.25">
      <c r="A63" s="5">
        <v>46160</v>
      </c>
      <c r="B63" s="6" t="s">
        <v>26</v>
      </c>
      <c r="C63" s="3" t="s">
        <v>23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96.43</v>
      </c>
      <c r="O63">
        <v>20</v>
      </c>
    </row>
    <row r="64" spans="1:15" hidden="1" x14ac:dyDescent="0.25">
      <c r="A64" s="5">
        <v>46160</v>
      </c>
      <c r="B64" s="6" t="s">
        <v>32</v>
      </c>
      <c r="C64" s="3" t="s">
        <v>23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29.032258064516132</v>
      </c>
    </row>
    <row r="65" spans="1:15" hidden="1" x14ac:dyDescent="0.25">
      <c r="A65" s="5">
        <v>46160</v>
      </c>
      <c r="B65" s="6" t="s">
        <v>51</v>
      </c>
      <c r="C65" s="3" t="s">
        <v>23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11.864406779661021</v>
      </c>
    </row>
    <row r="66" spans="1:15" hidden="1" x14ac:dyDescent="0.25">
      <c r="A66" s="11">
        <v>46027</v>
      </c>
      <c r="B66" t="s">
        <v>36</v>
      </c>
      <c r="C66" t="s">
        <v>20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15</v>
      </c>
      <c r="K66" s="3">
        <f t="shared" si="10"/>
        <v>4</v>
      </c>
      <c r="L66" s="3" t="str">
        <f t="shared" ref="L66:L97" si="11">IF(K66&lt;-5,"CRÍTICO",IF(K66&lt;0,"ATENÇÃO",IF(K66&lt;=5,"BOM","EXCELENTE")))</f>
        <v>BOM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54</v>
      </c>
      <c r="C67" s="3" t="s">
        <v>23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16.814159292035399</v>
      </c>
    </row>
    <row r="68" spans="1:15" hidden="1" x14ac:dyDescent="0.25">
      <c r="A68" s="5">
        <v>46160</v>
      </c>
      <c r="B68" s="6" t="s">
        <v>59</v>
      </c>
      <c r="C68" s="3" t="s">
        <v>23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98.11</v>
      </c>
      <c r="O68">
        <v>20.408163265306118</v>
      </c>
    </row>
    <row r="69" spans="1:15" hidden="1" x14ac:dyDescent="0.25">
      <c r="A69" s="7">
        <v>46161</v>
      </c>
      <c r="B69" s="8" t="s">
        <v>26</v>
      </c>
      <c r="C69" s="9" t="s">
        <v>23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96.43</v>
      </c>
      <c r="O69">
        <v>20</v>
      </c>
    </row>
    <row r="70" spans="1:15" hidden="1" x14ac:dyDescent="0.25">
      <c r="A70" s="7">
        <v>46161</v>
      </c>
      <c r="B70" s="8" t="s">
        <v>32</v>
      </c>
      <c r="C70" s="9" t="s">
        <v>23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29.032258064516132</v>
      </c>
    </row>
    <row r="71" spans="1:15" hidden="1" x14ac:dyDescent="0.25">
      <c r="A71" s="7">
        <v>46161</v>
      </c>
      <c r="B71" s="8" t="s">
        <v>51</v>
      </c>
      <c r="C71" s="9" t="s">
        <v>23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11.864406779661021</v>
      </c>
    </row>
    <row r="72" spans="1:15" hidden="1" x14ac:dyDescent="0.25">
      <c r="A72" s="7">
        <v>46161</v>
      </c>
      <c r="B72" s="8" t="s">
        <v>54</v>
      </c>
      <c r="C72" s="9" t="s">
        <v>23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16.814159292035399</v>
      </c>
    </row>
    <row r="73" spans="1:15" hidden="1" x14ac:dyDescent="0.25">
      <c r="A73" s="7">
        <v>46161</v>
      </c>
      <c r="B73" s="8" t="s">
        <v>59</v>
      </c>
      <c r="C73" s="9" t="s">
        <v>23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98.11</v>
      </c>
      <c r="O73">
        <v>20.408163265306118</v>
      </c>
    </row>
    <row r="74" spans="1:15" hidden="1" x14ac:dyDescent="0.25">
      <c r="A74" s="7">
        <v>46162</v>
      </c>
      <c r="B74" s="8" t="s">
        <v>26</v>
      </c>
      <c r="C74" s="9" t="s">
        <v>23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96.43</v>
      </c>
      <c r="O74" s="9">
        <v>20</v>
      </c>
    </row>
    <row r="75" spans="1:15" hidden="1" x14ac:dyDescent="0.25">
      <c r="A75" s="7">
        <v>46162</v>
      </c>
      <c r="B75" s="8" t="s">
        <v>32</v>
      </c>
      <c r="C75" s="9" t="s">
        <v>23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29.032258064516132</v>
      </c>
    </row>
    <row r="76" spans="1:15" hidden="1" x14ac:dyDescent="0.25">
      <c r="A76" s="7">
        <v>46162</v>
      </c>
      <c r="B76" s="8" t="s">
        <v>51</v>
      </c>
      <c r="C76" s="9" t="s">
        <v>23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11.864406779661021</v>
      </c>
    </row>
    <row r="77" spans="1:15" hidden="1" x14ac:dyDescent="0.25">
      <c r="A77" s="7">
        <v>46162</v>
      </c>
      <c r="B77" s="8" t="s">
        <v>54</v>
      </c>
      <c r="C77" s="9" t="s">
        <v>23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16.814159292035399</v>
      </c>
    </row>
    <row r="78" spans="1:15" hidden="1" x14ac:dyDescent="0.25">
      <c r="A78" s="7">
        <v>46162</v>
      </c>
      <c r="B78" s="8" t="s">
        <v>59</v>
      </c>
      <c r="C78" s="9" t="s">
        <v>23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98.11</v>
      </c>
      <c r="O78" s="9">
        <v>20.408163265306118</v>
      </c>
    </row>
    <row r="79" spans="1:15" hidden="1" x14ac:dyDescent="0.25">
      <c r="A79" s="5">
        <v>46163</v>
      </c>
      <c r="B79" s="6" t="s">
        <v>26</v>
      </c>
      <c r="C79" s="3" t="s">
        <v>23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96.43</v>
      </c>
      <c r="O79" s="3">
        <v>20</v>
      </c>
    </row>
    <row r="80" spans="1:15" hidden="1" x14ac:dyDescent="0.25">
      <c r="A80" s="5">
        <v>46163</v>
      </c>
      <c r="B80" s="6" t="s">
        <v>32</v>
      </c>
      <c r="C80" s="3" t="s">
        <v>23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29.032258064516132</v>
      </c>
    </row>
    <row r="81" spans="1:15" hidden="1" x14ac:dyDescent="0.25">
      <c r="A81" s="5">
        <v>46163</v>
      </c>
      <c r="B81" s="6" t="s">
        <v>51</v>
      </c>
      <c r="C81" s="3" t="s">
        <v>23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11.864406779661021</v>
      </c>
    </row>
    <row r="82" spans="1:15" hidden="1" x14ac:dyDescent="0.25">
      <c r="A82" s="5">
        <v>46163</v>
      </c>
      <c r="B82" s="6" t="s">
        <v>54</v>
      </c>
      <c r="C82" s="3" t="s">
        <v>23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16.814159292035399</v>
      </c>
    </row>
    <row r="83" spans="1:15" hidden="1" x14ac:dyDescent="0.25">
      <c r="A83" s="5">
        <v>46163</v>
      </c>
      <c r="B83" s="6" t="s">
        <v>59</v>
      </c>
      <c r="C83" s="3" t="s">
        <v>23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98.11</v>
      </c>
      <c r="O83" s="3">
        <v>20.408163265306118</v>
      </c>
    </row>
    <row r="84" spans="1:15" hidden="1" x14ac:dyDescent="0.25">
      <c r="A84" s="10">
        <v>46164</v>
      </c>
      <c r="B84" s="6" t="s">
        <v>26</v>
      </c>
      <c r="C84" s="3" t="s">
        <v>23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96.43</v>
      </c>
      <c r="O84" s="3">
        <v>20</v>
      </c>
    </row>
    <row r="85" spans="1:15" hidden="1" x14ac:dyDescent="0.25">
      <c r="A85" s="10">
        <v>46164</v>
      </c>
      <c r="B85" s="6" t="s">
        <v>32</v>
      </c>
      <c r="C85" s="3" t="s">
        <v>23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29.032258064516132</v>
      </c>
    </row>
    <row r="86" spans="1:15" hidden="1" x14ac:dyDescent="0.25">
      <c r="A86" s="10">
        <v>46164</v>
      </c>
      <c r="B86" s="6" t="s">
        <v>51</v>
      </c>
      <c r="C86" s="3" t="s">
        <v>23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11.864406779661021</v>
      </c>
    </row>
    <row r="87" spans="1:15" hidden="1" x14ac:dyDescent="0.25">
      <c r="A87" s="10">
        <v>46164</v>
      </c>
      <c r="B87" s="6" t="s">
        <v>54</v>
      </c>
      <c r="C87" s="3" t="s">
        <v>23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16.814159292035399</v>
      </c>
    </row>
    <row r="88" spans="1:15" hidden="1" x14ac:dyDescent="0.25">
      <c r="A88" s="10">
        <v>46164</v>
      </c>
      <c r="B88" s="6" t="s">
        <v>59</v>
      </c>
      <c r="C88" s="3" t="s">
        <v>23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98.11</v>
      </c>
      <c r="O88" s="3">
        <v>20.408163265306118</v>
      </c>
    </row>
    <row r="89" spans="1:15" hidden="1" x14ac:dyDescent="0.25">
      <c r="A89" s="11">
        <v>46167</v>
      </c>
      <c r="B89" t="s">
        <v>26</v>
      </c>
      <c r="C89" t="s">
        <v>23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</row>
    <row r="90" spans="1:15" hidden="1" x14ac:dyDescent="0.25">
      <c r="A90" s="11">
        <v>46167</v>
      </c>
      <c r="B90" t="s">
        <v>32</v>
      </c>
      <c r="C90" t="s">
        <v>23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</row>
    <row r="91" spans="1:15" hidden="1" x14ac:dyDescent="0.25">
      <c r="A91" s="11">
        <v>46167</v>
      </c>
      <c r="B91" t="s">
        <v>51</v>
      </c>
      <c r="C91" t="s">
        <v>23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</row>
    <row r="92" spans="1:15" hidden="1" x14ac:dyDescent="0.25">
      <c r="A92" s="11">
        <v>46167</v>
      </c>
      <c r="B92" t="s">
        <v>54</v>
      </c>
      <c r="C92" t="s">
        <v>23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</row>
    <row r="93" spans="1:15" hidden="1" x14ac:dyDescent="0.25">
      <c r="A93" s="11">
        <v>46167</v>
      </c>
      <c r="B93" t="s">
        <v>59</v>
      </c>
      <c r="C93" t="s">
        <v>23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</row>
    <row r="94" spans="1:15" hidden="1" x14ac:dyDescent="0.25">
      <c r="A94" s="5">
        <v>46150</v>
      </c>
      <c r="B94" s="6" t="s">
        <v>64</v>
      </c>
      <c r="C94" s="3" t="s">
        <v>23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14.285714285714279</v>
      </c>
    </row>
    <row r="95" spans="1:15" hidden="1" x14ac:dyDescent="0.25">
      <c r="A95" s="5">
        <v>46157</v>
      </c>
      <c r="B95" s="6" t="s">
        <v>64</v>
      </c>
      <c r="C95" s="3" t="s">
        <v>23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14.285714285714279</v>
      </c>
    </row>
    <row r="96" spans="1:15" hidden="1" x14ac:dyDescent="0.25">
      <c r="A96" s="5">
        <v>46160</v>
      </c>
      <c r="B96" s="6" t="s">
        <v>64</v>
      </c>
      <c r="C96" s="3" t="s">
        <v>23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14.285714285714279</v>
      </c>
    </row>
    <row r="97" spans="1:15" hidden="1" x14ac:dyDescent="0.25">
      <c r="A97" s="7">
        <v>46161</v>
      </c>
      <c r="B97" s="8" t="s">
        <v>64</v>
      </c>
      <c r="C97" s="9" t="s">
        <v>23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14.285714285714279</v>
      </c>
    </row>
    <row r="98" spans="1:15" hidden="1" x14ac:dyDescent="0.25">
      <c r="A98" s="7">
        <v>46162</v>
      </c>
      <c r="B98" s="8" t="s">
        <v>64</v>
      </c>
      <c r="C98" s="9" t="s">
        <v>23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14.285714285714279</v>
      </c>
    </row>
    <row r="99" spans="1:15" hidden="1" x14ac:dyDescent="0.25">
      <c r="A99" s="5">
        <v>46163</v>
      </c>
      <c r="B99" s="6" t="s">
        <v>64</v>
      </c>
      <c r="C99" s="3" t="s">
        <v>23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14.285714285714279</v>
      </c>
    </row>
    <row r="100" spans="1:15" hidden="1" x14ac:dyDescent="0.25">
      <c r="A100" s="10">
        <v>46164</v>
      </c>
      <c r="B100" s="6" t="s">
        <v>64</v>
      </c>
      <c r="C100" s="3" t="s">
        <v>23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14.285714285714279</v>
      </c>
    </row>
    <row r="101" spans="1:15" hidden="1" x14ac:dyDescent="0.25">
      <c r="A101" s="11">
        <v>46140</v>
      </c>
      <c r="B101" t="s">
        <v>22</v>
      </c>
      <c r="C101" t="s">
        <v>23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9</v>
      </c>
      <c r="K101" s="3">
        <f t="shared" ref="K101:K110" si="18">I101-J101</f>
        <v>18</v>
      </c>
      <c r="L101" s="3" t="str">
        <f t="shared" si="12"/>
        <v>MUITO BOM</v>
      </c>
      <c r="N101">
        <v>96.74</v>
      </c>
      <c r="O101">
        <v>28.43137254901961</v>
      </c>
    </row>
    <row r="102" spans="1:15" hidden="1" x14ac:dyDescent="0.25">
      <c r="A102" s="11">
        <v>46140</v>
      </c>
      <c r="B102" t="s">
        <v>26</v>
      </c>
      <c r="C102" t="s">
        <v>23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9</v>
      </c>
      <c r="K102" s="3">
        <f t="shared" si="18"/>
        <v>0</v>
      </c>
      <c r="L102" s="3" t="str">
        <f t="shared" si="12"/>
        <v>OPORTUNO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32</v>
      </c>
      <c r="C103" t="s">
        <v>23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9</v>
      </c>
      <c r="K103" s="3">
        <f t="shared" si="18"/>
        <v>-3</v>
      </c>
      <c r="L103" s="3" t="str">
        <f t="shared" si="12"/>
        <v>ATENÇÃO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51</v>
      </c>
      <c r="C104" t="s">
        <v>23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9</v>
      </c>
      <c r="K104" s="3">
        <f t="shared" si="18"/>
        <v>38</v>
      </c>
      <c r="L104" s="3" t="str">
        <f t="shared" si="12"/>
        <v>MUITO BOM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54</v>
      </c>
      <c r="C105" t="s">
        <v>23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9</v>
      </c>
      <c r="K105" s="3">
        <f t="shared" si="18"/>
        <v>4</v>
      </c>
      <c r="L105" s="3" t="str">
        <f t="shared" si="12"/>
        <v>OPORTUNO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59</v>
      </c>
      <c r="C106" t="s">
        <v>23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9</v>
      </c>
      <c r="K106" s="3">
        <f t="shared" si="18"/>
        <v>4</v>
      </c>
      <c r="L106" s="3" t="str">
        <f t="shared" si="12"/>
        <v>OPORTUNO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22</v>
      </c>
      <c r="C107" t="s">
        <v>23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9</v>
      </c>
      <c r="K107" s="3">
        <f t="shared" si="18"/>
        <v>22</v>
      </c>
      <c r="L107" s="3" t="str">
        <f t="shared" si="12"/>
        <v>MUITO BOM</v>
      </c>
      <c r="N107">
        <v>96.74</v>
      </c>
      <c r="O107">
        <v>28.43137254901961</v>
      </c>
    </row>
    <row r="108" spans="1:15" hidden="1" x14ac:dyDescent="0.25">
      <c r="A108" s="11">
        <v>46141</v>
      </c>
      <c r="B108" t="s">
        <v>26</v>
      </c>
      <c r="C108" t="s">
        <v>23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9</v>
      </c>
      <c r="K108" s="3">
        <f t="shared" si="18"/>
        <v>8</v>
      </c>
      <c r="L108" s="3" t="str">
        <f t="shared" si="12"/>
        <v>MUITO BOM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32</v>
      </c>
      <c r="C109" t="s">
        <v>23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9</v>
      </c>
      <c r="K109" s="3">
        <f t="shared" si="18"/>
        <v>-1</v>
      </c>
      <c r="L109" s="3" t="str">
        <f t="shared" si="12"/>
        <v>ATENÇÃO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36</v>
      </c>
      <c r="C110" t="s">
        <v>20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15</v>
      </c>
      <c r="K110" s="3">
        <f t="shared" si="18"/>
        <v>18</v>
      </c>
      <c r="L110" s="3" t="str">
        <f>IF(K110&lt;-5,"CRÍTICO",IF(K110&lt;0,"ATENÇÃO",IF(K110&lt;=5,"BOM","EXCELENTE")))</f>
        <v>EXCELENTE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64</v>
      </c>
      <c r="C111" t="s">
        <v>23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</row>
    <row r="112" spans="1:15" hidden="1" x14ac:dyDescent="0.25">
      <c r="A112" s="11">
        <v>46141</v>
      </c>
      <c r="B112" t="s">
        <v>51</v>
      </c>
      <c r="C112" t="s">
        <v>23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9</v>
      </c>
      <c r="K112" s="3">
        <f t="shared" ref="K112:K120" si="22">I112-J112</f>
        <v>25</v>
      </c>
      <c r="L112" s="3" t="str">
        <f t="shared" si="19"/>
        <v>MUITO BOM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54</v>
      </c>
      <c r="C113" t="s">
        <v>23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9</v>
      </c>
      <c r="K113" s="3">
        <f t="shared" si="22"/>
        <v>6</v>
      </c>
      <c r="L113" s="3" t="str">
        <f t="shared" si="19"/>
        <v>MUITO BOM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59</v>
      </c>
      <c r="C114" t="s">
        <v>23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9</v>
      </c>
      <c r="K114" s="3">
        <f t="shared" si="22"/>
        <v>8</v>
      </c>
      <c r="L114" s="3" t="str">
        <f t="shared" si="19"/>
        <v>MUITO BOM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22</v>
      </c>
      <c r="C115" t="s">
        <v>23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N115">
        <v>96.74</v>
      </c>
      <c r="O115">
        <v>28.43137254901961</v>
      </c>
    </row>
    <row r="116" spans="1:15" hidden="1" x14ac:dyDescent="0.25">
      <c r="A116" s="11">
        <v>46142</v>
      </c>
      <c r="B116" t="s">
        <v>26</v>
      </c>
      <c r="C116" t="s">
        <v>23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32</v>
      </c>
      <c r="C117" t="s">
        <v>23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51</v>
      </c>
      <c r="C118" t="s">
        <v>23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54</v>
      </c>
      <c r="C119" t="s">
        <v>23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59</v>
      </c>
      <c r="C120" t="s">
        <v>23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26</v>
      </c>
      <c r="C121" t="s">
        <v>23</v>
      </c>
      <c r="D121">
        <v>9</v>
      </c>
      <c r="E121">
        <v>8</v>
      </c>
      <c r="F121">
        <v>22.08</v>
      </c>
      <c r="G121">
        <v>0</v>
      </c>
    </row>
    <row r="122" spans="1:15" hidden="1" x14ac:dyDescent="0.25">
      <c r="A122" s="11">
        <v>46168</v>
      </c>
      <c r="B122" t="s">
        <v>32</v>
      </c>
      <c r="C122" t="s">
        <v>23</v>
      </c>
      <c r="D122">
        <v>7</v>
      </c>
      <c r="E122">
        <v>7</v>
      </c>
      <c r="F122">
        <v>41.42</v>
      </c>
      <c r="G122">
        <v>0</v>
      </c>
    </row>
    <row r="123" spans="1:15" hidden="1" x14ac:dyDescent="0.25">
      <c r="A123" s="11">
        <v>46168</v>
      </c>
      <c r="B123" t="s">
        <v>51</v>
      </c>
      <c r="C123" t="s">
        <v>23</v>
      </c>
      <c r="D123">
        <v>24</v>
      </c>
      <c r="E123">
        <v>22</v>
      </c>
      <c r="F123">
        <v>20.59</v>
      </c>
      <c r="G123">
        <v>0</v>
      </c>
    </row>
    <row r="124" spans="1:15" hidden="1" x14ac:dyDescent="0.25">
      <c r="A124" s="11">
        <v>46168</v>
      </c>
      <c r="B124" t="s">
        <v>54</v>
      </c>
      <c r="C124" t="s">
        <v>23</v>
      </c>
      <c r="D124">
        <v>15</v>
      </c>
      <c r="E124">
        <v>15</v>
      </c>
      <c r="F124">
        <v>32.39</v>
      </c>
      <c r="G124">
        <v>0</v>
      </c>
    </row>
    <row r="125" spans="1:15" hidden="1" x14ac:dyDescent="0.25">
      <c r="A125" s="11">
        <v>46168</v>
      </c>
      <c r="B125" t="s">
        <v>59</v>
      </c>
      <c r="C125" t="s">
        <v>23</v>
      </c>
      <c r="D125">
        <v>14</v>
      </c>
      <c r="E125">
        <v>13</v>
      </c>
      <c r="F125">
        <v>29.12</v>
      </c>
      <c r="G125">
        <v>0</v>
      </c>
    </row>
    <row r="126" spans="1:15" hidden="1" x14ac:dyDescent="0.25">
      <c r="A126" s="11">
        <v>46168</v>
      </c>
      <c r="B126" t="s">
        <v>64</v>
      </c>
      <c r="C126" t="s">
        <v>23</v>
      </c>
      <c r="D126">
        <v>1</v>
      </c>
      <c r="E126">
        <v>1</v>
      </c>
      <c r="F126">
        <v>55.47</v>
      </c>
      <c r="G126">
        <v>0</v>
      </c>
    </row>
    <row r="127" spans="1:15" hidden="1" x14ac:dyDescent="0.25">
      <c r="A127" s="5">
        <v>46146</v>
      </c>
      <c r="B127" s="6" t="s">
        <v>42</v>
      </c>
      <c r="C127" s="3" t="s">
        <v>43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97.01</v>
      </c>
      <c r="O127" s="9">
        <v>13.961038961038961</v>
      </c>
    </row>
    <row r="128" spans="1:15" hidden="1" x14ac:dyDescent="0.25">
      <c r="A128" s="5">
        <v>46146</v>
      </c>
      <c r="B128" s="6" t="s">
        <v>45</v>
      </c>
      <c r="C128" s="3" t="s">
        <v>43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16.959064327485379</v>
      </c>
    </row>
    <row r="129" spans="1:15" hidden="1" x14ac:dyDescent="0.25">
      <c r="A129" s="5">
        <v>46146</v>
      </c>
      <c r="B129" s="6" t="s">
        <v>55</v>
      </c>
      <c r="C129" s="3" t="s">
        <v>43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98</v>
      </c>
      <c r="O129" s="9">
        <v>16.43835616438356</v>
      </c>
    </row>
    <row r="130" spans="1:15" hidden="1" x14ac:dyDescent="0.25">
      <c r="A130" s="5">
        <v>46146</v>
      </c>
      <c r="B130" s="6" t="s">
        <v>57</v>
      </c>
      <c r="C130" s="3" t="s">
        <v>43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19.138755980861241</v>
      </c>
    </row>
    <row r="131" spans="1:15" hidden="1" x14ac:dyDescent="0.25">
      <c r="A131" s="5">
        <v>46146</v>
      </c>
      <c r="B131" s="6" t="s">
        <v>58</v>
      </c>
      <c r="C131" s="3" t="s">
        <v>43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15.02145922746781</v>
      </c>
    </row>
    <row r="132" spans="1:15" hidden="1" x14ac:dyDescent="0.25">
      <c r="A132" s="5">
        <v>46147</v>
      </c>
      <c r="B132" s="6" t="s">
        <v>42</v>
      </c>
      <c r="C132" s="3" t="s">
        <v>43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97.01</v>
      </c>
      <c r="O132" s="3">
        <v>13.961038961038961</v>
      </c>
    </row>
    <row r="133" spans="1:15" hidden="1" x14ac:dyDescent="0.25">
      <c r="A133" s="5">
        <v>46147</v>
      </c>
      <c r="B133" s="6" t="s">
        <v>45</v>
      </c>
      <c r="C133" s="3" t="s">
        <v>43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16.959064327485379</v>
      </c>
    </row>
    <row r="134" spans="1:15" hidden="1" x14ac:dyDescent="0.25">
      <c r="A134" s="5">
        <v>46147</v>
      </c>
      <c r="B134" s="6" t="s">
        <v>55</v>
      </c>
      <c r="C134" s="3" t="s">
        <v>43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98</v>
      </c>
      <c r="O134" s="3">
        <v>16.43835616438356</v>
      </c>
    </row>
    <row r="135" spans="1:15" hidden="1" x14ac:dyDescent="0.25">
      <c r="A135" s="5">
        <v>46147</v>
      </c>
      <c r="B135" s="6" t="s">
        <v>57</v>
      </c>
      <c r="C135" s="3" t="s">
        <v>43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19.138755980861241</v>
      </c>
    </row>
    <row r="136" spans="1:15" hidden="1" x14ac:dyDescent="0.25">
      <c r="A136" s="5">
        <v>46147</v>
      </c>
      <c r="B136" s="6" t="s">
        <v>58</v>
      </c>
      <c r="C136" s="3" t="s">
        <v>43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15.02145922746781</v>
      </c>
    </row>
    <row r="137" spans="1:15" hidden="1" x14ac:dyDescent="0.25">
      <c r="A137" s="5">
        <v>46148</v>
      </c>
      <c r="B137" s="6" t="s">
        <v>42</v>
      </c>
      <c r="C137" s="3" t="s">
        <v>43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97.01</v>
      </c>
      <c r="O137" s="3">
        <v>13.961038961038961</v>
      </c>
    </row>
    <row r="138" spans="1:15" hidden="1" x14ac:dyDescent="0.25">
      <c r="A138" s="5">
        <v>46148</v>
      </c>
      <c r="B138" s="6" t="s">
        <v>45</v>
      </c>
      <c r="C138" s="3" t="s">
        <v>43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16.959064327485379</v>
      </c>
    </row>
    <row r="139" spans="1:15" hidden="1" x14ac:dyDescent="0.25">
      <c r="A139" s="5">
        <v>46148</v>
      </c>
      <c r="B139" s="6" t="s">
        <v>55</v>
      </c>
      <c r="C139" s="3" t="s">
        <v>43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98</v>
      </c>
      <c r="O139" s="3">
        <v>16.43835616438356</v>
      </c>
    </row>
    <row r="140" spans="1:15" hidden="1" x14ac:dyDescent="0.25">
      <c r="A140" s="5">
        <v>46148</v>
      </c>
      <c r="B140" s="6" t="s">
        <v>57</v>
      </c>
      <c r="C140" s="3" t="s">
        <v>43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19.138755980861241</v>
      </c>
    </row>
    <row r="141" spans="1:15" hidden="1" x14ac:dyDescent="0.25">
      <c r="A141" s="5">
        <v>46148</v>
      </c>
      <c r="B141" s="6" t="s">
        <v>58</v>
      </c>
      <c r="C141" s="3" t="s">
        <v>43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15.02145922746781</v>
      </c>
    </row>
    <row r="142" spans="1:15" hidden="1" x14ac:dyDescent="0.25">
      <c r="A142" s="5">
        <v>46149</v>
      </c>
      <c r="B142" s="6" t="s">
        <v>42</v>
      </c>
      <c r="C142" s="3" t="s">
        <v>43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97.01</v>
      </c>
      <c r="O142" s="3">
        <v>13.961038961038961</v>
      </c>
    </row>
    <row r="143" spans="1:15" hidden="1" x14ac:dyDescent="0.25">
      <c r="A143" s="5">
        <v>46149</v>
      </c>
      <c r="B143" s="6" t="s">
        <v>45</v>
      </c>
      <c r="C143" s="3" t="s">
        <v>43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16.959064327485379</v>
      </c>
    </row>
    <row r="144" spans="1:15" hidden="1" x14ac:dyDescent="0.25">
      <c r="A144" s="5">
        <v>46149</v>
      </c>
      <c r="B144" s="6" t="s">
        <v>55</v>
      </c>
      <c r="C144" s="3" t="s">
        <v>43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98</v>
      </c>
      <c r="O144" s="3">
        <v>16.43835616438356</v>
      </c>
    </row>
    <row r="145" spans="1:15" hidden="1" x14ac:dyDescent="0.25">
      <c r="A145" s="5">
        <v>46149</v>
      </c>
      <c r="B145" s="6" t="s">
        <v>57</v>
      </c>
      <c r="C145" s="3" t="s">
        <v>43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19.138755980861241</v>
      </c>
    </row>
    <row r="146" spans="1:15" hidden="1" x14ac:dyDescent="0.25">
      <c r="A146" s="5">
        <v>46149</v>
      </c>
      <c r="B146" s="6" t="s">
        <v>58</v>
      </c>
      <c r="C146" s="3" t="s">
        <v>43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15.02145922746781</v>
      </c>
    </row>
    <row r="147" spans="1:15" hidden="1" x14ac:dyDescent="0.25">
      <c r="A147" s="5">
        <v>46150</v>
      </c>
      <c r="B147" s="6" t="s">
        <v>42</v>
      </c>
      <c r="C147" s="3" t="s">
        <v>43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97.01</v>
      </c>
      <c r="O147">
        <v>13.961038961038961</v>
      </c>
    </row>
    <row r="148" spans="1:15" hidden="1" x14ac:dyDescent="0.25">
      <c r="A148" s="5">
        <v>46150</v>
      </c>
      <c r="B148" s="6" t="s">
        <v>45</v>
      </c>
      <c r="C148" s="3" t="s">
        <v>43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16.959064327485379</v>
      </c>
    </row>
    <row r="149" spans="1:15" hidden="1" x14ac:dyDescent="0.25">
      <c r="A149" s="5">
        <v>46150</v>
      </c>
      <c r="B149" s="6" t="s">
        <v>55</v>
      </c>
      <c r="C149" s="3" t="s">
        <v>43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98</v>
      </c>
      <c r="O149">
        <v>16.43835616438356</v>
      </c>
    </row>
    <row r="150" spans="1:15" hidden="1" x14ac:dyDescent="0.25">
      <c r="A150" s="5">
        <v>46150</v>
      </c>
      <c r="B150" s="6" t="s">
        <v>57</v>
      </c>
      <c r="C150" s="3" t="s">
        <v>43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19.138755980861241</v>
      </c>
    </row>
    <row r="151" spans="1:15" hidden="1" x14ac:dyDescent="0.25">
      <c r="A151" s="5">
        <v>46150</v>
      </c>
      <c r="B151" s="6" t="s">
        <v>58</v>
      </c>
      <c r="C151" s="3" t="s">
        <v>43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15.02145922746781</v>
      </c>
    </row>
    <row r="152" spans="1:15" hidden="1" x14ac:dyDescent="0.25">
      <c r="A152" s="5">
        <v>46153</v>
      </c>
      <c r="B152" s="6" t="s">
        <v>42</v>
      </c>
      <c r="C152" s="3" t="s">
        <v>43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97.01</v>
      </c>
      <c r="O152">
        <v>13.961038961038961</v>
      </c>
    </row>
    <row r="153" spans="1:15" hidden="1" x14ac:dyDescent="0.25">
      <c r="A153" s="5">
        <v>46153</v>
      </c>
      <c r="B153" s="6" t="s">
        <v>45</v>
      </c>
      <c r="C153" s="3" t="s">
        <v>43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16.959064327485379</v>
      </c>
    </row>
    <row r="154" spans="1:15" hidden="1" x14ac:dyDescent="0.25">
      <c r="A154" s="11">
        <v>46029</v>
      </c>
      <c r="B154" t="s">
        <v>36</v>
      </c>
      <c r="C154" t="s">
        <v>20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16</v>
      </c>
      <c r="K154" s="3">
        <f t="shared" si="29"/>
        <v>9</v>
      </c>
      <c r="L154" s="3" t="str">
        <f t="shared" si="26"/>
        <v>EXCELENTE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55</v>
      </c>
      <c r="C155" s="3" t="s">
        <v>43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98</v>
      </c>
      <c r="O155">
        <v>16.43835616438356</v>
      </c>
    </row>
    <row r="156" spans="1:15" hidden="1" x14ac:dyDescent="0.25">
      <c r="A156" s="5">
        <v>46153</v>
      </c>
      <c r="B156" s="6" t="s">
        <v>57</v>
      </c>
      <c r="C156" s="3" t="s">
        <v>43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19.138755980861241</v>
      </c>
    </row>
    <row r="157" spans="1:15" hidden="1" x14ac:dyDescent="0.25">
      <c r="A157" s="5">
        <v>46153</v>
      </c>
      <c r="B157" s="6" t="s">
        <v>58</v>
      </c>
      <c r="C157" s="3" t="s">
        <v>43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15.02145922746781</v>
      </c>
    </row>
    <row r="158" spans="1:15" hidden="1" x14ac:dyDescent="0.25">
      <c r="A158" s="5">
        <v>46154</v>
      </c>
      <c r="B158" s="6" t="s">
        <v>42</v>
      </c>
      <c r="C158" s="3" t="s">
        <v>43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97.01</v>
      </c>
      <c r="O158">
        <v>13.961038961038961</v>
      </c>
    </row>
    <row r="159" spans="1:15" hidden="1" x14ac:dyDescent="0.25">
      <c r="A159" s="5">
        <v>46154</v>
      </c>
      <c r="B159" s="6" t="s">
        <v>45</v>
      </c>
      <c r="C159" s="3" t="s">
        <v>43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16.959064327485379</v>
      </c>
    </row>
    <row r="160" spans="1:15" hidden="1" x14ac:dyDescent="0.25">
      <c r="A160" s="5">
        <v>46154</v>
      </c>
      <c r="B160" s="6" t="s">
        <v>55</v>
      </c>
      <c r="C160" s="3" t="s">
        <v>43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98</v>
      </c>
      <c r="O160">
        <v>16.43835616438356</v>
      </c>
    </row>
    <row r="161" spans="1:15" hidden="1" x14ac:dyDescent="0.25">
      <c r="A161" s="5">
        <v>46154</v>
      </c>
      <c r="B161" s="6" t="s">
        <v>57</v>
      </c>
      <c r="C161" s="3" t="s">
        <v>43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19.138755980861241</v>
      </c>
    </row>
    <row r="162" spans="1:15" hidden="1" x14ac:dyDescent="0.25">
      <c r="A162" s="5">
        <v>46154</v>
      </c>
      <c r="B162" s="6" t="s">
        <v>58</v>
      </c>
      <c r="C162" s="3" t="s">
        <v>43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15.02145922746781</v>
      </c>
    </row>
    <row r="163" spans="1:15" hidden="1" x14ac:dyDescent="0.25">
      <c r="A163" s="5">
        <v>46155</v>
      </c>
      <c r="B163" s="6" t="s">
        <v>42</v>
      </c>
      <c r="C163" s="3" t="s">
        <v>43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97.01</v>
      </c>
      <c r="O163">
        <v>13.961038961038961</v>
      </c>
    </row>
    <row r="164" spans="1:15" hidden="1" x14ac:dyDescent="0.25">
      <c r="A164" s="5">
        <v>46155</v>
      </c>
      <c r="B164" s="6" t="s">
        <v>45</v>
      </c>
      <c r="C164" s="3" t="s">
        <v>43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16.959064327485379</v>
      </c>
    </row>
    <row r="165" spans="1:15" hidden="1" x14ac:dyDescent="0.25">
      <c r="A165" s="5">
        <v>46155</v>
      </c>
      <c r="B165" s="6" t="s">
        <v>55</v>
      </c>
      <c r="C165" s="3" t="s">
        <v>43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98</v>
      </c>
      <c r="O165">
        <v>16.43835616438356</v>
      </c>
    </row>
    <row r="166" spans="1:15" hidden="1" x14ac:dyDescent="0.25">
      <c r="A166" s="5">
        <v>46155</v>
      </c>
      <c r="B166" s="6" t="s">
        <v>57</v>
      </c>
      <c r="C166" s="3" t="s">
        <v>43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19.138755980861241</v>
      </c>
    </row>
    <row r="167" spans="1:15" hidden="1" x14ac:dyDescent="0.25">
      <c r="A167" s="5">
        <v>46155</v>
      </c>
      <c r="B167" s="6" t="s">
        <v>58</v>
      </c>
      <c r="C167" s="3" t="s">
        <v>43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15.02145922746781</v>
      </c>
    </row>
    <row r="168" spans="1:15" hidden="1" x14ac:dyDescent="0.25">
      <c r="A168" s="5">
        <v>46156</v>
      </c>
      <c r="B168" s="6" t="s">
        <v>42</v>
      </c>
      <c r="C168" s="3" t="s">
        <v>43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97.01</v>
      </c>
      <c r="O168">
        <v>13.961038961038961</v>
      </c>
    </row>
    <row r="169" spans="1:15" hidden="1" x14ac:dyDescent="0.25">
      <c r="A169" s="5">
        <v>46156</v>
      </c>
      <c r="B169" s="6" t="s">
        <v>45</v>
      </c>
      <c r="C169" s="3" t="s">
        <v>43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16.959064327485379</v>
      </c>
    </row>
    <row r="170" spans="1:15" hidden="1" x14ac:dyDescent="0.25">
      <c r="A170" s="5">
        <v>46156</v>
      </c>
      <c r="B170" s="6" t="s">
        <v>55</v>
      </c>
      <c r="C170" s="3" t="s">
        <v>43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98</v>
      </c>
      <c r="O170">
        <v>16.43835616438356</v>
      </c>
    </row>
    <row r="171" spans="1:15" hidden="1" x14ac:dyDescent="0.25">
      <c r="A171" s="5">
        <v>46156</v>
      </c>
      <c r="B171" s="6" t="s">
        <v>57</v>
      </c>
      <c r="C171" s="3" t="s">
        <v>43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19.138755980861241</v>
      </c>
    </row>
    <row r="172" spans="1:15" hidden="1" x14ac:dyDescent="0.25">
      <c r="A172" s="5">
        <v>46156</v>
      </c>
      <c r="B172" s="6" t="s">
        <v>58</v>
      </c>
      <c r="C172" s="3" t="s">
        <v>43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15.02145922746781</v>
      </c>
    </row>
    <row r="173" spans="1:15" hidden="1" x14ac:dyDescent="0.25">
      <c r="A173" s="5">
        <v>46157</v>
      </c>
      <c r="B173" s="6" t="s">
        <v>42</v>
      </c>
      <c r="C173" s="3" t="s">
        <v>43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97.01</v>
      </c>
      <c r="O173">
        <v>13.961038961038961</v>
      </c>
    </row>
    <row r="174" spans="1:15" hidden="1" x14ac:dyDescent="0.25">
      <c r="A174" s="5">
        <v>46157</v>
      </c>
      <c r="B174" s="6" t="s">
        <v>45</v>
      </c>
      <c r="C174" s="3" t="s">
        <v>43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16.959064327485379</v>
      </c>
    </row>
    <row r="175" spans="1:15" hidden="1" x14ac:dyDescent="0.25">
      <c r="A175" s="5">
        <v>46157</v>
      </c>
      <c r="B175" s="6" t="s">
        <v>55</v>
      </c>
      <c r="C175" s="3" t="s">
        <v>43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98</v>
      </c>
      <c r="O175">
        <v>16.43835616438356</v>
      </c>
    </row>
    <row r="176" spans="1:15" hidden="1" x14ac:dyDescent="0.25">
      <c r="A176" s="5">
        <v>46157</v>
      </c>
      <c r="B176" s="6" t="s">
        <v>57</v>
      </c>
      <c r="C176" s="3" t="s">
        <v>43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19.138755980861241</v>
      </c>
    </row>
    <row r="177" spans="1:15" hidden="1" x14ac:dyDescent="0.25">
      <c r="A177" s="5">
        <v>46157</v>
      </c>
      <c r="B177" s="6" t="s">
        <v>58</v>
      </c>
      <c r="C177" s="3" t="s">
        <v>43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15</v>
      </c>
      <c r="N177">
        <v>100</v>
      </c>
      <c r="O177">
        <v>15.02145922746781</v>
      </c>
    </row>
    <row r="178" spans="1:15" hidden="1" x14ac:dyDescent="0.25">
      <c r="A178" s="5">
        <v>46160</v>
      </c>
      <c r="B178" s="6" t="s">
        <v>22</v>
      </c>
      <c r="C178" s="3" t="s">
        <v>43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99.11</v>
      </c>
      <c r="O178">
        <v>17.721518987341771</v>
      </c>
    </row>
    <row r="179" spans="1:15" hidden="1" x14ac:dyDescent="0.25">
      <c r="A179" s="5">
        <v>46160</v>
      </c>
      <c r="B179" s="6" t="s">
        <v>42</v>
      </c>
      <c r="C179" s="3" t="s">
        <v>43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97.01</v>
      </c>
      <c r="O179">
        <v>13.961038961038961</v>
      </c>
    </row>
    <row r="180" spans="1:15" hidden="1" x14ac:dyDescent="0.25">
      <c r="A180" s="5">
        <v>46160</v>
      </c>
      <c r="B180" s="6" t="s">
        <v>45</v>
      </c>
      <c r="C180" s="3" t="s">
        <v>43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16.959064327485379</v>
      </c>
    </row>
    <row r="181" spans="1:15" hidden="1" x14ac:dyDescent="0.25">
      <c r="A181" s="5">
        <v>46160</v>
      </c>
      <c r="B181" s="6" t="s">
        <v>55</v>
      </c>
      <c r="C181" s="3" t="s">
        <v>43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98</v>
      </c>
      <c r="O181">
        <v>16.43835616438356</v>
      </c>
    </row>
    <row r="182" spans="1:15" hidden="1" x14ac:dyDescent="0.25">
      <c r="A182" s="5">
        <v>46160</v>
      </c>
      <c r="B182" s="6" t="s">
        <v>57</v>
      </c>
      <c r="C182" s="3" t="s">
        <v>43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19.138755980861241</v>
      </c>
    </row>
    <row r="183" spans="1:15" hidden="1" x14ac:dyDescent="0.25">
      <c r="A183" s="5">
        <v>46160</v>
      </c>
      <c r="B183" s="6" t="s">
        <v>58</v>
      </c>
      <c r="C183" s="3" t="s">
        <v>43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15.02145922746781</v>
      </c>
    </row>
    <row r="184" spans="1:15" hidden="1" x14ac:dyDescent="0.25">
      <c r="A184" s="7">
        <v>46161</v>
      </c>
      <c r="B184" s="8" t="s">
        <v>22</v>
      </c>
      <c r="C184" s="9" t="s">
        <v>43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99.11</v>
      </c>
      <c r="O184">
        <v>17.721518987341771</v>
      </c>
    </row>
    <row r="185" spans="1:15" hidden="1" x14ac:dyDescent="0.25">
      <c r="A185" s="7">
        <v>46161</v>
      </c>
      <c r="B185" s="8" t="s">
        <v>42</v>
      </c>
      <c r="C185" s="9" t="s">
        <v>43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97.01</v>
      </c>
      <c r="O185">
        <v>13.961038961038961</v>
      </c>
    </row>
    <row r="186" spans="1:15" hidden="1" x14ac:dyDescent="0.25">
      <c r="A186" s="7">
        <v>46161</v>
      </c>
      <c r="B186" s="8" t="s">
        <v>45</v>
      </c>
      <c r="C186" s="9" t="s">
        <v>43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16.959064327485379</v>
      </c>
    </row>
    <row r="187" spans="1:15" hidden="1" x14ac:dyDescent="0.25">
      <c r="A187" s="7">
        <v>46161</v>
      </c>
      <c r="B187" s="8" t="s">
        <v>55</v>
      </c>
      <c r="C187" s="9" t="s">
        <v>43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98</v>
      </c>
      <c r="O187">
        <v>16.43835616438356</v>
      </c>
    </row>
    <row r="188" spans="1:15" hidden="1" x14ac:dyDescent="0.25">
      <c r="A188" s="7">
        <v>46161</v>
      </c>
      <c r="B188" s="8" t="s">
        <v>57</v>
      </c>
      <c r="C188" s="9" t="s">
        <v>43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19.138755980861241</v>
      </c>
    </row>
    <row r="189" spans="1:15" hidden="1" x14ac:dyDescent="0.25">
      <c r="A189" s="7">
        <v>46161</v>
      </c>
      <c r="B189" s="8" t="s">
        <v>58</v>
      </c>
      <c r="C189" s="9" t="s">
        <v>43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15.02145922746781</v>
      </c>
    </row>
    <row r="190" spans="1:15" hidden="1" x14ac:dyDescent="0.25">
      <c r="A190" s="7">
        <v>46162</v>
      </c>
      <c r="B190" s="8" t="s">
        <v>22</v>
      </c>
      <c r="C190" s="9" t="s">
        <v>43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99.11</v>
      </c>
      <c r="O190" s="9">
        <v>17.721518987341771</v>
      </c>
    </row>
    <row r="191" spans="1:15" hidden="1" x14ac:dyDescent="0.25">
      <c r="A191" s="7">
        <v>46162</v>
      </c>
      <c r="B191" s="8" t="s">
        <v>42</v>
      </c>
      <c r="C191" s="9" t="s">
        <v>43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97.01</v>
      </c>
      <c r="O191" s="9">
        <v>13.961038961038961</v>
      </c>
    </row>
    <row r="192" spans="1:15" hidden="1" x14ac:dyDescent="0.25">
      <c r="A192" s="11">
        <v>46030</v>
      </c>
      <c r="B192" t="s">
        <v>36</v>
      </c>
      <c r="C192" t="s">
        <v>20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14</v>
      </c>
      <c r="K192" s="3">
        <f t="shared" si="33"/>
        <v>3</v>
      </c>
      <c r="L192" s="3" t="str">
        <f>IF(K192&lt;-5,"CRÍTICO",IF(K192&lt;0,"ATENÇÃO",IF(K192&lt;=5,"BOM","EXCELENTE")))</f>
        <v>BOM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45</v>
      </c>
      <c r="C193" s="9" t="s">
        <v>43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16.959064327485379</v>
      </c>
    </row>
    <row r="194" spans="1:15" hidden="1" x14ac:dyDescent="0.25">
      <c r="A194" s="7">
        <v>46162</v>
      </c>
      <c r="B194" s="8" t="s">
        <v>55</v>
      </c>
      <c r="C194" s="9" t="s">
        <v>43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98</v>
      </c>
      <c r="O194" s="9">
        <v>16.43835616438356</v>
      </c>
    </row>
    <row r="195" spans="1:15" hidden="1" x14ac:dyDescent="0.25">
      <c r="A195" s="7">
        <v>46162</v>
      </c>
      <c r="B195" s="8" t="s">
        <v>57</v>
      </c>
      <c r="C195" s="9" t="s">
        <v>43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19.138755980861241</v>
      </c>
    </row>
    <row r="196" spans="1:15" hidden="1" x14ac:dyDescent="0.25">
      <c r="A196" s="7">
        <v>46162</v>
      </c>
      <c r="B196" s="8" t="s">
        <v>58</v>
      </c>
      <c r="C196" s="9" t="s">
        <v>43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15.02145922746781</v>
      </c>
    </row>
    <row r="197" spans="1:15" hidden="1" x14ac:dyDescent="0.25">
      <c r="A197" s="5">
        <v>46163</v>
      </c>
      <c r="B197" s="6" t="s">
        <v>22</v>
      </c>
      <c r="C197" s="3" t="s">
        <v>43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99.11</v>
      </c>
      <c r="O197" s="3">
        <v>17.721518987341771</v>
      </c>
    </row>
    <row r="198" spans="1:15" hidden="1" x14ac:dyDescent="0.25">
      <c r="A198" s="5">
        <v>46163</v>
      </c>
      <c r="B198" s="6" t="s">
        <v>42</v>
      </c>
      <c r="C198" s="3" t="s">
        <v>43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97.01</v>
      </c>
      <c r="O198" s="3">
        <v>13.961038961038961</v>
      </c>
    </row>
    <row r="199" spans="1:15" hidden="1" x14ac:dyDescent="0.25">
      <c r="A199" s="11">
        <v>46031</v>
      </c>
      <c r="B199" t="s">
        <v>36</v>
      </c>
      <c r="C199" t="s">
        <v>20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12</v>
      </c>
      <c r="K199" s="3">
        <f t="shared" si="33"/>
        <v>5</v>
      </c>
      <c r="L199" s="3" t="str">
        <f>IF(K199&lt;-5,"CRÍTICO",IF(K199&lt;0,"ATENÇÃO",IF(K199&lt;=5,"BOM","EXCELENTE")))</f>
        <v>BOM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45</v>
      </c>
      <c r="C200" s="3" t="s">
        <v>43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16.959064327485379</v>
      </c>
    </row>
    <row r="201" spans="1:15" hidden="1" x14ac:dyDescent="0.25">
      <c r="A201" s="5">
        <v>46163</v>
      </c>
      <c r="B201" s="6" t="s">
        <v>55</v>
      </c>
      <c r="C201" s="3" t="s">
        <v>43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98</v>
      </c>
      <c r="O201" s="3">
        <v>16.43835616438356</v>
      </c>
    </row>
    <row r="202" spans="1:15" hidden="1" x14ac:dyDescent="0.25">
      <c r="A202" s="5">
        <v>46163</v>
      </c>
      <c r="B202" s="6" t="s">
        <v>57</v>
      </c>
      <c r="C202" s="3" t="s">
        <v>43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19.138755980861241</v>
      </c>
    </row>
    <row r="203" spans="1:15" hidden="1" x14ac:dyDescent="0.25">
      <c r="A203" s="5">
        <v>46163</v>
      </c>
      <c r="B203" s="6" t="s">
        <v>58</v>
      </c>
      <c r="C203" s="3" t="s">
        <v>43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15.02145922746781</v>
      </c>
    </row>
    <row r="204" spans="1:15" hidden="1" x14ac:dyDescent="0.25">
      <c r="A204" s="10">
        <v>46164</v>
      </c>
      <c r="B204" s="6" t="s">
        <v>22</v>
      </c>
      <c r="C204" s="3" t="s">
        <v>43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99.11</v>
      </c>
      <c r="O204" s="3">
        <v>17.721518987341771</v>
      </c>
    </row>
    <row r="205" spans="1:15" hidden="1" x14ac:dyDescent="0.25">
      <c r="A205" s="10">
        <v>46164</v>
      </c>
      <c r="B205" s="6" t="s">
        <v>42</v>
      </c>
      <c r="C205" s="3" t="s">
        <v>43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97.01</v>
      </c>
      <c r="O205" s="3">
        <v>13.961038961038961</v>
      </c>
    </row>
    <row r="206" spans="1:15" hidden="1" x14ac:dyDescent="0.25">
      <c r="A206" s="10">
        <v>46164</v>
      </c>
      <c r="B206" s="6" t="s">
        <v>45</v>
      </c>
      <c r="C206" s="3" t="s">
        <v>43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16.959064327485379</v>
      </c>
    </row>
    <row r="207" spans="1:15" hidden="1" x14ac:dyDescent="0.25">
      <c r="A207" s="10">
        <v>46164</v>
      </c>
      <c r="B207" s="6" t="s">
        <v>55</v>
      </c>
      <c r="C207" s="3" t="s">
        <v>43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98</v>
      </c>
      <c r="O207" s="3">
        <v>16.43835616438356</v>
      </c>
    </row>
    <row r="208" spans="1:15" hidden="1" x14ac:dyDescent="0.25">
      <c r="A208" s="10">
        <v>46164</v>
      </c>
      <c r="B208" s="6" t="s">
        <v>57</v>
      </c>
      <c r="C208" s="3" t="s">
        <v>43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19.138755980861241</v>
      </c>
    </row>
    <row r="209" spans="1:15" hidden="1" x14ac:dyDescent="0.25">
      <c r="A209" s="10">
        <v>46164</v>
      </c>
      <c r="B209" s="6" t="s">
        <v>58</v>
      </c>
      <c r="C209" s="3" t="s">
        <v>43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15.02145922746781</v>
      </c>
    </row>
    <row r="210" spans="1:15" hidden="1" x14ac:dyDescent="0.25">
      <c r="A210" s="11">
        <v>46167</v>
      </c>
      <c r="B210" t="s">
        <v>22</v>
      </c>
      <c r="C210" t="s">
        <v>43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</row>
    <row r="211" spans="1:15" hidden="1" x14ac:dyDescent="0.25">
      <c r="A211" s="11">
        <v>46167</v>
      </c>
      <c r="B211" t="s">
        <v>42</v>
      </c>
      <c r="C211" t="s">
        <v>43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</row>
    <row r="212" spans="1:15" hidden="1" x14ac:dyDescent="0.25">
      <c r="A212" s="11">
        <v>46167</v>
      </c>
      <c r="B212" t="s">
        <v>45</v>
      </c>
      <c r="C212" t="s">
        <v>43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</row>
    <row r="213" spans="1:15" hidden="1" x14ac:dyDescent="0.25">
      <c r="A213" s="11">
        <v>46167</v>
      </c>
      <c r="B213" t="s">
        <v>55</v>
      </c>
      <c r="C213" t="s">
        <v>43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</row>
    <row r="214" spans="1:15" hidden="1" x14ac:dyDescent="0.25">
      <c r="A214" s="11">
        <v>46167</v>
      </c>
      <c r="B214" t="s">
        <v>57</v>
      </c>
      <c r="C214" t="s">
        <v>43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</row>
    <row r="215" spans="1:15" hidden="1" x14ac:dyDescent="0.25">
      <c r="A215" s="11">
        <v>46167</v>
      </c>
      <c r="B215" t="s">
        <v>58</v>
      </c>
      <c r="C215" t="s">
        <v>43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</row>
    <row r="216" spans="1:15" hidden="1" x14ac:dyDescent="0.25">
      <c r="A216" s="11">
        <v>46140</v>
      </c>
      <c r="B216" t="s">
        <v>42</v>
      </c>
      <c r="C216" t="s">
        <v>43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18</v>
      </c>
      <c r="K216" s="3">
        <f t="shared" ref="K216:K222" si="38">I216-J216</f>
        <v>7</v>
      </c>
      <c r="L216" s="3" t="str">
        <f t="shared" si="35"/>
        <v>MUITO BOM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45</v>
      </c>
      <c r="C217" t="s">
        <v>43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18</v>
      </c>
      <c r="K217" s="3">
        <f t="shared" si="38"/>
        <v>-4</v>
      </c>
      <c r="L217" s="3" t="str">
        <f t="shared" si="35"/>
        <v>ATENÇÃO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55</v>
      </c>
      <c r="C218" t="s">
        <v>43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18</v>
      </c>
      <c r="K218" s="3">
        <f t="shared" si="38"/>
        <v>0</v>
      </c>
      <c r="L218" s="3" t="str">
        <f t="shared" si="35"/>
        <v>OPORTUNO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57</v>
      </c>
      <c r="C219" t="s">
        <v>43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18</v>
      </c>
      <c r="K219" s="3">
        <f t="shared" si="38"/>
        <v>4</v>
      </c>
      <c r="L219" s="3" t="str">
        <f t="shared" si="35"/>
        <v>OPORTUNO</v>
      </c>
      <c r="N219">
        <v>98.84</v>
      </c>
      <c r="O219">
        <v>31.5018315018315</v>
      </c>
    </row>
    <row r="220" spans="1:15" hidden="1" x14ac:dyDescent="0.25">
      <c r="A220" s="11">
        <v>46140</v>
      </c>
      <c r="B220" t="s">
        <v>58</v>
      </c>
      <c r="C220" t="s">
        <v>43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18</v>
      </c>
      <c r="K220" s="3">
        <f t="shared" si="38"/>
        <v>1</v>
      </c>
      <c r="L220" s="3" t="str">
        <f t="shared" si="35"/>
        <v>OPORTUNO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42</v>
      </c>
      <c r="C221" t="s">
        <v>43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19</v>
      </c>
      <c r="K221" s="3">
        <f t="shared" si="38"/>
        <v>3</v>
      </c>
      <c r="L221" s="3" t="str">
        <f t="shared" si="35"/>
        <v>OPORTUNO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45</v>
      </c>
      <c r="C222" t="s">
        <v>43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19</v>
      </c>
      <c r="K222" s="3">
        <f t="shared" si="38"/>
        <v>-5</v>
      </c>
      <c r="L222" s="3" t="str">
        <f t="shared" si="35"/>
        <v>ATENÇÃO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55</v>
      </c>
      <c r="C223" t="s">
        <v>43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57</v>
      </c>
      <c r="C224" t="s">
        <v>43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19</v>
      </c>
      <c r="K224" s="3">
        <f t="shared" ref="K224:K230" si="41">I224-J224</f>
        <v>3</v>
      </c>
      <c r="L224" s="3" t="str">
        <f t="shared" si="35"/>
        <v>OPORTUNO</v>
      </c>
      <c r="N224">
        <v>98.84</v>
      </c>
      <c r="O224">
        <v>31.5018315018315</v>
      </c>
    </row>
    <row r="225" spans="1:15" hidden="1" x14ac:dyDescent="0.25">
      <c r="A225" s="11">
        <v>46141</v>
      </c>
      <c r="B225" t="s">
        <v>58</v>
      </c>
      <c r="C225" t="s">
        <v>43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19</v>
      </c>
      <c r="K225" s="3">
        <f t="shared" si="41"/>
        <v>4</v>
      </c>
      <c r="L225" s="3" t="str">
        <f t="shared" si="35"/>
        <v>OPORTUNO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42</v>
      </c>
      <c r="C226" t="s">
        <v>43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17</v>
      </c>
      <c r="K226" s="3">
        <f t="shared" si="41"/>
        <v>0</v>
      </c>
      <c r="L226" s="3" t="str">
        <f t="shared" si="35"/>
        <v>OPORTUNO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45</v>
      </c>
      <c r="C227" t="s">
        <v>43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17</v>
      </c>
      <c r="K227" s="3">
        <f t="shared" si="41"/>
        <v>4</v>
      </c>
      <c r="L227" s="3" t="str">
        <f t="shared" si="35"/>
        <v>OPORTUNO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55</v>
      </c>
      <c r="C228" t="s">
        <v>43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17</v>
      </c>
      <c r="K228" s="3">
        <f t="shared" si="41"/>
        <v>3</v>
      </c>
      <c r="L228" s="3" t="str">
        <f t="shared" si="35"/>
        <v>OPORTUNO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57</v>
      </c>
      <c r="C229" t="s">
        <v>43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17</v>
      </c>
      <c r="K229" s="3">
        <f t="shared" si="41"/>
        <v>2</v>
      </c>
      <c r="L229" s="3" t="str">
        <f t="shared" si="35"/>
        <v>OPORTUNO</v>
      </c>
      <c r="N229">
        <v>98.84</v>
      </c>
      <c r="O229">
        <v>31.5018315018315</v>
      </c>
    </row>
    <row r="230" spans="1:15" hidden="1" x14ac:dyDescent="0.25">
      <c r="A230" s="11">
        <v>46142</v>
      </c>
      <c r="B230" t="s">
        <v>58</v>
      </c>
      <c r="C230" t="s">
        <v>43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17</v>
      </c>
      <c r="K230" s="3">
        <f t="shared" si="41"/>
        <v>-4</v>
      </c>
      <c r="L230" s="3" t="str">
        <f t="shared" si="35"/>
        <v>ATENÇÃO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22</v>
      </c>
      <c r="C231" t="s">
        <v>43</v>
      </c>
      <c r="D231">
        <v>27</v>
      </c>
      <c r="E231">
        <v>27</v>
      </c>
      <c r="F231">
        <v>19.04</v>
      </c>
      <c r="G231">
        <v>0</v>
      </c>
    </row>
    <row r="232" spans="1:15" hidden="1" x14ac:dyDescent="0.25">
      <c r="A232" s="11">
        <v>46168</v>
      </c>
      <c r="B232" t="s">
        <v>42</v>
      </c>
      <c r="C232" t="s">
        <v>43</v>
      </c>
      <c r="D232">
        <v>13</v>
      </c>
      <c r="E232">
        <v>12</v>
      </c>
      <c r="F232">
        <v>14.16</v>
      </c>
      <c r="G232">
        <v>2</v>
      </c>
    </row>
    <row r="233" spans="1:15" hidden="1" x14ac:dyDescent="0.25">
      <c r="A233" s="11">
        <v>46168</v>
      </c>
      <c r="B233" t="s">
        <v>45</v>
      </c>
      <c r="C233" t="s">
        <v>43</v>
      </c>
      <c r="D233">
        <v>14</v>
      </c>
      <c r="E233">
        <v>13</v>
      </c>
      <c r="F233">
        <v>26.51</v>
      </c>
      <c r="G233">
        <v>3</v>
      </c>
    </row>
    <row r="234" spans="1:15" hidden="1" x14ac:dyDescent="0.25">
      <c r="A234" s="11">
        <v>46168</v>
      </c>
      <c r="B234" t="s">
        <v>55</v>
      </c>
      <c r="C234" t="s">
        <v>43</v>
      </c>
      <c r="D234">
        <v>33</v>
      </c>
      <c r="E234">
        <v>23</v>
      </c>
      <c r="F234">
        <v>11.5</v>
      </c>
      <c r="G234">
        <v>5</v>
      </c>
    </row>
    <row r="235" spans="1:15" hidden="1" x14ac:dyDescent="0.25">
      <c r="A235" s="11">
        <v>46168</v>
      </c>
      <c r="B235" t="s">
        <v>57</v>
      </c>
      <c r="C235" t="s">
        <v>43</v>
      </c>
      <c r="D235">
        <v>17</v>
      </c>
      <c r="E235">
        <v>16</v>
      </c>
      <c r="F235">
        <v>20.350000000000001</v>
      </c>
      <c r="G235">
        <v>3</v>
      </c>
    </row>
    <row r="236" spans="1:15" hidden="1" x14ac:dyDescent="0.25">
      <c r="A236" s="11">
        <v>46168</v>
      </c>
      <c r="B236" t="s">
        <v>58</v>
      </c>
      <c r="C236" t="s">
        <v>43</v>
      </c>
      <c r="D236">
        <v>17</v>
      </c>
      <c r="E236">
        <v>16</v>
      </c>
      <c r="F236">
        <v>15.28</v>
      </c>
      <c r="G236">
        <v>2</v>
      </c>
    </row>
    <row r="237" spans="1:15" x14ac:dyDescent="0.25">
      <c r="A237" s="11">
        <v>46140</v>
      </c>
      <c r="B237" t="s">
        <v>17</v>
      </c>
      <c r="C237" t="s">
        <v>18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N237" s="9">
        <v>98.66</v>
      </c>
      <c r="O237" s="9">
        <v>35.15625</v>
      </c>
    </row>
    <row r="238" spans="1:15" x14ac:dyDescent="0.25">
      <c r="A238" s="11">
        <v>46141</v>
      </c>
      <c r="B238" t="s">
        <v>17</v>
      </c>
      <c r="C238" t="s">
        <v>18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N238" s="9">
        <v>98.66</v>
      </c>
      <c r="O238" s="9">
        <v>35.15625</v>
      </c>
    </row>
    <row r="239" spans="1:15" x14ac:dyDescent="0.25">
      <c r="A239" s="11">
        <v>46142</v>
      </c>
      <c r="B239" t="s">
        <v>17</v>
      </c>
      <c r="C239" t="s">
        <v>18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N239" s="9">
        <v>98.66</v>
      </c>
      <c r="O239" s="9">
        <v>35.15625</v>
      </c>
    </row>
    <row r="240" spans="1:15" x14ac:dyDescent="0.25">
      <c r="A240" s="5">
        <v>46146</v>
      </c>
      <c r="B240" s="6" t="s">
        <v>17</v>
      </c>
      <c r="C240" s="3" t="s">
        <v>18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9">
        <v>0</v>
      </c>
      <c r="N240" s="9">
        <v>100</v>
      </c>
      <c r="O240" s="9">
        <v>0</v>
      </c>
    </row>
    <row r="241" spans="1:15" x14ac:dyDescent="0.25">
      <c r="A241" s="5">
        <v>46147</v>
      </c>
      <c r="B241" s="6" t="s">
        <v>17</v>
      </c>
      <c r="C241" s="3" t="s">
        <v>18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9">
        <v>0</v>
      </c>
      <c r="N241" s="9">
        <v>100</v>
      </c>
      <c r="O241" s="9">
        <v>0</v>
      </c>
    </row>
    <row r="242" spans="1:15" x14ac:dyDescent="0.25">
      <c r="A242" s="5">
        <v>46148</v>
      </c>
      <c r="B242" s="6" t="s">
        <v>17</v>
      </c>
      <c r="C242" s="3" t="s">
        <v>18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9">
        <v>0</v>
      </c>
      <c r="N242" s="9">
        <v>100</v>
      </c>
      <c r="O242" s="9">
        <v>0</v>
      </c>
    </row>
    <row r="243" spans="1:15" hidden="1" x14ac:dyDescent="0.25">
      <c r="A243" s="11">
        <v>46034</v>
      </c>
      <c r="B243" t="s">
        <v>36</v>
      </c>
      <c r="C243" t="s">
        <v>20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12</v>
      </c>
      <c r="K243" s="3">
        <f>I243-J243</f>
        <v>10</v>
      </c>
      <c r="L243" s="3" t="str">
        <f>IF(K243&lt;-5,"CRÍTICO",IF(K243&lt;0,"ATENÇÃO",IF(K243&lt;=5,"BOM","EXCELENTE")))</f>
        <v>EXCELENTE</v>
      </c>
      <c r="N243">
        <v>98.91</v>
      </c>
      <c r="O243">
        <v>31.367292225201069</v>
      </c>
    </row>
    <row r="244" spans="1:15" x14ac:dyDescent="0.25">
      <c r="A244" s="11">
        <v>46168</v>
      </c>
      <c r="B244" t="s">
        <v>17</v>
      </c>
      <c r="C244" t="s">
        <v>18</v>
      </c>
      <c r="D244" s="9">
        <v>0</v>
      </c>
      <c r="E244" s="9">
        <v>0</v>
      </c>
      <c r="F244" s="9">
        <v>0</v>
      </c>
      <c r="G244" s="9">
        <v>0</v>
      </c>
      <c r="H244" s="9">
        <v>0</v>
      </c>
      <c r="I244" s="9">
        <v>0</v>
      </c>
      <c r="J244" s="9">
        <v>0</v>
      </c>
      <c r="K244" s="9">
        <v>0</v>
      </c>
    </row>
    <row r="245" spans="1:15" x14ac:dyDescent="0.25">
      <c r="A245" s="11">
        <v>46140</v>
      </c>
      <c r="B245" t="s">
        <v>21</v>
      </c>
      <c r="C245" t="s">
        <v>18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N245" s="9">
        <v>100</v>
      </c>
      <c r="O245" s="9">
        <v>27.803738317757009</v>
      </c>
    </row>
    <row r="246" spans="1:15" x14ac:dyDescent="0.25">
      <c r="A246" s="11">
        <v>46141</v>
      </c>
      <c r="B246" t="s">
        <v>21</v>
      </c>
      <c r="C246" t="s">
        <v>18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N246" s="9">
        <v>100</v>
      </c>
      <c r="O246" s="9">
        <v>27.803738317757009</v>
      </c>
    </row>
    <row r="247" spans="1:15" x14ac:dyDescent="0.25">
      <c r="A247" s="11">
        <v>46142</v>
      </c>
      <c r="B247" t="s">
        <v>21</v>
      </c>
      <c r="C247" t="s">
        <v>18</v>
      </c>
      <c r="D247" s="9">
        <v>33</v>
      </c>
      <c r="E247" s="9">
        <v>32</v>
      </c>
      <c r="F247" s="9">
        <v>13.4</v>
      </c>
      <c r="G247" s="9">
        <v>0</v>
      </c>
      <c r="H247" s="9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30</v>
      </c>
      <c r="K247" s="3">
        <f>I247-J247</f>
        <v>2</v>
      </c>
      <c r="L247" s="3" t="str">
        <f>IF(K247&lt;-5,"CRÍTICO",IF(K247&lt;0,"ATENÇÃO",IF(K247&lt;=5,"OPORTUNO","MUITO BOM")))</f>
        <v>OPORTUNO</v>
      </c>
      <c r="N247" s="9">
        <v>100</v>
      </c>
      <c r="O247" s="9">
        <v>27.803738317757009</v>
      </c>
    </row>
    <row r="248" spans="1:15" x14ac:dyDescent="0.25">
      <c r="A248" s="5">
        <v>46146</v>
      </c>
      <c r="B248" s="6" t="s">
        <v>21</v>
      </c>
      <c r="C248" s="9" t="s">
        <v>18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9">
        <v>31</v>
      </c>
      <c r="N248" s="9">
        <v>96.34</v>
      </c>
      <c r="O248" s="9">
        <v>17.571884984025559</v>
      </c>
    </row>
    <row r="249" spans="1:15" x14ac:dyDescent="0.25">
      <c r="A249" s="5">
        <v>46147</v>
      </c>
      <c r="B249" s="6" t="s">
        <v>21</v>
      </c>
      <c r="C249" s="9" t="s">
        <v>18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96.34</v>
      </c>
      <c r="O249" s="3">
        <v>17.571884984025559</v>
      </c>
    </row>
    <row r="250" spans="1:15" x14ac:dyDescent="0.25">
      <c r="A250" s="5">
        <v>46148</v>
      </c>
      <c r="B250" s="6" t="s">
        <v>21</v>
      </c>
      <c r="C250" s="9" t="s">
        <v>18</v>
      </c>
      <c r="D250" s="3">
        <v>22</v>
      </c>
      <c r="E250" s="3">
        <v>20</v>
      </c>
      <c r="F250" s="9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96.34</v>
      </c>
      <c r="O250" s="3">
        <v>17.571884984025559</v>
      </c>
    </row>
    <row r="251" spans="1:15" x14ac:dyDescent="0.25">
      <c r="A251" s="11">
        <v>46168</v>
      </c>
      <c r="B251" t="s">
        <v>21</v>
      </c>
      <c r="C251" t="s">
        <v>18</v>
      </c>
      <c r="D251" s="9">
        <v>33</v>
      </c>
      <c r="E251" s="9">
        <v>27</v>
      </c>
      <c r="F251" s="9">
        <v>12.19</v>
      </c>
      <c r="G251" s="9">
        <v>3</v>
      </c>
    </row>
    <row r="252" spans="1:15" x14ac:dyDescent="0.25">
      <c r="A252" s="11">
        <v>46140</v>
      </c>
      <c r="B252" t="s">
        <v>28</v>
      </c>
      <c r="C252" t="s">
        <v>18</v>
      </c>
      <c r="D252" s="9">
        <v>28</v>
      </c>
      <c r="E252" s="9">
        <v>24</v>
      </c>
      <c r="F252" s="9">
        <v>15.03</v>
      </c>
      <c r="G252" s="9">
        <v>0</v>
      </c>
      <c r="H252" s="9">
        <v>0</v>
      </c>
      <c r="I252" s="3">
        <f t="shared" ref="I252:I257" si="42">E252+G252+H252</f>
        <v>24</v>
      </c>
      <c r="J252" s="3">
        <f t="shared" ref="J252:J257" si="43"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32</v>
      </c>
      <c r="K252" s="3">
        <f t="shared" ref="K252:K257" si="44">I252-J252</f>
        <v>-8</v>
      </c>
      <c r="L252" s="3" t="str">
        <f>IF(K252&lt;-5,"CRÍTICO",IF(K252&lt;0,"ATENÇÃO",IF(K252&lt;=5,"OPORTUNO","MUITO BOM")))</f>
        <v>CRÍTICO</v>
      </c>
      <c r="N252" s="9">
        <v>93.75</v>
      </c>
      <c r="O252" s="9">
        <v>26.628352490421459</v>
      </c>
    </row>
    <row r="253" spans="1:15" x14ac:dyDescent="0.25">
      <c r="A253" s="11">
        <v>46141</v>
      </c>
      <c r="B253" t="s">
        <v>28</v>
      </c>
      <c r="C253" t="s">
        <v>18</v>
      </c>
      <c r="D253" s="9">
        <v>42</v>
      </c>
      <c r="E253" s="9">
        <v>35</v>
      </c>
      <c r="F253" s="9">
        <v>10.130000000000001</v>
      </c>
      <c r="G253" s="9">
        <v>0</v>
      </c>
      <c r="H253" s="9">
        <v>0</v>
      </c>
      <c r="I253" s="3">
        <f t="shared" si="42"/>
        <v>35</v>
      </c>
      <c r="J253" s="3">
        <f t="shared" si="43"/>
        <v>33</v>
      </c>
      <c r="K253" s="3">
        <f t="shared" si="44"/>
        <v>2</v>
      </c>
      <c r="L253" s="3" t="str">
        <f>IF(K253&lt;-5,"CRÍTICO",IF(K253&lt;0,"ATENÇÃO",IF(K253&lt;=5,"OPORTUNO","MUITO BOM")))</f>
        <v>OPORTUNO</v>
      </c>
      <c r="N253" s="9">
        <v>93.75</v>
      </c>
      <c r="O253" s="9">
        <v>26.628352490421459</v>
      </c>
    </row>
    <row r="254" spans="1:15" x14ac:dyDescent="0.25">
      <c r="A254" s="11">
        <v>46142</v>
      </c>
      <c r="B254" t="s">
        <v>28</v>
      </c>
      <c r="C254" t="s">
        <v>18</v>
      </c>
      <c r="D254" s="9">
        <v>39</v>
      </c>
      <c r="E254" s="9">
        <v>37</v>
      </c>
      <c r="F254" s="9">
        <v>11.54</v>
      </c>
      <c r="G254" s="9">
        <v>0</v>
      </c>
      <c r="H254" s="9">
        <v>0</v>
      </c>
      <c r="I254" s="3">
        <f t="shared" si="42"/>
        <v>37</v>
      </c>
      <c r="J254" s="3">
        <f t="shared" si="43"/>
        <v>30</v>
      </c>
      <c r="K254" s="3">
        <f t="shared" si="44"/>
        <v>7</v>
      </c>
      <c r="L254" s="3" t="str">
        <f>IF(K254&lt;-5,"CRÍTICO",IF(K254&lt;0,"ATENÇÃO",IF(K254&lt;=5,"OPORTUNO","MUITO BOM")))</f>
        <v>MUITO BOM</v>
      </c>
      <c r="N254" s="9">
        <v>93.75</v>
      </c>
      <c r="O254" s="9">
        <v>26.628352490421459</v>
      </c>
    </row>
    <row r="255" spans="1:15" x14ac:dyDescent="0.25">
      <c r="A255" s="5">
        <v>46146</v>
      </c>
      <c r="B255" s="6" t="s">
        <v>28</v>
      </c>
      <c r="C255" s="3" t="s">
        <v>18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42"/>
        <v>38</v>
      </c>
      <c r="J255" s="3">
        <f t="shared" si="43"/>
        <v>35</v>
      </c>
      <c r="K255" s="3">
        <f t="shared" si="44"/>
        <v>3</v>
      </c>
      <c r="L255" s="3" t="str">
        <f>IF(K255&lt;-5,"CRÍTICO",IF(K255&lt;0,"ATENÇÃO",IF(K255&lt;=5,"BOM","EXCELENTE")))</f>
        <v>BOM</v>
      </c>
      <c r="M255" s="9">
        <v>32</v>
      </c>
      <c r="N255" s="9">
        <v>91.85</v>
      </c>
      <c r="O255" s="9">
        <v>20.87155963302752</v>
      </c>
    </row>
    <row r="256" spans="1:15" x14ac:dyDescent="0.25">
      <c r="A256" s="5">
        <v>46147</v>
      </c>
      <c r="B256" s="6" t="s">
        <v>28</v>
      </c>
      <c r="C256" s="3" t="s">
        <v>18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42"/>
        <v>47</v>
      </c>
      <c r="J256" s="3">
        <f t="shared" si="43"/>
        <v>35</v>
      </c>
      <c r="K256" s="3">
        <f t="shared" si="44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91.85</v>
      </c>
      <c r="O256" s="3">
        <v>20.87155963302752</v>
      </c>
    </row>
    <row r="257" spans="1:15" x14ac:dyDescent="0.25">
      <c r="A257" s="5">
        <v>46148</v>
      </c>
      <c r="B257" s="6" t="s">
        <v>28</v>
      </c>
      <c r="C257" s="3" t="s">
        <v>18</v>
      </c>
      <c r="D257" s="3">
        <v>48</v>
      </c>
      <c r="E257" s="3">
        <v>44</v>
      </c>
      <c r="F257" s="9">
        <v>12.07</v>
      </c>
      <c r="G257" s="3">
        <v>0</v>
      </c>
      <c r="H257" s="3">
        <v>0</v>
      </c>
      <c r="I257" s="3">
        <f t="shared" si="42"/>
        <v>44</v>
      </c>
      <c r="J257" s="3">
        <f t="shared" si="43"/>
        <v>35</v>
      </c>
      <c r="K257" s="3">
        <f t="shared" si="44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91.85</v>
      </c>
      <c r="O257" s="3">
        <v>20.87155963302752</v>
      </c>
    </row>
    <row r="258" spans="1:15" x14ac:dyDescent="0.25">
      <c r="A258" s="11">
        <v>46168</v>
      </c>
      <c r="B258" t="s">
        <v>28</v>
      </c>
      <c r="C258" t="s">
        <v>18</v>
      </c>
      <c r="D258" s="9">
        <v>24</v>
      </c>
      <c r="E258" s="9">
        <v>22</v>
      </c>
      <c r="F258" s="9">
        <v>10.43</v>
      </c>
      <c r="G258" s="9">
        <v>0</v>
      </c>
    </row>
    <row r="259" spans="1:15" x14ac:dyDescent="0.25">
      <c r="A259" s="11">
        <v>46140</v>
      </c>
      <c r="B259" t="s">
        <v>31</v>
      </c>
      <c r="C259" t="s">
        <v>18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N259" s="9">
        <v>100</v>
      </c>
      <c r="O259" s="9">
        <v>38.269230769230766</v>
      </c>
    </row>
    <row r="260" spans="1:15" x14ac:dyDescent="0.25">
      <c r="A260" s="11">
        <v>46141</v>
      </c>
      <c r="B260" t="s">
        <v>31</v>
      </c>
      <c r="C260" t="s">
        <v>18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N260" s="9">
        <v>100</v>
      </c>
      <c r="O260" s="9">
        <v>38.269230769230766</v>
      </c>
    </row>
    <row r="261" spans="1:15" x14ac:dyDescent="0.25">
      <c r="A261" s="11">
        <v>46142</v>
      </c>
      <c r="B261" t="s">
        <v>31</v>
      </c>
      <c r="C261" t="s">
        <v>18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N261" s="9">
        <v>100</v>
      </c>
      <c r="O261" s="9">
        <v>38.269230769230766</v>
      </c>
    </row>
    <row r="262" spans="1:15" x14ac:dyDescent="0.25">
      <c r="A262" s="5">
        <v>46146</v>
      </c>
      <c r="B262" s="6" t="s">
        <v>31</v>
      </c>
      <c r="C262" s="9" t="s">
        <v>18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9">
        <v>25</v>
      </c>
      <c r="N262" s="9">
        <v>99.06</v>
      </c>
      <c r="O262" s="9">
        <v>22.95719844357977</v>
      </c>
    </row>
    <row r="263" spans="1:15" x14ac:dyDescent="0.25">
      <c r="A263" s="5">
        <v>46147</v>
      </c>
      <c r="B263" s="6" t="s">
        <v>31</v>
      </c>
      <c r="C263" s="9" t="s">
        <v>18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99.06</v>
      </c>
      <c r="O263" s="3">
        <v>22.95719844357977</v>
      </c>
    </row>
    <row r="264" spans="1:15" x14ac:dyDescent="0.25">
      <c r="A264" s="5">
        <v>46148</v>
      </c>
      <c r="B264" s="6" t="s">
        <v>31</v>
      </c>
      <c r="C264" s="9" t="s">
        <v>18</v>
      </c>
      <c r="D264" s="3">
        <v>24</v>
      </c>
      <c r="E264" s="3">
        <v>22</v>
      </c>
      <c r="F264" s="9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99.06</v>
      </c>
      <c r="O264" s="3">
        <v>22.95719844357977</v>
      </c>
    </row>
    <row r="265" spans="1:15" x14ac:dyDescent="0.25">
      <c r="A265" s="11">
        <v>46168</v>
      </c>
      <c r="B265" t="s">
        <v>31</v>
      </c>
      <c r="C265" t="s">
        <v>18</v>
      </c>
      <c r="D265" s="9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</row>
    <row r="266" spans="1:15" x14ac:dyDescent="0.25">
      <c r="A266" s="11">
        <v>46140</v>
      </c>
      <c r="B266" t="s">
        <v>34</v>
      </c>
      <c r="C266" t="s">
        <v>18</v>
      </c>
      <c r="D266" s="9">
        <v>32</v>
      </c>
      <c r="E266" s="9">
        <v>31</v>
      </c>
      <c r="F266" s="9">
        <v>18.489999999999998</v>
      </c>
      <c r="G266" s="9">
        <v>0</v>
      </c>
      <c r="H266" s="9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32</v>
      </c>
      <c r="K266" s="3">
        <f>I266-J266</f>
        <v>-1</v>
      </c>
      <c r="L266" s="3" t="str">
        <f>IF(K266&lt;-5,"CRÍTICO",IF(K266&lt;0,"ATENÇÃO",IF(K266&lt;=5,"OPORTUNO","MUITO BOM")))</f>
        <v>ATENÇÃO</v>
      </c>
      <c r="N266" s="9">
        <v>99.26</v>
      </c>
      <c r="O266" s="9">
        <v>29.57198443579767</v>
      </c>
    </row>
    <row r="267" spans="1:15" x14ac:dyDescent="0.25">
      <c r="A267" s="11">
        <v>46141</v>
      </c>
      <c r="B267" t="s">
        <v>34</v>
      </c>
      <c r="C267" t="s">
        <v>18</v>
      </c>
      <c r="D267" s="9">
        <v>31</v>
      </c>
      <c r="E267" s="9">
        <v>29</v>
      </c>
      <c r="F267" s="9">
        <v>16.579999999999998</v>
      </c>
      <c r="G267" s="9">
        <v>0</v>
      </c>
      <c r="H267" s="9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33</v>
      </c>
      <c r="K267" s="3">
        <f>I267-J267</f>
        <v>-4</v>
      </c>
      <c r="L267" s="3" t="str">
        <f>IF(K267&lt;-5,"CRÍTICO",IF(K267&lt;0,"ATENÇÃO",IF(K267&lt;=5,"OPORTUNO","MUITO BOM")))</f>
        <v>ATENÇÃO</v>
      </c>
      <c r="N267" s="9">
        <v>99.26</v>
      </c>
      <c r="O267" s="9">
        <v>29.57198443579767</v>
      </c>
    </row>
    <row r="268" spans="1:15" x14ac:dyDescent="0.25">
      <c r="A268" s="11">
        <v>46142</v>
      </c>
      <c r="B268" t="s">
        <v>34</v>
      </c>
      <c r="C268" t="s">
        <v>18</v>
      </c>
      <c r="D268" s="9">
        <v>29</v>
      </c>
      <c r="E268" s="9">
        <v>26</v>
      </c>
      <c r="F268" s="9">
        <v>15.07</v>
      </c>
      <c r="G268" s="9">
        <v>0</v>
      </c>
      <c r="H268" s="9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30</v>
      </c>
      <c r="K268" s="3">
        <f>I268-J268</f>
        <v>-4</v>
      </c>
      <c r="L268" s="3" t="str">
        <f>IF(K268&lt;-5,"CRÍTICO",IF(K268&lt;0,"ATENÇÃO",IF(K268&lt;=5,"OPORTUNO","MUITO BOM")))</f>
        <v>ATENÇÃO</v>
      </c>
      <c r="N268" s="9">
        <v>99.26</v>
      </c>
      <c r="O268" s="9">
        <v>29.57198443579767</v>
      </c>
    </row>
    <row r="269" spans="1:15" x14ac:dyDescent="0.25">
      <c r="A269" s="5">
        <v>46146</v>
      </c>
      <c r="B269" s="6" t="s">
        <v>34</v>
      </c>
      <c r="C269" s="9" t="s">
        <v>18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9">
        <v>0</v>
      </c>
      <c r="N269" s="9">
        <v>100</v>
      </c>
      <c r="O269" s="9">
        <v>9.5238095238095237</v>
      </c>
    </row>
    <row r="270" spans="1:15" x14ac:dyDescent="0.25">
      <c r="A270" s="5">
        <v>46147</v>
      </c>
      <c r="B270" s="6" t="s">
        <v>34</v>
      </c>
      <c r="C270" s="9" t="s">
        <v>18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9.5238095238095237</v>
      </c>
    </row>
    <row r="271" spans="1:15" x14ac:dyDescent="0.25">
      <c r="A271" s="5">
        <v>46148</v>
      </c>
      <c r="B271" s="6" t="s">
        <v>34</v>
      </c>
      <c r="C271" s="9" t="s">
        <v>18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9.5238095238095237</v>
      </c>
    </row>
    <row r="272" spans="1:15" x14ac:dyDescent="0.25">
      <c r="A272" s="11">
        <v>46168</v>
      </c>
      <c r="B272" t="s">
        <v>34</v>
      </c>
      <c r="C272" t="s">
        <v>18</v>
      </c>
      <c r="D272" s="9">
        <v>38</v>
      </c>
      <c r="E272" s="9">
        <v>35</v>
      </c>
      <c r="F272" s="9">
        <v>12</v>
      </c>
      <c r="G272" s="9">
        <v>3</v>
      </c>
    </row>
    <row r="273" spans="1:15" x14ac:dyDescent="0.25">
      <c r="A273" s="11">
        <v>46140</v>
      </c>
      <c r="B273" t="s">
        <v>38</v>
      </c>
      <c r="C273" t="s">
        <v>18</v>
      </c>
      <c r="D273" s="9">
        <v>38</v>
      </c>
      <c r="E273" s="9">
        <v>35</v>
      </c>
      <c r="F273" s="9">
        <v>16.57</v>
      </c>
      <c r="G273" s="9">
        <v>0</v>
      </c>
      <c r="H273" s="9">
        <v>0</v>
      </c>
      <c r="I273" s="3">
        <f t="shared" ref="I273:I278" si="45">E273+G273+H273</f>
        <v>35</v>
      </c>
      <c r="J273" s="3">
        <f t="shared" ref="J273:J278" si="46"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32</v>
      </c>
      <c r="K273" s="3">
        <f t="shared" ref="K273:K278" si="47">I273-J273</f>
        <v>3</v>
      </c>
      <c r="L273" s="3" t="str">
        <f>IF(K273&lt;-5,"CRÍTICO",IF(K273&lt;0,"ATENÇÃO",IF(K273&lt;=5,"OPORTUNO","MUITO BOM")))</f>
        <v>OPORTUNO</v>
      </c>
      <c r="N273" s="9">
        <v>99.57</v>
      </c>
      <c r="O273" s="9">
        <v>29.913294797687861</v>
      </c>
    </row>
    <row r="274" spans="1:15" x14ac:dyDescent="0.25">
      <c r="A274" s="11">
        <v>46141</v>
      </c>
      <c r="B274" t="s">
        <v>38</v>
      </c>
      <c r="C274" t="s">
        <v>18</v>
      </c>
      <c r="D274" s="9">
        <v>44</v>
      </c>
      <c r="E274" s="9">
        <v>40</v>
      </c>
      <c r="F274" s="9">
        <v>12.14</v>
      </c>
      <c r="G274" s="9">
        <v>0</v>
      </c>
      <c r="H274" s="9">
        <v>0</v>
      </c>
      <c r="I274" s="3">
        <f t="shared" si="45"/>
        <v>40</v>
      </c>
      <c r="J274" s="3">
        <f t="shared" si="46"/>
        <v>33</v>
      </c>
      <c r="K274" s="3">
        <f t="shared" si="47"/>
        <v>7</v>
      </c>
      <c r="L274" s="3" t="str">
        <f>IF(K274&lt;-5,"CRÍTICO",IF(K274&lt;0,"ATENÇÃO",IF(K274&lt;=5,"OPORTUNO","MUITO BOM")))</f>
        <v>MUITO BOM</v>
      </c>
      <c r="N274" s="9">
        <v>99.57</v>
      </c>
      <c r="O274" s="9">
        <v>29.913294797687861</v>
      </c>
    </row>
    <row r="275" spans="1:15" x14ac:dyDescent="0.25">
      <c r="A275" s="11">
        <v>46142</v>
      </c>
      <c r="B275" t="s">
        <v>38</v>
      </c>
      <c r="C275" t="s">
        <v>18</v>
      </c>
      <c r="D275" s="9">
        <v>47</v>
      </c>
      <c r="E275" s="9">
        <v>42</v>
      </c>
      <c r="F275" s="9">
        <v>12.14</v>
      </c>
      <c r="G275" s="9">
        <v>0</v>
      </c>
      <c r="H275" s="9">
        <v>0</v>
      </c>
      <c r="I275" s="3">
        <f t="shared" si="45"/>
        <v>42</v>
      </c>
      <c r="J275" s="3">
        <f t="shared" si="46"/>
        <v>30</v>
      </c>
      <c r="K275" s="3">
        <f t="shared" si="47"/>
        <v>12</v>
      </c>
      <c r="L275" s="3" t="str">
        <f>IF(K275&lt;-5,"CRÍTICO",IF(K275&lt;0,"ATENÇÃO",IF(K275&lt;=5,"OPORTUNO","MUITO BOM")))</f>
        <v>MUITO BOM</v>
      </c>
      <c r="N275" s="9">
        <v>99.57</v>
      </c>
      <c r="O275" s="9">
        <v>29.913294797687861</v>
      </c>
    </row>
    <row r="276" spans="1:15" x14ac:dyDescent="0.25">
      <c r="A276" s="5">
        <v>46146</v>
      </c>
      <c r="B276" s="6" t="s">
        <v>38</v>
      </c>
      <c r="C276" s="3" t="s">
        <v>18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45"/>
        <v>49</v>
      </c>
      <c r="J276" s="3">
        <f t="shared" si="46"/>
        <v>35</v>
      </c>
      <c r="K276" s="3">
        <f t="shared" si="47"/>
        <v>14</v>
      </c>
      <c r="L276" s="3" t="str">
        <f>IF(K276&lt;-5,"CRÍTICO",IF(K276&lt;0,"ATENÇÃO",IF(K276&lt;=5,"BOM","EXCELENTE")))</f>
        <v>EXCELENTE</v>
      </c>
      <c r="M276" s="9">
        <v>46</v>
      </c>
      <c r="N276" s="9">
        <v>98.64</v>
      </c>
      <c r="O276" s="9">
        <v>16.638370118845501</v>
      </c>
    </row>
    <row r="277" spans="1:15" x14ac:dyDescent="0.25">
      <c r="A277" s="5">
        <v>46147</v>
      </c>
      <c r="B277" s="6" t="s">
        <v>38</v>
      </c>
      <c r="C277" s="3" t="s">
        <v>18</v>
      </c>
      <c r="D277" s="3">
        <v>40</v>
      </c>
      <c r="E277" s="3">
        <v>40</v>
      </c>
      <c r="F277" s="9">
        <v>15.42</v>
      </c>
      <c r="G277" s="3">
        <v>2</v>
      </c>
      <c r="H277" s="3">
        <v>0</v>
      </c>
      <c r="I277" s="3">
        <f t="shared" si="45"/>
        <v>42</v>
      </c>
      <c r="J277" s="3">
        <f t="shared" si="46"/>
        <v>35</v>
      </c>
      <c r="K277" s="3">
        <f t="shared" si="47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98.64</v>
      </c>
      <c r="O277" s="3">
        <v>16.638370118845501</v>
      </c>
    </row>
    <row r="278" spans="1:15" x14ac:dyDescent="0.25">
      <c r="A278" s="5">
        <v>46148</v>
      </c>
      <c r="B278" s="6" t="s">
        <v>38</v>
      </c>
      <c r="C278" s="3" t="s">
        <v>18</v>
      </c>
      <c r="D278" s="3">
        <v>52</v>
      </c>
      <c r="E278" s="3">
        <v>45</v>
      </c>
      <c r="F278" s="9">
        <v>13.59</v>
      </c>
      <c r="G278" s="3">
        <v>23</v>
      </c>
      <c r="H278" s="3">
        <v>0</v>
      </c>
      <c r="I278" s="3">
        <f t="shared" si="45"/>
        <v>68</v>
      </c>
      <c r="J278" s="3">
        <f t="shared" si="46"/>
        <v>35</v>
      </c>
      <c r="K278" s="3">
        <f t="shared" si="47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98.64</v>
      </c>
      <c r="O278" s="3">
        <v>16.638370118845501</v>
      </c>
    </row>
    <row r="279" spans="1:15" x14ac:dyDescent="0.25">
      <c r="A279" s="11">
        <v>46168</v>
      </c>
      <c r="B279" t="s">
        <v>38</v>
      </c>
      <c r="C279" t="s">
        <v>18</v>
      </c>
      <c r="D279" s="9">
        <v>38</v>
      </c>
      <c r="E279" s="9">
        <v>35</v>
      </c>
      <c r="F279" s="9">
        <v>13.38</v>
      </c>
      <c r="G279" s="9">
        <v>5</v>
      </c>
    </row>
    <row r="280" spans="1:15" x14ac:dyDescent="0.25">
      <c r="A280" s="11">
        <v>46140</v>
      </c>
      <c r="B280" t="s">
        <v>39</v>
      </c>
      <c r="C280" t="s">
        <v>18</v>
      </c>
      <c r="D280" s="9">
        <v>28</v>
      </c>
      <c r="E280" s="9">
        <v>28</v>
      </c>
      <c r="F280" s="9">
        <v>14.08</v>
      </c>
      <c r="G280" s="9">
        <v>0</v>
      </c>
      <c r="H280" s="9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32</v>
      </c>
      <c r="K280" s="3">
        <f>I280-J280</f>
        <v>-4</v>
      </c>
      <c r="L280" s="3" t="str">
        <f>IF(K280&lt;-5,"CRÍTICO",IF(K280&lt;0,"ATENÇÃO",IF(K280&lt;=5,"OPORTUNO","MUITO BOM")))</f>
        <v>ATENÇÃO</v>
      </c>
      <c r="N280" s="9">
        <v>95.65</v>
      </c>
      <c r="O280" s="9">
        <v>31.081081081081081</v>
      </c>
    </row>
    <row r="281" spans="1:15" x14ac:dyDescent="0.25">
      <c r="A281" s="11">
        <v>46141</v>
      </c>
      <c r="B281" t="s">
        <v>39</v>
      </c>
      <c r="C281" t="s">
        <v>18</v>
      </c>
      <c r="D281" s="9">
        <v>22</v>
      </c>
      <c r="E281" s="9">
        <v>20</v>
      </c>
      <c r="F281" s="9">
        <v>15.05</v>
      </c>
      <c r="G281" s="9">
        <v>0</v>
      </c>
      <c r="H281" s="9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33</v>
      </c>
      <c r="K281" s="3">
        <f>I281-J281</f>
        <v>-13</v>
      </c>
      <c r="L281" s="3" t="str">
        <f>IF(K281&lt;-5,"CRÍTICO",IF(K281&lt;0,"ATENÇÃO",IF(K281&lt;=5,"OPORTUNO","MUITO BOM")))</f>
        <v>CRÍTICO</v>
      </c>
      <c r="N281" s="9">
        <v>95.65</v>
      </c>
      <c r="O281" s="9">
        <v>31.081081081081081</v>
      </c>
    </row>
    <row r="282" spans="1:15" hidden="1" x14ac:dyDescent="0.25">
      <c r="A282" s="11">
        <v>46035</v>
      </c>
      <c r="B282" t="s">
        <v>36</v>
      </c>
      <c r="C282" t="s">
        <v>20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13</v>
      </c>
      <c r="K282" s="3">
        <f>I282-J282</f>
        <v>11</v>
      </c>
      <c r="L282" s="3" t="str">
        <f>IF(K282&lt;-5,"CRÍTICO",IF(K282&lt;0,"ATENÇÃO",IF(K282&lt;=5,"BOM","EXCELENTE")))</f>
        <v>EXCELENTE</v>
      </c>
      <c r="N282">
        <v>98.91</v>
      </c>
      <c r="O282">
        <v>31.367292225201069</v>
      </c>
    </row>
    <row r="283" spans="1:15" x14ac:dyDescent="0.25">
      <c r="A283" s="11">
        <v>46142</v>
      </c>
      <c r="B283" t="s">
        <v>39</v>
      </c>
      <c r="C283" t="s">
        <v>18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N283" s="9">
        <v>95.65</v>
      </c>
      <c r="O283" s="9">
        <v>31.081081081081081</v>
      </c>
    </row>
    <row r="284" spans="1:15" hidden="1" x14ac:dyDescent="0.25">
      <c r="A284" s="5">
        <v>46149</v>
      </c>
      <c r="B284" s="6" t="s">
        <v>17</v>
      </c>
      <c r="C284" s="3" t="s">
        <v>18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48">IF(K284&lt;-5,"CRÍTICO",IF(K284&lt;0,"ATENÇÃO",IF(K284&lt;=5,"BOM","EXCELENTE")))</f>
        <v>BOM</v>
      </c>
      <c r="M284" s="9">
        <v>0</v>
      </c>
      <c r="N284" s="9">
        <v>100</v>
      </c>
      <c r="O284" s="9">
        <v>0</v>
      </c>
    </row>
    <row r="285" spans="1:15" hidden="1" x14ac:dyDescent="0.25">
      <c r="A285" s="5">
        <v>46149</v>
      </c>
      <c r="B285" s="6" t="s">
        <v>21</v>
      </c>
      <c r="C285" s="9" t="s">
        <v>18</v>
      </c>
      <c r="D285" s="3">
        <v>32</v>
      </c>
      <c r="E285" s="3">
        <v>32</v>
      </c>
      <c r="F285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48"/>
        <v>ATENÇÃO</v>
      </c>
      <c r="M285" s="3">
        <v>33</v>
      </c>
      <c r="N285" s="3">
        <v>96.34</v>
      </c>
      <c r="O285" s="3">
        <v>17.571884984025559</v>
      </c>
    </row>
    <row r="286" spans="1:15" hidden="1" x14ac:dyDescent="0.25">
      <c r="A286" s="5">
        <v>46149</v>
      </c>
      <c r="B286" s="6" t="s">
        <v>28</v>
      </c>
      <c r="C286" s="3" t="s">
        <v>18</v>
      </c>
      <c r="D286" s="3">
        <v>47</v>
      </c>
      <c r="E286" s="3">
        <v>44</v>
      </c>
      <c r="F286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48"/>
        <v>EXCELENTE</v>
      </c>
      <c r="M286" s="3">
        <v>38</v>
      </c>
      <c r="N286" s="3">
        <v>91.85</v>
      </c>
      <c r="O286" s="3">
        <v>20.87155963302752</v>
      </c>
    </row>
    <row r="287" spans="1:15" hidden="1" x14ac:dyDescent="0.25">
      <c r="A287" s="5">
        <v>46149</v>
      </c>
      <c r="B287" s="6" t="s">
        <v>31</v>
      </c>
      <c r="C287" s="9" t="s">
        <v>18</v>
      </c>
      <c r="D287" s="3">
        <v>31</v>
      </c>
      <c r="E287" s="3">
        <v>30</v>
      </c>
      <c r="F287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48"/>
        <v>BOM</v>
      </c>
      <c r="M287" s="3">
        <v>29</v>
      </c>
      <c r="N287" s="3">
        <v>99.06</v>
      </c>
      <c r="O287" s="3">
        <v>22.95719844357977</v>
      </c>
    </row>
    <row r="288" spans="1:15" hidden="1" x14ac:dyDescent="0.25">
      <c r="A288" s="5">
        <v>46149</v>
      </c>
      <c r="B288" s="6" t="s">
        <v>34</v>
      </c>
      <c r="C288" s="9" t="s">
        <v>18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48"/>
        <v>BOM</v>
      </c>
      <c r="M288" s="3">
        <v>0</v>
      </c>
      <c r="N288" s="3">
        <v>100</v>
      </c>
      <c r="O288" s="3">
        <v>9.5238095238095237</v>
      </c>
    </row>
    <row r="289" spans="1:15" hidden="1" x14ac:dyDescent="0.25">
      <c r="A289" s="5">
        <v>46149</v>
      </c>
      <c r="B289" s="6" t="s">
        <v>38</v>
      </c>
      <c r="C289" s="3" t="s">
        <v>18</v>
      </c>
      <c r="D289" s="3">
        <v>56</v>
      </c>
      <c r="E289" s="3">
        <v>51</v>
      </c>
      <c r="F289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48"/>
        <v>EXCELENTE</v>
      </c>
      <c r="M289" s="3">
        <v>49</v>
      </c>
      <c r="N289" s="3">
        <v>98.64</v>
      </c>
      <c r="O289" s="3">
        <v>16.638370118845501</v>
      </c>
    </row>
    <row r="290" spans="1:15" hidden="1" x14ac:dyDescent="0.25">
      <c r="A290" s="5">
        <v>46149</v>
      </c>
      <c r="B290" s="6" t="s">
        <v>39</v>
      </c>
      <c r="C290" s="3" t="s">
        <v>18</v>
      </c>
      <c r="D290" s="3">
        <v>48</v>
      </c>
      <c r="E290" s="3">
        <v>39</v>
      </c>
      <c r="F290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48"/>
        <v>EXCELENTE</v>
      </c>
      <c r="M290" s="3">
        <v>41</v>
      </c>
      <c r="N290" s="3">
        <v>95.4</v>
      </c>
      <c r="O290" s="3">
        <v>20.533333333333331</v>
      </c>
    </row>
    <row r="291" spans="1:15" hidden="1" x14ac:dyDescent="0.25">
      <c r="A291" s="5">
        <v>46149</v>
      </c>
      <c r="B291" s="6" t="s">
        <v>41</v>
      </c>
      <c r="C291" s="3" t="s">
        <v>18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48"/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44</v>
      </c>
      <c r="C292" s="9" t="s">
        <v>18</v>
      </c>
      <c r="D292" s="3">
        <v>20</v>
      </c>
      <c r="E292" s="3">
        <v>19</v>
      </c>
      <c r="F292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48"/>
        <v>CRÍTICO</v>
      </c>
      <c r="M292" s="3">
        <v>23</v>
      </c>
      <c r="N292" s="3">
        <v>95.52</v>
      </c>
      <c r="O292" s="3">
        <v>10.561056105610559</v>
      </c>
    </row>
    <row r="293" spans="1:15" hidden="1" x14ac:dyDescent="0.25">
      <c r="A293" s="5">
        <v>46149</v>
      </c>
      <c r="B293" s="6" t="s">
        <v>46</v>
      </c>
      <c r="C293" s="9" t="s">
        <v>18</v>
      </c>
      <c r="D293" s="3">
        <v>25</v>
      </c>
      <c r="E293" s="3">
        <v>23</v>
      </c>
      <c r="F29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48"/>
        <v>CRÍTICO</v>
      </c>
      <c r="M293" s="3">
        <v>25</v>
      </c>
      <c r="N293" s="3">
        <v>100</v>
      </c>
      <c r="O293" s="3">
        <v>15.584415584415581</v>
      </c>
    </row>
    <row r="294" spans="1:15" hidden="1" x14ac:dyDescent="0.25">
      <c r="A294" s="5">
        <v>46149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48"/>
        <v>BOM</v>
      </c>
      <c r="M294" s="3">
        <v>0</v>
      </c>
      <c r="N294" s="3">
        <v>100</v>
      </c>
      <c r="O294" s="3">
        <v>4.3478260869565224</v>
      </c>
    </row>
    <row r="295" spans="1:15" hidden="1" x14ac:dyDescent="0.25">
      <c r="A295" s="5">
        <v>46149</v>
      </c>
      <c r="B295" s="6" t="s">
        <v>52</v>
      </c>
      <c r="C295" s="3" t="s">
        <v>18</v>
      </c>
      <c r="D295" s="3">
        <v>15</v>
      </c>
      <c r="E295" s="3">
        <v>14</v>
      </c>
      <c r="F295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48"/>
        <v>EXCELENTE</v>
      </c>
      <c r="M295" s="3">
        <v>35</v>
      </c>
      <c r="N295" s="3">
        <v>98.28</v>
      </c>
      <c r="O295" s="3">
        <v>9.037900874635568</v>
      </c>
    </row>
    <row r="296" spans="1:15" hidden="1" x14ac:dyDescent="0.25">
      <c r="A296" s="5">
        <v>46149</v>
      </c>
      <c r="B296" s="6" t="s">
        <v>53</v>
      </c>
      <c r="C296" s="3" t="s">
        <v>18</v>
      </c>
      <c r="D296" s="3">
        <v>26</v>
      </c>
      <c r="E296" s="3">
        <v>23</v>
      </c>
      <c r="F296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48"/>
        <v>ATENÇÃO</v>
      </c>
      <c r="M296" s="3">
        <v>26</v>
      </c>
      <c r="N296" s="3">
        <v>97.22</v>
      </c>
      <c r="O296" s="3">
        <v>19.095477386934672</v>
      </c>
    </row>
    <row r="297" spans="1:15" hidden="1" x14ac:dyDescent="0.25">
      <c r="A297" s="5">
        <v>46149</v>
      </c>
      <c r="B297" s="6" t="s">
        <v>61</v>
      </c>
      <c r="C297" s="3" t="s">
        <v>18</v>
      </c>
      <c r="D297" s="3">
        <v>35</v>
      </c>
      <c r="E297" s="3">
        <v>30</v>
      </c>
      <c r="F297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48"/>
        <v>BOM</v>
      </c>
      <c r="M297" s="3">
        <v>37</v>
      </c>
      <c r="N297" s="3">
        <v>99.29</v>
      </c>
      <c r="O297" s="3">
        <v>22.49443207126949</v>
      </c>
    </row>
    <row r="298" spans="1:15" hidden="1" x14ac:dyDescent="0.25">
      <c r="A298" s="5">
        <v>46149</v>
      </c>
      <c r="B298" s="6" t="s">
        <v>63</v>
      </c>
      <c r="C298" s="3" t="s">
        <v>18</v>
      </c>
      <c r="D298" s="3">
        <v>34</v>
      </c>
      <c r="E298" s="3">
        <v>31</v>
      </c>
      <c r="F298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48"/>
        <v>ATENÇÃO</v>
      </c>
      <c r="M298" s="3">
        <v>28</v>
      </c>
      <c r="N298" s="3">
        <v>97.33</v>
      </c>
      <c r="O298" s="3">
        <v>15.805471124620061</v>
      </c>
    </row>
    <row r="299" spans="1:15" hidden="1" x14ac:dyDescent="0.25">
      <c r="A299" s="5">
        <v>46150</v>
      </c>
      <c r="B299" s="6" t="s">
        <v>17</v>
      </c>
      <c r="C299" s="3" t="s">
        <v>18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48"/>
        <v>BOM</v>
      </c>
      <c r="M299" s="9">
        <v>0</v>
      </c>
      <c r="N299" s="9">
        <v>100</v>
      </c>
      <c r="O299" s="9">
        <v>0</v>
      </c>
    </row>
    <row r="300" spans="1:15" hidden="1" x14ac:dyDescent="0.25">
      <c r="A300" s="5">
        <v>46150</v>
      </c>
      <c r="B300" s="6" t="s">
        <v>21</v>
      </c>
      <c r="C300" s="9" t="s">
        <v>18</v>
      </c>
      <c r="D300" s="3">
        <v>22</v>
      </c>
      <c r="E300" s="3">
        <v>21</v>
      </c>
      <c r="F300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48"/>
        <v>ATENÇÃO</v>
      </c>
      <c r="M300">
        <v>20</v>
      </c>
      <c r="N300">
        <v>96.34</v>
      </c>
      <c r="O300">
        <v>17.571884984025559</v>
      </c>
    </row>
    <row r="301" spans="1:15" hidden="1" x14ac:dyDescent="0.25">
      <c r="A301" s="5">
        <v>46150</v>
      </c>
      <c r="B301" s="6" t="s">
        <v>28</v>
      </c>
      <c r="C301" s="3" t="s">
        <v>18</v>
      </c>
      <c r="D301" s="3">
        <v>27</v>
      </c>
      <c r="E301" s="3">
        <v>26</v>
      </c>
      <c r="F301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48"/>
        <v>ATENÇÃO</v>
      </c>
      <c r="M301">
        <v>25</v>
      </c>
      <c r="N301">
        <v>91.85</v>
      </c>
      <c r="O301">
        <v>20.87155963302752</v>
      </c>
    </row>
    <row r="302" spans="1:15" hidden="1" x14ac:dyDescent="0.25">
      <c r="A302" s="5">
        <v>46150</v>
      </c>
      <c r="B302" s="6" t="s">
        <v>31</v>
      </c>
      <c r="C302" s="9" t="s">
        <v>18</v>
      </c>
      <c r="D302" s="3">
        <v>17</v>
      </c>
      <c r="E302" s="3">
        <v>17</v>
      </c>
      <c r="F302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48"/>
        <v>BOM</v>
      </c>
      <c r="M302">
        <v>22</v>
      </c>
      <c r="N302">
        <v>99.06</v>
      </c>
      <c r="O302">
        <v>22.95719844357977</v>
      </c>
    </row>
    <row r="303" spans="1:15" hidden="1" x14ac:dyDescent="0.25">
      <c r="A303" s="5">
        <v>46150</v>
      </c>
      <c r="B303" s="6" t="s">
        <v>34</v>
      </c>
      <c r="C303" s="9" t="s">
        <v>18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48"/>
        <v>BOM</v>
      </c>
      <c r="M303" s="9">
        <v>0</v>
      </c>
      <c r="N303" s="9">
        <v>100</v>
      </c>
      <c r="O303" s="9">
        <v>9.5238095238095237</v>
      </c>
    </row>
    <row r="304" spans="1:15" hidden="1" x14ac:dyDescent="0.25">
      <c r="A304" s="5">
        <v>46150</v>
      </c>
      <c r="B304" s="6" t="s">
        <v>38</v>
      </c>
      <c r="C304" s="3" t="s">
        <v>18</v>
      </c>
      <c r="D304" s="3">
        <v>41</v>
      </c>
      <c r="E304" s="3">
        <v>37</v>
      </c>
      <c r="F304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48"/>
        <v>EXCELENTE</v>
      </c>
      <c r="M304">
        <v>41</v>
      </c>
      <c r="N304">
        <v>98.64</v>
      </c>
      <c r="O304">
        <v>16.638370118845501</v>
      </c>
    </row>
    <row r="305" spans="1:15" hidden="1" x14ac:dyDescent="0.25">
      <c r="A305" s="5">
        <v>46150</v>
      </c>
      <c r="B305" s="6" t="s">
        <v>39</v>
      </c>
      <c r="C305" s="3" t="s">
        <v>18</v>
      </c>
      <c r="D305" s="3">
        <v>20</v>
      </c>
      <c r="E305" s="3">
        <v>19</v>
      </c>
      <c r="F305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48"/>
        <v>ATENÇÃO</v>
      </c>
      <c r="M305">
        <v>21</v>
      </c>
      <c r="N305">
        <v>95.4</v>
      </c>
      <c r="O305">
        <v>20.533333333333331</v>
      </c>
    </row>
    <row r="306" spans="1:15" hidden="1" x14ac:dyDescent="0.25">
      <c r="A306" s="5">
        <v>46150</v>
      </c>
      <c r="B306" s="6" t="s">
        <v>41</v>
      </c>
      <c r="C306" s="3" t="s">
        <v>18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48"/>
        <v>BOM</v>
      </c>
      <c r="M306" s="9">
        <v>0</v>
      </c>
      <c r="N306" s="9">
        <v>0</v>
      </c>
      <c r="O306" s="9">
        <v>0</v>
      </c>
    </row>
    <row r="307" spans="1:15" hidden="1" x14ac:dyDescent="0.25">
      <c r="A307" s="5">
        <v>46150</v>
      </c>
      <c r="B307" s="6" t="s">
        <v>44</v>
      </c>
      <c r="C307" s="9" t="s">
        <v>18</v>
      </c>
      <c r="D307" s="3">
        <v>4</v>
      </c>
      <c r="E307" s="3">
        <v>4</v>
      </c>
      <c r="F307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48"/>
        <v>CRÍTICO</v>
      </c>
      <c r="M307">
        <v>4</v>
      </c>
      <c r="N307">
        <v>95.52</v>
      </c>
      <c r="O307">
        <v>10.561056105610559</v>
      </c>
    </row>
    <row r="308" spans="1:15" hidden="1" x14ac:dyDescent="0.25">
      <c r="A308" s="5">
        <v>46150</v>
      </c>
      <c r="B308" s="6" t="s">
        <v>46</v>
      </c>
      <c r="C308" s="9" t="s">
        <v>18</v>
      </c>
      <c r="D308" s="3">
        <v>29</v>
      </c>
      <c r="E308" s="3">
        <v>28</v>
      </c>
      <c r="F308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48"/>
        <v>ATENÇÃO</v>
      </c>
      <c r="M308">
        <v>24</v>
      </c>
      <c r="N308">
        <v>100</v>
      </c>
      <c r="O308">
        <v>15.584415584415581</v>
      </c>
    </row>
    <row r="309" spans="1:15" hidden="1" x14ac:dyDescent="0.25">
      <c r="A309" s="5">
        <v>46150</v>
      </c>
      <c r="B309" s="6" t="s">
        <v>49</v>
      </c>
      <c r="C309" s="3" t="s">
        <v>18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48"/>
        <v>BOM</v>
      </c>
      <c r="M309" s="9">
        <v>0</v>
      </c>
      <c r="N309" s="9">
        <v>100</v>
      </c>
      <c r="O309" s="9">
        <v>4.3478260869565224</v>
      </c>
    </row>
    <row r="310" spans="1:15" hidden="1" x14ac:dyDescent="0.25">
      <c r="A310" s="5">
        <v>46150</v>
      </c>
      <c r="B310" s="6" t="s">
        <v>52</v>
      </c>
      <c r="C310" s="3" t="s">
        <v>18</v>
      </c>
      <c r="D310" s="3">
        <v>0</v>
      </c>
      <c r="E310" s="3">
        <v>0</v>
      </c>
      <c r="F310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48"/>
        <v>BOM</v>
      </c>
      <c r="M310">
        <v>21</v>
      </c>
      <c r="N310">
        <v>98.28</v>
      </c>
      <c r="O310">
        <v>9.037900874635568</v>
      </c>
    </row>
    <row r="311" spans="1:15" hidden="1" x14ac:dyDescent="0.25">
      <c r="A311" s="5">
        <v>46150</v>
      </c>
      <c r="B311" s="6" t="s">
        <v>53</v>
      </c>
      <c r="C311" s="3" t="s">
        <v>18</v>
      </c>
      <c r="D311" s="3">
        <v>30</v>
      </c>
      <c r="E311" s="3">
        <v>28</v>
      </c>
      <c r="F311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48"/>
        <v>BOM</v>
      </c>
      <c r="M311">
        <v>23</v>
      </c>
      <c r="N311">
        <v>97.22</v>
      </c>
      <c r="O311">
        <v>19.095477386934672</v>
      </c>
    </row>
    <row r="312" spans="1:15" hidden="1" x14ac:dyDescent="0.25">
      <c r="A312" s="5">
        <v>46150</v>
      </c>
      <c r="B312" s="6" t="s">
        <v>61</v>
      </c>
      <c r="C312" s="3" t="s">
        <v>18</v>
      </c>
      <c r="D312" s="3">
        <v>44</v>
      </c>
      <c r="E312" s="3">
        <v>38</v>
      </c>
      <c r="F312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48"/>
        <v>EXCELENTE</v>
      </c>
      <c r="M312">
        <v>26</v>
      </c>
      <c r="N312">
        <v>99.29</v>
      </c>
      <c r="O312">
        <v>22.49443207126949</v>
      </c>
    </row>
    <row r="313" spans="1:15" hidden="1" x14ac:dyDescent="0.25">
      <c r="A313" s="5">
        <v>46150</v>
      </c>
      <c r="B313" s="6" t="s">
        <v>63</v>
      </c>
      <c r="C313" s="3" t="s">
        <v>18</v>
      </c>
      <c r="D313" s="3">
        <v>22</v>
      </c>
      <c r="E313" s="3">
        <v>21</v>
      </c>
      <c r="F31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48"/>
        <v>ATENÇÃO</v>
      </c>
      <c r="M313">
        <v>25</v>
      </c>
      <c r="N313">
        <v>97.33</v>
      </c>
      <c r="O313">
        <v>15.805471124620061</v>
      </c>
    </row>
    <row r="314" spans="1:15" hidden="1" x14ac:dyDescent="0.25">
      <c r="A314" s="5">
        <v>46153</v>
      </c>
      <c r="B314" s="6" t="s">
        <v>17</v>
      </c>
      <c r="C314" s="3" t="s">
        <v>18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48"/>
        <v>BOM</v>
      </c>
      <c r="M314" s="9">
        <v>0</v>
      </c>
      <c r="N314" s="9">
        <v>100</v>
      </c>
      <c r="O314" s="9">
        <v>0</v>
      </c>
    </row>
    <row r="315" spans="1:15" hidden="1" x14ac:dyDescent="0.25">
      <c r="A315" s="5">
        <v>46153</v>
      </c>
      <c r="B315" s="6" t="s">
        <v>21</v>
      </c>
      <c r="C315" s="9" t="s">
        <v>18</v>
      </c>
      <c r="D315" s="3">
        <v>18</v>
      </c>
      <c r="E315" s="3">
        <v>16</v>
      </c>
      <c r="F315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48"/>
        <v>CRÍTICO</v>
      </c>
      <c r="M315">
        <v>13</v>
      </c>
      <c r="N315">
        <v>96.34</v>
      </c>
      <c r="O315">
        <v>17.571884984025559</v>
      </c>
    </row>
    <row r="316" spans="1:15" hidden="1" x14ac:dyDescent="0.25">
      <c r="A316" s="5">
        <v>46153</v>
      </c>
      <c r="B316" s="6" t="s">
        <v>28</v>
      </c>
      <c r="C316" s="3" t="s">
        <v>18</v>
      </c>
      <c r="D316" s="3">
        <v>35</v>
      </c>
      <c r="E316" s="3">
        <v>35</v>
      </c>
      <c r="F316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49">IF(K316&lt;-5,"CRÍTICO",IF(K316&lt;0,"ATENÇÃO",IF(K316&lt;=5,"BOM","EXCELENTE")))</f>
        <v>BOM</v>
      </c>
      <c r="M316">
        <v>31</v>
      </c>
      <c r="N316">
        <v>91.85</v>
      </c>
      <c r="O316">
        <v>20.87155963302752</v>
      </c>
    </row>
    <row r="317" spans="1:15" hidden="1" x14ac:dyDescent="0.25">
      <c r="A317" s="5">
        <v>46153</v>
      </c>
      <c r="B317" s="6" t="s">
        <v>31</v>
      </c>
      <c r="C317" s="9" t="s">
        <v>18</v>
      </c>
      <c r="D317" s="3">
        <v>25</v>
      </c>
      <c r="E317" s="3">
        <v>25</v>
      </c>
      <c r="F317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49"/>
        <v>BOM</v>
      </c>
      <c r="M317">
        <v>25</v>
      </c>
      <c r="N317">
        <v>99.06</v>
      </c>
      <c r="O317">
        <v>22.95719844357977</v>
      </c>
    </row>
    <row r="318" spans="1:15" hidden="1" x14ac:dyDescent="0.25">
      <c r="A318" s="5">
        <v>46153</v>
      </c>
      <c r="B318" s="6" t="s">
        <v>34</v>
      </c>
      <c r="C318" s="9" t="s">
        <v>18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49"/>
        <v>BOM</v>
      </c>
      <c r="M318" s="9">
        <v>0</v>
      </c>
      <c r="N318" s="9">
        <v>100</v>
      </c>
      <c r="O318" s="9">
        <v>9.5238095238095237</v>
      </c>
    </row>
    <row r="319" spans="1:15" hidden="1" x14ac:dyDescent="0.25">
      <c r="A319" s="5">
        <v>46153</v>
      </c>
      <c r="B319" s="6" t="s">
        <v>38</v>
      </c>
      <c r="C319" s="3" t="s">
        <v>18</v>
      </c>
      <c r="D319" s="3">
        <v>53</v>
      </c>
      <c r="E319" s="3">
        <v>46</v>
      </c>
      <c r="F319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49"/>
        <v>EXCELENTE</v>
      </c>
      <c r="M319">
        <v>44</v>
      </c>
      <c r="N319">
        <v>98.64</v>
      </c>
      <c r="O319">
        <v>16.638370118845501</v>
      </c>
    </row>
    <row r="320" spans="1:15" hidden="1" x14ac:dyDescent="0.25">
      <c r="A320" s="5">
        <v>46153</v>
      </c>
      <c r="B320" s="6" t="s">
        <v>39</v>
      </c>
      <c r="C320" s="3" t="s">
        <v>18</v>
      </c>
      <c r="D320" s="3">
        <v>22</v>
      </c>
      <c r="E320" s="3">
        <v>20</v>
      </c>
      <c r="F320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49"/>
        <v>CRÍTICO</v>
      </c>
      <c r="M320">
        <v>17</v>
      </c>
      <c r="N320">
        <v>95.4</v>
      </c>
      <c r="O320">
        <v>20.533333333333331</v>
      </c>
    </row>
    <row r="321" spans="1:15" hidden="1" x14ac:dyDescent="0.25">
      <c r="A321" s="5">
        <v>46153</v>
      </c>
      <c r="B321" s="6" t="s">
        <v>41</v>
      </c>
      <c r="C321" s="3" t="s">
        <v>18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49"/>
        <v>BOM</v>
      </c>
      <c r="M321" s="9">
        <v>0</v>
      </c>
      <c r="N321" s="9">
        <v>0</v>
      </c>
      <c r="O321" s="9">
        <v>0</v>
      </c>
    </row>
    <row r="322" spans="1:15" hidden="1" x14ac:dyDescent="0.25">
      <c r="A322" s="5">
        <v>46153</v>
      </c>
      <c r="B322" s="6" t="s">
        <v>44</v>
      </c>
      <c r="C322" s="9" t="s">
        <v>18</v>
      </c>
      <c r="D322" s="3">
        <v>24</v>
      </c>
      <c r="E322" s="3">
        <v>23</v>
      </c>
      <c r="F322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49"/>
        <v>CRÍTICO</v>
      </c>
      <c r="M322">
        <v>23</v>
      </c>
      <c r="N322">
        <v>95.52</v>
      </c>
      <c r="O322">
        <v>10.561056105610559</v>
      </c>
    </row>
    <row r="323" spans="1:15" hidden="1" x14ac:dyDescent="0.25">
      <c r="A323" s="5">
        <v>46153</v>
      </c>
      <c r="B323" s="6" t="s">
        <v>46</v>
      </c>
      <c r="C323" s="9" t="s">
        <v>18</v>
      </c>
      <c r="D323" s="3">
        <v>31</v>
      </c>
      <c r="E323" s="3">
        <v>29</v>
      </c>
      <c r="F32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49"/>
        <v>ATENÇÃO</v>
      </c>
      <c r="M323">
        <v>29</v>
      </c>
      <c r="N323">
        <v>100</v>
      </c>
      <c r="O323">
        <v>15.584415584415581</v>
      </c>
    </row>
    <row r="324" spans="1:15" hidden="1" x14ac:dyDescent="0.25">
      <c r="A324" s="5">
        <v>46153</v>
      </c>
      <c r="B324" s="6" t="s">
        <v>49</v>
      </c>
      <c r="C324" s="3" t="s">
        <v>18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49"/>
        <v>BOM</v>
      </c>
      <c r="M324" s="9">
        <v>0</v>
      </c>
      <c r="N324" s="9">
        <v>100</v>
      </c>
      <c r="O324" s="9">
        <v>4.3478260869565224</v>
      </c>
    </row>
    <row r="325" spans="1:15" hidden="1" x14ac:dyDescent="0.25">
      <c r="A325" s="11">
        <v>46036</v>
      </c>
      <c r="B325" t="s">
        <v>36</v>
      </c>
      <c r="C325" t="s">
        <v>20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12</v>
      </c>
      <c r="K325" s="3">
        <f>I325-J325</f>
        <v>4</v>
      </c>
      <c r="L325" s="3" t="str">
        <f t="shared" si="49"/>
        <v>BOM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52</v>
      </c>
      <c r="C326" s="3" t="s">
        <v>18</v>
      </c>
      <c r="D326" s="3">
        <v>0</v>
      </c>
      <c r="E326" s="3">
        <v>0</v>
      </c>
      <c r="F326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49"/>
        <v>EXCELENTE</v>
      </c>
      <c r="M326">
        <v>27</v>
      </c>
      <c r="N326">
        <v>98.28</v>
      </c>
      <c r="O326">
        <v>9.037900874635568</v>
      </c>
    </row>
    <row r="327" spans="1:15" hidden="1" x14ac:dyDescent="0.25">
      <c r="A327" s="5">
        <v>46153</v>
      </c>
      <c r="B327" s="6" t="s">
        <v>53</v>
      </c>
      <c r="C327" s="3" t="s">
        <v>18</v>
      </c>
      <c r="D327" s="3">
        <v>33</v>
      </c>
      <c r="E327" s="3">
        <v>24</v>
      </c>
      <c r="F327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49"/>
        <v>ATENÇÃO</v>
      </c>
      <c r="M327">
        <v>26</v>
      </c>
      <c r="N327">
        <v>97.22</v>
      </c>
      <c r="O327">
        <v>19.095477386934672</v>
      </c>
    </row>
    <row r="328" spans="1:15" hidden="1" x14ac:dyDescent="0.25">
      <c r="A328" s="5">
        <v>46153</v>
      </c>
      <c r="B328" s="6" t="s">
        <v>61</v>
      </c>
      <c r="C328" s="3" t="s">
        <v>18</v>
      </c>
      <c r="D328" s="3">
        <v>23</v>
      </c>
      <c r="E328" s="3">
        <v>21</v>
      </c>
      <c r="F328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49"/>
        <v>CRÍTICO</v>
      </c>
      <c r="M328">
        <v>17</v>
      </c>
      <c r="N328">
        <v>99.29</v>
      </c>
      <c r="O328">
        <v>22.49443207126949</v>
      </c>
    </row>
    <row r="329" spans="1:15" hidden="1" x14ac:dyDescent="0.25">
      <c r="A329" s="5">
        <v>46153</v>
      </c>
      <c r="B329" s="6" t="s">
        <v>63</v>
      </c>
      <c r="C329" s="3" t="s">
        <v>18</v>
      </c>
      <c r="D329" s="3">
        <v>25</v>
      </c>
      <c r="E329" s="3">
        <v>21</v>
      </c>
      <c r="F329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49"/>
        <v>CRÍTICO</v>
      </c>
      <c r="M329">
        <v>16</v>
      </c>
      <c r="N329">
        <v>97.33</v>
      </c>
      <c r="O329">
        <v>15.805471124620061</v>
      </c>
    </row>
    <row r="330" spans="1:15" hidden="1" x14ac:dyDescent="0.25">
      <c r="A330" s="5">
        <v>46154</v>
      </c>
      <c r="B330" s="6" t="s">
        <v>17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BOM</v>
      </c>
      <c r="M330" s="9">
        <v>0</v>
      </c>
      <c r="N330" s="9">
        <v>100</v>
      </c>
      <c r="O330" s="9">
        <v>0</v>
      </c>
    </row>
    <row r="331" spans="1:15" hidden="1" x14ac:dyDescent="0.25">
      <c r="A331" s="5">
        <v>46154</v>
      </c>
      <c r="B331" s="6" t="s">
        <v>21</v>
      </c>
      <c r="C331" s="9" t="s">
        <v>18</v>
      </c>
      <c r="D331" s="3">
        <v>28</v>
      </c>
      <c r="E331" s="3">
        <v>24</v>
      </c>
      <c r="F331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49"/>
        <v>ATENÇÃO</v>
      </c>
      <c r="M331">
        <v>25</v>
      </c>
      <c r="N331">
        <v>96.34</v>
      </c>
      <c r="O331">
        <v>17.571884984025559</v>
      </c>
    </row>
    <row r="332" spans="1:15" hidden="1" x14ac:dyDescent="0.25">
      <c r="A332" s="5">
        <v>46154</v>
      </c>
      <c r="B332" s="6" t="s">
        <v>28</v>
      </c>
      <c r="C332" s="3" t="s">
        <v>18</v>
      </c>
      <c r="D332" s="3">
        <v>41</v>
      </c>
      <c r="E332" s="3">
        <v>39</v>
      </c>
      <c r="F332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49"/>
        <v>EXCELENTE</v>
      </c>
      <c r="M332">
        <v>33</v>
      </c>
      <c r="N332">
        <v>91.85</v>
      </c>
      <c r="O332">
        <v>20.87155963302752</v>
      </c>
    </row>
    <row r="333" spans="1:15" hidden="1" x14ac:dyDescent="0.25">
      <c r="A333" s="5">
        <v>46154</v>
      </c>
      <c r="B333" s="6" t="s">
        <v>31</v>
      </c>
      <c r="C333" s="9" t="s">
        <v>18</v>
      </c>
      <c r="D333" s="3">
        <v>23</v>
      </c>
      <c r="E333" s="3">
        <v>23</v>
      </c>
      <c r="F33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49"/>
        <v>BOM</v>
      </c>
      <c r="M333">
        <v>27</v>
      </c>
      <c r="N333">
        <v>99.06</v>
      </c>
      <c r="O333">
        <v>22.95719844357977</v>
      </c>
    </row>
    <row r="334" spans="1:15" hidden="1" x14ac:dyDescent="0.25">
      <c r="A334" s="5">
        <v>46154</v>
      </c>
      <c r="B334" s="6" t="s">
        <v>34</v>
      </c>
      <c r="C334" s="9" t="s">
        <v>18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49"/>
        <v>BOM</v>
      </c>
      <c r="M334" s="9">
        <v>0</v>
      </c>
      <c r="N334" s="9">
        <v>100</v>
      </c>
      <c r="O334" s="9">
        <v>9.5238095238095237</v>
      </c>
    </row>
    <row r="335" spans="1:15" hidden="1" x14ac:dyDescent="0.25">
      <c r="A335" s="5">
        <v>46154</v>
      </c>
      <c r="B335" s="6" t="s">
        <v>38</v>
      </c>
      <c r="C335" s="3" t="s">
        <v>18</v>
      </c>
      <c r="D335" s="3">
        <v>47</v>
      </c>
      <c r="E335" s="3">
        <v>43</v>
      </c>
      <c r="F335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49"/>
        <v>EXCELENTE</v>
      </c>
      <c r="M335">
        <v>45</v>
      </c>
      <c r="N335">
        <v>98.64</v>
      </c>
      <c r="O335">
        <v>16.638370118845501</v>
      </c>
    </row>
    <row r="336" spans="1:15" hidden="1" x14ac:dyDescent="0.25">
      <c r="A336" s="5">
        <v>46154</v>
      </c>
      <c r="B336" s="6" t="s">
        <v>39</v>
      </c>
      <c r="C336" s="3" t="s">
        <v>18</v>
      </c>
      <c r="D336" s="3">
        <v>42</v>
      </c>
      <c r="E336" s="3">
        <v>37</v>
      </c>
      <c r="F336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49"/>
        <v>EXCELENTE</v>
      </c>
      <c r="M336">
        <v>37</v>
      </c>
      <c r="N336">
        <v>95.4</v>
      </c>
      <c r="O336">
        <v>20.533333333333331</v>
      </c>
    </row>
    <row r="337" spans="1:15" hidden="1" x14ac:dyDescent="0.25">
      <c r="A337" s="5">
        <v>46154</v>
      </c>
      <c r="B337" s="6" t="s">
        <v>41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49"/>
        <v>BOM</v>
      </c>
      <c r="M337" s="9">
        <v>0</v>
      </c>
      <c r="N337" s="9">
        <v>0</v>
      </c>
      <c r="O337" s="9">
        <v>0</v>
      </c>
    </row>
    <row r="338" spans="1:15" hidden="1" x14ac:dyDescent="0.25">
      <c r="A338" s="5">
        <v>46154</v>
      </c>
      <c r="B338" s="6" t="s">
        <v>44</v>
      </c>
      <c r="C338" s="9" t="s">
        <v>18</v>
      </c>
      <c r="D338" s="3">
        <v>19</v>
      </c>
      <c r="E338" s="3">
        <v>17</v>
      </c>
      <c r="F338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49"/>
        <v>CRÍTICO</v>
      </c>
      <c r="M338">
        <v>18</v>
      </c>
      <c r="N338">
        <v>95.52</v>
      </c>
      <c r="O338">
        <v>10.561056105610559</v>
      </c>
    </row>
    <row r="339" spans="1:15" hidden="1" x14ac:dyDescent="0.25">
      <c r="A339" s="5">
        <v>46154</v>
      </c>
      <c r="B339" s="6" t="s">
        <v>46</v>
      </c>
      <c r="C339" s="9" t="s">
        <v>18</v>
      </c>
      <c r="D339" s="3">
        <v>31</v>
      </c>
      <c r="E339" s="3">
        <v>25</v>
      </c>
      <c r="F339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49"/>
        <v>CRÍTICO</v>
      </c>
      <c r="M339">
        <v>28</v>
      </c>
      <c r="N339">
        <v>100</v>
      </c>
      <c r="O339">
        <v>15.584415584415581</v>
      </c>
    </row>
    <row r="340" spans="1:15" hidden="1" x14ac:dyDescent="0.25">
      <c r="A340" s="5">
        <v>46154</v>
      </c>
      <c r="B340" s="6" t="s">
        <v>49</v>
      </c>
      <c r="C340" s="3" t="s">
        <v>18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49"/>
        <v>BOM</v>
      </c>
      <c r="M340" s="9">
        <v>0</v>
      </c>
      <c r="N340" s="9">
        <v>100</v>
      </c>
      <c r="O340" s="9">
        <v>4.3478260869565224</v>
      </c>
    </row>
    <row r="341" spans="1:15" hidden="1" x14ac:dyDescent="0.25">
      <c r="A341" s="5">
        <v>46154</v>
      </c>
      <c r="B341" s="6" t="s">
        <v>52</v>
      </c>
      <c r="C341" s="3" t="s">
        <v>18</v>
      </c>
      <c r="D341" s="3">
        <v>0</v>
      </c>
      <c r="E341" s="3">
        <v>0</v>
      </c>
      <c r="F341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49"/>
        <v>EXCELENTE</v>
      </c>
      <c r="M341">
        <v>25</v>
      </c>
      <c r="N341">
        <v>98.28</v>
      </c>
      <c r="O341">
        <v>9.037900874635568</v>
      </c>
    </row>
    <row r="342" spans="1:15" hidden="1" x14ac:dyDescent="0.25">
      <c r="A342" s="5">
        <v>46154</v>
      </c>
      <c r="B342" s="6" t="s">
        <v>53</v>
      </c>
      <c r="C342" s="3" t="s">
        <v>18</v>
      </c>
      <c r="D342" s="3">
        <v>36</v>
      </c>
      <c r="E342" s="3">
        <v>31</v>
      </c>
      <c r="F342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49"/>
        <v>BOM</v>
      </c>
      <c r="M342">
        <v>28</v>
      </c>
      <c r="N342">
        <v>97.22</v>
      </c>
      <c r="O342">
        <v>19.095477386934672</v>
      </c>
    </row>
    <row r="343" spans="1:15" hidden="1" x14ac:dyDescent="0.25">
      <c r="A343" s="5">
        <v>46154</v>
      </c>
      <c r="B343" s="6" t="s">
        <v>61</v>
      </c>
      <c r="C343" s="3" t="s">
        <v>18</v>
      </c>
      <c r="D343" s="3">
        <v>33</v>
      </c>
      <c r="E343" s="3">
        <v>28</v>
      </c>
      <c r="F34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49"/>
        <v>ATENÇÃO</v>
      </c>
      <c r="M343">
        <v>22</v>
      </c>
      <c r="N343">
        <v>99.29</v>
      </c>
      <c r="O343">
        <v>22.49443207126949</v>
      </c>
    </row>
    <row r="344" spans="1:15" hidden="1" x14ac:dyDescent="0.25">
      <c r="A344" s="5">
        <v>46154</v>
      </c>
      <c r="B344" s="6" t="s">
        <v>63</v>
      </c>
      <c r="C344" s="3" t="s">
        <v>18</v>
      </c>
      <c r="D344" s="3">
        <v>29</v>
      </c>
      <c r="E344" s="3">
        <v>28</v>
      </c>
      <c r="F344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49"/>
        <v>BOM</v>
      </c>
      <c r="M344">
        <v>25</v>
      </c>
      <c r="N344">
        <v>97.33</v>
      </c>
      <c r="O344">
        <v>15.805471124620061</v>
      </c>
    </row>
    <row r="345" spans="1:15" hidden="1" x14ac:dyDescent="0.25">
      <c r="A345" s="5">
        <v>46155</v>
      </c>
      <c r="B345" s="6" t="s">
        <v>17</v>
      </c>
      <c r="C345" s="3" t="s">
        <v>18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49"/>
        <v>BOM</v>
      </c>
      <c r="M345" s="9">
        <v>0</v>
      </c>
      <c r="N345" s="9">
        <v>100</v>
      </c>
      <c r="O345" s="9">
        <v>0</v>
      </c>
    </row>
    <row r="346" spans="1:15" hidden="1" x14ac:dyDescent="0.25">
      <c r="A346" s="5">
        <v>46155</v>
      </c>
      <c r="B346" s="6" t="s">
        <v>21</v>
      </c>
      <c r="C346" s="9" t="s">
        <v>18</v>
      </c>
      <c r="D346" s="3">
        <v>26</v>
      </c>
      <c r="E346" s="3">
        <v>23</v>
      </c>
      <c r="F346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49"/>
        <v>CRÍTICO</v>
      </c>
      <c r="M346">
        <v>21</v>
      </c>
      <c r="N346">
        <v>96.34</v>
      </c>
      <c r="O346">
        <v>17.571884984025559</v>
      </c>
    </row>
    <row r="347" spans="1:15" hidden="1" x14ac:dyDescent="0.25">
      <c r="A347" s="5">
        <v>46155</v>
      </c>
      <c r="B347" s="6" t="s">
        <v>28</v>
      </c>
      <c r="C347" s="3" t="s">
        <v>18</v>
      </c>
      <c r="D347" s="3">
        <v>34</v>
      </c>
      <c r="E347" s="3">
        <v>30</v>
      </c>
      <c r="F347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49"/>
        <v>BOM</v>
      </c>
      <c r="M347">
        <v>31</v>
      </c>
      <c r="N347">
        <v>91.85</v>
      </c>
      <c r="O347">
        <v>20.87155963302752</v>
      </c>
    </row>
    <row r="348" spans="1:15" hidden="1" x14ac:dyDescent="0.25">
      <c r="A348" s="5">
        <v>46155</v>
      </c>
      <c r="B348" s="6" t="s">
        <v>31</v>
      </c>
      <c r="C348" s="9" t="s">
        <v>18</v>
      </c>
      <c r="D348" s="3">
        <v>23</v>
      </c>
      <c r="E348" s="3">
        <v>23</v>
      </c>
      <c r="F348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50">IF(K348&lt;-5,"CRÍTICO",IF(K348&lt;0,"ATENÇÃO",IF(K348&lt;=5,"BOM","EXCELENTE")))</f>
        <v>BOM</v>
      </c>
      <c r="M348">
        <v>21</v>
      </c>
      <c r="N348">
        <v>99.06</v>
      </c>
      <c r="O348">
        <v>22.95719844357977</v>
      </c>
    </row>
    <row r="349" spans="1:15" hidden="1" x14ac:dyDescent="0.25">
      <c r="A349" s="5">
        <v>46155</v>
      </c>
      <c r="B349" s="6" t="s">
        <v>34</v>
      </c>
      <c r="C349" s="9" t="s">
        <v>18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0"/>
        <v>BOM</v>
      </c>
      <c r="M349" s="9">
        <v>0</v>
      </c>
      <c r="N349" s="9">
        <v>100</v>
      </c>
      <c r="O349" s="9">
        <v>9.5238095238095237</v>
      </c>
    </row>
    <row r="350" spans="1:15" hidden="1" x14ac:dyDescent="0.25">
      <c r="A350" s="5">
        <v>46155</v>
      </c>
      <c r="B350" s="6" t="s">
        <v>38</v>
      </c>
      <c r="C350" s="3" t="s">
        <v>18</v>
      </c>
      <c r="D350" s="3">
        <v>46</v>
      </c>
      <c r="E350" s="3">
        <v>40</v>
      </c>
      <c r="F350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50"/>
        <v>EXCELENTE</v>
      </c>
      <c r="M350">
        <v>37</v>
      </c>
      <c r="N350">
        <v>98.64</v>
      </c>
      <c r="O350">
        <v>16.638370118845501</v>
      </c>
    </row>
    <row r="351" spans="1:15" hidden="1" x14ac:dyDescent="0.25">
      <c r="A351" s="5">
        <v>46155</v>
      </c>
      <c r="B351" s="6" t="s">
        <v>39</v>
      </c>
      <c r="C351" s="3" t="s">
        <v>18</v>
      </c>
      <c r="D351" s="3">
        <v>30</v>
      </c>
      <c r="E351" s="3">
        <v>29</v>
      </c>
      <c r="F351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50"/>
        <v>BOM</v>
      </c>
      <c r="M351">
        <v>31</v>
      </c>
      <c r="N351">
        <v>95.4</v>
      </c>
      <c r="O351">
        <v>20.533333333333331</v>
      </c>
    </row>
    <row r="352" spans="1:15" hidden="1" x14ac:dyDescent="0.25">
      <c r="A352" s="5">
        <v>46155</v>
      </c>
      <c r="B352" s="6" t="s">
        <v>41</v>
      </c>
      <c r="C352" s="3" t="s">
        <v>18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50"/>
        <v>BOM</v>
      </c>
      <c r="M352" s="9">
        <v>0</v>
      </c>
      <c r="N352" s="9">
        <v>0</v>
      </c>
      <c r="O352" s="9">
        <v>0</v>
      </c>
    </row>
    <row r="353" spans="1:15" hidden="1" x14ac:dyDescent="0.25">
      <c r="A353" s="5">
        <v>46155</v>
      </c>
      <c r="B353" s="6" t="s">
        <v>44</v>
      </c>
      <c r="C353" s="9" t="s">
        <v>18</v>
      </c>
      <c r="D353" s="3">
        <v>27</v>
      </c>
      <c r="E353" s="3">
        <v>26</v>
      </c>
      <c r="F35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50"/>
        <v>ATENÇÃO</v>
      </c>
      <c r="M353">
        <v>20</v>
      </c>
      <c r="N353">
        <v>95.52</v>
      </c>
      <c r="O353">
        <v>10.561056105610559</v>
      </c>
    </row>
    <row r="354" spans="1:15" hidden="1" x14ac:dyDescent="0.25">
      <c r="A354" s="5">
        <v>46155</v>
      </c>
      <c r="B354" s="6" t="s">
        <v>46</v>
      </c>
      <c r="C354" s="9" t="s">
        <v>18</v>
      </c>
      <c r="D354" s="3">
        <v>25</v>
      </c>
      <c r="E354" s="3">
        <v>24</v>
      </c>
      <c r="F354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50"/>
        <v>ATENÇÃO</v>
      </c>
      <c r="M354">
        <v>26</v>
      </c>
      <c r="N354">
        <v>100</v>
      </c>
      <c r="O354">
        <v>15.584415584415581</v>
      </c>
    </row>
    <row r="355" spans="1:15" hidden="1" x14ac:dyDescent="0.25">
      <c r="A355" s="5">
        <v>46155</v>
      </c>
      <c r="B355" s="6" t="s">
        <v>49</v>
      </c>
      <c r="C355" s="3" t="s">
        <v>18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50"/>
        <v>BOM</v>
      </c>
      <c r="M355" s="9">
        <v>0</v>
      </c>
      <c r="N355" s="9">
        <v>100</v>
      </c>
      <c r="O355" s="9">
        <v>4.3478260869565224</v>
      </c>
    </row>
    <row r="356" spans="1:15" hidden="1" x14ac:dyDescent="0.25">
      <c r="A356" s="5">
        <v>46155</v>
      </c>
      <c r="B356" s="6" t="s">
        <v>52</v>
      </c>
      <c r="C356" s="3" t="s">
        <v>18</v>
      </c>
      <c r="D356" s="3">
        <v>0</v>
      </c>
      <c r="E356" s="3">
        <v>0</v>
      </c>
      <c r="F356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50"/>
        <v>EXCELENTE</v>
      </c>
      <c r="M356">
        <v>28</v>
      </c>
      <c r="N356">
        <v>98.28</v>
      </c>
      <c r="O356">
        <v>9.037900874635568</v>
      </c>
    </row>
    <row r="357" spans="1:15" hidden="1" x14ac:dyDescent="0.25">
      <c r="A357" s="5">
        <v>46155</v>
      </c>
      <c r="B357" s="6" t="s">
        <v>53</v>
      </c>
      <c r="C357" s="3" t="s">
        <v>18</v>
      </c>
      <c r="D357" s="3">
        <v>36</v>
      </c>
      <c r="E357" s="3">
        <v>30</v>
      </c>
      <c r="F357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50"/>
        <v>BOM</v>
      </c>
      <c r="M357">
        <v>29</v>
      </c>
      <c r="N357">
        <v>97.22</v>
      </c>
      <c r="O357">
        <v>19.095477386934672</v>
      </c>
    </row>
    <row r="358" spans="1:15" hidden="1" x14ac:dyDescent="0.25">
      <c r="A358" s="5">
        <v>46155</v>
      </c>
      <c r="B358" s="6" t="s">
        <v>61</v>
      </c>
      <c r="C358" s="3" t="s">
        <v>18</v>
      </c>
      <c r="D358" s="3">
        <v>36</v>
      </c>
      <c r="E358" s="3">
        <v>32</v>
      </c>
      <c r="F358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50"/>
        <v>EXCELENTE</v>
      </c>
      <c r="M358">
        <v>32</v>
      </c>
      <c r="N358">
        <v>99.29</v>
      </c>
      <c r="O358">
        <v>22.49443207126949</v>
      </c>
    </row>
    <row r="359" spans="1:15" hidden="1" x14ac:dyDescent="0.25">
      <c r="A359" s="5">
        <v>46155</v>
      </c>
      <c r="B359" s="6" t="s">
        <v>63</v>
      </c>
      <c r="C359" s="3" t="s">
        <v>18</v>
      </c>
      <c r="D359" s="3">
        <v>25</v>
      </c>
      <c r="E359" s="3">
        <v>23</v>
      </c>
      <c r="F359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50"/>
        <v>CRÍTICO</v>
      </c>
      <c r="M359">
        <v>21</v>
      </c>
      <c r="N359">
        <v>97.33</v>
      </c>
      <c r="O359">
        <v>15.805471124620061</v>
      </c>
    </row>
    <row r="360" spans="1:15" hidden="1" x14ac:dyDescent="0.25">
      <c r="A360" s="5">
        <v>46156</v>
      </c>
      <c r="B360" s="6" t="s">
        <v>17</v>
      </c>
      <c r="C360" s="3" t="s">
        <v>18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50"/>
        <v>BOM</v>
      </c>
      <c r="M360" s="9">
        <v>0</v>
      </c>
      <c r="N360" s="9">
        <v>100</v>
      </c>
      <c r="O360" s="9">
        <v>0</v>
      </c>
    </row>
    <row r="361" spans="1:15" hidden="1" x14ac:dyDescent="0.25">
      <c r="A361" s="5">
        <v>46156</v>
      </c>
      <c r="B361" s="6" t="s">
        <v>21</v>
      </c>
      <c r="C361" s="9" t="s">
        <v>18</v>
      </c>
      <c r="D361" s="3">
        <v>25</v>
      </c>
      <c r="E361" s="3">
        <v>25</v>
      </c>
      <c r="F361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50"/>
        <v>BOM</v>
      </c>
      <c r="M361">
        <v>27</v>
      </c>
      <c r="N361">
        <v>96.34</v>
      </c>
      <c r="O361">
        <v>17.571884984025559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F362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5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31</v>
      </c>
      <c r="C363" s="9" t="s">
        <v>18</v>
      </c>
      <c r="D363" s="3">
        <v>22</v>
      </c>
      <c r="E363" s="3">
        <v>21</v>
      </c>
      <c r="F36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50"/>
        <v>BOM</v>
      </c>
      <c r="M363">
        <v>26</v>
      </c>
      <c r="N363">
        <v>99.06</v>
      </c>
      <c r="O363">
        <v>22.95719844357977</v>
      </c>
    </row>
    <row r="364" spans="1:15" hidden="1" x14ac:dyDescent="0.25">
      <c r="A364" s="5">
        <v>46156</v>
      </c>
      <c r="B364" s="6" t="s">
        <v>34</v>
      </c>
      <c r="C364" s="9" t="s">
        <v>18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50"/>
        <v>BOM</v>
      </c>
      <c r="M364" s="9">
        <v>0</v>
      </c>
      <c r="N364" s="9">
        <v>100</v>
      </c>
      <c r="O364" s="9">
        <v>9.5238095238095237</v>
      </c>
    </row>
    <row r="365" spans="1:15" hidden="1" x14ac:dyDescent="0.25">
      <c r="A365" s="5">
        <v>46156</v>
      </c>
      <c r="B365" s="6" t="s">
        <v>38</v>
      </c>
      <c r="C365" s="3" t="s">
        <v>18</v>
      </c>
      <c r="D365" s="3">
        <v>35</v>
      </c>
      <c r="E365" s="3">
        <v>34</v>
      </c>
      <c r="F365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50"/>
        <v>EXCELENTE</v>
      </c>
      <c r="M365">
        <v>38</v>
      </c>
      <c r="N365">
        <v>98.64</v>
      </c>
      <c r="O365">
        <v>16.638370118845501</v>
      </c>
    </row>
    <row r="366" spans="1:15" hidden="1" x14ac:dyDescent="0.25">
      <c r="A366" s="5">
        <v>46156</v>
      </c>
      <c r="B366" s="6" t="s">
        <v>39</v>
      </c>
      <c r="C366" s="3" t="s">
        <v>18</v>
      </c>
      <c r="D366" s="3">
        <v>42</v>
      </c>
      <c r="E366" s="3">
        <v>40</v>
      </c>
      <c r="F366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50"/>
        <v>EXCELENTE</v>
      </c>
      <c r="M366">
        <v>44</v>
      </c>
      <c r="N366">
        <v>95.4</v>
      </c>
      <c r="O366">
        <v>20.533333333333331</v>
      </c>
    </row>
    <row r="367" spans="1:15" hidden="1" x14ac:dyDescent="0.25">
      <c r="A367" s="5">
        <v>46156</v>
      </c>
      <c r="B367" s="6" t="s">
        <v>41</v>
      </c>
      <c r="C367" s="3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50"/>
        <v>BOM</v>
      </c>
      <c r="M367" s="9">
        <v>0</v>
      </c>
      <c r="N367" s="9">
        <v>0</v>
      </c>
      <c r="O367" s="9">
        <v>0</v>
      </c>
    </row>
    <row r="368" spans="1:15" hidden="1" x14ac:dyDescent="0.25">
      <c r="A368" s="5">
        <v>46156</v>
      </c>
      <c r="B368" s="6" t="s">
        <v>44</v>
      </c>
      <c r="C368" s="9" t="s">
        <v>18</v>
      </c>
      <c r="D368" s="3">
        <v>30</v>
      </c>
      <c r="E368" s="3">
        <v>29</v>
      </c>
      <c r="F368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50"/>
        <v>BOM</v>
      </c>
      <c r="M368">
        <v>28</v>
      </c>
      <c r="N368">
        <v>95.52</v>
      </c>
      <c r="O368">
        <v>10.561056105610559</v>
      </c>
    </row>
    <row r="369" spans="1:15" hidden="1" x14ac:dyDescent="0.25">
      <c r="A369" s="11">
        <v>46037</v>
      </c>
      <c r="B369" t="s">
        <v>36</v>
      </c>
      <c r="C369" t="s">
        <v>20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13</v>
      </c>
      <c r="K369" s="3">
        <f>I369-J369</f>
        <v>14</v>
      </c>
      <c r="L369" s="3" t="str">
        <f t="shared" si="50"/>
        <v>EXCELENTE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46</v>
      </c>
      <c r="C370" s="9" t="s">
        <v>18</v>
      </c>
      <c r="D370" s="3">
        <v>30</v>
      </c>
      <c r="E370" s="3">
        <v>27</v>
      </c>
      <c r="F370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50"/>
        <v>ATENÇÃO</v>
      </c>
      <c r="M370">
        <v>23</v>
      </c>
      <c r="N370">
        <v>100</v>
      </c>
      <c r="O370">
        <v>15.584415584415581</v>
      </c>
    </row>
    <row r="371" spans="1:15" hidden="1" x14ac:dyDescent="0.25">
      <c r="A371" s="5">
        <v>46156</v>
      </c>
      <c r="B371" s="6" t="s">
        <v>49</v>
      </c>
      <c r="C371" s="3" t="s">
        <v>18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50"/>
        <v>BOM</v>
      </c>
      <c r="M371" s="9">
        <v>0</v>
      </c>
      <c r="N371" s="9">
        <v>100</v>
      </c>
      <c r="O371" s="9">
        <v>4.3478260869565224</v>
      </c>
    </row>
    <row r="372" spans="1:15" hidden="1" x14ac:dyDescent="0.25">
      <c r="A372" s="5">
        <v>46156</v>
      </c>
      <c r="B372" s="6" t="s">
        <v>52</v>
      </c>
      <c r="C372" s="3" t="s">
        <v>18</v>
      </c>
      <c r="D372" s="3">
        <v>0</v>
      </c>
      <c r="E372" s="3">
        <v>0</v>
      </c>
      <c r="F372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50"/>
        <v>EXCELENTE</v>
      </c>
      <c r="M372">
        <v>30</v>
      </c>
      <c r="N372">
        <v>98.28</v>
      </c>
      <c r="O372">
        <v>9.037900874635568</v>
      </c>
    </row>
    <row r="373" spans="1:15" hidden="1" x14ac:dyDescent="0.25">
      <c r="A373" s="5">
        <v>46156</v>
      </c>
      <c r="B373" s="6" t="s">
        <v>53</v>
      </c>
      <c r="C373" s="3" t="s">
        <v>18</v>
      </c>
      <c r="D373" s="3">
        <v>39</v>
      </c>
      <c r="E373" s="3">
        <v>32</v>
      </c>
      <c r="F37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50"/>
        <v>EXCELENTE</v>
      </c>
      <c r="M373">
        <v>29</v>
      </c>
      <c r="N373">
        <v>97.22</v>
      </c>
      <c r="O373">
        <v>19.095477386934672</v>
      </c>
    </row>
    <row r="374" spans="1:15" hidden="1" x14ac:dyDescent="0.25">
      <c r="A374" s="5">
        <v>46156</v>
      </c>
      <c r="B374" s="6" t="s">
        <v>61</v>
      </c>
      <c r="C374" s="3" t="s">
        <v>18</v>
      </c>
      <c r="D374" s="3">
        <v>38</v>
      </c>
      <c r="E374" s="3">
        <v>37</v>
      </c>
      <c r="F374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50"/>
        <v>EXCELENTE</v>
      </c>
      <c r="M374">
        <v>40</v>
      </c>
      <c r="N374">
        <v>99.29</v>
      </c>
      <c r="O374">
        <v>22.49443207126949</v>
      </c>
    </row>
    <row r="375" spans="1:15" hidden="1" x14ac:dyDescent="0.25">
      <c r="A375" s="5">
        <v>46156</v>
      </c>
      <c r="B375" s="6" t="s">
        <v>63</v>
      </c>
      <c r="C375" s="3" t="s">
        <v>18</v>
      </c>
      <c r="D375" s="3">
        <v>22</v>
      </c>
      <c r="E375" s="3">
        <v>22</v>
      </c>
      <c r="F375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50"/>
        <v>ATENÇÃO</v>
      </c>
      <c r="M375">
        <v>21</v>
      </c>
      <c r="N375">
        <v>97.33</v>
      </c>
      <c r="O375">
        <v>15.805471124620061</v>
      </c>
    </row>
    <row r="376" spans="1:15" hidden="1" x14ac:dyDescent="0.25">
      <c r="A376" s="5">
        <v>46157</v>
      </c>
      <c r="B376" s="6" t="s">
        <v>17</v>
      </c>
      <c r="C376" s="3" t="s">
        <v>18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50"/>
        <v>BOM</v>
      </c>
      <c r="M376" s="9">
        <v>0</v>
      </c>
      <c r="N376" s="9">
        <v>100</v>
      </c>
      <c r="O376" s="9">
        <v>0</v>
      </c>
    </row>
    <row r="377" spans="1:15" hidden="1" x14ac:dyDescent="0.25">
      <c r="A377" s="5">
        <v>46157</v>
      </c>
      <c r="B377" s="6" t="s">
        <v>21</v>
      </c>
      <c r="C377" s="9" t="s">
        <v>18</v>
      </c>
      <c r="D377" s="3">
        <v>29</v>
      </c>
      <c r="E377" s="3">
        <v>28</v>
      </c>
      <c r="F377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50"/>
        <v>BOM</v>
      </c>
      <c r="M377">
        <v>25</v>
      </c>
      <c r="N377">
        <v>96.34</v>
      </c>
      <c r="O377">
        <v>17.571884984025559</v>
      </c>
    </row>
    <row r="378" spans="1:15" hidden="1" x14ac:dyDescent="0.25">
      <c r="A378" s="5">
        <v>46157</v>
      </c>
      <c r="B378" s="6" t="s">
        <v>28</v>
      </c>
      <c r="C378" s="3" t="s">
        <v>18</v>
      </c>
      <c r="D378" s="3">
        <v>37</v>
      </c>
      <c r="E378" s="3">
        <v>31</v>
      </c>
      <c r="F378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50"/>
        <v>BOM</v>
      </c>
      <c r="M378">
        <v>29</v>
      </c>
      <c r="N378">
        <v>91.85</v>
      </c>
      <c r="O378">
        <v>20.87155963302752</v>
      </c>
    </row>
    <row r="379" spans="1:15" hidden="1" x14ac:dyDescent="0.25">
      <c r="A379" s="5">
        <v>46157</v>
      </c>
      <c r="B379" s="6" t="s">
        <v>31</v>
      </c>
      <c r="C379" s="9" t="s">
        <v>18</v>
      </c>
      <c r="D379" s="3">
        <v>20</v>
      </c>
      <c r="E379" s="3">
        <v>20</v>
      </c>
      <c r="F379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50"/>
        <v>BOM</v>
      </c>
      <c r="M379">
        <v>23</v>
      </c>
      <c r="N379">
        <v>99.06</v>
      </c>
      <c r="O379">
        <v>22.95719844357977</v>
      </c>
    </row>
    <row r="380" spans="1:15" hidden="1" x14ac:dyDescent="0.25">
      <c r="A380" s="5">
        <v>46157</v>
      </c>
      <c r="B380" s="6" t="s">
        <v>38</v>
      </c>
      <c r="C380" s="3" t="s">
        <v>18</v>
      </c>
      <c r="D380" s="3">
        <v>44</v>
      </c>
      <c r="E380" s="3">
        <v>38</v>
      </c>
      <c r="F380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51">IF(K380&lt;-5,"CRÍTICO",IF(K380&lt;0,"ATENÇÃO",IF(K380&lt;=5,"BOM","EXCELENTE")))</f>
        <v>EXCELENTE</v>
      </c>
      <c r="M380">
        <v>39</v>
      </c>
      <c r="N380">
        <v>98.64</v>
      </c>
      <c r="O380">
        <v>16.638370118845501</v>
      </c>
    </row>
    <row r="381" spans="1:15" hidden="1" x14ac:dyDescent="0.25">
      <c r="A381" s="5">
        <v>46157</v>
      </c>
      <c r="B381" s="6" t="s">
        <v>39</v>
      </c>
      <c r="C381" s="3" t="s">
        <v>18</v>
      </c>
      <c r="D381" s="3">
        <v>30</v>
      </c>
      <c r="E381" s="3">
        <v>29</v>
      </c>
      <c r="F381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51"/>
        <v>BOM</v>
      </c>
      <c r="M381">
        <v>23</v>
      </c>
      <c r="N381">
        <v>95.4</v>
      </c>
      <c r="O381">
        <v>20.533333333333331</v>
      </c>
    </row>
    <row r="382" spans="1:15" hidden="1" x14ac:dyDescent="0.25">
      <c r="A382" s="5">
        <v>46157</v>
      </c>
      <c r="B382" s="6" t="s">
        <v>41</v>
      </c>
      <c r="C382" s="3" t="s">
        <v>18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51"/>
        <v>BOM</v>
      </c>
      <c r="M382" s="9">
        <v>0</v>
      </c>
      <c r="N382" s="9">
        <v>0</v>
      </c>
      <c r="O382" s="9">
        <v>0</v>
      </c>
    </row>
    <row r="383" spans="1:15" hidden="1" x14ac:dyDescent="0.25">
      <c r="A383" s="5">
        <v>46157</v>
      </c>
      <c r="B383" s="6" t="s">
        <v>46</v>
      </c>
      <c r="C383" s="9" t="s">
        <v>18</v>
      </c>
      <c r="D383" s="3">
        <v>23</v>
      </c>
      <c r="E383" s="3">
        <v>22</v>
      </c>
      <c r="F38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51"/>
        <v>CRÍTICO</v>
      </c>
      <c r="M383">
        <v>19</v>
      </c>
      <c r="N383">
        <v>100</v>
      </c>
      <c r="O383">
        <v>15.584415584415581</v>
      </c>
    </row>
    <row r="384" spans="1:15" hidden="1" x14ac:dyDescent="0.25">
      <c r="A384" s="5">
        <v>46157</v>
      </c>
      <c r="B384" s="6" t="s">
        <v>49</v>
      </c>
      <c r="C384" s="3" t="s">
        <v>18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51"/>
        <v>BOM</v>
      </c>
      <c r="M384" s="9">
        <v>0</v>
      </c>
      <c r="N384" s="9">
        <v>100</v>
      </c>
      <c r="O384" s="9">
        <v>4.3478260869565224</v>
      </c>
    </row>
    <row r="385" spans="1:15" hidden="1" x14ac:dyDescent="0.25">
      <c r="A385" s="5">
        <v>46157</v>
      </c>
      <c r="B385" s="6" t="s">
        <v>52</v>
      </c>
      <c r="C385" s="3" t="s">
        <v>18</v>
      </c>
      <c r="D385" s="3">
        <v>0</v>
      </c>
      <c r="E385" s="3">
        <v>0</v>
      </c>
      <c r="F385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51"/>
        <v>BOM</v>
      </c>
      <c r="M385">
        <v>19</v>
      </c>
      <c r="N385">
        <v>98.28</v>
      </c>
      <c r="O385">
        <v>9.037900874635568</v>
      </c>
    </row>
    <row r="386" spans="1:15" hidden="1" x14ac:dyDescent="0.25">
      <c r="A386" s="5">
        <v>46157</v>
      </c>
      <c r="B386" s="6" t="s">
        <v>53</v>
      </c>
      <c r="C386" s="3" t="s">
        <v>18</v>
      </c>
      <c r="D386" s="3">
        <v>26</v>
      </c>
      <c r="E386" s="3">
        <v>24</v>
      </c>
      <c r="F386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51"/>
        <v>ATENÇÃO</v>
      </c>
      <c r="M386">
        <v>22</v>
      </c>
      <c r="N386">
        <v>97.22</v>
      </c>
      <c r="O386">
        <v>19.095477386934672</v>
      </c>
    </row>
    <row r="387" spans="1:15" hidden="1" x14ac:dyDescent="0.25">
      <c r="A387" s="5">
        <v>46157</v>
      </c>
      <c r="B387" s="6" t="s">
        <v>61</v>
      </c>
      <c r="C387" s="3" t="s">
        <v>18</v>
      </c>
      <c r="D387" s="3">
        <v>31</v>
      </c>
      <c r="E387" s="3">
        <v>29</v>
      </c>
      <c r="F387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51"/>
        <v>BOM</v>
      </c>
      <c r="M387">
        <v>29</v>
      </c>
      <c r="N387">
        <v>99.29</v>
      </c>
      <c r="O387">
        <v>22.49443207126949</v>
      </c>
    </row>
    <row r="388" spans="1:15" hidden="1" x14ac:dyDescent="0.25">
      <c r="A388" s="5">
        <v>46157</v>
      </c>
      <c r="B388" s="6" t="s">
        <v>63</v>
      </c>
      <c r="C388" s="3" t="s">
        <v>18</v>
      </c>
      <c r="D388" s="3">
        <v>20</v>
      </c>
      <c r="E388" s="3">
        <v>20</v>
      </c>
      <c r="F388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51"/>
        <v>CRÍTICO</v>
      </c>
      <c r="M388">
        <v>17</v>
      </c>
      <c r="N388">
        <v>97.33</v>
      </c>
      <c r="O388">
        <v>15.805471124620061</v>
      </c>
    </row>
    <row r="389" spans="1:15" hidden="1" x14ac:dyDescent="0.25">
      <c r="A389" s="5">
        <v>46160</v>
      </c>
      <c r="B389" s="6" t="s">
        <v>17</v>
      </c>
      <c r="C389" s="3" t="s">
        <v>18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51"/>
        <v>BOM</v>
      </c>
      <c r="M389" s="9">
        <v>0</v>
      </c>
      <c r="N389" s="9">
        <v>100</v>
      </c>
      <c r="O389" s="9">
        <v>0</v>
      </c>
    </row>
    <row r="390" spans="1:15" hidden="1" x14ac:dyDescent="0.25">
      <c r="A390" s="5">
        <v>46160</v>
      </c>
      <c r="B390" s="6" t="s">
        <v>21</v>
      </c>
      <c r="C390" s="9" t="s">
        <v>18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51"/>
        <v>BOM</v>
      </c>
      <c r="M390" s="9">
        <v>0</v>
      </c>
      <c r="N390" s="9">
        <v>96.34</v>
      </c>
      <c r="O390" s="9">
        <v>17.571884984025559</v>
      </c>
    </row>
    <row r="391" spans="1:15" hidden="1" x14ac:dyDescent="0.25">
      <c r="A391" s="5">
        <v>46160</v>
      </c>
      <c r="B391" s="6" t="s">
        <v>28</v>
      </c>
      <c r="C391" s="3" t="s">
        <v>18</v>
      </c>
      <c r="D391" s="3">
        <v>30</v>
      </c>
      <c r="E391" s="3">
        <v>27</v>
      </c>
      <c r="F391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51"/>
        <v>BOM</v>
      </c>
      <c r="M391">
        <v>25</v>
      </c>
      <c r="N391">
        <v>91.85</v>
      </c>
      <c r="O391">
        <v>20.87155963302752</v>
      </c>
    </row>
    <row r="392" spans="1:15" hidden="1" x14ac:dyDescent="0.25">
      <c r="A392" s="5">
        <v>46160</v>
      </c>
      <c r="B392" s="6" t="s">
        <v>31</v>
      </c>
      <c r="C392" s="9" t="s">
        <v>18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51"/>
        <v>BOM</v>
      </c>
      <c r="M392" s="9">
        <v>0</v>
      </c>
      <c r="N392" s="9">
        <v>99.06</v>
      </c>
      <c r="O392" s="9">
        <v>22.95719844357977</v>
      </c>
    </row>
    <row r="393" spans="1:15" hidden="1" x14ac:dyDescent="0.25">
      <c r="A393" s="5">
        <v>46160</v>
      </c>
      <c r="B393" s="6" t="s">
        <v>38</v>
      </c>
      <c r="C393" s="3" t="s">
        <v>18</v>
      </c>
      <c r="D393" s="3">
        <v>37</v>
      </c>
      <c r="E393" s="3">
        <v>32</v>
      </c>
      <c r="F39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51"/>
        <v>EXCELENTE</v>
      </c>
      <c r="M393">
        <v>34</v>
      </c>
      <c r="N393">
        <v>98.64</v>
      </c>
      <c r="O393">
        <v>16.638370118845501</v>
      </c>
    </row>
    <row r="394" spans="1:15" hidden="1" x14ac:dyDescent="0.25">
      <c r="A394" s="5">
        <v>46160</v>
      </c>
      <c r="B394" s="6" t="s">
        <v>39</v>
      </c>
      <c r="C394" s="3" t="s">
        <v>18</v>
      </c>
      <c r="D394" s="3">
        <v>26</v>
      </c>
      <c r="E394" s="3">
        <v>25</v>
      </c>
      <c r="F394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51"/>
        <v>BOM</v>
      </c>
      <c r="M394">
        <v>23</v>
      </c>
      <c r="N394">
        <v>95.4</v>
      </c>
      <c r="O394">
        <v>20.533333333333331</v>
      </c>
    </row>
    <row r="395" spans="1:15" hidden="1" x14ac:dyDescent="0.25">
      <c r="A395" s="5">
        <v>46160</v>
      </c>
      <c r="B395" s="6" t="s">
        <v>41</v>
      </c>
      <c r="C395" s="3" t="s">
        <v>18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51"/>
        <v>BOM</v>
      </c>
      <c r="M395" s="9">
        <v>0</v>
      </c>
      <c r="N395" s="9">
        <v>0</v>
      </c>
      <c r="O395" s="9">
        <v>0</v>
      </c>
    </row>
    <row r="396" spans="1:15" hidden="1" x14ac:dyDescent="0.25">
      <c r="A396" s="5">
        <v>46160</v>
      </c>
      <c r="B396" s="6" t="s">
        <v>44</v>
      </c>
      <c r="C396" s="9" t="s">
        <v>18</v>
      </c>
      <c r="D396" s="3">
        <v>25</v>
      </c>
      <c r="E396" s="3">
        <v>24</v>
      </c>
      <c r="F396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51"/>
        <v>ATENÇÃO</v>
      </c>
      <c r="M396">
        <v>21</v>
      </c>
      <c r="N396">
        <v>95.52</v>
      </c>
      <c r="O396">
        <v>10.561056105610559</v>
      </c>
    </row>
    <row r="397" spans="1:15" hidden="1" x14ac:dyDescent="0.25">
      <c r="A397" s="5">
        <v>46160</v>
      </c>
      <c r="B397" s="6" t="s">
        <v>46</v>
      </c>
      <c r="C397" s="9" t="s">
        <v>18</v>
      </c>
      <c r="D397" s="3">
        <v>28</v>
      </c>
      <c r="E397" s="3">
        <v>25</v>
      </c>
      <c r="F397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51"/>
        <v>ATENÇÃO</v>
      </c>
      <c r="M397">
        <v>25</v>
      </c>
      <c r="N397">
        <v>100</v>
      </c>
      <c r="O397">
        <v>15.584415584415581</v>
      </c>
    </row>
    <row r="398" spans="1:15" hidden="1" x14ac:dyDescent="0.25">
      <c r="A398" s="5">
        <v>46160</v>
      </c>
      <c r="B398" s="6" t="s">
        <v>49</v>
      </c>
      <c r="C398" s="3" t="s">
        <v>18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51"/>
        <v>BOM</v>
      </c>
      <c r="M398" s="9">
        <v>0</v>
      </c>
      <c r="N398" s="9">
        <v>100</v>
      </c>
      <c r="O398" s="9">
        <v>4.3478260869565224</v>
      </c>
    </row>
    <row r="399" spans="1:15" hidden="1" x14ac:dyDescent="0.25">
      <c r="A399" s="5">
        <v>46160</v>
      </c>
      <c r="B399" s="6" t="s">
        <v>52</v>
      </c>
      <c r="C399" s="3" t="s">
        <v>18</v>
      </c>
      <c r="D399" s="3">
        <v>0</v>
      </c>
      <c r="E399" s="3">
        <v>0</v>
      </c>
      <c r="F399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51"/>
        <v>EXCELENTE</v>
      </c>
      <c r="M399">
        <v>16</v>
      </c>
      <c r="N399">
        <v>98.28</v>
      </c>
      <c r="O399">
        <v>9.037900874635568</v>
      </c>
    </row>
    <row r="400" spans="1:15" hidden="1" x14ac:dyDescent="0.25">
      <c r="A400" s="5">
        <v>46160</v>
      </c>
      <c r="B400" s="6" t="s">
        <v>53</v>
      </c>
      <c r="C400" s="3" t="s">
        <v>18</v>
      </c>
      <c r="D400" s="3">
        <v>30</v>
      </c>
      <c r="E400" s="3">
        <v>27</v>
      </c>
      <c r="F400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51"/>
        <v>BOM</v>
      </c>
      <c r="M400">
        <v>27</v>
      </c>
      <c r="N400">
        <v>97.22</v>
      </c>
      <c r="O400">
        <v>19.095477386934672</v>
      </c>
    </row>
    <row r="401" spans="1:15" hidden="1" x14ac:dyDescent="0.25">
      <c r="A401" s="5">
        <v>46160</v>
      </c>
      <c r="B401" s="6" t="s">
        <v>61</v>
      </c>
      <c r="C401" s="3" t="s">
        <v>18</v>
      </c>
      <c r="D401" s="3">
        <v>34</v>
      </c>
      <c r="E401" s="3">
        <v>28</v>
      </c>
      <c r="F401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51"/>
        <v>BOM</v>
      </c>
      <c r="M401">
        <v>26</v>
      </c>
      <c r="N401">
        <v>99.29</v>
      </c>
      <c r="O401">
        <v>22.49443207126949</v>
      </c>
    </row>
    <row r="402" spans="1:15" hidden="1" x14ac:dyDescent="0.25">
      <c r="A402" s="5">
        <v>46160</v>
      </c>
      <c r="B402" s="6" t="s">
        <v>63</v>
      </c>
      <c r="C402" s="3" t="s">
        <v>18</v>
      </c>
      <c r="D402" s="3">
        <v>25</v>
      </c>
      <c r="E402" s="3">
        <v>22</v>
      </c>
      <c r="F402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51"/>
        <v>BOM</v>
      </c>
      <c r="M402">
        <v>21</v>
      </c>
      <c r="N402">
        <v>97.33</v>
      </c>
      <c r="O402">
        <v>15.805471124620061</v>
      </c>
    </row>
    <row r="403" spans="1:15" hidden="1" x14ac:dyDescent="0.25">
      <c r="A403" s="7">
        <v>46161</v>
      </c>
      <c r="B403" s="8" t="s">
        <v>17</v>
      </c>
      <c r="C403" s="9" t="s">
        <v>18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51"/>
        <v>BOM</v>
      </c>
      <c r="M403" s="9">
        <v>0</v>
      </c>
      <c r="N403" s="9">
        <v>100</v>
      </c>
      <c r="O403" s="9">
        <v>0</v>
      </c>
    </row>
    <row r="404" spans="1:15" hidden="1" x14ac:dyDescent="0.25">
      <c r="A404" s="7">
        <v>46161</v>
      </c>
      <c r="B404" s="8" t="s">
        <v>21</v>
      </c>
      <c r="C404" s="9" t="s">
        <v>18</v>
      </c>
      <c r="D404" s="3">
        <v>22</v>
      </c>
      <c r="E404" s="3">
        <v>19</v>
      </c>
      <c r="F404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51"/>
        <v>CRÍTICO</v>
      </c>
      <c r="M404" s="3">
        <v>16</v>
      </c>
      <c r="N404" s="3">
        <v>96.34</v>
      </c>
      <c r="O404" s="3">
        <v>17.571884984025559</v>
      </c>
    </row>
    <row r="405" spans="1:15" hidden="1" x14ac:dyDescent="0.25">
      <c r="A405" s="7">
        <v>46161</v>
      </c>
      <c r="B405" s="8" t="s">
        <v>28</v>
      </c>
      <c r="C405" s="9" t="s">
        <v>18</v>
      </c>
      <c r="D405" s="3">
        <v>33</v>
      </c>
      <c r="E405" s="3">
        <v>30</v>
      </c>
      <c r="F405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51"/>
        <v>BOM</v>
      </c>
      <c r="M405">
        <v>30</v>
      </c>
      <c r="N405">
        <v>91.85</v>
      </c>
      <c r="O405">
        <v>20.87155963302752</v>
      </c>
    </row>
    <row r="406" spans="1:15" hidden="1" x14ac:dyDescent="0.25">
      <c r="A406" s="7">
        <v>46161</v>
      </c>
      <c r="B406" s="8" t="s">
        <v>31</v>
      </c>
      <c r="C406" s="9" t="s">
        <v>18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51"/>
        <v>BOM</v>
      </c>
      <c r="M406" s="9">
        <v>0</v>
      </c>
      <c r="N406" s="9">
        <v>99.06</v>
      </c>
      <c r="O406" s="9">
        <v>22.95719844357977</v>
      </c>
    </row>
    <row r="407" spans="1:15" hidden="1" x14ac:dyDescent="0.25">
      <c r="A407" s="7">
        <v>46161</v>
      </c>
      <c r="B407" s="8" t="s">
        <v>34</v>
      </c>
      <c r="C407" s="9" t="s">
        <v>18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51"/>
        <v>CRÍTICO</v>
      </c>
      <c r="M407">
        <v>11</v>
      </c>
      <c r="N407">
        <v>100</v>
      </c>
      <c r="O407">
        <v>9.5238095238095237</v>
      </c>
    </row>
    <row r="408" spans="1:15" hidden="1" x14ac:dyDescent="0.25">
      <c r="A408" s="7">
        <v>46161</v>
      </c>
      <c r="B408" s="8" t="s">
        <v>38</v>
      </c>
      <c r="C408" s="9" t="s">
        <v>18</v>
      </c>
      <c r="D408" s="3">
        <v>43</v>
      </c>
      <c r="E408" s="3">
        <v>39</v>
      </c>
      <c r="F408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51"/>
        <v>EXCELENTE</v>
      </c>
      <c r="M408">
        <v>40</v>
      </c>
      <c r="N408">
        <v>98.64</v>
      </c>
      <c r="O408">
        <v>16.638370118845501</v>
      </c>
    </row>
    <row r="409" spans="1:15" hidden="1" x14ac:dyDescent="0.25">
      <c r="A409" s="7">
        <v>46161</v>
      </c>
      <c r="B409" s="8" t="s">
        <v>39</v>
      </c>
      <c r="C409" s="9" t="s">
        <v>18</v>
      </c>
      <c r="D409" s="3">
        <v>11</v>
      </c>
      <c r="E409" s="3">
        <v>10</v>
      </c>
      <c r="F409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51"/>
        <v>CRÍTICO</v>
      </c>
      <c r="M409">
        <v>12</v>
      </c>
      <c r="N409">
        <v>95.4</v>
      </c>
      <c r="O409">
        <v>20.533333333333331</v>
      </c>
    </row>
    <row r="410" spans="1:15" hidden="1" x14ac:dyDescent="0.25">
      <c r="A410" s="7">
        <v>46161</v>
      </c>
      <c r="B410" s="8" t="s">
        <v>41</v>
      </c>
      <c r="C410" s="9" t="s">
        <v>18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51"/>
        <v>BOM</v>
      </c>
      <c r="M410" s="9">
        <v>0</v>
      </c>
      <c r="N410" s="9">
        <v>0</v>
      </c>
      <c r="O410" s="9">
        <v>0</v>
      </c>
    </row>
    <row r="411" spans="1:15" hidden="1" x14ac:dyDescent="0.25">
      <c r="A411" s="7">
        <v>46161</v>
      </c>
      <c r="B411" s="8" t="s">
        <v>44</v>
      </c>
      <c r="C411" s="9" t="s">
        <v>18</v>
      </c>
      <c r="D411" s="3">
        <v>32</v>
      </c>
      <c r="E411" s="3">
        <v>32</v>
      </c>
      <c r="F411">
        <v>17.18</v>
      </c>
      <c r="G411" s="3">
        <v>0</v>
      </c>
      <c r="H411" s="3">
        <v>0</v>
      </c>
      <c r="I411" s="3">
        <f t="shared" ref="I411:I418" si="52">E411+G411+H411</f>
        <v>32</v>
      </c>
      <c r="J411" s="3">
        <f t="shared" ref="J411:J418" si="53"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54">I411-J411</f>
        <v>3</v>
      </c>
      <c r="L411" s="3" t="str">
        <f t="shared" si="51"/>
        <v>BOM</v>
      </c>
      <c r="M411">
        <v>28</v>
      </c>
      <c r="N411">
        <v>95.52</v>
      </c>
      <c r="O411">
        <v>10.561056105610559</v>
      </c>
    </row>
    <row r="412" spans="1:15" hidden="1" x14ac:dyDescent="0.25">
      <c r="A412" s="11">
        <v>46038</v>
      </c>
      <c r="B412" t="s">
        <v>36</v>
      </c>
      <c r="C412" t="s">
        <v>20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52"/>
        <v>19</v>
      </c>
      <c r="J412" s="3">
        <f t="shared" si="53"/>
        <v>13</v>
      </c>
      <c r="K412" s="3">
        <f t="shared" si="54"/>
        <v>6</v>
      </c>
      <c r="L412" s="3" t="str">
        <f t="shared" ref="L412:L443" si="55">IF(K412&lt;-5,"CRÍTICO",IF(K412&lt;0,"ATENÇÃO",IF(K412&lt;=5,"BOM","EXCELENTE")))</f>
        <v>EXCELENTE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46</v>
      </c>
      <c r="C413" s="9" t="s">
        <v>18</v>
      </c>
      <c r="D413" s="3">
        <v>27</v>
      </c>
      <c r="E413" s="3">
        <v>26</v>
      </c>
      <c r="F413">
        <v>15.39</v>
      </c>
      <c r="G413" s="3">
        <v>0</v>
      </c>
      <c r="H413" s="3">
        <v>0</v>
      </c>
      <c r="I413" s="3">
        <f t="shared" si="52"/>
        <v>26</v>
      </c>
      <c r="J413" s="3">
        <f t="shared" si="53"/>
        <v>29</v>
      </c>
      <c r="K413" s="3">
        <f t="shared" si="54"/>
        <v>-3</v>
      </c>
      <c r="L413" s="3" t="str">
        <f t="shared" si="55"/>
        <v>ATENÇÃO</v>
      </c>
      <c r="M413">
        <v>24</v>
      </c>
      <c r="N413">
        <v>100</v>
      </c>
      <c r="O413">
        <v>15.584415584415581</v>
      </c>
    </row>
    <row r="414" spans="1:15" hidden="1" x14ac:dyDescent="0.25">
      <c r="A414" s="7">
        <v>46161</v>
      </c>
      <c r="B414" s="8" t="s">
        <v>49</v>
      </c>
      <c r="C414" s="9" t="s">
        <v>18</v>
      </c>
      <c r="D414" s="3">
        <v>22</v>
      </c>
      <c r="E414" s="3">
        <v>20</v>
      </c>
      <c r="F414">
        <v>21.49</v>
      </c>
      <c r="G414" s="3">
        <v>0</v>
      </c>
      <c r="H414" s="3">
        <v>0</v>
      </c>
      <c r="I414" s="3">
        <f t="shared" si="52"/>
        <v>20</v>
      </c>
      <c r="J414" s="3">
        <f t="shared" si="53"/>
        <v>29</v>
      </c>
      <c r="K414" s="3">
        <f t="shared" si="54"/>
        <v>-9</v>
      </c>
      <c r="L414" s="3" t="str">
        <f t="shared" si="55"/>
        <v>CRÍTICO</v>
      </c>
      <c r="M414">
        <v>18</v>
      </c>
      <c r="N414">
        <v>100</v>
      </c>
      <c r="O414">
        <v>4.3478260869565224</v>
      </c>
    </row>
    <row r="415" spans="1:15" hidden="1" x14ac:dyDescent="0.25">
      <c r="A415" s="7">
        <v>46161</v>
      </c>
      <c r="B415" s="8" t="s">
        <v>52</v>
      </c>
      <c r="C415" s="9" t="s">
        <v>18</v>
      </c>
      <c r="D415" s="3">
        <v>0</v>
      </c>
      <c r="E415" s="3">
        <v>0</v>
      </c>
      <c r="F415">
        <v>0</v>
      </c>
      <c r="G415" s="3">
        <v>0</v>
      </c>
      <c r="H415" s="3">
        <v>33</v>
      </c>
      <c r="I415" s="3">
        <f t="shared" si="52"/>
        <v>33</v>
      </c>
      <c r="J415" s="3">
        <f t="shared" si="53"/>
        <v>29</v>
      </c>
      <c r="K415" s="3">
        <f t="shared" si="54"/>
        <v>4</v>
      </c>
      <c r="L415" s="3" t="str">
        <f t="shared" si="55"/>
        <v>BOM</v>
      </c>
      <c r="M415">
        <v>14</v>
      </c>
      <c r="N415">
        <v>98.28</v>
      </c>
      <c r="O415">
        <v>9.037900874635568</v>
      </c>
    </row>
    <row r="416" spans="1:15" hidden="1" x14ac:dyDescent="0.25">
      <c r="A416" s="7">
        <v>46161</v>
      </c>
      <c r="B416" s="8" t="s">
        <v>53</v>
      </c>
      <c r="C416" s="9" t="s">
        <v>18</v>
      </c>
      <c r="D416" s="3">
        <v>35</v>
      </c>
      <c r="E416" s="3">
        <v>31</v>
      </c>
      <c r="F416">
        <v>10.43</v>
      </c>
      <c r="G416" s="3">
        <v>4</v>
      </c>
      <c r="H416" s="3">
        <v>0</v>
      </c>
      <c r="I416" s="3">
        <f t="shared" si="52"/>
        <v>35</v>
      </c>
      <c r="J416" s="3">
        <f t="shared" si="53"/>
        <v>29</v>
      </c>
      <c r="K416" s="3">
        <f t="shared" si="54"/>
        <v>6</v>
      </c>
      <c r="L416" s="3" t="str">
        <f t="shared" si="55"/>
        <v>EXCELENTE</v>
      </c>
      <c r="M416">
        <v>30</v>
      </c>
      <c r="N416">
        <v>97.22</v>
      </c>
      <c r="O416">
        <v>19.095477386934672</v>
      </c>
    </row>
    <row r="417" spans="1:15" hidden="1" x14ac:dyDescent="0.25">
      <c r="A417" s="7">
        <v>46161</v>
      </c>
      <c r="B417" s="8" t="s">
        <v>61</v>
      </c>
      <c r="C417" s="9" t="s">
        <v>18</v>
      </c>
      <c r="D417" s="3">
        <v>39</v>
      </c>
      <c r="E417" s="3">
        <v>35</v>
      </c>
      <c r="F417">
        <v>10.55</v>
      </c>
      <c r="G417" s="3">
        <v>3</v>
      </c>
      <c r="H417" s="3">
        <v>0</v>
      </c>
      <c r="I417" s="3">
        <f t="shared" si="52"/>
        <v>38</v>
      </c>
      <c r="J417" s="3">
        <f t="shared" si="53"/>
        <v>29</v>
      </c>
      <c r="K417" s="3">
        <f t="shared" si="54"/>
        <v>9</v>
      </c>
      <c r="L417" s="3" t="str">
        <f t="shared" si="55"/>
        <v>EXCELENTE</v>
      </c>
      <c r="M417">
        <v>34</v>
      </c>
      <c r="N417">
        <v>99.29</v>
      </c>
      <c r="O417">
        <v>22.49443207126949</v>
      </c>
    </row>
    <row r="418" spans="1:15" hidden="1" x14ac:dyDescent="0.25">
      <c r="A418" s="7">
        <v>46161</v>
      </c>
      <c r="B418" s="8" t="s">
        <v>63</v>
      </c>
      <c r="C418" s="9" t="s">
        <v>18</v>
      </c>
      <c r="D418" s="3">
        <v>25</v>
      </c>
      <c r="E418" s="3">
        <v>24</v>
      </c>
      <c r="F418">
        <v>18.25</v>
      </c>
      <c r="G418" s="3">
        <v>3</v>
      </c>
      <c r="H418" s="3">
        <v>0</v>
      </c>
      <c r="I418" s="3">
        <f t="shared" si="52"/>
        <v>27</v>
      </c>
      <c r="J418" s="3">
        <f t="shared" si="53"/>
        <v>29</v>
      </c>
      <c r="K418" s="3">
        <f t="shared" si="54"/>
        <v>-2</v>
      </c>
      <c r="L418" s="3" t="str">
        <f t="shared" si="55"/>
        <v>ATENÇÃO</v>
      </c>
      <c r="M418">
        <v>21</v>
      </c>
      <c r="N418">
        <v>97.33</v>
      </c>
      <c r="O418">
        <v>15.805471124620061</v>
      </c>
    </row>
    <row r="419" spans="1:15" hidden="1" x14ac:dyDescent="0.25">
      <c r="A419" s="7">
        <v>46162</v>
      </c>
      <c r="B419" s="8" t="s">
        <v>17</v>
      </c>
      <c r="C419" s="9" t="s">
        <v>18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56">IF(K419&lt;-5,"CRÍTICO",IF(K419&lt;0,"ATENÇÃO",IF(K419&lt;=5,"OPORTUNO","MUITO BOM")))</f>
        <v>OPORTUNO</v>
      </c>
      <c r="M419" s="9">
        <v>0</v>
      </c>
      <c r="N419" s="9">
        <v>100</v>
      </c>
      <c r="O419" s="9">
        <v>0</v>
      </c>
    </row>
    <row r="420" spans="1:15" hidden="1" x14ac:dyDescent="0.25">
      <c r="A420" s="7">
        <v>46162</v>
      </c>
      <c r="B420" s="8" t="s">
        <v>21</v>
      </c>
      <c r="C420" s="9" t="s">
        <v>18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56"/>
        <v>ATENÇÃO</v>
      </c>
      <c r="M420" s="9">
        <v>18</v>
      </c>
      <c r="N420" s="9">
        <v>96.34</v>
      </c>
      <c r="O420" s="9">
        <v>17.571884984025559</v>
      </c>
    </row>
    <row r="421" spans="1:15" hidden="1" x14ac:dyDescent="0.25">
      <c r="A421" s="7">
        <v>46162</v>
      </c>
      <c r="B421" s="8" t="s">
        <v>28</v>
      </c>
      <c r="C421" s="9" t="s">
        <v>18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56"/>
        <v>OPORTUNO</v>
      </c>
      <c r="M421" s="9">
        <v>21</v>
      </c>
      <c r="N421" s="9">
        <v>91.85</v>
      </c>
      <c r="O421" s="9">
        <v>20.87155963302752</v>
      </c>
    </row>
    <row r="422" spans="1:15" hidden="1" x14ac:dyDescent="0.25">
      <c r="A422" s="7">
        <v>46162</v>
      </c>
      <c r="B422" s="8" t="s">
        <v>31</v>
      </c>
      <c r="C422" s="9" t="s">
        <v>18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56"/>
        <v>OPORTUNO</v>
      </c>
      <c r="M422" s="9">
        <v>0</v>
      </c>
      <c r="N422" s="9">
        <v>99.06</v>
      </c>
      <c r="O422" s="9">
        <v>22.95719844357977</v>
      </c>
    </row>
    <row r="423" spans="1:15" hidden="1" x14ac:dyDescent="0.25">
      <c r="A423" s="7">
        <v>46162</v>
      </c>
      <c r="B423" s="8" t="s">
        <v>34</v>
      </c>
      <c r="C423" s="9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56"/>
        <v>OPORTUNO</v>
      </c>
      <c r="M423" s="9">
        <v>0</v>
      </c>
      <c r="N423" s="9">
        <v>100</v>
      </c>
      <c r="O423" s="9">
        <v>9.5238095238095237</v>
      </c>
    </row>
    <row r="424" spans="1:15" hidden="1" x14ac:dyDescent="0.25">
      <c r="A424" s="7">
        <v>46162</v>
      </c>
      <c r="B424" s="8" t="s">
        <v>38</v>
      </c>
      <c r="C424" s="9" t="s">
        <v>18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56"/>
        <v>MUITO BOM</v>
      </c>
      <c r="M424" s="9">
        <v>34</v>
      </c>
      <c r="N424" s="9">
        <v>98.64</v>
      </c>
      <c r="O424" s="9">
        <v>16.638370118845501</v>
      </c>
    </row>
    <row r="425" spans="1:15" hidden="1" x14ac:dyDescent="0.25">
      <c r="A425" s="7">
        <v>46162</v>
      </c>
      <c r="B425" s="8" t="s">
        <v>39</v>
      </c>
      <c r="C425" s="9" t="s">
        <v>18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56"/>
        <v>ATENÇÃO</v>
      </c>
      <c r="M425" s="9">
        <v>19</v>
      </c>
      <c r="N425" s="9">
        <v>95.4</v>
      </c>
      <c r="O425" s="9">
        <v>20.533333333333331</v>
      </c>
    </row>
    <row r="426" spans="1:15" hidden="1" x14ac:dyDescent="0.25">
      <c r="A426" s="7">
        <v>46162</v>
      </c>
      <c r="B426" s="8" t="s">
        <v>41</v>
      </c>
      <c r="C426" s="9" t="s">
        <v>18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6"/>
        <v>OPORTUNO</v>
      </c>
      <c r="M426" s="9">
        <v>0</v>
      </c>
      <c r="N426" s="9">
        <v>0</v>
      </c>
      <c r="O426" s="9">
        <v>0</v>
      </c>
    </row>
    <row r="427" spans="1:15" hidden="1" x14ac:dyDescent="0.25">
      <c r="A427" s="7">
        <v>46162</v>
      </c>
      <c r="B427" s="8" t="s">
        <v>44</v>
      </c>
      <c r="C427" s="9" t="s">
        <v>18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57">E427+G427+H427</f>
        <v>17</v>
      </c>
      <c r="J427" s="3">
        <f t="shared" ref="J427:J434" si="58"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59">I427-J427</f>
        <v>-9</v>
      </c>
      <c r="L427" s="3" t="str">
        <f t="shared" si="56"/>
        <v>CRÍTICO</v>
      </c>
      <c r="M427" s="9">
        <v>18</v>
      </c>
      <c r="N427" s="9">
        <v>95.52</v>
      </c>
      <c r="O427" s="9">
        <v>10.561056105610559</v>
      </c>
    </row>
    <row r="428" spans="1:15" hidden="1" x14ac:dyDescent="0.25">
      <c r="A428" s="7">
        <v>46162</v>
      </c>
      <c r="B428" s="8" t="s">
        <v>46</v>
      </c>
      <c r="C428" s="9" t="s">
        <v>18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57"/>
        <v>29</v>
      </c>
      <c r="J428" s="3">
        <f t="shared" si="58"/>
        <v>26</v>
      </c>
      <c r="K428" s="3">
        <f t="shared" si="59"/>
        <v>3</v>
      </c>
      <c r="L428" s="3" t="str">
        <f t="shared" si="56"/>
        <v>OPORTUNO</v>
      </c>
      <c r="M428" s="9">
        <v>28</v>
      </c>
      <c r="N428" s="9">
        <v>100</v>
      </c>
      <c r="O428" s="9">
        <v>15.584415584415581</v>
      </c>
    </row>
    <row r="429" spans="1:15" hidden="1" x14ac:dyDescent="0.25">
      <c r="A429" s="7">
        <v>46162</v>
      </c>
      <c r="B429" s="8" t="s">
        <v>49</v>
      </c>
      <c r="C429" s="9" t="s">
        <v>18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57"/>
        <v>21</v>
      </c>
      <c r="J429" s="3">
        <f t="shared" si="58"/>
        <v>26</v>
      </c>
      <c r="K429" s="3">
        <f t="shared" si="59"/>
        <v>-5</v>
      </c>
      <c r="L429" s="3" t="str">
        <f t="shared" si="56"/>
        <v>ATENÇÃO</v>
      </c>
      <c r="M429" s="9">
        <v>18</v>
      </c>
      <c r="N429" s="9">
        <v>100</v>
      </c>
      <c r="O429" s="9">
        <v>4.3478260869565224</v>
      </c>
    </row>
    <row r="430" spans="1:15" hidden="1" x14ac:dyDescent="0.25">
      <c r="A430" s="11">
        <v>46041</v>
      </c>
      <c r="B430" t="s">
        <v>36</v>
      </c>
      <c r="C430" t="s">
        <v>20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57"/>
        <v>13</v>
      </c>
      <c r="J430" s="3">
        <f t="shared" si="58"/>
        <v>12</v>
      </c>
      <c r="K430" s="3">
        <f t="shared" si="59"/>
        <v>1</v>
      </c>
      <c r="L430" s="3" t="str">
        <f>IF(K430&lt;-5,"CRÍTICO",IF(K430&lt;0,"ATENÇÃO",IF(K430&lt;=5,"BOM","EXCELENTE")))</f>
        <v>BOM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52</v>
      </c>
      <c r="C431" s="9" t="s">
        <v>18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57"/>
        <v>25</v>
      </c>
      <c r="J431" s="3">
        <f t="shared" si="58"/>
        <v>26</v>
      </c>
      <c r="K431" s="3">
        <f t="shared" si="59"/>
        <v>-1</v>
      </c>
      <c r="L431" s="3" t="str">
        <f t="shared" ref="L431:L455" si="60">IF(K431&lt;-5,"CRÍTICO",IF(K431&lt;0,"ATENÇÃO",IF(K431&lt;=5,"OPORTUNO","MUITO BOM")))</f>
        <v>ATENÇÃO</v>
      </c>
      <c r="M431" s="9">
        <v>16</v>
      </c>
      <c r="N431" s="9">
        <v>98.28</v>
      </c>
      <c r="O431" s="9">
        <v>9.037900874635568</v>
      </c>
    </row>
    <row r="432" spans="1:15" hidden="1" x14ac:dyDescent="0.25">
      <c r="A432" s="7">
        <v>46162</v>
      </c>
      <c r="B432" s="8" t="s">
        <v>53</v>
      </c>
      <c r="C432" s="9" t="s">
        <v>18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57"/>
        <v>27</v>
      </c>
      <c r="J432" s="3">
        <f t="shared" si="58"/>
        <v>26</v>
      </c>
      <c r="K432" s="3">
        <f t="shared" si="59"/>
        <v>1</v>
      </c>
      <c r="L432" s="3" t="str">
        <f t="shared" si="60"/>
        <v>OPORTUNO</v>
      </c>
      <c r="M432" s="9">
        <v>23</v>
      </c>
      <c r="N432" s="9">
        <v>97.22</v>
      </c>
      <c r="O432" s="9">
        <v>19.095477386934672</v>
      </c>
    </row>
    <row r="433" spans="1:15" hidden="1" x14ac:dyDescent="0.25">
      <c r="A433" s="7">
        <v>46162</v>
      </c>
      <c r="B433" s="8" t="s">
        <v>61</v>
      </c>
      <c r="C433" s="9" t="s">
        <v>18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57"/>
        <v>33</v>
      </c>
      <c r="J433" s="3">
        <f t="shared" si="58"/>
        <v>26</v>
      </c>
      <c r="K433" s="3">
        <f t="shared" si="59"/>
        <v>7</v>
      </c>
      <c r="L433" s="3" t="str">
        <f t="shared" si="60"/>
        <v>MUITO BOM</v>
      </c>
      <c r="M433" s="9">
        <v>28</v>
      </c>
      <c r="N433" s="9">
        <v>99.29</v>
      </c>
      <c r="O433" s="9">
        <v>22.49443207126949</v>
      </c>
    </row>
    <row r="434" spans="1:15" hidden="1" x14ac:dyDescent="0.25">
      <c r="A434" s="7">
        <v>46162</v>
      </c>
      <c r="B434" s="8" t="s">
        <v>63</v>
      </c>
      <c r="C434" s="9" t="s">
        <v>18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57"/>
        <v>24</v>
      </c>
      <c r="J434" s="3">
        <f t="shared" si="58"/>
        <v>26</v>
      </c>
      <c r="K434" s="3">
        <f t="shared" si="59"/>
        <v>-2</v>
      </c>
      <c r="L434" s="3" t="str">
        <f t="shared" si="60"/>
        <v>ATENÇÃO</v>
      </c>
      <c r="M434" s="9">
        <v>21</v>
      </c>
      <c r="N434" s="9">
        <v>97.33</v>
      </c>
      <c r="O434" s="9">
        <v>15.805471124620061</v>
      </c>
    </row>
    <row r="435" spans="1:15" hidden="1" x14ac:dyDescent="0.25">
      <c r="A435" s="5">
        <v>46163</v>
      </c>
      <c r="B435" s="6" t="s">
        <v>17</v>
      </c>
      <c r="C435" s="3" t="s">
        <v>18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60"/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21</v>
      </c>
      <c r="C436" s="3" t="s">
        <v>18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60"/>
        <v>CRÍTICO</v>
      </c>
      <c r="M436" s="3">
        <v>13</v>
      </c>
      <c r="N436" s="3">
        <v>96.34</v>
      </c>
      <c r="O436" s="3">
        <v>17.571884984025559</v>
      </c>
    </row>
    <row r="437" spans="1:15" hidden="1" x14ac:dyDescent="0.25">
      <c r="A437" s="5">
        <v>46163</v>
      </c>
      <c r="B437" s="6" t="s">
        <v>28</v>
      </c>
      <c r="C437" s="3" t="s">
        <v>18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60"/>
        <v>OPORTUNO</v>
      </c>
      <c r="M437" s="3">
        <v>20</v>
      </c>
      <c r="N437" s="3">
        <v>91.85</v>
      </c>
      <c r="O437" s="3">
        <v>20.87155963302752</v>
      </c>
    </row>
    <row r="438" spans="1:15" hidden="1" x14ac:dyDescent="0.25">
      <c r="A438" s="5">
        <v>46163</v>
      </c>
      <c r="B438" s="6" t="s">
        <v>31</v>
      </c>
      <c r="C438" s="3" t="s">
        <v>18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60"/>
        <v>OPORTUNO</v>
      </c>
      <c r="M438" s="3">
        <v>0</v>
      </c>
      <c r="N438" s="3">
        <v>99.06</v>
      </c>
      <c r="O438" s="3">
        <v>22.95719844357977</v>
      </c>
    </row>
    <row r="439" spans="1:15" hidden="1" x14ac:dyDescent="0.25">
      <c r="A439" s="5">
        <v>46163</v>
      </c>
      <c r="B439" s="6" t="s">
        <v>34</v>
      </c>
      <c r="C439" s="3" t="s">
        <v>18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60"/>
        <v>OPORTUNO</v>
      </c>
      <c r="M439" s="3">
        <v>0</v>
      </c>
      <c r="N439" s="3">
        <v>100</v>
      </c>
      <c r="O439" s="3">
        <v>9.5238095238095237</v>
      </c>
    </row>
    <row r="440" spans="1:15" hidden="1" x14ac:dyDescent="0.25">
      <c r="A440" s="5">
        <v>46163</v>
      </c>
      <c r="B440" s="6" t="s">
        <v>38</v>
      </c>
      <c r="C440" s="3" t="s">
        <v>18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60"/>
        <v>MUITO BOM</v>
      </c>
      <c r="M440" s="3">
        <v>28</v>
      </c>
      <c r="N440" s="3">
        <v>98.64</v>
      </c>
      <c r="O440" s="3">
        <v>16.638370118845501</v>
      </c>
    </row>
    <row r="441" spans="1:15" hidden="1" x14ac:dyDescent="0.25">
      <c r="A441" s="5">
        <v>46163</v>
      </c>
      <c r="B441" s="6" t="s">
        <v>39</v>
      </c>
      <c r="C441" s="3" t="s">
        <v>18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60"/>
        <v>CRÍTICO</v>
      </c>
      <c r="M441" s="3">
        <v>10</v>
      </c>
      <c r="N441" s="3">
        <v>95.4</v>
      </c>
      <c r="O441" s="3">
        <v>20.533333333333331</v>
      </c>
    </row>
    <row r="442" spans="1:15" hidden="1" x14ac:dyDescent="0.25">
      <c r="A442" s="5">
        <v>46163</v>
      </c>
      <c r="B442" s="6" t="s">
        <v>41</v>
      </c>
      <c r="C442" s="3" t="s">
        <v>18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60"/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44</v>
      </c>
      <c r="C443" s="3" t="s">
        <v>18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61">E443+G443+H443</f>
        <v>21</v>
      </c>
      <c r="J443" s="3">
        <f t="shared" ref="J443:J449" si="6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63">I443-J443</f>
        <v>-1</v>
      </c>
      <c r="L443" s="3" t="str">
        <f t="shared" si="60"/>
        <v>ATENÇÃO</v>
      </c>
      <c r="M443" s="3">
        <v>21</v>
      </c>
      <c r="N443" s="3">
        <v>95.52</v>
      </c>
      <c r="O443" s="3">
        <v>10.561056105610559</v>
      </c>
    </row>
    <row r="444" spans="1:15" hidden="1" x14ac:dyDescent="0.25">
      <c r="A444" s="5">
        <v>46163</v>
      </c>
      <c r="B444" s="6" t="s">
        <v>46</v>
      </c>
      <c r="C444" s="3" t="s">
        <v>18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61"/>
        <v>21</v>
      </c>
      <c r="J444" s="3">
        <f t="shared" si="62"/>
        <v>22</v>
      </c>
      <c r="K444" s="3">
        <f t="shared" si="63"/>
        <v>-1</v>
      </c>
      <c r="L444" s="3" t="str">
        <f t="shared" si="60"/>
        <v>ATENÇÃO</v>
      </c>
      <c r="M444" s="3">
        <v>20</v>
      </c>
      <c r="N444" s="3">
        <v>100</v>
      </c>
      <c r="O444" s="3">
        <v>15.584415584415581</v>
      </c>
    </row>
    <row r="445" spans="1:15" hidden="1" x14ac:dyDescent="0.25">
      <c r="A445" s="5">
        <v>46163</v>
      </c>
      <c r="B445" s="6" t="s">
        <v>49</v>
      </c>
      <c r="C445" s="3" t="s">
        <v>18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61"/>
        <v>27</v>
      </c>
      <c r="J445" s="3">
        <f t="shared" si="62"/>
        <v>22</v>
      </c>
      <c r="K445" s="3">
        <f t="shared" si="63"/>
        <v>5</v>
      </c>
      <c r="L445" s="3" t="str">
        <f t="shared" si="60"/>
        <v>OPORTUNO</v>
      </c>
      <c r="M445" s="3">
        <v>18</v>
      </c>
      <c r="N445" s="3">
        <v>100</v>
      </c>
      <c r="O445" s="3">
        <v>4.3478260869565224</v>
      </c>
    </row>
    <row r="446" spans="1:15" hidden="1" x14ac:dyDescent="0.25">
      <c r="A446" s="5">
        <v>46163</v>
      </c>
      <c r="B446" s="6" t="s">
        <v>52</v>
      </c>
      <c r="C446" s="3" t="s">
        <v>18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61"/>
        <v>30</v>
      </c>
      <c r="J446" s="3">
        <f t="shared" si="62"/>
        <v>22</v>
      </c>
      <c r="K446" s="3">
        <f t="shared" si="63"/>
        <v>8</v>
      </c>
      <c r="L446" s="3" t="str">
        <f t="shared" si="60"/>
        <v>MUITO BOM</v>
      </c>
      <c r="M446" s="3">
        <v>15</v>
      </c>
      <c r="N446" s="3">
        <v>98.28</v>
      </c>
      <c r="O446" s="3">
        <v>9.037900874635568</v>
      </c>
    </row>
    <row r="447" spans="1:15" hidden="1" x14ac:dyDescent="0.25">
      <c r="A447" s="5">
        <v>46163</v>
      </c>
      <c r="B447" s="6" t="s">
        <v>53</v>
      </c>
      <c r="C447" s="3" t="s">
        <v>18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61"/>
        <v>25</v>
      </c>
      <c r="J447" s="3">
        <f t="shared" si="62"/>
        <v>22</v>
      </c>
      <c r="K447" s="3">
        <f t="shared" si="63"/>
        <v>3</v>
      </c>
      <c r="L447" s="3" t="str">
        <f t="shared" si="60"/>
        <v>OPORTUNO</v>
      </c>
      <c r="M447" s="3">
        <v>21</v>
      </c>
      <c r="N447" s="3">
        <v>97.22</v>
      </c>
      <c r="O447" s="3">
        <v>19.095477386934672</v>
      </c>
    </row>
    <row r="448" spans="1:15" hidden="1" x14ac:dyDescent="0.25">
      <c r="A448" s="5">
        <v>46163</v>
      </c>
      <c r="B448" s="6" t="s">
        <v>61</v>
      </c>
      <c r="C448" s="3" t="s">
        <v>18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61"/>
        <v>33</v>
      </c>
      <c r="J448" s="3">
        <f t="shared" si="62"/>
        <v>22</v>
      </c>
      <c r="K448" s="3">
        <f t="shared" si="63"/>
        <v>11</v>
      </c>
      <c r="L448" s="3" t="str">
        <f t="shared" si="60"/>
        <v>MUITO BOM</v>
      </c>
      <c r="M448" s="3">
        <v>22</v>
      </c>
      <c r="N448" s="3">
        <v>99.29</v>
      </c>
      <c r="O448" s="3">
        <v>22.49443207126949</v>
      </c>
    </row>
    <row r="449" spans="1:15" hidden="1" x14ac:dyDescent="0.25">
      <c r="A449" s="5">
        <v>46163</v>
      </c>
      <c r="B449" s="6" t="s">
        <v>63</v>
      </c>
      <c r="C449" s="3" t="s">
        <v>18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61"/>
        <v>23</v>
      </c>
      <c r="J449" s="3">
        <f t="shared" si="62"/>
        <v>22</v>
      </c>
      <c r="K449" s="3">
        <f t="shared" si="63"/>
        <v>1</v>
      </c>
      <c r="L449" s="3" t="str">
        <f t="shared" si="60"/>
        <v>OPORTUNO</v>
      </c>
      <c r="M449" s="3">
        <v>21</v>
      </c>
      <c r="N449" s="3">
        <v>97.33</v>
      </c>
      <c r="O449" s="3">
        <v>15.805471124620061</v>
      </c>
    </row>
    <row r="450" spans="1:15" hidden="1" x14ac:dyDescent="0.25">
      <c r="A450" s="10">
        <v>46164</v>
      </c>
      <c r="B450" s="6" t="s">
        <v>17</v>
      </c>
      <c r="C450" s="3" t="s">
        <v>18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60"/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21</v>
      </c>
      <c r="C451" s="3" t="s">
        <v>18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60"/>
        <v>OPORTUNO</v>
      </c>
      <c r="M451" s="3">
        <v>16</v>
      </c>
      <c r="N451" s="3">
        <v>96.34</v>
      </c>
      <c r="O451" s="3">
        <v>17.571884984025559</v>
      </c>
    </row>
    <row r="452" spans="1:15" hidden="1" x14ac:dyDescent="0.25">
      <c r="A452" s="10">
        <v>46164</v>
      </c>
      <c r="B452" s="6" t="s">
        <v>28</v>
      </c>
      <c r="C452" s="3" t="s">
        <v>18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60"/>
        <v>OPORTUNO</v>
      </c>
      <c r="M452" s="3">
        <v>22</v>
      </c>
      <c r="N452" s="3">
        <v>91.85</v>
      </c>
      <c r="O452" s="3">
        <v>20.87155963302752</v>
      </c>
    </row>
    <row r="453" spans="1:15" hidden="1" x14ac:dyDescent="0.25">
      <c r="A453" s="10">
        <v>46164</v>
      </c>
      <c r="B453" s="6" t="s">
        <v>31</v>
      </c>
      <c r="C453" s="3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60"/>
        <v>OPORTUNO</v>
      </c>
      <c r="M453" s="3">
        <v>0</v>
      </c>
      <c r="N453" s="3">
        <v>99.06</v>
      </c>
      <c r="O453" s="3">
        <v>22.95719844357977</v>
      </c>
    </row>
    <row r="454" spans="1:15" hidden="1" x14ac:dyDescent="0.25">
      <c r="A454" s="10">
        <v>46164</v>
      </c>
      <c r="B454" s="6" t="s">
        <v>34</v>
      </c>
      <c r="C454" s="3" t="s">
        <v>18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60"/>
        <v>CRÍTICO</v>
      </c>
      <c r="M454" s="3">
        <v>10</v>
      </c>
      <c r="N454" s="3">
        <v>100</v>
      </c>
      <c r="O454" s="3">
        <v>9.5238095238095237</v>
      </c>
    </row>
    <row r="455" spans="1:15" hidden="1" x14ac:dyDescent="0.25">
      <c r="A455" s="10">
        <v>46164</v>
      </c>
      <c r="B455" s="6" t="s">
        <v>38</v>
      </c>
      <c r="C455" s="3" t="s">
        <v>18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60"/>
        <v>MUITO BOM</v>
      </c>
      <c r="M455" s="3">
        <v>23</v>
      </c>
      <c r="N455" s="3">
        <v>98.64</v>
      </c>
      <c r="O455" s="3">
        <v>16.638370118845501</v>
      </c>
    </row>
    <row r="456" spans="1:15" hidden="1" x14ac:dyDescent="0.25">
      <c r="A456" s="11">
        <v>46042</v>
      </c>
      <c r="B456" t="s">
        <v>36</v>
      </c>
      <c r="C456" t="s">
        <v>20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12</v>
      </c>
      <c r="K456" s="3">
        <f>I456-J456</f>
        <v>-3</v>
      </c>
      <c r="L456" s="3" t="str">
        <f>IF(K456&lt;-5,"CRÍTICO",IF(K456&lt;0,"ATENÇÃO",IF(K456&lt;=5,"BOM","EXCELENTE")))</f>
        <v>ATENÇÃO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39</v>
      </c>
      <c r="C457" s="3" t="s">
        <v>18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64">IF(K457&lt;-5,"CRÍTICO",IF(K457&lt;0,"ATENÇÃO",IF(K457&lt;=5,"OPORTUNO","MUITO BOM")))</f>
        <v>ATENÇÃO</v>
      </c>
      <c r="M457" s="3">
        <v>14</v>
      </c>
      <c r="N457" s="3">
        <v>95.4</v>
      </c>
      <c r="O457" s="3">
        <v>20.533333333333331</v>
      </c>
    </row>
    <row r="458" spans="1:15" hidden="1" x14ac:dyDescent="0.25">
      <c r="A458" s="10">
        <v>46164</v>
      </c>
      <c r="B458" s="6" t="s">
        <v>41</v>
      </c>
      <c r="C458" s="3" t="s">
        <v>18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64"/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44</v>
      </c>
      <c r="C459" s="3" t="s">
        <v>18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64"/>
        <v>OPORTUNO</v>
      </c>
      <c r="M459" s="3">
        <v>21</v>
      </c>
      <c r="N459" s="3">
        <v>95.52</v>
      </c>
      <c r="O459" s="3">
        <v>10.561056105610559</v>
      </c>
    </row>
    <row r="460" spans="1:15" hidden="1" x14ac:dyDescent="0.25">
      <c r="A460" s="10">
        <v>46164</v>
      </c>
      <c r="B460" s="6" t="s">
        <v>46</v>
      </c>
      <c r="C460" s="3" t="s">
        <v>18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64"/>
        <v>OPORTUNO</v>
      </c>
      <c r="M460" s="3">
        <v>20</v>
      </c>
      <c r="N460" s="3">
        <v>100</v>
      </c>
      <c r="O460" s="3">
        <v>15.584415584415581</v>
      </c>
    </row>
    <row r="461" spans="1:15" hidden="1" x14ac:dyDescent="0.25">
      <c r="A461" s="10">
        <v>46164</v>
      </c>
      <c r="B461" s="6" t="s">
        <v>49</v>
      </c>
      <c r="C461" s="3" t="s">
        <v>18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64"/>
        <v>OPORTUNO</v>
      </c>
      <c r="M461" s="3">
        <v>15</v>
      </c>
      <c r="N461" s="3">
        <v>100</v>
      </c>
      <c r="O461" s="3">
        <v>4.3478260869565224</v>
      </c>
    </row>
    <row r="462" spans="1:15" hidden="1" x14ac:dyDescent="0.25">
      <c r="A462" s="10">
        <v>46164</v>
      </c>
      <c r="B462" s="6" t="s">
        <v>52</v>
      </c>
      <c r="C462" s="3" t="s">
        <v>18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64"/>
        <v>OPORTUNO</v>
      </c>
      <c r="M462" s="3">
        <v>3</v>
      </c>
      <c r="N462" s="3">
        <v>98.28</v>
      </c>
      <c r="O462" s="3">
        <v>9.037900874635568</v>
      </c>
    </row>
    <row r="463" spans="1:15" hidden="1" x14ac:dyDescent="0.25">
      <c r="A463" s="10">
        <v>46164</v>
      </c>
      <c r="B463" s="6" t="s">
        <v>53</v>
      </c>
      <c r="C463" s="3" t="s">
        <v>18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64"/>
        <v>MUITO BOM</v>
      </c>
      <c r="M463" s="3">
        <v>16</v>
      </c>
      <c r="N463" s="3">
        <v>97.22</v>
      </c>
      <c r="O463" s="3">
        <v>19.095477386934672</v>
      </c>
    </row>
    <row r="464" spans="1:15" hidden="1" x14ac:dyDescent="0.25">
      <c r="A464" s="10">
        <v>46164</v>
      </c>
      <c r="B464" s="6" t="s">
        <v>61</v>
      </c>
      <c r="C464" s="3" t="s">
        <v>18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64"/>
        <v>OPORTUNO</v>
      </c>
      <c r="M464" s="3">
        <v>18</v>
      </c>
      <c r="N464" s="3">
        <v>99.29</v>
      </c>
      <c r="O464" s="3">
        <v>22.49443207126949</v>
      </c>
    </row>
    <row r="465" spans="1:15" hidden="1" x14ac:dyDescent="0.25">
      <c r="A465" s="10">
        <v>46164</v>
      </c>
      <c r="B465" s="6" t="s">
        <v>63</v>
      </c>
      <c r="C465" s="3" t="s">
        <v>18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64"/>
        <v>OPORTUNO</v>
      </c>
      <c r="M465" s="3">
        <v>17</v>
      </c>
      <c r="N465" s="3">
        <v>97.33</v>
      </c>
      <c r="O465" s="3">
        <v>15.805471124620061</v>
      </c>
    </row>
    <row r="466" spans="1:15" hidden="1" x14ac:dyDescent="0.25">
      <c r="A466" s="11">
        <v>46167</v>
      </c>
      <c r="B466" t="s">
        <v>17</v>
      </c>
      <c r="C466" t="s">
        <v>18</v>
      </c>
      <c r="D466">
        <v>0</v>
      </c>
      <c r="E466">
        <v>0</v>
      </c>
      <c r="F466">
        <v>0</v>
      </c>
      <c r="G466">
        <v>0</v>
      </c>
      <c r="H466">
        <v>0</v>
      </c>
      <c r="I466" s="3">
        <v>0</v>
      </c>
      <c r="J466" s="3">
        <v>0</v>
      </c>
      <c r="K466" s="3">
        <v>0</v>
      </c>
      <c r="L466" s="3" t="str">
        <f t="shared" si="64"/>
        <v>OPORTUNO</v>
      </c>
    </row>
    <row r="467" spans="1:15" hidden="1" x14ac:dyDescent="0.25">
      <c r="A467" s="11">
        <v>46167</v>
      </c>
      <c r="B467" t="s">
        <v>21</v>
      </c>
      <c r="C467" t="s">
        <v>18</v>
      </c>
      <c r="D467">
        <v>27</v>
      </c>
      <c r="E467">
        <v>23</v>
      </c>
      <c r="F467">
        <v>13.5</v>
      </c>
      <c r="G467">
        <v>0</v>
      </c>
      <c r="H467">
        <v>0</v>
      </c>
      <c r="I467" s="3">
        <v>0</v>
      </c>
      <c r="J467" s="3">
        <v>0</v>
      </c>
      <c r="K467" s="3">
        <v>0</v>
      </c>
      <c r="L467" s="3" t="str">
        <f t="shared" si="64"/>
        <v>OPORTUNO</v>
      </c>
    </row>
    <row r="468" spans="1:15" hidden="1" x14ac:dyDescent="0.25">
      <c r="A468" s="11">
        <v>46167</v>
      </c>
      <c r="B468" t="s">
        <v>28</v>
      </c>
      <c r="C468" t="s">
        <v>18</v>
      </c>
      <c r="D468">
        <v>25</v>
      </c>
      <c r="E468">
        <v>22</v>
      </c>
      <c r="F468">
        <v>12.25</v>
      </c>
      <c r="G468">
        <v>0</v>
      </c>
      <c r="H468">
        <v>0</v>
      </c>
      <c r="I468" s="3">
        <v>0</v>
      </c>
      <c r="J468" s="3">
        <v>0</v>
      </c>
      <c r="K468" s="3">
        <v>0</v>
      </c>
      <c r="L468" s="3" t="str">
        <f t="shared" si="64"/>
        <v>OPORTUNO</v>
      </c>
    </row>
    <row r="469" spans="1:15" hidden="1" x14ac:dyDescent="0.25">
      <c r="A469" s="11">
        <v>46167</v>
      </c>
      <c r="B469" t="s">
        <v>31</v>
      </c>
      <c r="C469" t="s">
        <v>18</v>
      </c>
      <c r="D469">
        <v>0</v>
      </c>
      <c r="E469">
        <v>0</v>
      </c>
      <c r="F469">
        <v>0</v>
      </c>
      <c r="G469">
        <v>0</v>
      </c>
      <c r="H469">
        <v>0</v>
      </c>
      <c r="I469" s="3">
        <v>0</v>
      </c>
      <c r="J469" s="3">
        <v>0</v>
      </c>
      <c r="K469" s="3">
        <v>0</v>
      </c>
      <c r="L469" s="3" t="str">
        <f t="shared" si="64"/>
        <v>OPORTUNO</v>
      </c>
    </row>
    <row r="470" spans="1:15" hidden="1" x14ac:dyDescent="0.25">
      <c r="A470" s="11">
        <v>46167</v>
      </c>
      <c r="B470" t="s">
        <v>34</v>
      </c>
      <c r="C470" t="s">
        <v>18</v>
      </c>
      <c r="D470">
        <v>20</v>
      </c>
      <c r="E470">
        <v>19</v>
      </c>
      <c r="F470">
        <v>17.3</v>
      </c>
      <c r="G470">
        <v>0</v>
      </c>
      <c r="H470">
        <v>0</v>
      </c>
      <c r="I470" s="3">
        <v>0</v>
      </c>
      <c r="J470" s="3">
        <v>0</v>
      </c>
      <c r="K470" s="3">
        <v>0</v>
      </c>
      <c r="L470" s="3" t="str">
        <f t="shared" si="64"/>
        <v>OPORTUNO</v>
      </c>
    </row>
    <row r="471" spans="1:15" hidden="1" x14ac:dyDescent="0.25">
      <c r="A471" s="11">
        <v>46167</v>
      </c>
      <c r="B471" t="s">
        <v>38</v>
      </c>
      <c r="C471" t="s">
        <v>18</v>
      </c>
      <c r="D471">
        <v>22</v>
      </c>
      <c r="E471">
        <v>21</v>
      </c>
      <c r="F471">
        <v>17.100000000000001</v>
      </c>
      <c r="G471">
        <v>0</v>
      </c>
      <c r="H471">
        <v>0</v>
      </c>
      <c r="I471" s="3">
        <v>0</v>
      </c>
      <c r="J471" s="3">
        <v>0</v>
      </c>
      <c r="K471" s="3">
        <v>0</v>
      </c>
      <c r="L471" s="3" t="str">
        <f t="shared" si="64"/>
        <v>OPORTUNO</v>
      </c>
    </row>
    <row r="472" spans="1:15" hidden="1" x14ac:dyDescent="0.25">
      <c r="A472" s="11">
        <v>46167</v>
      </c>
      <c r="B472" t="s">
        <v>39</v>
      </c>
      <c r="C472" t="s">
        <v>18</v>
      </c>
      <c r="D472">
        <v>17</v>
      </c>
      <c r="E472">
        <v>16</v>
      </c>
      <c r="F472">
        <v>18.3</v>
      </c>
      <c r="G472">
        <v>0</v>
      </c>
      <c r="H472">
        <v>0</v>
      </c>
      <c r="I472" s="3">
        <v>0</v>
      </c>
      <c r="J472" s="3">
        <v>0</v>
      </c>
      <c r="K472" s="3">
        <v>0</v>
      </c>
      <c r="L472" s="3" t="str">
        <f t="shared" si="64"/>
        <v>OPORTUNO</v>
      </c>
    </row>
    <row r="473" spans="1:15" hidden="1" x14ac:dyDescent="0.25">
      <c r="A473" s="11">
        <v>46167</v>
      </c>
      <c r="B473" t="s">
        <v>41</v>
      </c>
      <c r="C473" t="s">
        <v>18</v>
      </c>
      <c r="D473">
        <v>0</v>
      </c>
      <c r="E473">
        <v>0</v>
      </c>
      <c r="F473">
        <v>0</v>
      </c>
      <c r="G473">
        <v>0</v>
      </c>
      <c r="H473">
        <v>0</v>
      </c>
      <c r="I473" s="3">
        <v>0</v>
      </c>
      <c r="J473" s="3">
        <v>0</v>
      </c>
      <c r="K473" s="3">
        <v>0</v>
      </c>
      <c r="L473" s="3" t="str">
        <f t="shared" si="64"/>
        <v>OPORTUNO</v>
      </c>
    </row>
    <row r="474" spans="1:15" hidden="1" x14ac:dyDescent="0.25">
      <c r="A474" s="11">
        <v>46167</v>
      </c>
      <c r="B474" t="s">
        <v>44</v>
      </c>
      <c r="C474" t="s">
        <v>18</v>
      </c>
      <c r="D474">
        <v>27</v>
      </c>
      <c r="E474">
        <v>27</v>
      </c>
      <c r="F474">
        <v>13.4</v>
      </c>
      <c r="G474">
        <v>0</v>
      </c>
      <c r="H474">
        <v>0</v>
      </c>
      <c r="I474" s="3">
        <v>0</v>
      </c>
      <c r="J474" s="3">
        <v>0</v>
      </c>
      <c r="K474" s="3">
        <v>0</v>
      </c>
      <c r="L474" s="3" t="str">
        <f t="shared" si="64"/>
        <v>OPORTUNO</v>
      </c>
    </row>
    <row r="475" spans="1:15" hidden="1" x14ac:dyDescent="0.25">
      <c r="A475" s="11">
        <v>46167</v>
      </c>
      <c r="B475" t="s">
        <v>46</v>
      </c>
      <c r="C475" t="s">
        <v>18</v>
      </c>
      <c r="D475">
        <v>26</v>
      </c>
      <c r="E475">
        <v>24</v>
      </c>
      <c r="F475">
        <v>16.440000000000001</v>
      </c>
      <c r="G475">
        <v>0</v>
      </c>
      <c r="H475">
        <v>0</v>
      </c>
      <c r="I475" s="3">
        <v>0</v>
      </c>
      <c r="J475" s="3">
        <v>0</v>
      </c>
      <c r="K475" s="3">
        <v>0</v>
      </c>
      <c r="L475" s="3" t="str">
        <f t="shared" si="64"/>
        <v>OPORTUNO</v>
      </c>
    </row>
    <row r="476" spans="1:15" hidden="1" x14ac:dyDescent="0.25">
      <c r="A476" s="11">
        <v>46167</v>
      </c>
      <c r="B476" t="s">
        <v>49</v>
      </c>
      <c r="C476" t="s">
        <v>18</v>
      </c>
      <c r="D476">
        <v>0</v>
      </c>
      <c r="E476">
        <v>0</v>
      </c>
      <c r="F476">
        <v>0</v>
      </c>
      <c r="G476">
        <v>0</v>
      </c>
      <c r="H476">
        <v>0</v>
      </c>
      <c r="I476" s="3">
        <v>0</v>
      </c>
      <c r="J476" s="3">
        <v>0</v>
      </c>
      <c r="K476" s="3">
        <v>0</v>
      </c>
      <c r="L476" s="3" t="str">
        <f t="shared" si="64"/>
        <v>OPORTUNO</v>
      </c>
    </row>
    <row r="477" spans="1:15" hidden="1" x14ac:dyDescent="0.25">
      <c r="A477" s="11">
        <v>46167</v>
      </c>
      <c r="B477" t="s">
        <v>52</v>
      </c>
      <c r="C477" t="s">
        <v>18</v>
      </c>
      <c r="D477">
        <v>0</v>
      </c>
      <c r="E477">
        <v>0</v>
      </c>
      <c r="F477">
        <v>0</v>
      </c>
      <c r="G477">
        <v>0</v>
      </c>
      <c r="H477">
        <v>0</v>
      </c>
      <c r="I477" s="3">
        <v>0</v>
      </c>
      <c r="J477" s="3">
        <v>0</v>
      </c>
      <c r="K477" s="3">
        <v>0</v>
      </c>
      <c r="L477" s="3" t="str">
        <f t="shared" si="64"/>
        <v>OPORTUNO</v>
      </c>
    </row>
    <row r="478" spans="1:15" hidden="1" x14ac:dyDescent="0.25">
      <c r="A478" s="11">
        <v>46043</v>
      </c>
      <c r="B478" t="s">
        <v>36</v>
      </c>
      <c r="C478" t="s">
        <v>20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12</v>
      </c>
      <c r="K478" s="3">
        <f>I478-J478</f>
        <v>5</v>
      </c>
      <c r="L478" s="3" t="str">
        <f>IF(K478&lt;-5,"CRÍTICO",IF(K478&lt;0,"ATENÇÃO",IF(K478&lt;=5,"BOM","EXCELENTE")))</f>
        <v>BOM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53</v>
      </c>
      <c r="C479" t="s">
        <v>18</v>
      </c>
      <c r="D479">
        <v>25</v>
      </c>
      <c r="E479">
        <v>24</v>
      </c>
      <c r="F479">
        <v>17.350000000000001</v>
      </c>
      <c r="G479">
        <v>0</v>
      </c>
      <c r="H479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</row>
    <row r="480" spans="1:15" hidden="1" x14ac:dyDescent="0.25">
      <c r="A480" s="11">
        <v>46167</v>
      </c>
      <c r="B480" t="s">
        <v>61</v>
      </c>
      <c r="C480" t="s">
        <v>18</v>
      </c>
      <c r="D480">
        <v>27</v>
      </c>
      <c r="E480">
        <v>24</v>
      </c>
      <c r="F480">
        <v>13.43</v>
      </c>
      <c r="G480">
        <v>0</v>
      </c>
      <c r="H480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</row>
    <row r="481" spans="1:15" hidden="1" x14ac:dyDescent="0.25">
      <c r="A481" s="11">
        <v>46167</v>
      </c>
      <c r="B481" t="s">
        <v>63</v>
      </c>
      <c r="C481" t="s">
        <v>18</v>
      </c>
      <c r="D481">
        <v>27</v>
      </c>
      <c r="E481">
        <v>25</v>
      </c>
      <c r="F481">
        <v>10.34</v>
      </c>
      <c r="G481">
        <v>0</v>
      </c>
      <c r="H481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</row>
    <row r="482" spans="1:15" x14ac:dyDescent="0.25">
      <c r="A482" s="5">
        <v>46146</v>
      </c>
      <c r="B482" s="6" t="s">
        <v>39</v>
      </c>
      <c r="C482" s="3" t="s">
        <v>18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9">
        <v>18</v>
      </c>
      <c r="N482" s="9">
        <v>95.4</v>
      </c>
      <c r="O482" s="9">
        <v>20.533333333333331</v>
      </c>
    </row>
    <row r="483" spans="1:15" x14ac:dyDescent="0.25">
      <c r="A483" s="5">
        <v>46147</v>
      </c>
      <c r="B483" s="6" t="s">
        <v>39</v>
      </c>
      <c r="C483" s="3" t="s">
        <v>18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95.4</v>
      </c>
      <c r="O483" s="3">
        <v>20.533333333333331</v>
      </c>
    </row>
    <row r="484" spans="1:15" x14ac:dyDescent="0.25">
      <c r="A484" s="5">
        <v>46148</v>
      </c>
      <c r="B484" s="6" t="s">
        <v>39</v>
      </c>
      <c r="C484" s="3" t="s">
        <v>18</v>
      </c>
      <c r="D484" s="3">
        <v>27</v>
      </c>
      <c r="E484" s="3">
        <v>26</v>
      </c>
      <c r="F484" s="9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95.4</v>
      </c>
      <c r="O484" s="3">
        <v>20.533333333333331</v>
      </c>
    </row>
    <row r="485" spans="1:15" x14ac:dyDescent="0.25">
      <c r="A485" s="11">
        <v>46168</v>
      </c>
      <c r="B485" t="s">
        <v>39</v>
      </c>
      <c r="C485" t="s">
        <v>18</v>
      </c>
      <c r="D485" s="9">
        <v>18</v>
      </c>
      <c r="E485" s="9">
        <v>16</v>
      </c>
      <c r="F485" s="9">
        <v>10.14</v>
      </c>
      <c r="G485" s="9">
        <v>4</v>
      </c>
    </row>
    <row r="486" spans="1:15" x14ac:dyDescent="0.25">
      <c r="A486" s="11">
        <v>46140</v>
      </c>
      <c r="B486" t="s">
        <v>41</v>
      </c>
      <c r="C486" t="s">
        <v>18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N486" s="9">
        <v>0</v>
      </c>
      <c r="O486" s="9">
        <v>0</v>
      </c>
    </row>
    <row r="487" spans="1:15" x14ac:dyDescent="0.25">
      <c r="A487" s="11">
        <v>46141</v>
      </c>
      <c r="B487" t="s">
        <v>41</v>
      </c>
      <c r="C487" t="s">
        <v>18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N487" s="9">
        <v>0</v>
      </c>
      <c r="O487" s="9">
        <v>0</v>
      </c>
    </row>
    <row r="488" spans="1:15" x14ac:dyDescent="0.25">
      <c r="A488" s="11">
        <v>46142</v>
      </c>
      <c r="B488" t="s">
        <v>41</v>
      </c>
      <c r="C488" t="s">
        <v>18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N488" s="9">
        <v>0</v>
      </c>
      <c r="O488" s="9">
        <v>0</v>
      </c>
    </row>
    <row r="489" spans="1:15" x14ac:dyDescent="0.25">
      <c r="A489" s="5">
        <v>46146</v>
      </c>
      <c r="B489" s="6" t="s">
        <v>41</v>
      </c>
      <c r="C489" s="3" t="s">
        <v>18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9">
        <v>0</v>
      </c>
      <c r="N489" s="9">
        <v>0</v>
      </c>
      <c r="O489" s="9">
        <v>0</v>
      </c>
    </row>
    <row r="490" spans="1:15" x14ac:dyDescent="0.25">
      <c r="A490" s="5">
        <v>46147</v>
      </c>
      <c r="B490" s="6" t="s">
        <v>41</v>
      </c>
      <c r="C490" s="3" t="s">
        <v>18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x14ac:dyDescent="0.25">
      <c r="A491" s="5">
        <v>46148</v>
      </c>
      <c r="B491" s="6" t="s">
        <v>41</v>
      </c>
      <c r="C491" s="3" t="s">
        <v>18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41</v>
      </c>
      <c r="C492" t="s">
        <v>18</v>
      </c>
      <c r="D492" s="9">
        <v>0</v>
      </c>
      <c r="E492" s="9">
        <v>0</v>
      </c>
      <c r="F492" s="9">
        <v>0</v>
      </c>
      <c r="G492" s="9">
        <v>0</v>
      </c>
      <c r="H492" s="9">
        <v>0</v>
      </c>
      <c r="I492" s="9">
        <v>0</v>
      </c>
      <c r="J492" s="9">
        <v>0</v>
      </c>
      <c r="K492" s="9">
        <v>0</v>
      </c>
    </row>
    <row r="493" spans="1:15" x14ac:dyDescent="0.25">
      <c r="A493" s="11">
        <v>46140</v>
      </c>
      <c r="B493" t="s">
        <v>44</v>
      </c>
      <c r="C493" t="s">
        <v>18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N493" s="9">
        <v>96.81</v>
      </c>
      <c r="O493" s="9">
        <v>48.018648018648022</v>
      </c>
    </row>
    <row r="494" spans="1:15" x14ac:dyDescent="0.25">
      <c r="A494" s="11">
        <v>46141</v>
      </c>
      <c r="B494" t="s">
        <v>44</v>
      </c>
      <c r="C494" t="s">
        <v>18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N494" s="9">
        <v>96.81</v>
      </c>
      <c r="O494" s="9">
        <v>48.018648018648022</v>
      </c>
    </row>
    <row r="495" spans="1:15" x14ac:dyDescent="0.25">
      <c r="A495" s="11">
        <v>46142</v>
      </c>
      <c r="B495" t="s">
        <v>44</v>
      </c>
      <c r="C495" t="s">
        <v>18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N495" s="9">
        <v>96.81</v>
      </c>
      <c r="O495" s="9">
        <v>48.018648018648022</v>
      </c>
    </row>
    <row r="496" spans="1:15" x14ac:dyDescent="0.25">
      <c r="A496" s="5">
        <v>46146</v>
      </c>
      <c r="B496" s="6" t="s">
        <v>44</v>
      </c>
      <c r="C496" s="9" t="s">
        <v>18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9">
        <v>20</v>
      </c>
      <c r="N496" s="9">
        <v>95.52</v>
      </c>
      <c r="O496" s="9">
        <v>10.561056105610559</v>
      </c>
    </row>
    <row r="497" spans="1:15" x14ac:dyDescent="0.25">
      <c r="A497" s="5">
        <v>46147</v>
      </c>
      <c r="B497" s="6" t="s">
        <v>44</v>
      </c>
      <c r="C497" s="9" t="s">
        <v>18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95.52</v>
      </c>
      <c r="O497" s="3">
        <v>10.561056105610559</v>
      </c>
    </row>
    <row r="498" spans="1:15" x14ac:dyDescent="0.25">
      <c r="A498" s="5">
        <v>46148</v>
      </c>
      <c r="B498" s="6" t="s">
        <v>44</v>
      </c>
      <c r="C498" s="9" t="s">
        <v>18</v>
      </c>
      <c r="D498" s="3">
        <v>27</v>
      </c>
      <c r="E498" s="3">
        <v>25</v>
      </c>
      <c r="F498" s="9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95.52</v>
      </c>
      <c r="O498" s="3">
        <v>10.561056105610559</v>
      </c>
    </row>
    <row r="499" spans="1:15" x14ac:dyDescent="0.25">
      <c r="A499" s="11">
        <v>46168</v>
      </c>
      <c r="B499" t="s">
        <v>44</v>
      </c>
      <c r="C499" t="s">
        <v>18</v>
      </c>
      <c r="D499" s="9">
        <v>30</v>
      </c>
      <c r="E499" s="9">
        <v>29</v>
      </c>
      <c r="F499" s="9">
        <v>15.33</v>
      </c>
      <c r="G499" s="9">
        <v>2</v>
      </c>
    </row>
    <row r="500" spans="1:15" x14ac:dyDescent="0.25">
      <c r="A500" s="11">
        <v>46140</v>
      </c>
      <c r="B500" t="s">
        <v>46</v>
      </c>
      <c r="C500" t="s">
        <v>18</v>
      </c>
      <c r="D500" s="9">
        <v>29</v>
      </c>
      <c r="E500" s="9">
        <v>28</v>
      </c>
      <c r="F500" s="9">
        <v>17.309999999999999</v>
      </c>
      <c r="G500" s="9">
        <v>0</v>
      </c>
      <c r="H500" s="9">
        <v>0</v>
      </c>
      <c r="I500" s="3">
        <f t="shared" ref="I500:I507" si="65">E500+G500+H500</f>
        <v>28</v>
      </c>
      <c r="J500" s="3">
        <f t="shared" ref="J500:J507" si="66"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32</v>
      </c>
      <c r="K500" s="3">
        <f t="shared" ref="K500:K507" si="67">I500-J500</f>
        <v>-4</v>
      </c>
      <c r="L500" s="3" t="str">
        <f>IF(K500&lt;-5,"CRÍTICO",IF(K500&lt;0,"ATENÇÃO",IF(K500&lt;=5,"OPORTUNO","MUITO BOM")))</f>
        <v>ATENÇÃO</v>
      </c>
      <c r="N500" s="9">
        <v>99.15</v>
      </c>
      <c r="O500" s="9">
        <v>27.370689655172409</v>
      </c>
    </row>
    <row r="501" spans="1:15" x14ac:dyDescent="0.25">
      <c r="A501" s="11">
        <v>46141</v>
      </c>
      <c r="B501" t="s">
        <v>46</v>
      </c>
      <c r="C501" t="s">
        <v>18</v>
      </c>
      <c r="D501" s="9">
        <v>32</v>
      </c>
      <c r="E501" s="9">
        <v>26</v>
      </c>
      <c r="F501" s="9">
        <v>12.16</v>
      </c>
      <c r="G501" s="9">
        <v>0</v>
      </c>
      <c r="H501" s="9">
        <v>0</v>
      </c>
      <c r="I501" s="3">
        <f t="shared" si="65"/>
        <v>26</v>
      </c>
      <c r="J501" s="3">
        <f t="shared" si="66"/>
        <v>33</v>
      </c>
      <c r="K501" s="3">
        <f t="shared" si="67"/>
        <v>-7</v>
      </c>
      <c r="L501" s="3" t="str">
        <f>IF(K501&lt;-5,"CRÍTICO",IF(K501&lt;0,"ATENÇÃO",IF(K501&lt;=5,"OPORTUNO","MUITO BOM")))</f>
        <v>CRÍTICO</v>
      </c>
      <c r="N501" s="9">
        <v>99.15</v>
      </c>
      <c r="O501" s="9">
        <v>27.370689655172409</v>
      </c>
    </row>
    <row r="502" spans="1:15" x14ac:dyDescent="0.25">
      <c r="A502" s="11">
        <v>46142</v>
      </c>
      <c r="B502" t="s">
        <v>46</v>
      </c>
      <c r="C502" t="s">
        <v>18</v>
      </c>
      <c r="D502" s="9">
        <v>31</v>
      </c>
      <c r="E502" s="9">
        <v>29</v>
      </c>
      <c r="F502" s="9">
        <v>13.5</v>
      </c>
      <c r="G502" s="9">
        <v>0</v>
      </c>
      <c r="H502" s="9">
        <v>0</v>
      </c>
      <c r="I502" s="3">
        <f t="shared" si="65"/>
        <v>29</v>
      </c>
      <c r="J502" s="3">
        <f t="shared" si="66"/>
        <v>30</v>
      </c>
      <c r="K502" s="3">
        <f t="shared" si="67"/>
        <v>-1</v>
      </c>
      <c r="L502" s="3" t="str">
        <f>IF(K502&lt;-5,"CRÍTICO",IF(K502&lt;0,"ATENÇÃO",IF(K502&lt;=5,"OPORTUNO","MUITO BOM")))</f>
        <v>ATENÇÃO</v>
      </c>
      <c r="N502" s="9">
        <v>99.15</v>
      </c>
      <c r="O502" s="9">
        <v>27.370689655172409</v>
      </c>
    </row>
    <row r="503" spans="1:15" hidden="1" x14ac:dyDescent="0.25">
      <c r="A503" s="11">
        <v>46044</v>
      </c>
      <c r="B503" t="s">
        <v>36</v>
      </c>
      <c r="C503" t="s">
        <v>20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65"/>
        <v>22</v>
      </c>
      <c r="J503" s="3">
        <f t="shared" si="66"/>
        <v>13</v>
      </c>
      <c r="K503" s="3">
        <f t="shared" si="67"/>
        <v>9</v>
      </c>
      <c r="L503" s="3" t="str">
        <f>IF(K503&lt;-5,"CRÍTICO",IF(K503&lt;0,"ATENÇÃO",IF(K503&lt;=5,"BOM","EXCELENTE")))</f>
        <v>EXCELENTE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36</v>
      </c>
      <c r="C504" t="s">
        <v>20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65"/>
        <v>17</v>
      </c>
      <c r="J504" s="3">
        <f t="shared" si="66"/>
        <v>13</v>
      </c>
      <c r="K504" s="3">
        <f t="shared" si="67"/>
        <v>4</v>
      </c>
      <c r="L504" s="3" t="str">
        <f>IF(K504&lt;-5,"CRÍTICO",IF(K504&lt;0,"ATENÇÃO",IF(K504&lt;=5,"BOM","EXCELENTE")))</f>
        <v>BOM</v>
      </c>
      <c r="N504">
        <v>98.91</v>
      </c>
      <c r="O504">
        <v>31.367292225201069</v>
      </c>
    </row>
    <row r="505" spans="1:15" x14ac:dyDescent="0.25">
      <c r="A505" s="5">
        <v>46146</v>
      </c>
      <c r="B505" s="6" t="s">
        <v>46</v>
      </c>
      <c r="C505" s="9" t="s">
        <v>18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65"/>
        <v>29</v>
      </c>
      <c r="J505" s="3">
        <f t="shared" si="66"/>
        <v>35</v>
      </c>
      <c r="K505" s="3">
        <f t="shared" si="67"/>
        <v>-6</v>
      </c>
      <c r="L505" s="3" t="str">
        <f>IF(K505&lt;-5,"CRÍTICO",IF(K505&lt;0,"ATENÇÃO",IF(K505&lt;=5,"BOM","EXCELENTE")))</f>
        <v>CRÍTICO</v>
      </c>
      <c r="M505" s="9">
        <v>27</v>
      </c>
      <c r="N505" s="9">
        <v>100</v>
      </c>
      <c r="O505" s="9">
        <v>15.584415584415581</v>
      </c>
    </row>
    <row r="506" spans="1:15" x14ac:dyDescent="0.25">
      <c r="A506" s="5">
        <v>46147</v>
      </c>
      <c r="B506" s="6" t="s">
        <v>46</v>
      </c>
      <c r="C506" s="9" t="s">
        <v>18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65"/>
        <v>25</v>
      </c>
      <c r="J506" s="3">
        <f t="shared" si="66"/>
        <v>35</v>
      </c>
      <c r="K506" s="3">
        <f t="shared" si="67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15.584415584415581</v>
      </c>
    </row>
    <row r="507" spans="1:15" x14ac:dyDescent="0.25">
      <c r="A507" s="5">
        <v>46148</v>
      </c>
      <c r="B507" s="6" t="s">
        <v>46</v>
      </c>
      <c r="C507" s="9" t="s">
        <v>18</v>
      </c>
      <c r="D507" s="3">
        <v>38</v>
      </c>
      <c r="E507" s="3">
        <v>38</v>
      </c>
      <c r="F507" s="9">
        <v>16.420000000000002</v>
      </c>
      <c r="G507" s="3">
        <v>0</v>
      </c>
      <c r="H507" s="3">
        <v>0</v>
      </c>
      <c r="I507" s="3">
        <f t="shared" si="65"/>
        <v>38</v>
      </c>
      <c r="J507" s="3">
        <f t="shared" si="66"/>
        <v>35</v>
      </c>
      <c r="K507" s="3">
        <f t="shared" si="67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15.584415584415581</v>
      </c>
    </row>
    <row r="508" spans="1:15" x14ac:dyDescent="0.25">
      <c r="A508" s="11">
        <v>46168</v>
      </c>
      <c r="B508" t="s">
        <v>46</v>
      </c>
      <c r="C508" t="s">
        <v>18</v>
      </c>
      <c r="D508" s="9">
        <v>29</v>
      </c>
      <c r="E508" s="9">
        <v>26</v>
      </c>
      <c r="F508" s="9">
        <v>15.05</v>
      </c>
      <c r="G508" s="9">
        <v>0</v>
      </c>
    </row>
    <row r="509" spans="1:15" x14ac:dyDescent="0.25">
      <c r="A509" s="11">
        <v>46140</v>
      </c>
      <c r="B509" t="s">
        <v>49</v>
      </c>
      <c r="C509" t="s">
        <v>18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N509" s="9">
        <v>88.68</v>
      </c>
      <c r="O509" s="9">
        <v>22.03389830508474</v>
      </c>
    </row>
    <row r="510" spans="1:15" x14ac:dyDescent="0.25">
      <c r="A510" s="11">
        <v>46141</v>
      </c>
      <c r="B510" t="s">
        <v>49</v>
      </c>
      <c r="C510" t="s">
        <v>18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N510" s="9">
        <v>88.68</v>
      </c>
      <c r="O510" s="9">
        <v>22.03389830508474</v>
      </c>
    </row>
    <row r="511" spans="1:15" x14ac:dyDescent="0.25">
      <c r="A511" s="11">
        <v>46142</v>
      </c>
      <c r="B511" t="s">
        <v>49</v>
      </c>
      <c r="C511" t="s">
        <v>18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N511" s="9">
        <v>88.68</v>
      </c>
      <c r="O511" s="9">
        <v>22.03389830508474</v>
      </c>
    </row>
    <row r="512" spans="1:15" x14ac:dyDescent="0.25">
      <c r="A512" s="5">
        <v>46146</v>
      </c>
      <c r="B512" s="6" t="s">
        <v>49</v>
      </c>
      <c r="C512" s="3" t="s">
        <v>18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9">
        <v>0</v>
      </c>
      <c r="N512" s="9">
        <v>100</v>
      </c>
      <c r="O512" s="9">
        <v>4.3478260869565224</v>
      </c>
    </row>
    <row r="513" spans="1:15" x14ac:dyDescent="0.25">
      <c r="A513" s="5">
        <v>46147</v>
      </c>
      <c r="B513" s="6" t="s">
        <v>49</v>
      </c>
      <c r="C513" s="3" t="s">
        <v>18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4.3478260869565224</v>
      </c>
    </row>
    <row r="514" spans="1:15" x14ac:dyDescent="0.25">
      <c r="A514" s="5">
        <v>46148</v>
      </c>
      <c r="B514" s="6" t="s">
        <v>49</v>
      </c>
      <c r="C514" s="3" t="s">
        <v>18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4.3478260869565224</v>
      </c>
    </row>
    <row r="515" spans="1:15" x14ac:dyDescent="0.25">
      <c r="A515" s="11">
        <v>46168</v>
      </c>
      <c r="B515" t="s">
        <v>49</v>
      </c>
      <c r="C515" t="s">
        <v>18</v>
      </c>
      <c r="D515" s="9">
        <v>0</v>
      </c>
      <c r="E515" s="9">
        <v>0</v>
      </c>
      <c r="F515" s="9">
        <v>0</v>
      </c>
      <c r="G515" s="9">
        <v>0</v>
      </c>
      <c r="H515" s="9">
        <v>0</v>
      </c>
      <c r="I515" s="9">
        <v>0</v>
      </c>
      <c r="J515" s="9">
        <v>0</v>
      </c>
      <c r="K515" s="9">
        <v>0</v>
      </c>
    </row>
    <row r="516" spans="1:15" x14ac:dyDescent="0.25">
      <c r="A516" s="11">
        <v>46140</v>
      </c>
      <c r="B516" t="s">
        <v>52</v>
      </c>
      <c r="C516" t="s">
        <v>18</v>
      </c>
      <c r="D516" s="9">
        <v>35</v>
      </c>
      <c r="E516" s="9">
        <v>34</v>
      </c>
      <c r="F516" s="9">
        <v>15.13</v>
      </c>
      <c r="G516" s="9">
        <v>0</v>
      </c>
      <c r="H516" s="9">
        <v>0</v>
      </c>
      <c r="I516" s="3">
        <f t="shared" ref="I516:I521" si="68">E516+G516+H516</f>
        <v>34</v>
      </c>
      <c r="J516" s="3">
        <f t="shared" ref="J516:J521" si="69"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32</v>
      </c>
      <c r="K516" s="3">
        <f t="shared" ref="K516:K521" si="70">I516-J516</f>
        <v>2</v>
      </c>
      <c r="L516" s="3" t="str">
        <f>IF(K516&lt;-5,"CRÍTICO",IF(K516&lt;0,"ATENÇÃO",IF(K516&lt;=5,"OPORTUNO","MUITO BOM")))</f>
        <v>OPORTUNO</v>
      </c>
      <c r="N516" s="9">
        <v>100</v>
      </c>
      <c r="O516" s="9">
        <v>23.9870340356564</v>
      </c>
    </row>
    <row r="517" spans="1:15" x14ac:dyDescent="0.25">
      <c r="A517" s="11">
        <v>46141</v>
      </c>
      <c r="B517" t="s">
        <v>52</v>
      </c>
      <c r="C517" t="s">
        <v>18</v>
      </c>
      <c r="D517" s="9">
        <v>26</v>
      </c>
      <c r="E517" s="9">
        <v>23</v>
      </c>
      <c r="F517" s="9">
        <v>11.5</v>
      </c>
      <c r="G517" s="9">
        <v>0</v>
      </c>
      <c r="H517" s="9">
        <v>0</v>
      </c>
      <c r="I517" s="3">
        <f t="shared" si="68"/>
        <v>23</v>
      </c>
      <c r="J517" s="3">
        <f t="shared" si="69"/>
        <v>33</v>
      </c>
      <c r="K517" s="3">
        <f t="shared" si="70"/>
        <v>-10</v>
      </c>
      <c r="L517" s="3" t="str">
        <f>IF(K517&lt;-5,"CRÍTICO",IF(K517&lt;0,"ATENÇÃO",IF(K517&lt;=5,"OPORTUNO","MUITO BOM")))</f>
        <v>CRÍTICO</v>
      </c>
      <c r="N517" s="9">
        <v>100</v>
      </c>
      <c r="O517" s="9">
        <v>23.9870340356564</v>
      </c>
    </row>
    <row r="518" spans="1:15" x14ac:dyDescent="0.25">
      <c r="A518" s="11">
        <v>46142</v>
      </c>
      <c r="B518" t="s">
        <v>52</v>
      </c>
      <c r="C518" t="s">
        <v>18</v>
      </c>
      <c r="D518" s="9">
        <v>15</v>
      </c>
      <c r="E518" s="9">
        <v>13</v>
      </c>
      <c r="F518" s="9">
        <v>11.57</v>
      </c>
      <c r="G518" s="9">
        <v>0</v>
      </c>
      <c r="H518" s="9">
        <v>0</v>
      </c>
      <c r="I518" s="3">
        <f t="shared" si="68"/>
        <v>13</v>
      </c>
      <c r="J518" s="3">
        <f t="shared" si="69"/>
        <v>30</v>
      </c>
      <c r="K518" s="3">
        <f t="shared" si="70"/>
        <v>-17</v>
      </c>
      <c r="L518" s="3" t="str">
        <f>IF(K518&lt;-5,"CRÍTICO",IF(K518&lt;0,"ATENÇÃO",IF(K518&lt;=5,"OPORTUNO","MUITO BOM")))</f>
        <v>CRÍTICO</v>
      </c>
      <c r="N518" s="9">
        <v>100</v>
      </c>
      <c r="O518" s="9">
        <v>23.9870340356564</v>
      </c>
    </row>
    <row r="519" spans="1:15" x14ac:dyDescent="0.25">
      <c r="A519" s="5">
        <v>46146</v>
      </c>
      <c r="B519" s="6" t="s">
        <v>52</v>
      </c>
      <c r="C519" s="3" t="s">
        <v>18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68"/>
        <v>57</v>
      </c>
      <c r="J519" s="3">
        <f t="shared" si="69"/>
        <v>35</v>
      </c>
      <c r="K519" s="3">
        <f t="shared" si="70"/>
        <v>22</v>
      </c>
      <c r="L519" s="3" t="str">
        <f>IF(K519&lt;-5,"CRÍTICO",IF(K519&lt;0,"ATENÇÃO",IF(K519&lt;=5,"BOM","EXCELENTE")))</f>
        <v>EXCELENTE</v>
      </c>
      <c r="M519" s="9">
        <v>36</v>
      </c>
      <c r="N519" s="9">
        <v>98.28</v>
      </c>
      <c r="O519" s="9">
        <v>9.037900874635568</v>
      </c>
    </row>
    <row r="520" spans="1:15" x14ac:dyDescent="0.25">
      <c r="A520" s="5">
        <v>46147</v>
      </c>
      <c r="B520" s="6" t="s">
        <v>52</v>
      </c>
      <c r="C520" s="3" t="s">
        <v>18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68"/>
        <v>35</v>
      </c>
      <c r="J520" s="3">
        <f t="shared" si="69"/>
        <v>35</v>
      </c>
      <c r="K520" s="3">
        <f t="shared" si="70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98.28</v>
      </c>
      <c r="O520" s="3">
        <v>9.037900874635568</v>
      </c>
    </row>
    <row r="521" spans="1:15" x14ac:dyDescent="0.25">
      <c r="A521" s="5">
        <v>46148</v>
      </c>
      <c r="B521" s="6" t="s">
        <v>52</v>
      </c>
      <c r="C521" s="3" t="s">
        <v>18</v>
      </c>
      <c r="D521" s="3">
        <v>24</v>
      </c>
      <c r="E521" s="3">
        <v>24</v>
      </c>
      <c r="F521" s="9">
        <v>18.39</v>
      </c>
      <c r="G521" s="3">
        <v>0</v>
      </c>
      <c r="H521" s="3">
        <v>17</v>
      </c>
      <c r="I521" s="3">
        <f t="shared" si="68"/>
        <v>41</v>
      </c>
      <c r="J521" s="3">
        <f t="shared" si="69"/>
        <v>35</v>
      </c>
      <c r="K521" s="3">
        <f t="shared" si="70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98.28</v>
      </c>
      <c r="O521" s="3">
        <v>9.037900874635568</v>
      </c>
    </row>
    <row r="522" spans="1:15" x14ac:dyDescent="0.25">
      <c r="A522" s="11">
        <v>46168</v>
      </c>
      <c r="B522" t="s">
        <v>52</v>
      </c>
      <c r="C522" t="s">
        <v>18</v>
      </c>
      <c r="D522" s="9">
        <v>0</v>
      </c>
      <c r="E522" s="9">
        <v>0</v>
      </c>
      <c r="F522" s="9">
        <v>0</v>
      </c>
      <c r="G522" s="9">
        <v>0</v>
      </c>
      <c r="H522" s="9">
        <v>0</v>
      </c>
      <c r="I522" s="9">
        <v>0</v>
      </c>
      <c r="J522" s="9">
        <v>0</v>
      </c>
      <c r="K522" s="9">
        <v>0</v>
      </c>
    </row>
    <row r="523" spans="1:15" x14ac:dyDescent="0.25">
      <c r="A523" s="11">
        <v>46140</v>
      </c>
      <c r="B523" t="s">
        <v>53</v>
      </c>
      <c r="C523" t="s">
        <v>18</v>
      </c>
      <c r="D523" s="9">
        <v>38</v>
      </c>
      <c r="E523" s="9">
        <v>32</v>
      </c>
      <c r="F523" s="9">
        <v>12.32</v>
      </c>
      <c r="G523" s="9">
        <v>0</v>
      </c>
      <c r="H523" s="9">
        <v>0</v>
      </c>
      <c r="I523" s="3">
        <f t="shared" ref="I523:I528" si="71">E523+G523+H523</f>
        <v>32</v>
      </c>
      <c r="J523" s="3">
        <f t="shared" ref="J523:J528" si="72"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32</v>
      </c>
      <c r="K523" s="3">
        <f t="shared" ref="K523:K528" si="73">I523-J523</f>
        <v>0</v>
      </c>
      <c r="L523" s="3" t="str">
        <f>IF(K523&lt;-5,"CRÍTICO",IF(K523&lt;0,"ATENÇÃO",IF(K523&lt;=5,"OPORTUNO","MUITO BOM")))</f>
        <v>OPORTUNO</v>
      </c>
      <c r="N523" s="9">
        <v>95.49</v>
      </c>
      <c r="O523" s="9">
        <v>28.16901408450704</v>
      </c>
    </row>
    <row r="524" spans="1:15" x14ac:dyDescent="0.25">
      <c r="A524" s="11">
        <v>46141</v>
      </c>
      <c r="B524" t="s">
        <v>53</v>
      </c>
      <c r="C524" t="s">
        <v>18</v>
      </c>
      <c r="D524" s="9">
        <v>32</v>
      </c>
      <c r="E524" s="9">
        <v>29</v>
      </c>
      <c r="F524" s="9">
        <v>12.35</v>
      </c>
      <c r="G524" s="9">
        <v>0</v>
      </c>
      <c r="H524" s="9">
        <v>0</v>
      </c>
      <c r="I524" s="3">
        <f t="shared" si="71"/>
        <v>29</v>
      </c>
      <c r="J524" s="3">
        <f t="shared" si="72"/>
        <v>33</v>
      </c>
      <c r="K524" s="3">
        <f t="shared" si="73"/>
        <v>-4</v>
      </c>
      <c r="L524" s="3" t="str">
        <f>IF(K524&lt;-5,"CRÍTICO",IF(K524&lt;0,"ATENÇÃO",IF(K524&lt;=5,"OPORTUNO","MUITO BOM")))</f>
        <v>ATENÇÃO</v>
      </c>
      <c r="N524" s="9">
        <v>95.49</v>
      </c>
      <c r="O524" s="9">
        <v>28.16901408450704</v>
      </c>
    </row>
    <row r="525" spans="1:15" x14ac:dyDescent="0.25">
      <c r="A525" s="11">
        <v>46142</v>
      </c>
      <c r="B525" t="s">
        <v>53</v>
      </c>
      <c r="C525" t="s">
        <v>18</v>
      </c>
      <c r="D525" s="9">
        <v>35</v>
      </c>
      <c r="E525" s="9">
        <v>34</v>
      </c>
      <c r="F525" s="9">
        <v>14.14</v>
      </c>
      <c r="G525" s="9">
        <v>0</v>
      </c>
      <c r="H525" s="9">
        <v>0</v>
      </c>
      <c r="I525" s="3">
        <f t="shared" si="71"/>
        <v>34</v>
      </c>
      <c r="J525" s="3">
        <f t="shared" si="72"/>
        <v>30</v>
      </c>
      <c r="K525" s="3">
        <f t="shared" si="73"/>
        <v>4</v>
      </c>
      <c r="L525" s="3" t="str">
        <f>IF(K525&lt;-5,"CRÍTICO",IF(K525&lt;0,"ATENÇÃO",IF(K525&lt;=5,"OPORTUNO","MUITO BOM")))</f>
        <v>OPORTUNO</v>
      </c>
      <c r="N525" s="9">
        <v>95.49</v>
      </c>
      <c r="O525" s="9">
        <v>28.16901408450704</v>
      </c>
    </row>
    <row r="526" spans="1:15" x14ac:dyDescent="0.25">
      <c r="A526" s="5">
        <v>46146</v>
      </c>
      <c r="B526" s="6" t="s">
        <v>53</v>
      </c>
      <c r="C526" s="3" t="s">
        <v>18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71"/>
        <v>38</v>
      </c>
      <c r="J526" s="3">
        <f t="shared" si="72"/>
        <v>35</v>
      </c>
      <c r="K526" s="3">
        <f t="shared" si="73"/>
        <v>3</v>
      </c>
      <c r="L526" s="3" t="str">
        <f>IF(K526&lt;-5,"CRÍTICO",IF(K526&lt;0,"ATENÇÃO",IF(K526&lt;=5,"BOM","EXCELENTE")))</f>
        <v>BOM</v>
      </c>
      <c r="M526" s="9">
        <v>33</v>
      </c>
      <c r="N526" s="9">
        <v>97.22</v>
      </c>
      <c r="O526" s="9">
        <v>19.095477386934672</v>
      </c>
    </row>
    <row r="527" spans="1:15" x14ac:dyDescent="0.25">
      <c r="A527" s="5">
        <v>46147</v>
      </c>
      <c r="B527" s="6" t="s">
        <v>53</v>
      </c>
      <c r="C527" s="3" t="s">
        <v>18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71"/>
        <v>40</v>
      </c>
      <c r="J527" s="3">
        <f t="shared" si="72"/>
        <v>35</v>
      </c>
      <c r="K527" s="3">
        <f t="shared" si="73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97.22</v>
      </c>
      <c r="O527" s="3">
        <v>19.095477386934672</v>
      </c>
    </row>
    <row r="528" spans="1:15" x14ac:dyDescent="0.25">
      <c r="A528" s="5">
        <v>46148</v>
      </c>
      <c r="B528" s="6" t="s">
        <v>53</v>
      </c>
      <c r="C528" s="3" t="s">
        <v>18</v>
      </c>
      <c r="D528" s="3">
        <v>32</v>
      </c>
      <c r="E528" s="3">
        <v>30</v>
      </c>
      <c r="F528" s="9">
        <v>19.04</v>
      </c>
      <c r="G528" s="3">
        <v>1</v>
      </c>
      <c r="H528" s="3">
        <v>0</v>
      </c>
      <c r="I528" s="3">
        <f t="shared" si="71"/>
        <v>31</v>
      </c>
      <c r="J528" s="3">
        <f t="shared" si="72"/>
        <v>35</v>
      </c>
      <c r="K528" s="3">
        <f t="shared" si="73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97.22</v>
      </c>
      <c r="O528" s="3">
        <v>19.095477386934672</v>
      </c>
    </row>
    <row r="529" spans="1:15" x14ac:dyDescent="0.25">
      <c r="A529" s="11">
        <v>46168</v>
      </c>
      <c r="B529" t="s">
        <v>53</v>
      </c>
      <c r="C529" t="s">
        <v>18</v>
      </c>
      <c r="D529" s="9">
        <v>33</v>
      </c>
      <c r="E529" s="9">
        <v>30</v>
      </c>
      <c r="F529" s="9">
        <v>10.1</v>
      </c>
      <c r="G529" s="9">
        <v>2</v>
      </c>
    </row>
    <row r="530" spans="1:15" x14ac:dyDescent="0.25">
      <c r="A530" s="11">
        <v>46140</v>
      </c>
      <c r="B530" t="s">
        <v>61</v>
      </c>
      <c r="C530" t="s">
        <v>18</v>
      </c>
      <c r="D530" s="9">
        <v>43</v>
      </c>
      <c r="E530" s="9">
        <v>39</v>
      </c>
      <c r="F530" s="9">
        <v>12.1</v>
      </c>
      <c r="G530" s="9">
        <v>0</v>
      </c>
      <c r="H530" s="9">
        <v>0</v>
      </c>
      <c r="I530" s="3">
        <f t="shared" ref="I530:I535" si="74">E530+G530+H530</f>
        <v>39</v>
      </c>
      <c r="J530" s="3">
        <f t="shared" ref="J530:J535" si="75"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32</v>
      </c>
      <c r="K530" s="3">
        <f t="shared" ref="K530:K535" si="76">I530-J530</f>
        <v>7</v>
      </c>
      <c r="L530" s="3" t="str">
        <f>IF(K530&lt;-5,"CRÍTICO",IF(K530&lt;0,"ATENÇÃO",IF(K530&lt;=5,"OPORTUNO","MUITO BOM")))</f>
        <v>MUITO BOM</v>
      </c>
      <c r="N530" s="9">
        <v>100</v>
      </c>
      <c r="O530" s="9">
        <v>31.135531135531139</v>
      </c>
    </row>
    <row r="531" spans="1:15" x14ac:dyDescent="0.25">
      <c r="A531" s="11">
        <v>46141</v>
      </c>
      <c r="B531" t="s">
        <v>61</v>
      </c>
      <c r="C531" t="s">
        <v>18</v>
      </c>
      <c r="D531" s="9">
        <v>52</v>
      </c>
      <c r="E531" s="9">
        <v>48</v>
      </c>
      <c r="F531" s="9">
        <v>10.56</v>
      </c>
      <c r="G531" s="9">
        <v>0</v>
      </c>
      <c r="H531" s="9">
        <v>0</v>
      </c>
      <c r="I531" s="3">
        <f t="shared" si="74"/>
        <v>48</v>
      </c>
      <c r="J531" s="3">
        <f t="shared" si="75"/>
        <v>33</v>
      </c>
      <c r="K531" s="3">
        <f t="shared" si="76"/>
        <v>15</v>
      </c>
      <c r="L531" s="3" t="str">
        <f>IF(K531&lt;-5,"CRÍTICO",IF(K531&lt;0,"ATENÇÃO",IF(K531&lt;=5,"OPORTUNO","MUITO BOM")))</f>
        <v>MUITO BOM</v>
      </c>
      <c r="N531" s="9">
        <v>100</v>
      </c>
      <c r="O531" s="9">
        <v>31.135531135531139</v>
      </c>
    </row>
    <row r="532" spans="1:15" x14ac:dyDescent="0.25">
      <c r="A532" s="11">
        <v>46142</v>
      </c>
      <c r="B532" t="s">
        <v>61</v>
      </c>
      <c r="C532" t="s">
        <v>18</v>
      </c>
      <c r="D532" s="9">
        <v>36</v>
      </c>
      <c r="E532" s="9">
        <v>33</v>
      </c>
      <c r="F532" s="9">
        <v>18.2</v>
      </c>
      <c r="G532" s="9">
        <v>0</v>
      </c>
      <c r="H532" s="9">
        <v>0</v>
      </c>
      <c r="I532" s="3">
        <f t="shared" si="74"/>
        <v>33</v>
      </c>
      <c r="J532" s="3">
        <f t="shared" si="75"/>
        <v>30</v>
      </c>
      <c r="K532" s="3">
        <f t="shared" si="76"/>
        <v>3</v>
      </c>
      <c r="L532" s="3" t="str">
        <f>IF(K532&lt;-5,"CRÍTICO",IF(K532&lt;0,"ATENÇÃO",IF(K532&lt;=5,"OPORTUNO","MUITO BOM")))</f>
        <v>OPORTUNO</v>
      </c>
      <c r="N532" s="9">
        <v>100</v>
      </c>
      <c r="O532" s="9">
        <v>31.135531135531139</v>
      </c>
    </row>
    <row r="533" spans="1:15" x14ac:dyDescent="0.25">
      <c r="A533" s="5">
        <v>46146</v>
      </c>
      <c r="B533" s="6" t="s">
        <v>61</v>
      </c>
      <c r="C533" s="3" t="s">
        <v>18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74"/>
        <v>47</v>
      </c>
      <c r="J533" s="3">
        <f t="shared" si="75"/>
        <v>35</v>
      </c>
      <c r="K533" s="3">
        <f t="shared" si="76"/>
        <v>12</v>
      </c>
      <c r="L533" s="3" t="str">
        <f>IF(K533&lt;-5,"CRÍTICO",IF(K533&lt;0,"ATENÇÃO",IF(K533&lt;=5,"BOM","EXCELENTE")))</f>
        <v>EXCELENTE</v>
      </c>
      <c r="M533" s="9">
        <v>32</v>
      </c>
      <c r="N533" s="9">
        <v>99.29</v>
      </c>
      <c r="O533" s="9">
        <v>22.49443207126949</v>
      </c>
    </row>
    <row r="534" spans="1:15" x14ac:dyDescent="0.25">
      <c r="A534" s="5">
        <v>46147</v>
      </c>
      <c r="B534" s="6" t="s">
        <v>61</v>
      </c>
      <c r="C534" s="3" t="s">
        <v>18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74"/>
        <v>54</v>
      </c>
      <c r="J534" s="3">
        <f t="shared" si="75"/>
        <v>35</v>
      </c>
      <c r="K534" s="3">
        <f t="shared" si="7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99.29</v>
      </c>
      <c r="O534" s="3">
        <v>22.49443207126949</v>
      </c>
    </row>
    <row r="535" spans="1:15" x14ac:dyDescent="0.25">
      <c r="A535" s="5">
        <v>46148</v>
      </c>
      <c r="B535" s="6" t="s">
        <v>61</v>
      </c>
      <c r="C535" s="3" t="s">
        <v>18</v>
      </c>
      <c r="D535" s="3">
        <v>57</v>
      </c>
      <c r="E535" s="3">
        <v>51</v>
      </c>
      <c r="F535" s="9">
        <v>10.53</v>
      </c>
      <c r="G535" s="3">
        <v>1</v>
      </c>
      <c r="H535" s="3">
        <v>0</v>
      </c>
      <c r="I535" s="3">
        <f t="shared" si="74"/>
        <v>52</v>
      </c>
      <c r="J535" s="3">
        <f t="shared" si="75"/>
        <v>35</v>
      </c>
      <c r="K535" s="3">
        <f t="shared" si="7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99.29</v>
      </c>
      <c r="O535" s="3">
        <v>22.49443207126949</v>
      </c>
    </row>
    <row r="536" spans="1:15" x14ac:dyDescent="0.25">
      <c r="A536" s="11">
        <v>46168</v>
      </c>
      <c r="B536" t="s">
        <v>61</v>
      </c>
      <c r="C536" t="s">
        <v>18</v>
      </c>
      <c r="D536" s="9">
        <v>37</v>
      </c>
      <c r="E536" s="9">
        <v>33</v>
      </c>
      <c r="F536" s="9">
        <v>11.48</v>
      </c>
      <c r="G536" s="9">
        <v>0</v>
      </c>
    </row>
    <row r="537" spans="1:15" x14ac:dyDescent="0.25">
      <c r="A537" s="11">
        <v>46140</v>
      </c>
      <c r="B537" t="s">
        <v>63</v>
      </c>
      <c r="C537" t="s">
        <v>18</v>
      </c>
      <c r="D537" s="9">
        <v>30</v>
      </c>
      <c r="E537" s="9">
        <v>28</v>
      </c>
      <c r="F537" s="9">
        <v>17.329999999999998</v>
      </c>
      <c r="G537" s="9">
        <v>0</v>
      </c>
      <c r="H537" s="9">
        <v>0</v>
      </c>
      <c r="I537" s="3">
        <f t="shared" ref="I537:I542" si="77">E537+G537+H537</f>
        <v>28</v>
      </c>
      <c r="J537" s="3">
        <f t="shared" ref="J537:J542" si="78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32</v>
      </c>
      <c r="K537" s="3">
        <f t="shared" ref="K537:K542" si="79">I537-J537</f>
        <v>-4</v>
      </c>
      <c r="L537" s="3" t="str">
        <f>IF(K537&lt;-5,"CRÍTICO",IF(K537&lt;0,"ATENÇÃO",IF(K537&lt;=5,"OPORTUNO","MUITO BOM")))</f>
        <v>ATENÇÃO</v>
      </c>
      <c r="N537" s="9">
        <v>99.21</v>
      </c>
      <c r="O537" s="9">
        <v>24.937027707808561</v>
      </c>
    </row>
    <row r="538" spans="1:15" x14ac:dyDescent="0.25">
      <c r="A538" s="11">
        <v>46141</v>
      </c>
      <c r="B538" t="s">
        <v>63</v>
      </c>
      <c r="C538" t="s">
        <v>18</v>
      </c>
      <c r="D538" s="9">
        <v>30</v>
      </c>
      <c r="E538" s="9">
        <v>30</v>
      </c>
      <c r="F538" s="9">
        <v>15</v>
      </c>
      <c r="G538" s="9">
        <v>0</v>
      </c>
      <c r="H538" s="9">
        <v>0</v>
      </c>
      <c r="I538" s="3">
        <f t="shared" si="77"/>
        <v>30</v>
      </c>
      <c r="J538" s="3">
        <f t="shared" si="78"/>
        <v>33</v>
      </c>
      <c r="K538" s="3">
        <f t="shared" si="79"/>
        <v>-3</v>
      </c>
      <c r="L538" s="3" t="str">
        <f>IF(K538&lt;-5,"CRÍTICO",IF(K538&lt;0,"ATENÇÃO",IF(K538&lt;=5,"OPORTUNO","MUITO BOM")))</f>
        <v>ATENÇÃO</v>
      </c>
      <c r="N538" s="9">
        <v>99.21</v>
      </c>
      <c r="O538" s="9">
        <v>24.937027707808561</v>
      </c>
    </row>
    <row r="539" spans="1:15" x14ac:dyDescent="0.25">
      <c r="A539" s="11">
        <v>46142</v>
      </c>
      <c r="B539" t="s">
        <v>63</v>
      </c>
      <c r="C539" t="s">
        <v>18</v>
      </c>
      <c r="D539" s="9">
        <v>10</v>
      </c>
      <c r="E539" s="9">
        <v>10</v>
      </c>
      <c r="F539" s="9">
        <v>20.23</v>
      </c>
      <c r="G539" s="9">
        <v>0</v>
      </c>
      <c r="H539" s="9">
        <v>0</v>
      </c>
      <c r="I539" s="3">
        <f t="shared" si="77"/>
        <v>10</v>
      </c>
      <c r="J539" s="3">
        <f t="shared" si="78"/>
        <v>30</v>
      </c>
      <c r="K539" s="3">
        <f t="shared" si="79"/>
        <v>-20</v>
      </c>
      <c r="L539" s="3" t="str">
        <f>IF(K539&lt;-5,"CRÍTICO",IF(K539&lt;0,"ATENÇÃO",IF(K539&lt;=5,"OPORTUNO","MUITO BOM")))</f>
        <v>CRÍTICO</v>
      </c>
      <c r="N539" s="9">
        <v>99.21</v>
      </c>
      <c r="O539" s="9">
        <v>24.937027707808561</v>
      </c>
    </row>
    <row r="540" spans="1:15" x14ac:dyDescent="0.25">
      <c r="A540" s="5">
        <v>46146</v>
      </c>
      <c r="B540" s="6" t="s">
        <v>63</v>
      </c>
      <c r="C540" s="3" t="s">
        <v>18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77"/>
        <v>29</v>
      </c>
      <c r="J540" s="3">
        <f t="shared" si="78"/>
        <v>35</v>
      </c>
      <c r="K540" s="3">
        <f t="shared" si="79"/>
        <v>-6</v>
      </c>
      <c r="L540" s="3" t="str">
        <f>IF(K540&lt;-5,"CRÍTICO",IF(K540&lt;0,"ATENÇÃO",IF(K540&lt;=5,"BOM","EXCELENTE")))</f>
        <v>CRÍTICO</v>
      </c>
      <c r="M540" s="9">
        <v>26</v>
      </c>
      <c r="N540" s="9">
        <v>97.33</v>
      </c>
      <c r="O540" s="9">
        <v>15.805471124620061</v>
      </c>
    </row>
    <row r="541" spans="1:15" x14ac:dyDescent="0.25">
      <c r="A541" s="5">
        <v>46147</v>
      </c>
      <c r="B541" s="6" t="s">
        <v>63</v>
      </c>
      <c r="C541" s="3" t="s">
        <v>18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77"/>
        <v>32</v>
      </c>
      <c r="J541" s="3">
        <f t="shared" si="78"/>
        <v>35</v>
      </c>
      <c r="K541" s="3">
        <f t="shared" si="79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97.33</v>
      </c>
      <c r="O541" s="3">
        <v>15.805471124620061</v>
      </c>
    </row>
    <row r="542" spans="1:15" x14ac:dyDescent="0.25">
      <c r="A542" s="5">
        <v>46148</v>
      </c>
      <c r="B542" s="6" t="s">
        <v>63</v>
      </c>
      <c r="C542" s="3" t="s">
        <v>18</v>
      </c>
      <c r="D542" s="3">
        <v>21</v>
      </c>
      <c r="E542" s="3">
        <v>20</v>
      </c>
      <c r="F542" s="9">
        <v>18.47</v>
      </c>
      <c r="G542" s="3">
        <v>8</v>
      </c>
      <c r="H542" s="3">
        <v>0</v>
      </c>
      <c r="I542" s="3">
        <f t="shared" si="77"/>
        <v>28</v>
      </c>
      <c r="J542" s="3">
        <f t="shared" si="78"/>
        <v>35</v>
      </c>
      <c r="K542" s="3">
        <f t="shared" si="79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97.33</v>
      </c>
      <c r="O542" s="3">
        <v>15.805471124620061</v>
      </c>
    </row>
    <row r="543" spans="1:15" x14ac:dyDescent="0.25">
      <c r="A543" s="11">
        <v>46168</v>
      </c>
      <c r="B543" t="s">
        <v>63</v>
      </c>
      <c r="C543" t="s">
        <v>18</v>
      </c>
      <c r="D543" s="9">
        <v>24</v>
      </c>
      <c r="E543" s="9">
        <v>22</v>
      </c>
      <c r="F543" s="9">
        <v>15.22</v>
      </c>
      <c r="G543" s="9">
        <v>0</v>
      </c>
    </row>
    <row r="544" spans="1:15" hidden="1" x14ac:dyDescent="0.25">
      <c r="A544" s="5">
        <v>46146</v>
      </c>
      <c r="B544" s="6" t="s">
        <v>15</v>
      </c>
      <c r="C544" s="3" t="s">
        <v>16</v>
      </c>
      <c r="D544" s="3">
        <v>40</v>
      </c>
      <c r="E544" s="3">
        <v>38</v>
      </c>
      <c r="F544" s="3">
        <v>13.5</v>
      </c>
      <c r="G544" s="3">
        <v>4</v>
      </c>
      <c r="H544" s="3">
        <v>0</v>
      </c>
      <c r="I544" s="3">
        <f>E544+G544+H544</f>
        <v>42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28</v>
      </c>
      <c r="K544" s="3">
        <f>I544-J544</f>
        <v>14</v>
      </c>
      <c r="L544" s="3" t="str">
        <f t="shared" ref="L544:L575" si="80">IF(K544&lt;-5,"CRÍTICO",IF(K544&lt;0,"ATENÇÃO",IF(K544&lt;=5,"BOM","EXCELENTE")))</f>
        <v>EXCELENTE</v>
      </c>
      <c r="M544" s="9">
        <v>36</v>
      </c>
      <c r="N544" s="9">
        <v>98.94</v>
      </c>
      <c r="O544" s="9">
        <v>19.614147909967851</v>
      </c>
    </row>
    <row r="545" spans="1:15" hidden="1" x14ac:dyDescent="0.25">
      <c r="A545" s="5">
        <v>46146</v>
      </c>
      <c r="B545" s="6" t="s">
        <v>24</v>
      </c>
      <c r="C545" s="3" t="s">
        <v>16</v>
      </c>
      <c r="D545" s="3">
        <v>41</v>
      </c>
      <c r="E545" s="3">
        <v>38</v>
      </c>
      <c r="F545" s="3">
        <v>11.44</v>
      </c>
      <c r="G545" s="3">
        <v>5</v>
      </c>
      <c r="H545" s="3">
        <v>0</v>
      </c>
      <c r="I545" s="3">
        <f>E545+G545+H545</f>
        <v>43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15</v>
      </c>
      <c r="L545" s="3" t="str">
        <f t="shared" si="80"/>
        <v>EXCELENTE</v>
      </c>
      <c r="M545" s="9">
        <v>43</v>
      </c>
      <c r="N545" s="9">
        <v>99.13</v>
      </c>
      <c r="O545" s="9">
        <v>14.7239263803681</v>
      </c>
    </row>
    <row r="546" spans="1:15" hidden="1" x14ac:dyDescent="0.25">
      <c r="A546" s="5">
        <v>46146</v>
      </c>
      <c r="B546" s="6" t="s">
        <v>25</v>
      </c>
      <c r="C546" s="9" t="s">
        <v>16</v>
      </c>
      <c r="D546" s="3">
        <v>31</v>
      </c>
      <c r="E546" s="3">
        <v>29</v>
      </c>
      <c r="F546" s="3">
        <v>20.3</v>
      </c>
      <c r="G546" s="3">
        <v>0</v>
      </c>
      <c r="H546" s="3">
        <v>0</v>
      </c>
      <c r="I546" s="3">
        <f>E546+G546+H546</f>
        <v>29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28</v>
      </c>
      <c r="K546" s="3">
        <f>I546-J546</f>
        <v>1</v>
      </c>
      <c r="L546" s="3" t="str">
        <f t="shared" si="80"/>
        <v>BOM</v>
      </c>
      <c r="M546" s="9">
        <v>28</v>
      </c>
      <c r="N546" s="9">
        <v>98.8</v>
      </c>
      <c r="O546" s="9">
        <v>16.897506925207761</v>
      </c>
    </row>
    <row r="547" spans="1:15" hidden="1" x14ac:dyDescent="0.25">
      <c r="A547" s="5">
        <v>46146</v>
      </c>
      <c r="B547" s="6" t="s">
        <v>29</v>
      </c>
      <c r="C547" s="3" t="s">
        <v>16</v>
      </c>
      <c r="D547" s="3">
        <v>37</v>
      </c>
      <c r="E547" s="3">
        <v>30</v>
      </c>
      <c r="F547" s="3">
        <v>15.15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80"/>
        <v>BOM</v>
      </c>
      <c r="M547" s="9">
        <v>25</v>
      </c>
      <c r="N547" s="9">
        <v>98.63</v>
      </c>
      <c r="O547" s="9">
        <v>18.75</v>
      </c>
    </row>
    <row r="548" spans="1:15" hidden="1" x14ac:dyDescent="0.25">
      <c r="A548" s="11">
        <v>46048</v>
      </c>
      <c r="B548" t="s">
        <v>36</v>
      </c>
      <c r="C548" t="s">
        <v>20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ref="I548:I554" si="81">E548+G548+H548</f>
        <v>17</v>
      </c>
      <c r="J548" s="3">
        <f t="shared" ref="J548:J554" si="8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14</v>
      </c>
      <c r="K548" s="3">
        <f t="shared" ref="K548:K554" si="83">I548-J548</f>
        <v>3</v>
      </c>
      <c r="L548" s="3" t="str">
        <f t="shared" si="80"/>
        <v>BOM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36</v>
      </c>
      <c r="C549" t="s">
        <v>20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81"/>
        <v>20</v>
      </c>
      <c r="J549" s="3">
        <f t="shared" si="82"/>
        <v>15</v>
      </c>
      <c r="K549" s="3">
        <f t="shared" si="83"/>
        <v>5</v>
      </c>
      <c r="L549" s="3" t="str">
        <f t="shared" si="80"/>
        <v>BOM</v>
      </c>
      <c r="N549">
        <v>98.91</v>
      </c>
      <c r="O549">
        <v>31.367292225201069</v>
      </c>
    </row>
    <row r="550" spans="1:15" hidden="1" x14ac:dyDescent="0.25">
      <c r="A550" s="5">
        <v>46146</v>
      </c>
      <c r="B550" s="6" t="s">
        <v>33</v>
      </c>
      <c r="C550" s="3" t="s">
        <v>16</v>
      </c>
      <c r="D550" s="3">
        <v>31</v>
      </c>
      <c r="E550" s="3">
        <v>28</v>
      </c>
      <c r="F550" s="3">
        <v>15.09</v>
      </c>
      <c r="G550" s="3">
        <v>7</v>
      </c>
      <c r="H550" s="3">
        <v>0</v>
      </c>
      <c r="I550" s="3">
        <f t="shared" si="81"/>
        <v>35</v>
      </c>
      <c r="J550" s="3">
        <f t="shared" si="82"/>
        <v>28</v>
      </c>
      <c r="K550" s="3">
        <f t="shared" si="83"/>
        <v>7</v>
      </c>
      <c r="L550" s="3" t="str">
        <f t="shared" si="80"/>
        <v>EXCELENTE</v>
      </c>
      <c r="M550" s="9">
        <v>29</v>
      </c>
      <c r="N550" s="9">
        <v>100</v>
      </c>
      <c r="O550" s="9">
        <v>13.8121546961326</v>
      </c>
    </row>
    <row r="551" spans="1:15" hidden="1" x14ac:dyDescent="0.25">
      <c r="A551" s="5">
        <v>46146</v>
      </c>
      <c r="B551" s="6" t="s">
        <v>35</v>
      </c>
      <c r="C551" s="3" t="s">
        <v>16</v>
      </c>
      <c r="D551" s="3">
        <v>36</v>
      </c>
      <c r="E551" s="3">
        <v>33</v>
      </c>
      <c r="F551" s="3">
        <v>18.37</v>
      </c>
      <c r="G551" s="3">
        <v>0</v>
      </c>
      <c r="H551" s="3">
        <v>0</v>
      </c>
      <c r="I551" s="3">
        <f t="shared" si="81"/>
        <v>33</v>
      </c>
      <c r="J551" s="3">
        <f t="shared" si="82"/>
        <v>28</v>
      </c>
      <c r="K551" s="3">
        <f t="shared" si="83"/>
        <v>5</v>
      </c>
      <c r="L551" s="3" t="str">
        <f t="shared" si="80"/>
        <v>BOM</v>
      </c>
      <c r="M551" s="9">
        <v>29</v>
      </c>
      <c r="N551" s="9">
        <v>100</v>
      </c>
      <c r="O551" s="9">
        <v>17.241379310344829</v>
      </c>
    </row>
    <row r="552" spans="1:15" hidden="1" x14ac:dyDescent="0.25">
      <c r="A552" s="5">
        <v>46146</v>
      </c>
      <c r="B552" s="6" t="s">
        <v>37</v>
      </c>
      <c r="C552" s="9" t="s">
        <v>16</v>
      </c>
      <c r="D552" s="3">
        <v>36</v>
      </c>
      <c r="E552" s="3">
        <v>34</v>
      </c>
      <c r="F552" s="3">
        <v>14.11</v>
      </c>
      <c r="G552" s="3">
        <v>0</v>
      </c>
      <c r="H552" s="3">
        <v>0</v>
      </c>
      <c r="I552" s="3">
        <f t="shared" si="81"/>
        <v>34</v>
      </c>
      <c r="J552" s="3">
        <f t="shared" si="82"/>
        <v>28</v>
      </c>
      <c r="K552" s="3">
        <f t="shared" si="83"/>
        <v>6</v>
      </c>
      <c r="L552" s="3" t="str">
        <f t="shared" si="80"/>
        <v>EXCELENTE</v>
      </c>
      <c r="M552" s="9">
        <v>33</v>
      </c>
      <c r="N552" s="9">
        <v>98.63</v>
      </c>
      <c r="O552" s="9">
        <v>15.75757575757576</v>
      </c>
    </row>
    <row r="553" spans="1:15" hidden="1" x14ac:dyDescent="0.25">
      <c r="A553" s="5">
        <v>46146</v>
      </c>
      <c r="B553" s="6" t="s">
        <v>40</v>
      </c>
      <c r="C553" s="3" t="s">
        <v>16</v>
      </c>
      <c r="D553" s="3">
        <v>32</v>
      </c>
      <c r="E553" s="3">
        <v>28</v>
      </c>
      <c r="F553" s="3">
        <v>14.15</v>
      </c>
      <c r="G553" s="3">
        <v>4</v>
      </c>
      <c r="H553" s="3">
        <v>0</v>
      </c>
      <c r="I553" s="3">
        <f t="shared" si="81"/>
        <v>32</v>
      </c>
      <c r="J553" s="3">
        <f t="shared" si="82"/>
        <v>28</v>
      </c>
      <c r="K553" s="3">
        <f t="shared" si="83"/>
        <v>4</v>
      </c>
      <c r="L553" s="3" t="str">
        <f t="shared" si="80"/>
        <v>BOM</v>
      </c>
      <c r="M553" s="9">
        <v>31</v>
      </c>
      <c r="N553" s="9">
        <v>98.61</v>
      </c>
      <c r="O553" s="9">
        <v>16.97530864197531</v>
      </c>
    </row>
    <row r="554" spans="1:15" hidden="1" x14ac:dyDescent="0.25">
      <c r="A554" s="5">
        <v>46146</v>
      </c>
      <c r="B554" s="6" t="s">
        <v>47</v>
      </c>
      <c r="C554" s="3" t="s">
        <v>16</v>
      </c>
      <c r="D554" s="3">
        <v>29</v>
      </c>
      <c r="E554" s="3">
        <v>26</v>
      </c>
      <c r="F554" s="3">
        <v>15.47</v>
      </c>
      <c r="G554" s="3">
        <v>0</v>
      </c>
      <c r="H554" s="3">
        <v>0</v>
      </c>
      <c r="I554" s="3">
        <f t="shared" si="81"/>
        <v>26</v>
      </c>
      <c r="J554" s="3">
        <f t="shared" si="82"/>
        <v>28</v>
      </c>
      <c r="K554" s="3">
        <f t="shared" si="83"/>
        <v>-2</v>
      </c>
      <c r="L554" s="3" t="str">
        <f t="shared" si="80"/>
        <v>ATENÇÃO</v>
      </c>
      <c r="M554" s="9">
        <v>15</v>
      </c>
      <c r="N554" s="9">
        <v>98.61</v>
      </c>
      <c r="O554" s="9">
        <v>16.867469879518069</v>
      </c>
    </row>
    <row r="555" spans="1:15" hidden="1" x14ac:dyDescent="0.25">
      <c r="A555" s="5">
        <v>46146</v>
      </c>
      <c r="B555" s="6" t="s">
        <v>48</v>
      </c>
      <c r="C555" s="3" t="s">
        <v>16</v>
      </c>
      <c r="D555" s="3">
        <v>41</v>
      </c>
      <c r="E555" s="3">
        <v>40</v>
      </c>
      <c r="F555" s="3">
        <v>15.1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 t="str">
        <f t="shared" si="80"/>
        <v>BOM</v>
      </c>
      <c r="M555" s="9">
        <v>31</v>
      </c>
      <c r="N555" s="9">
        <v>100</v>
      </c>
      <c r="O555" s="9">
        <v>20.820189274447952</v>
      </c>
    </row>
    <row r="556" spans="1:15" hidden="1" x14ac:dyDescent="0.25">
      <c r="A556" s="5">
        <v>46146</v>
      </c>
      <c r="B556" s="6" t="s">
        <v>56</v>
      </c>
      <c r="C556" s="3" t="s">
        <v>16</v>
      </c>
      <c r="D556" s="3">
        <v>20</v>
      </c>
      <c r="E556" s="3">
        <v>16</v>
      </c>
      <c r="F556" s="3">
        <v>16.510000000000002</v>
      </c>
      <c r="G556" s="3">
        <v>0</v>
      </c>
      <c r="H556" s="3">
        <v>0</v>
      </c>
      <c r="I556" s="3">
        <f>E556+G556+H556</f>
        <v>16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-12</v>
      </c>
      <c r="L556" s="3" t="str">
        <f t="shared" si="80"/>
        <v>CRÍTICO</v>
      </c>
      <c r="M556" s="9">
        <v>14</v>
      </c>
      <c r="N556" s="9">
        <v>100</v>
      </c>
      <c r="O556" s="9">
        <v>16.894977168949769</v>
      </c>
    </row>
    <row r="557" spans="1:15" hidden="1" x14ac:dyDescent="0.25">
      <c r="A557" s="5">
        <v>46147</v>
      </c>
      <c r="B557" s="6" t="s">
        <v>15</v>
      </c>
      <c r="C557" s="3" t="s">
        <v>16</v>
      </c>
      <c r="D557" s="3">
        <v>42</v>
      </c>
      <c r="E557" s="3">
        <v>37</v>
      </c>
      <c r="F557" s="3">
        <v>12.29</v>
      </c>
      <c r="G557" s="3">
        <v>4</v>
      </c>
      <c r="H557" s="3">
        <v>0</v>
      </c>
      <c r="I557" s="3">
        <f>E557+G557+H557</f>
        <v>41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13</v>
      </c>
      <c r="L557" s="3" t="str">
        <f t="shared" si="80"/>
        <v>EXCELENTE</v>
      </c>
      <c r="M557" s="3">
        <v>32</v>
      </c>
      <c r="N557" s="3">
        <v>98.94</v>
      </c>
      <c r="O557" s="3">
        <v>19.614147909967851</v>
      </c>
    </row>
    <row r="558" spans="1:15" hidden="1" x14ac:dyDescent="0.25">
      <c r="A558" s="5">
        <v>46147</v>
      </c>
      <c r="B558" s="6" t="s">
        <v>24</v>
      </c>
      <c r="C558" s="3" t="s">
        <v>16</v>
      </c>
      <c r="D558" s="3">
        <v>45</v>
      </c>
      <c r="E558" s="3">
        <v>37</v>
      </c>
      <c r="F558" s="3">
        <v>13.52</v>
      </c>
      <c r="G558" s="3">
        <v>6</v>
      </c>
      <c r="H558" s="3">
        <v>0</v>
      </c>
      <c r="I558" s="3">
        <f>E558+G558+H558</f>
        <v>43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28</v>
      </c>
      <c r="K558" s="3">
        <f>I558-J558</f>
        <v>15</v>
      </c>
      <c r="L558" s="3" t="str">
        <f t="shared" si="80"/>
        <v>EXCELENTE</v>
      </c>
      <c r="M558" s="3">
        <v>43</v>
      </c>
      <c r="N558" s="3">
        <v>99.13</v>
      </c>
      <c r="O558" s="3">
        <v>14.7239263803681</v>
      </c>
    </row>
    <row r="559" spans="1:15" hidden="1" x14ac:dyDescent="0.25">
      <c r="A559" s="5">
        <v>46147</v>
      </c>
      <c r="B559" s="6" t="s">
        <v>25</v>
      </c>
      <c r="C559" s="9" t="s">
        <v>16</v>
      </c>
      <c r="D559" s="3">
        <v>19</v>
      </c>
      <c r="E559" s="3">
        <v>18</v>
      </c>
      <c r="F559" s="3">
        <v>26.46</v>
      </c>
      <c r="G559" s="3">
        <v>9</v>
      </c>
      <c r="H559" s="3">
        <v>0</v>
      </c>
      <c r="I559" s="3">
        <f>E559+G559+H559</f>
        <v>27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28</v>
      </c>
      <c r="K559" s="3">
        <f>I559-J559</f>
        <v>-1</v>
      </c>
      <c r="L559" s="3" t="str">
        <f t="shared" si="80"/>
        <v>ATENÇÃO</v>
      </c>
      <c r="M559" s="3">
        <v>27</v>
      </c>
      <c r="N559" s="3">
        <v>98.8</v>
      </c>
      <c r="O559" s="3">
        <v>16.897506925207761</v>
      </c>
    </row>
    <row r="560" spans="1:15" hidden="1" x14ac:dyDescent="0.25">
      <c r="A560" s="5">
        <v>46147</v>
      </c>
      <c r="B560" s="6" t="s">
        <v>29</v>
      </c>
      <c r="C560" s="3" t="s">
        <v>16</v>
      </c>
      <c r="D560" s="3">
        <v>23</v>
      </c>
      <c r="E560" s="3">
        <v>21</v>
      </c>
      <c r="F560" s="3">
        <v>19.190000000000001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 t="str">
        <f t="shared" si="80"/>
        <v>BOM</v>
      </c>
      <c r="M560" s="3">
        <v>26</v>
      </c>
      <c r="N560" s="3">
        <v>98.63</v>
      </c>
      <c r="O560" s="3">
        <v>18.75</v>
      </c>
    </row>
    <row r="561" spans="1:15" hidden="1" x14ac:dyDescent="0.25">
      <c r="A561" s="5">
        <v>46147</v>
      </c>
      <c r="B561" s="6" t="s">
        <v>33</v>
      </c>
      <c r="C561" s="3" t="s">
        <v>16</v>
      </c>
      <c r="D561" s="3">
        <v>34</v>
      </c>
      <c r="E561" s="3">
        <v>31</v>
      </c>
      <c r="F561" s="3">
        <v>14.15</v>
      </c>
      <c r="G561" s="3">
        <v>3</v>
      </c>
      <c r="H561" s="3">
        <v>0</v>
      </c>
      <c r="I561" s="3">
        <f>E561+G561+H561</f>
        <v>34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28</v>
      </c>
      <c r="K561" s="3">
        <f>I561-J561</f>
        <v>6</v>
      </c>
      <c r="L561" s="3" t="str">
        <f t="shared" si="80"/>
        <v>EXCELENTE</v>
      </c>
      <c r="M561" s="3">
        <v>31</v>
      </c>
      <c r="N561" s="3">
        <v>100</v>
      </c>
      <c r="O561" s="3">
        <v>13.8121546961326</v>
      </c>
    </row>
    <row r="562" spans="1:15" hidden="1" x14ac:dyDescent="0.25">
      <c r="A562" s="5">
        <v>46147</v>
      </c>
      <c r="B562" s="6" t="s">
        <v>35</v>
      </c>
      <c r="C562" s="3" t="s">
        <v>16</v>
      </c>
      <c r="D562" s="3">
        <v>0</v>
      </c>
      <c r="E562" s="3">
        <v>0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 t="str">
        <f t="shared" si="80"/>
        <v>BOM</v>
      </c>
      <c r="M562" s="3">
        <v>0</v>
      </c>
      <c r="N562" s="3">
        <v>100</v>
      </c>
      <c r="O562" s="3">
        <v>17.241379310344829</v>
      </c>
    </row>
    <row r="563" spans="1:15" hidden="1" x14ac:dyDescent="0.25">
      <c r="A563" s="5">
        <v>46147</v>
      </c>
      <c r="B563" s="6" t="s">
        <v>37</v>
      </c>
      <c r="C563" s="9" t="s">
        <v>16</v>
      </c>
      <c r="D563" s="3">
        <v>26</v>
      </c>
      <c r="E563" s="3">
        <v>26</v>
      </c>
      <c r="F563" s="3">
        <v>20.010000000000002</v>
      </c>
      <c r="G563" s="3">
        <v>1</v>
      </c>
      <c r="H563" s="3">
        <v>0</v>
      </c>
      <c r="I563" s="3">
        <f>E563+G563+H563</f>
        <v>27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-1</v>
      </c>
      <c r="L563" s="3" t="str">
        <f t="shared" si="80"/>
        <v>ATENÇÃO</v>
      </c>
      <c r="M563" s="3">
        <v>31</v>
      </c>
      <c r="N563" s="3">
        <v>98.63</v>
      </c>
      <c r="O563" s="3">
        <v>15.75757575757576</v>
      </c>
    </row>
    <row r="564" spans="1:15" hidden="1" x14ac:dyDescent="0.25">
      <c r="A564" s="5">
        <v>46147</v>
      </c>
      <c r="B564" s="6" t="s">
        <v>40</v>
      </c>
      <c r="C564" s="3" t="s">
        <v>16</v>
      </c>
      <c r="D564" s="3">
        <v>39</v>
      </c>
      <c r="E564" s="3">
        <v>30</v>
      </c>
      <c r="F564" s="3">
        <v>14.13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2</v>
      </c>
      <c r="L564" s="3" t="str">
        <f t="shared" si="80"/>
        <v>BOM</v>
      </c>
      <c r="M564" s="3">
        <v>30</v>
      </c>
      <c r="N564" s="3">
        <v>98.61</v>
      </c>
      <c r="O564" s="3">
        <v>16.97530864197531</v>
      </c>
    </row>
    <row r="565" spans="1:15" hidden="1" x14ac:dyDescent="0.25">
      <c r="A565" s="5">
        <v>46147</v>
      </c>
      <c r="B565" s="6" t="s">
        <v>47</v>
      </c>
      <c r="C565" s="3" t="s">
        <v>16</v>
      </c>
      <c r="D565" s="3">
        <v>18</v>
      </c>
      <c r="E565" s="3">
        <v>18</v>
      </c>
      <c r="F565" s="3">
        <v>18.28</v>
      </c>
      <c r="G565" s="3">
        <v>4</v>
      </c>
      <c r="H565" s="3">
        <v>0</v>
      </c>
      <c r="I565" s="3">
        <f>E565+G565+H565</f>
        <v>22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-6</v>
      </c>
      <c r="L565" s="3" t="str">
        <f t="shared" si="80"/>
        <v>CRÍTICO</v>
      </c>
      <c r="M565" s="3">
        <v>25</v>
      </c>
      <c r="N565" s="3">
        <v>98.61</v>
      </c>
      <c r="O565" s="3">
        <v>16.867469879518069</v>
      </c>
    </row>
    <row r="566" spans="1:15" hidden="1" x14ac:dyDescent="0.25">
      <c r="A566" s="5">
        <v>46147</v>
      </c>
      <c r="B566" s="6" t="s">
        <v>48</v>
      </c>
      <c r="C566" s="3" t="s">
        <v>16</v>
      </c>
      <c r="D566" s="3">
        <v>37</v>
      </c>
      <c r="E566" s="3">
        <v>35</v>
      </c>
      <c r="F566" s="3">
        <v>15.27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 t="str">
        <f t="shared" si="80"/>
        <v>BOM</v>
      </c>
      <c r="M566" s="3">
        <v>37</v>
      </c>
      <c r="N566" s="3">
        <v>100</v>
      </c>
      <c r="O566" s="3">
        <v>20.820189274447952</v>
      </c>
    </row>
    <row r="567" spans="1:15" hidden="1" x14ac:dyDescent="0.25">
      <c r="A567" s="5">
        <v>46147</v>
      </c>
      <c r="B567" s="6" t="s">
        <v>56</v>
      </c>
      <c r="C567" s="3" t="s">
        <v>16</v>
      </c>
      <c r="D567" s="3">
        <v>27</v>
      </c>
      <c r="E567" s="3">
        <v>25</v>
      </c>
      <c r="F567" s="3">
        <v>17.39</v>
      </c>
      <c r="G567" s="3">
        <v>0</v>
      </c>
      <c r="H567" s="3">
        <v>0</v>
      </c>
      <c r="I567" s="3">
        <f>E567+G567+H567</f>
        <v>25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28</v>
      </c>
      <c r="K567" s="3">
        <f>I567-J567</f>
        <v>-3</v>
      </c>
      <c r="L567" s="3" t="str">
        <f t="shared" si="80"/>
        <v>ATENÇÃO</v>
      </c>
      <c r="M567" s="3">
        <v>21</v>
      </c>
      <c r="N567" s="3">
        <v>100</v>
      </c>
      <c r="O567" s="3">
        <v>16.894977168949769</v>
      </c>
    </row>
    <row r="568" spans="1:15" hidden="1" x14ac:dyDescent="0.25">
      <c r="A568" s="5">
        <v>46148</v>
      </c>
      <c r="B568" s="6" t="s">
        <v>15</v>
      </c>
      <c r="C568" s="3" t="s">
        <v>16</v>
      </c>
      <c r="D568" s="3">
        <v>35</v>
      </c>
      <c r="E568" s="3">
        <v>29</v>
      </c>
      <c r="F568">
        <v>12.32</v>
      </c>
      <c r="G568" s="3">
        <v>11</v>
      </c>
      <c r="H568" s="3">
        <v>0</v>
      </c>
      <c r="I568" s="3">
        <f>E568+G568+H568</f>
        <v>40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28</v>
      </c>
      <c r="K568" s="3">
        <f>I568-J568</f>
        <v>12</v>
      </c>
      <c r="L568" s="3" t="str">
        <f t="shared" si="80"/>
        <v>EXCELENTE</v>
      </c>
      <c r="M568" s="3">
        <v>32</v>
      </c>
      <c r="N568" s="3">
        <v>98.94</v>
      </c>
      <c r="O568" s="3">
        <v>19.614147909967851</v>
      </c>
    </row>
    <row r="569" spans="1:15" hidden="1" x14ac:dyDescent="0.25">
      <c r="A569" s="5">
        <v>46148</v>
      </c>
      <c r="B569" s="6" t="s">
        <v>24</v>
      </c>
      <c r="C569" s="3" t="s">
        <v>16</v>
      </c>
      <c r="D569" s="3">
        <v>31</v>
      </c>
      <c r="E569" s="3">
        <v>28</v>
      </c>
      <c r="F569">
        <v>18.45</v>
      </c>
      <c r="G569" s="3">
        <v>9</v>
      </c>
      <c r="H569" s="3">
        <v>0</v>
      </c>
      <c r="I569" s="3">
        <f>E569+G569+H569</f>
        <v>37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28</v>
      </c>
      <c r="K569" s="3">
        <f>I569-J569</f>
        <v>9</v>
      </c>
      <c r="L569" s="3" t="str">
        <f t="shared" si="80"/>
        <v>EXCELENTE</v>
      </c>
      <c r="M569" s="3">
        <v>35</v>
      </c>
      <c r="N569" s="3">
        <v>99.13</v>
      </c>
      <c r="O569" s="3">
        <v>14.7239263803681</v>
      </c>
    </row>
    <row r="570" spans="1:15" hidden="1" x14ac:dyDescent="0.25">
      <c r="A570" s="5">
        <v>46148</v>
      </c>
      <c r="B570" s="6" t="s">
        <v>25</v>
      </c>
      <c r="C570" s="9" t="s">
        <v>16</v>
      </c>
      <c r="D570" s="3">
        <v>34</v>
      </c>
      <c r="E570" s="3">
        <v>32</v>
      </c>
      <c r="F570">
        <v>14.16</v>
      </c>
      <c r="G570" s="3">
        <v>1</v>
      </c>
      <c r="H570" s="3">
        <v>0</v>
      </c>
      <c r="I570" s="3">
        <f>E570+G570+H570</f>
        <v>33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28</v>
      </c>
      <c r="K570" s="3">
        <f>I570-J570</f>
        <v>5</v>
      </c>
      <c r="L570" s="3" t="str">
        <f t="shared" si="80"/>
        <v>BOM</v>
      </c>
      <c r="M570" s="3">
        <v>31</v>
      </c>
      <c r="N570" s="3">
        <v>98.8</v>
      </c>
      <c r="O570" s="3">
        <v>16.897506925207761</v>
      </c>
    </row>
    <row r="571" spans="1:15" hidden="1" x14ac:dyDescent="0.25">
      <c r="A571" s="5">
        <v>46148</v>
      </c>
      <c r="B571" s="6" t="s">
        <v>29</v>
      </c>
      <c r="C571" s="3" t="s">
        <v>16</v>
      </c>
      <c r="D571" s="3">
        <v>40</v>
      </c>
      <c r="E571" s="3">
        <v>35</v>
      </c>
      <c r="F571">
        <v>15.25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 t="shared" si="80"/>
        <v>BOM</v>
      </c>
      <c r="M571" s="3">
        <v>29</v>
      </c>
      <c r="N571" s="3">
        <v>98.63</v>
      </c>
      <c r="O571" s="3">
        <v>18.75</v>
      </c>
    </row>
    <row r="572" spans="1:15" hidden="1" x14ac:dyDescent="0.25">
      <c r="A572" s="5">
        <v>46148</v>
      </c>
      <c r="B572" s="6" t="s">
        <v>33</v>
      </c>
      <c r="C572" s="3" t="s">
        <v>16</v>
      </c>
      <c r="D572" s="3">
        <v>15</v>
      </c>
      <c r="E572" s="3">
        <v>14</v>
      </c>
      <c r="F572">
        <v>17.309999999999999</v>
      </c>
      <c r="G572" s="3">
        <v>9</v>
      </c>
      <c r="H572" s="3">
        <v>0</v>
      </c>
      <c r="I572" s="3">
        <f>E572+G572+H572</f>
        <v>23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28</v>
      </c>
      <c r="K572" s="3">
        <f>I572-J572</f>
        <v>-5</v>
      </c>
      <c r="L572" s="3" t="str">
        <f t="shared" si="80"/>
        <v>ATENÇÃO</v>
      </c>
      <c r="M572" s="3">
        <v>22</v>
      </c>
      <c r="N572" s="3">
        <v>100</v>
      </c>
      <c r="O572" s="3">
        <v>13.8121546961326</v>
      </c>
    </row>
    <row r="573" spans="1:15" hidden="1" x14ac:dyDescent="0.25">
      <c r="A573" s="5">
        <v>46148</v>
      </c>
      <c r="B573" s="6" t="s">
        <v>35</v>
      </c>
      <c r="C573" s="3" t="s">
        <v>16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 t="str">
        <f t="shared" si="80"/>
        <v>BOM</v>
      </c>
      <c r="M573" s="3">
        <v>0</v>
      </c>
      <c r="N573" s="3">
        <v>100</v>
      </c>
      <c r="O573" s="3">
        <v>17.241379310344829</v>
      </c>
    </row>
    <row r="574" spans="1:15" hidden="1" x14ac:dyDescent="0.25">
      <c r="A574" s="5">
        <v>46148</v>
      </c>
      <c r="B574" s="6" t="s">
        <v>37</v>
      </c>
      <c r="C574" s="9" t="s">
        <v>16</v>
      </c>
      <c r="D574" s="3">
        <v>33</v>
      </c>
      <c r="E574" s="3">
        <v>32</v>
      </c>
      <c r="F574">
        <v>20.010000000000002</v>
      </c>
      <c r="G574" s="3">
        <v>9</v>
      </c>
      <c r="H574" s="3">
        <v>0</v>
      </c>
      <c r="I574" s="3">
        <f>E574+G574+H574</f>
        <v>41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28</v>
      </c>
      <c r="K574" s="3">
        <f>I574-J574</f>
        <v>13</v>
      </c>
      <c r="L574" s="3" t="str">
        <f t="shared" si="80"/>
        <v>EXCELENTE</v>
      </c>
      <c r="M574" s="3">
        <v>30</v>
      </c>
      <c r="N574" s="3">
        <v>98.63</v>
      </c>
      <c r="O574" s="3">
        <v>15.75757575757576</v>
      </c>
    </row>
    <row r="575" spans="1:15" hidden="1" x14ac:dyDescent="0.25">
      <c r="A575" s="5">
        <v>46148</v>
      </c>
      <c r="B575" s="6" t="s">
        <v>40</v>
      </c>
      <c r="C575" s="3" t="s">
        <v>16</v>
      </c>
      <c r="D575" s="3">
        <v>29</v>
      </c>
      <c r="E575" s="3">
        <v>28</v>
      </c>
      <c r="F575">
        <v>10.28</v>
      </c>
      <c r="G575" s="3">
        <v>7</v>
      </c>
      <c r="H575" s="3">
        <v>0</v>
      </c>
      <c r="I575" s="3">
        <f>E575+G575+H575</f>
        <v>35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7</v>
      </c>
      <c r="L575" s="3" t="str">
        <f t="shared" si="80"/>
        <v>EXCELENTE</v>
      </c>
      <c r="M575" s="3">
        <v>34</v>
      </c>
      <c r="N575" s="3">
        <v>98.61</v>
      </c>
      <c r="O575" s="3">
        <v>16.97530864197531</v>
      </c>
    </row>
    <row r="576" spans="1:15" hidden="1" x14ac:dyDescent="0.25">
      <c r="A576" s="5">
        <v>46148</v>
      </c>
      <c r="B576" s="6" t="s">
        <v>47</v>
      </c>
      <c r="C576" s="3" t="s">
        <v>16</v>
      </c>
      <c r="D576" s="3">
        <v>38</v>
      </c>
      <c r="E576" s="3">
        <v>36</v>
      </c>
      <c r="F576">
        <v>15.35</v>
      </c>
      <c r="G576" s="3">
        <v>2</v>
      </c>
      <c r="H576" s="3">
        <v>0</v>
      </c>
      <c r="I576" s="3">
        <f>E576+G576+H576</f>
        <v>38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28</v>
      </c>
      <c r="K576" s="3">
        <f>I576-J576</f>
        <v>10</v>
      </c>
      <c r="L576" s="3" t="str">
        <f t="shared" ref="L576:L607" si="84">IF(K576&lt;-5,"CRÍTICO",IF(K576&lt;0,"ATENÇÃO",IF(K576&lt;=5,"BOM","EXCELENTE")))</f>
        <v>EXCELENTE</v>
      </c>
      <c r="M576" s="3">
        <v>16</v>
      </c>
      <c r="N576" s="3">
        <v>98.61</v>
      </c>
      <c r="O576" s="3">
        <v>16.867469879518069</v>
      </c>
    </row>
    <row r="577" spans="1:15" hidden="1" x14ac:dyDescent="0.25">
      <c r="A577" s="5">
        <v>46148</v>
      </c>
      <c r="B577" s="6" t="s">
        <v>48</v>
      </c>
      <c r="C577" s="3" t="s">
        <v>16</v>
      </c>
      <c r="D577" s="3">
        <v>34</v>
      </c>
      <c r="E577" s="3">
        <v>31</v>
      </c>
      <c r="F577">
        <v>16.420000000000002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 t="shared" si="84"/>
        <v>BOM</v>
      </c>
      <c r="M577" s="3">
        <v>28</v>
      </c>
      <c r="N577" s="3">
        <v>100</v>
      </c>
      <c r="O577" s="3">
        <v>20.820189274447952</v>
      </c>
    </row>
    <row r="578" spans="1:15" hidden="1" x14ac:dyDescent="0.25">
      <c r="A578" s="5">
        <v>46148</v>
      </c>
      <c r="B578" s="6" t="s">
        <v>56</v>
      </c>
      <c r="C578" s="3" t="s">
        <v>16</v>
      </c>
      <c r="D578" s="3">
        <v>35</v>
      </c>
      <c r="E578" s="3">
        <v>33</v>
      </c>
      <c r="F578">
        <v>15.19</v>
      </c>
      <c r="G578" s="3">
        <v>0</v>
      </c>
      <c r="H578" s="3">
        <v>0</v>
      </c>
      <c r="I578" s="3">
        <f>E578+G578+H578</f>
        <v>33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5</v>
      </c>
      <c r="L578" s="3" t="str">
        <f t="shared" si="84"/>
        <v>BOM</v>
      </c>
      <c r="M578" s="3">
        <v>30</v>
      </c>
      <c r="N578" s="3">
        <v>100</v>
      </c>
      <c r="O578" s="3">
        <v>16.894977168949769</v>
      </c>
    </row>
    <row r="579" spans="1:15" hidden="1" x14ac:dyDescent="0.25">
      <c r="A579" s="5">
        <v>46149</v>
      </c>
      <c r="B579" s="6" t="s">
        <v>15</v>
      </c>
      <c r="C579" s="3" t="s">
        <v>16</v>
      </c>
      <c r="D579" s="3">
        <v>39</v>
      </c>
      <c r="E579" s="3">
        <v>34</v>
      </c>
      <c r="F579">
        <v>8.33</v>
      </c>
      <c r="G579" s="3">
        <v>0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 t="shared" si="84"/>
        <v>EXCELENTE</v>
      </c>
      <c r="M579" s="3">
        <v>19</v>
      </c>
      <c r="N579" s="3">
        <v>98.94</v>
      </c>
      <c r="O579" s="3">
        <v>19.614147909967851</v>
      </c>
    </row>
    <row r="580" spans="1:15" hidden="1" x14ac:dyDescent="0.25">
      <c r="A580" s="5">
        <v>46149</v>
      </c>
      <c r="B580" s="6" t="s">
        <v>24</v>
      </c>
      <c r="C580" s="3" t="s">
        <v>16</v>
      </c>
      <c r="D580" s="3">
        <v>33</v>
      </c>
      <c r="E580" s="3">
        <v>29</v>
      </c>
      <c r="F580">
        <v>13.37</v>
      </c>
      <c r="G580" s="3">
        <v>5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8</v>
      </c>
      <c r="L580" s="3" t="str">
        <f t="shared" si="84"/>
        <v>EXCELENTE</v>
      </c>
      <c r="M580" s="3">
        <v>31</v>
      </c>
      <c r="N580" s="3">
        <v>99.13</v>
      </c>
      <c r="O580" s="3">
        <v>14.7239263803681</v>
      </c>
    </row>
    <row r="581" spans="1:15" hidden="1" x14ac:dyDescent="0.25">
      <c r="A581" s="5">
        <v>46149</v>
      </c>
      <c r="B581" s="6" t="s">
        <v>25</v>
      </c>
      <c r="C581" s="9" t="s">
        <v>16</v>
      </c>
      <c r="D581" s="3">
        <v>24</v>
      </c>
      <c r="E581" s="3">
        <v>24</v>
      </c>
      <c r="F581">
        <v>25.23</v>
      </c>
      <c r="G581" s="3">
        <v>5</v>
      </c>
      <c r="H581" s="3">
        <v>0</v>
      </c>
      <c r="I581" s="3">
        <f>E581+G581+H581</f>
        <v>29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26</v>
      </c>
      <c r="K581" s="3">
        <f>I581-J581</f>
        <v>3</v>
      </c>
      <c r="L581" s="3" t="str">
        <f t="shared" si="84"/>
        <v>BOM</v>
      </c>
      <c r="M581" s="3">
        <v>27</v>
      </c>
      <c r="N581" s="3">
        <v>98.8</v>
      </c>
      <c r="O581" s="3">
        <v>16.897506925207761</v>
      </c>
    </row>
    <row r="582" spans="1:15" hidden="1" x14ac:dyDescent="0.25">
      <c r="A582" s="5">
        <v>46149</v>
      </c>
      <c r="B582" s="6" t="s">
        <v>29</v>
      </c>
      <c r="C582" s="3" t="s">
        <v>16</v>
      </c>
      <c r="D582" s="3">
        <v>17</v>
      </c>
      <c r="E582" s="3">
        <v>16</v>
      </c>
      <c r="F582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 t="shared" si="84"/>
        <v>BOM</v>
      </c>
      <c r="M582" s="3">
        <v>19</v>
      </c>
      <c r="N582" s="3">
        <v>98.63</v>
      </c>
      <c r="O582" s="3">
        <v>18.75</v>
      </c>
    </row>
    <row r="583" spans="1:15" hidden="1" x14ac:dyDescent="0.25">
      <c r="A583" s="5">
        <v>46149</v>
      </c>
      <c r="B583" s="6" t="s">
        <v>33</v>
      </c>
      <c r="C583" s="3" t="s">
        <v>16</v>
      </c>
      <c r="D583" s="3">
        <v>30</v>
      </c>
      <c r="E583" s="3">
        <v>29</v>
      </c>
      <c r="F58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 t="shared" si="84"/>
        <v>BOM</v>
      </c>
      <c r="M583" s="3">
        <v>28</v>
      </c>
      <c r="N583" s="3">
        <v>100</v>
      </c>
      <c r="O583" s="3">
        <v>13.8121546961326</v>
      </c>
    </row>
    <row r="584" spans="1:15" hidden="1" x14ac:dyDescent="0.25">
      <c r="A584" s="5">
        <v>46149</v>
      </c>
      <c r="B584" s="6" t="s">
        <v>35</v>
      </c>
      <c r="C584" s="3" t="s">
        <v>16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 t="shared" si="84"/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37</v>
      </c>
      <c r="C585" s="9" t="s">
        <v>16</v>
      </c>
      <c r="D585" s="3">
        <v>25</v>
      </c>
      <c r="E585" s="3">
        <v>24</v>
      </c>
      <c r="F585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 t="shared" si="84"/>
        <v>ATENÇÃO</v>
      </c>
      <c r="M585" s="3">
        <v>22</v>
      </c>
      <c r="N585" s="3">
        <v>98.63</v>
      </c>
      <c r="O585" s="3">
        <v>15.75757575757576</v>
      </c>
    </row>
    <row r="586" spans="1:15" hidden="1" x14ac:dyDescent="0.25">
      <c r="A586" s="5">
        <v>46149</v>
      </c>
      <c r="B586" s="6" t="s">
        <v>40</v>
      </c>
      <c r="C586" s="3" t="s">
        <v>16</v>
      </c>
      <c r="D586" s="3">
        <v>34</v>
      </c>
      <c r="E586" s="3">
        <v>28</v>
      </c>
      <c r="F586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 t="shared" si="84"/>
        <v>BOM</v>
      </c>
      <c r="M586" s="3">
        <v>26</v>
      </c>
      <c r="N586" s="3">
        <v>98.61</v>
      </c>
      <c r="O586" s="3">
        <v>16.97530864197531</v>
      </c>
    </row>
    <row r="587" spans="1:15" hidden="1" x14ac:dyDescent="0.25">
      <c r="A587" s="5">
        <v>46149</v>
      </c>
      <c r="B587" s="6" t="s">
        <v>47</v>
      </c>
      <c r="C587" s="3" t="s">
        <v>16</v>
      </c>
      <c r="D587" s="3">
        <v>40</v>
      </c>
      <c r="E587" s="3">
        <v>37</v>
      </c>
      <c r="F587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 t="shared" si="84"/>
        <v>EXCELENTE</v>
      </c>
      <c r="M587" s="3">
        <v>51</v>
      </c>
      <c r="N587" s="3">
        <v>98.61</v>
      </c>
      <c r="O587" s="3">
        <v>16.867469879518069</v>
      </c>
    </row>
    <row r="588" spans="1:15" hidden="1" x14ac:dyDescent="0.25">
      <c r="A588" s="5">
        <v>46149</v>
      </c>
      <c r="B588" s="6" t="s">
        <v>48</v>
      </c>
      <c r="C588" s="3" t="s">
        <v>16</v>
      </c>
      <c r="D588" s="3">
        <v>26</v>
      </c>
      <c r="E588" s="3">
        <v>24</v>
      </c>
      <c r="F588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84"/>
        <v>BOM</v>
      </c>
      <c r="M588" s="3">
        <v>26</v>
      </c>
      <c r="N588" s="3">
        <v>100</v>
      </c>
      <c r="O588" s="3">
        <v>20.820189274447952</v>
      </c>
    </row>
    <row r="589" spans="1:15" hidden="1" x14ac:dyDescent="0.25">
      <c r="A589" s="5">
        <v>46149</v>
      </c>
      <c r="B589" s="6" t="s">
        <v>56</v>
      </c>
      <c r="C589" s="3" t="s">
        <v>16</v>
      </c>
      <c r="D589" s="3">
        <v>10</v>
      </c>
      <c r="E589" s="3">
        <v>10</v>
      </c>
      <c r="F589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 t="shared" si="84"/>
        <v>CRÍTICO</v>
      </c>
      <c r="M589" s="3">
        <v>9</v>
      </c>
      <c r="N589" s="3">
        <v>100</v>
      </c>
      <c r="O589" s="3">
        <v>16.894977168949769</v>
      </c>
    </row>
    <row r="590" spans="1:15" hidden="1" x14ac:dyDescent="0.25">
      <c r="A590" s="5">
        <v>46150</v>
      </c>
      <c r="B590" s="6" t="s">
        <v>15</v>
      </c>
      <c r="C590" s="3" t="s">
        <v>16</v>
      </c>
      <c r="D590" s="3">
        <v>34</v>
      </c>
      <c r="E590" s="3">
        <v>30</v>
      </c>
      <c r="F590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 t="shared" si="84"/>
        <v>EXCELENTE</v>
      </c>
      <c r="M590" s="3">
        <v>21</v>
      </c>
      <c r="N590" s="3">
        <v>98.94</v>
      </c>
      <c r="O590" s="3">
        <v>19.614147909967851</v>
      </c>
    </row>
    <row r="591" spans="1:15" hidden="1" x14ac:dyDescent="0.25">
      <c r="A591" s="5">
        <v>46150</v>
      </c>
      <c r="B591" s="6" t="s">
        <v>24</v>
      </c>
      <c r="C591" s="3" t="s">
        <v>16</v>
      </c>
      <c r="D591" s="3">
        <v>31</v>
      </c>
      <c r="E591" s="3">
        <v>28</v>
      </c>
      <c r="F591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 t="shared" si="84"/>
        <v>EXCELENTE</v>
      </c>
      <c r="M591">
        <v>35</v>
      </c>
      <c r="N591">
        <v>99.13</v>
      </c>
      <c r="O591">
        <v>14.7239263803681</v>
      </c>
    </row>
    <row r="592" spans="1:15" hidden="1" x14ac:dyDescent="0.25">
      <c r="A592" s="5">
        <v>46150</v>
      </c>
      <c r="B592" s="6" t="s">
        <v>25</v>
      </c>
      <c r="C592" s="9" t="s">
        <v>16</v>
      </c>
      <c r="D592" s="3">
        <v>12</v>
      </c>
      <c r="E592" s="3">
        <v>12</v>
      </c>
      <c r="F592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 t="shared" si="84"/>
        <v>CRÍTICO</v>
      </c>
      <c r="M592">
        <v>12</v>
      </c>
      <c r="N592">
        <v>98.8</v>
      </c>
      <c r="O592">
        <v>16.897506925207761</v>
      </c>
    </row>
    <row r="593" spans="1:15" hidden="1" x14ac:dyDescent="0.25">
      <c r="A593" s="11">
        <v>46050</v>
      </c>
      <c r="B593" t="s">
        <v>36</v>
      </c>
      <c r="C593" t="s">
        <v>20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17</v>
      </c>
      <c r="K593" s="3">
        <f>I593-J593</f>
        <v>8</v>
      </c>
      <c r="L593" s="3" t="str">
        <f t="shared" si="84"/>
        <v>EXCELENTE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36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 t="shared" si="84"/>
        <v>BOM</v>
      </c>
      <c r="N594">
        <v>98.91</v>
      </c>
      <c r="O594">
        <v>31.367292225201069</v>
      </c>
    </row>
    <row r="595" spans="1:15" hidden="1" x14ac:dyDescent="0.25">
      <c r="A595" s="5">
        <v>46150</v>
      </c>
      <c r="B595" s="6" t="s">
        <v>29</v>
      </c>
      <c r="C595" s="3" t="s">
        <v>16</v>
      </c>
      <c r="D595" s="3">
        <v>19</v>
      </c>
      <c r="E595" s="3">
        <v>17</v>
      </c>
      <c r="F595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 t="shared" si="84"/>
        <v>BOM</v>
      </c>
      <c r="M595">
        <v>16</v>
      </c>
      <c r="N595">
        <v>98.63</v>
      </c>
      <c r="O595">
        <v>18.75</v>
      </c>
    </row>
    <row r="596" spans="1:15" hidden="1" x14ac:dyDescent="0.25">
      <c r="A596" s="5">
        <v>46150</v>
      </c>
      <c r="B596" s="6" t="s">
        <v>33</v>
      </c>
      <c r="C596" s="3" t="s">
        <v>16</v>
      </c>
      <c r="D596" s="3">
        <v>25</v>
      </c>
      <c r="E596" s="3">
        <v>23</v>
      </c>
      <c r="F596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 t="shared" si="84"/>
        <v>EXCELENTE</v>
      </c>
      <c r="M596">
        <v>26</v>
      </c>
      <c r="N596">
        <v>100</v>
      </c>
      <c r="O596">
        <v>13.8121546961326</v>
      </c>
    </row>
    <row r="597" spans="1:15" hidden="1" x14ac:dyDescent="0.25">
      <c r="A597" s="5">
        <v>46150</v>
      </c>
      <c r="B597" s="6" t="s">
        <v>35</v>
      </c>
      <c r="C597" s="3" t="s">
        <v>16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 t="shared" si="84"/>
        <v>BOM</v>
      </c>
      <c r="M597" s="9">
        <v>0</v>
      </c>
      <c r="N597" s="9">
        <v>100</v>
      </c>
      <c r="O597" s="9">
        <v>17.241379310344829</v>
      </c>
    </row>
    <row r="598" spans="1:15" hidden="1" x14ac:dyDescent="0.25">
      <c r="A598" s="5">
        <v>46150</v>
      </c>
      <c r="B598" s="6" t="s">
        <v>37</v>
      </c>
      <c r="C598" s="9" t="s">
        <v>16</v>
      </c>
      <c r="D598" s="3">
        <v>30</v>
      </c>
      <c r="E598" s="3">
        <v>27</v>
      </c>
      <c r="F598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 t="shared" si="84"/>
        <v>BOM</v>
      </c>
      <c r="M598">
        <v>22</v>
      </c>
      <c r="N598">
        <v>98.63</v>
      </c>
      <c r="O598">
        <v>15.75757575757576</v>
      </c>
    </row>
    <row r="599" spans="1:15" hidden="1" x14ac:dyDescent="0.25">
      <c r="A599" s="5">
        <v>46150</v>
      </c>
      <c r="B599" s="6" t="s">
        <v>40</v>
      </c>
      <c r="C599" s="3" t="s">
        <v>16</v>
      </c>
      <c r="D599" s="3">
        <v>25</v>
      </c>
      <c r="E599" s="3">
        <v>20</v>
      </c>
      <c r="F599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 t="shared" si="84"/>
        <v>BOM</v>
      </c>
      <c r="M599">
        <v>24</v>
      </c>
      <c r="N599">
        <v>98.61</v>
      </c>
      <c r="O599">
        <v>16.97530864197531</v>
      </c>
    </row>
    <row r="600" spans="1:15" hidden="1" x14ac:dyDescent="0.25">
      <c r="A600" s="5">
        <v>46150</v>
      </c>
      <c r="B600" s="6" t="s">
        <v>47</v>
      </c>
      <c r="C600" s="3" t="s">
        <v>16</v>
      </c>
      <c r="D600" s="3">
        <v>22</v>
      </c>
      <c r="E600" s="3">
        <v>18</v>
      </c>
      <c r="F600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 t="shared" si="84"/>
        <v>ATENÇÃO</v>
      </c>
      <c r="M600">
        <v>18</v>
      </c>
      <c r="N600">
        <v>98.61</v>
      </c>
      <c r="O600">
        <v>16.867469879518069</v>
      </c>
    </row>
    <row r="601" spans="1:15" hidden="1" x14ac:dyDescent="0.25">
      <c r="A601" s="5">
        <v>46150</v>
      </c>
      <c r="B601" s="6" t="s">
        <v>48</v>
      </c>
      <c r="C601" s="3" t="s">
        <v>16</v>
      </c>
      <c r="D601" s="3">
        <v>26</v>
      </c>
      <c r="E601" s="3">
        <v>26</v>
      </c>
      <c r="F601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 t="shared" si="84"/>
        <v>BOM</v>
      </c>
      <c r="M601">
        <v>21</v>
      </c>
      <c r="N601">
        <v>100</v>
      </c>
      <c r="O601">
        <v>20.820189274447952</v>
      </c>
    </row>
    <row r="602" spans="1:15" hidden="1" x14ac:dyDescent="0.25">
      <c r="A602" s="5">
        <v>46150</v>
      </c>
      <c r="B602" s="6" t="s">
        <v>56</v>
      </c>
      <c r="C602" s="3" t="s">
        <v>16</v>
      </c>
      <c r="D602" s="3">
        <v>19</v>
      </c>
      <c r="E602" s="3">
        <v>19</v>
      </c>
      <c r="F602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 t="shared" si="84"/>
        <v>ATENÇÃO</v>
      </c>
      <c r="M602">
        <v>17</v>
      </c>
      <c r="N602">
        <v>100</v>
      </c>
      <c r="O602">
        <v>16.894977168949769</v>
      </c>
    </row>
    <row r="603" spans="1:15" hidden="1" x14ac:dyDescent="0.25">
      <c r="A603" s="5">
        <v>46153</v>
      </c>
      <c r="B603" s="6" t="s">
        <v>15</v>
      </c>
      <c r="C603" s="3" t="s">
        <v>16</v>
      </c>
      <c r="D603" s="3">
        <v>36</v>
      </c>
      <c r="E603" s="3">
        <v>29</v>
      </c>
      <c r="F60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 t="shared" si="84"/>
        <v>EXCELENTE</v>
      </c>
      <c r="M603" s="3">
        <v>18</v>
      </c>
      <c r="N603" s="3">
        <v>98.94</v>
      </c>
      <c r="O603" s="3">
        <v>19.614147909967851</v>
      </c>
    </row>
    <row r="604" spans="1:15" hidden="1" x14ac:dyDescent="0.25">
      <c r="A604" s="5">
        <v>46153</v>
      </c>
      <c r="B604" s="6" t="s">
        <v>24</v>
      </c>
      <c r="C604" s="3" t="s">
        <v>16</v>
      </c>
      <c r="D604" s="3">
        <v>31</v>
      </c>
      <c r="E604" s="3">
        <v>29</v>
      </c>
      <c r="F604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 t="shared" si="84"/>
        <v>EXCELENTE</v>
      </c>
      <c r="M604">
        <v>30</v>
      </c>
      <c r="N604">
        <v>99.13</v>
      </c>
      <c r="O604">
        <v>14.7239263803681</v>
      </c>
    </row>
    <row r="605" spans="1:15" hidden="1" x14ac:dyDescent="0.25">
      <c r="A605" s="5">
        <v>46153</v>
      </c>
      <c r="B605" s="6" t="s">
        <v>25</v>
      </c>
      <c r="C605" s="9" t="s">
        <v>16</v>
      </c>
      <c r="D605" s="3">
        <v>22</v>
      </c>
      <c r="E605" s="3">
        <v>22</v>
      </c>
      <c r="F605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 t="shared" si="84"/>
        <v>BOM</v>
      </c>
      <c r="M605">
        <v>26</v>
      </c>
      <c r="N605">
        <v>98.8</v>
      </c>
      <c r="O605">
        <v>16.897506925207761</v>
      </c>
    </row>
    <row r="606" spans="1:15" hidden="1" x14ac:dyDescent="0.25">
      <c r="A606" s="5">
        <v>46153</v>
      </c>
      <c r="B606" s="6" t="s">
        <v>29</v>
      </c>
      <c r="C606" s="3" t="s">
        <v>16</v>
      </c>
      <c r="D606" s="3">
        <v>30</v>
      </c>
      <c r="E606" s="3">
        <v>27</v>
      </c>
      <c r="F606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 t="shared" si="84"/>
        <v>BOM</v>
      </c>
      <c r="M606">
        <v>22</v>
      </c>
      <c r="N606">
        <v>98.63</v>
      </c>
      <c r="O606">
        <v>18.75</v>
      </c>
    </row>
    <row r="607" spans="1:15" hidden="1" x14ac:dyDescent="0.25">
      <c r="A607" s="5">
        <v>46153</v>
      </c>
      <c r="B607" s="6" t="s">
        <v>33</v>
      </c>
      <c r="C607" s="3" t="s">
        <v>16</v>
      </c>
      <c r="D607" s="3">
        <v>28</v>
      </c>
      <c r="E607" s="3">
        <v>27</v>
      </c>
      <c r="F607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 t="shared" si="84"/>
        <v>EXCELENTE</v>
      </c>
      <c r="M607">
        <v>27</v>
      </c>
      <c r="N607">
        <v>100</v>
      </c>
      <c r="O607">
        <v>13.8121546961326</v>
      </c>
    </row>
    <row r="608" spans="1:15" hidden="1" x14ac:dyDescent="0.25">
      <c r="A608" s="5">
        <v>46153</v>
      </c>
      <c r="B608" s="6" t="s">
        <v>35</v>
      </c>
      <c r="C608" s="3" t="s">
        <v>16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 t="shared" ref="L608:L639" si="85">IF(K608&lt;-5,"CRÍTICO",IF(K608&lt;0,"ATENÇÃO",IF(K608&lt;=5,"BOM","EXCELENTE")))</f>
        <v>BOM</v>
      </c>
      <c r="M608" s="9">
        <v>0</v>
      </c>
      <c r="N608" s="9">
        <v>100</v>
      </c>
      <c r="O608" s="9">
        <v>17.241379310344829</v>
      </c>
    </row>
    <row r="609" spans="1:15" hidden="1" x14ac:dyDescent="0.25">
      <c r="A609" s="5">
        <v>46153</v>
      </c>
      <c r="B609" s="6" t="s">
        <v>37</v>
      </c>
      <c r="C609" s="9" t="s">
        <v>16</v>
      </c>
      <c r="D609" s="3">
        <v>26</v>
      </c>
      <c r="E609" s="3">
        <v>24</v>
      </c>
      <c r="F609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 t="shared" si="85"/>
        <v>BOM</v>
      </c>
      <c r="M609">
        <v>23</v>
      </c>
      <c r="N609">
        <v>98.63</v>
      </c>
      <c r="O609">
        <v>15.75757575757576</v>
      </c>
    </row>
    <row r="610" spans="1:15" hidden="1" x14ac:dyDescent="0.25">
      <c r="A610" s="5">
        <v>46153</v>
      </c>
      <c r="B610" s="6" t="s">
        <v>40</v>
      </c>
      <c r="C610" s="3" t="s">
        <v>16</v>
      </c>
      <c r="D610" s="3">
        <v>39</v>
      </c>
      <c r="E610" s="3">
        <v>31</v>
      </c>
      <c r="F610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 t="shared" si="85"/>
        <v>EXCELENTE</v>
      </c>
      <c r="M610">
        <v>25</v>
      </c>
      <c r="N610">
        <v>98.61</v>
      </c>
      <c r="O610">
        <v>16.97530864197531</v>
      </c>
    </row>
    <row r="611" spans="1:15" hidden="1" x14ac:dyDescent="0.25">
      <c r="A611" s="5">
        <v>46153</v>
      </c>
      <c r="B611" s="6" t="s">
        <v>47</v>
      </c>
      <c r="C611" s="3" t="s">
        <v>16</v>
      </c>
      <c r="D611" s="3">
        <v>25</v>
      </c>
      <c r="E611" s="3">
        <v>22</v>
      </c>
      <c r="F611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 t="shared" si="85"/>
        <v>BOM</v>
      </c>
      <c r="M611">
        <v>21</v>
      </c>
      <c r="N611">
        <v>98.61</v>
      </c>
      <c r="O611">
        <v>16.867469879518069</v>
      </c>
    </row>
    <row r="612" spans="1:15" hidden="1" x14ac:dyDescent="0.25">
      <c r="A612" s="5">
        <v>46153</v>
      </c>
      <c r="B612" s="6" t="s">
        <v>48</v>
      </c>
      <c r="C612" s="3" t="s">
        <v>16</v>
      </c>
      <c r="D612" s="3">
        <v>31</v>
      </c>
      <c r="E612" s="3">
        <v>30</v>
      </c>
      <c r="F612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 t="shared" si="85"/>
        <v>BOM</v>
      </c>
      <c r="M612">
        <v>25</v>
      </c>
      <c r="N612">
        <v>100</v>
      </c>
      <c r="O612">
        <v>20.820189274447952</v>
      </c>
    </row>
    <row r="613" spans="1:15" hidden="1" x14ac:dyDescent="0.25">
      <c r="A613" s="5">
        <v>46153</v>
      </c>
      <c r="B613" s="6" t="s">
        <v>56</v>
      </c>
      <c r="C613" s="3" t="s">
        <v>16</v>
      </c>
      <c r="D613" s="3">
        <v>9</v>
      </c>
      <c r="E613" s="3">
        <v>8</v>
      </c>
      <c r="F61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 t="shared" si="85"/>
        <v>CRÍTICO</v>
      </c>
      <c r="M613">
        <v>7</v>
      </c>
      <c r="N613">
        <v>100</v>
      </c>
      <c r="O613">
        <v>16.894977168949769</v>
      </c>
    </row>
    <row r="614" spans="1:15" hidden="1" x14ac:dyDescent="0.25">
      <c r="A614" s="5">
        <v>46154</v>
      </c>
      <c r="B614" s="6" t="s">
        <v>15</v>
      </c>
      <c r="C614" s="3" t="s">
        <v>16</v>
      </c>
      <c r="D614" s="3">
        <v>25</v>
      </c>
      <c r="E614" s="3">
        <v>18</v>
      </c>
      <c r="F614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 t="shared" si="85"/>
        <v>BOM</v>
      </c>
      <c r="M614" s="3">
        <v>17</v>
      </c>
      <c r="N614" s="3">
        <v>98.94</v>
      </c>
      <c r="O614" s="3">
        <v>19.614147909967851</v>
      </c>
    </row>
    <row r="615" spans="1:15" hidden="1" x14ac:dyDescent="0.25">
      <c r="A615" s="5">
        <v>46154</v>
      </c>
      <c r="B615" s="6" t="s">
        <v>24</v>
      </c>
      <c r="C615" s="3" t="s">
        <v>16</v>
      </c>
      <c r="D615" s="3">
        <v>38</v>
      </c>
      <c r="E615" s="3">
        <v>35</v>
      </c>
      <c r="F615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 t="shared" si="85"/>
        <v>EXCELENTE</v>
      </c>
      <c r="M615">
        <v>34</v>
      </c>
      <c r="N615">
        <v>99.13</v>
      </c>
      <c r="O615">
        <v>14.7239263803681</v>
      </c>
    </row>
    <row r="616" spans="1:15" hidden="1" x14ac:dyDescent="0.25">
      <c r="A616" s="5">
        <v>46154</v>
      </c>
      <c r="B616" s="6" t="s">
        <v>25</v>
      </c>
      <c r="C616" s="9" t="s">
        <v>16</v>
      </c>
      <c r="D616" s="3">
        <v>26</v>
      </c>
      <c r="E616" s="3">
        <v>26</v>
      </c>
      <c r="F616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 t="shared" si="85"/>
        <v>BOM</v>
      </c>
      <c r="M616">
        <v>24</v>
      </c>
      <c r="N616">
        <v>98.8</v>
      </c>
      <c r="O616">
        <v>16.897506925207761</v>
      </c>
    </row>
    <row r="617" spans="1:15" hidden="1" x14ac:dyDescent="0.25">
      <c r="A617" s="5">
        <v>46154</v>
      </c>
      <c r="B617" s="6" t="s">
        <v>29</v>
      </c>
      <c r="C617" s="3" t="s">
        <v>16</v>
      </c>
      <c r="D617" s="3">
        <v>37</v>
      </c>
      <c r="E617" s="3">
        <v>30</v>
      </c>
      <c r="F617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 t="shared" si="85"/>
        <v>BOM</v>
      </c>
      <c r="M617">
        <v>27</v>
      </c>
      <c r="N617">
        <v>98.63</v>
      </c>
      <c r="O617">
        <v>18.75</v>
      </c>
    </row>
    <row r="618" spans="1:15" hidden="1" x14ac:dyDescent="0.25">
      <c r="A618" s="5">
        <v>46154</v>
      </c>
      <c r="B618" s="6" t="s">
        <v>33</v>
      </c>
      <c r="C618" s="3" t="s">
        <v>16</v>
      </c>
      <c r="D618" s="3">
        <v>25</v>
      </c>
      <c r="E618" s="3">
        <v>24</v>
      </c>
      <c r="F618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 t="shared" si="85"/>
        <v>BOM</v>
      </c>
      <c r="M618">
        <v>26</v>
      </c>
      <c r="N618">
        <v>100</v>
      </c>
      <c r="O618">
        <v>13.8121546961326</v>
      </c>
    </row>
    <row r="619" spans="1:15" hidden="1" x14ac:dyDescent="0.25">
      <c r="A619" s="5">
        <v>46154</v>
      </c>
      <c r="B619" s="6" t="s">
        <v>35</v>
      </c>
      <c r="C619" s="3" t="s">
        <v>16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 t="shared" si="85"/>
        <v>BOM</v>
      </c>
      <c r="M619" s="9">
        <v>0</v>
      </c>
      <c r="N619" s="9">
        <v>100</v>
      </c>
      <c r="O619" s="9">
        <v>17.241379310344829</v>
      </c>
    </row>
    <row r="620" spans="1:15" hidden="1" x14ac:dyDescent="0.25">
      <c r="A620" s="5">
        <v>46154</v>
      </c>
      <c r="B620" s="6" t="s">
        <v>37</v>
      </c>
      <c r="C620" s="9" t="s">
        <v>16</v>
      </c>
      <c r="D620" s="3">
        <v>26</v>
      </c>
      <c r="E620" s="3">
        <v>24</v>
      </c>
      <c r="F620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 t="shared" si="85"/>
        <v>ATENÇÃO</v>
      </c>
      <c r="M620">
        <v>18</v>
      </c>
      <c r="N620">
        <v>98.63</v>
      </c>
      <c r="O620">
        <v>15.75757575757576</v>
      </c>
    </row>
    <row r="621" spans="1:15" hidden="1" x14ac:dyDescent="0.25">
      <c r="A621" s="5">
        <v>46154</v>
      </c>
      <c r="B621" s="6" t="s">
        <v>40</v>
      </c>
      <c r="C621" s="3" t="s">
        <v>16</v>
      </c>
      <c r="D621" s="3">
        <v>29</v>
      </c>
      <c r="E621" s="3">
        <v>26</v>
      </c>
      <c r="F621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 t="shared" si="85"/>
        <v>EXCELENTE</v>
      </c>
      <c r="M621">
        <v>26</v>
      </c>
      <c r="N621">
        <v>98.61</v>
      </c>
      <c r="O621">
        <v>16.97530864197531</v>
      </c>
    </row>
    <row r="622" spans="1:15" hidden="1" x14ac:dyDescent="0.25">
      <c r="A622" s="5">
        <v>46154</v>
      </c>
      <c r="B622" s="6" t="s">
        <v>47</v>
      </c>
      <c r="C622" s="3" t="s">
        <v>16</v>
      </c>
      <c r="D622" s="3">
        <v>28</v>
      </c>
      <c r="E622" s="3">
        <v>26</v>
      </c>
      <c r="F622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 t="shared" si="85"/>
        <v>BOM</v>
      </c>
      <c r="M622">
        <v>22</v>
      </c>
      <c r="N622">
        <v>98.61</v>
      </c>
      <c r="O622">
        <v>16.867469879518069</v>
      </c>
    </row>
    <row r="623" spans="1:15" hidden="1" x14ac:dyDescent="0.25">
      <c r="A623" s="5">
        <v>46154</v>
      </c>
      <c r="B623" s="6" t="s">
        <v>48</v>
      </c>
      <c r="C623" s="3" t="s">
        <v>16</v>
      </c>
      <c r="D623" s="3">
        <v>25</v>
      </c>
      <c r="E623" s="3">
        <v>24</v>
      </c>
      <c r="F62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 t="shared" si="85"/>
        <v>BOM</v>
      </c>
      <c r="M623">
        <v>19</v>
      </c>
      <c r="N623">
        <v>100</v>
      </c>
      <c r="O623">
        <v>20.820189274447952</v>
      </c>
    </row>
    <row r="624" spans="1:15" hidden="1" x14ac:dyDescent="0.25">
      <c r="A624" s="5">
        <v>46154</v>
      </c>
      <c r="B624" s="6" t="s">
        <v>56</v>
      </c>
      <c r="C624" s="3" t="s">
        <v>16</v>
      </c>
      <c r="D624" s="3">
        <v>30</v>
      </c>
      <c r="E624" s="3">
        <v>26</v>
      </c>
      <c r="F624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 t="shared" si="85"/>
        <v>BOM</v>
      </c>
      <c r="M624">
        <v>22</v>
      </c>
      <c r="N624">
        <v>100</v>
      </c>
      <c r="O624">
        <v>16.894977168949769</v>
      </c>
    </row>
    <row r="625" spans="1:15" hidden="1" x14ac:dyDescent="0.25">
      <c r="A625" s="5">
        <v>46155</v>
      </c>
      <c r="B625" s="6" t="s">
        <v>15</v>
      </c>
      <c r="C625" s="3" t="s">
        <v>16</v>
      </c>
      <c r="D625" s="3">
        <v>28</v>
      </c>
      <c r="E625" s="3">
        <v>21</v>
      </c>
      <c r="F625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 t="shared" si="85"/>
        <v>BOM</v>
      </c>
      <c r="M625" s="3">
        <v>17</v>
      </c>
      <c r="N625" s="3">
        <v>98.94</v>
      </c>
      <c r="O625" s="3">
        <v>19.614147909967851</v>
      </c>
    </row>
    <row r="626" spans="1:15" hidden="1" x14ac:dyDescent="0.25">
      <c r="A626" s="5">
        <v>46155</v>
      </c>
      <c r="B626" s="6" t="s">
        <v>24</v>
      </c>
      <c r="C626" s="3" t="s">
        <v>16</v>
      </c>
      <c r="D626" s="3">
        <v>33</v>
      </c>
      <c r="E626" s="3">
        <v>29</v>
      </c>
      <c r="F626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 t="shared" si="85"/>
        <v>EXCELENTE</v>
      </c>
      <c r="M626">
        <v>30</v>
      </c>
      <c r="N626">
        <v>99.13</v>
      </c>
      <c r="O626">
        <v>14.7239263803681</v>
      </c>
    </row>
    <row r="627" spans="1:15" hidden="1" x14ac:dyDescent="0.25">
      <c r="A627" s="5">
        <v>46155</v>
      </c>
      <c r="B627" s="6" t="s">
        <v>25</v>
      </c>
      <c r="C627" s="9" t="s">
        <v>16</v>
      </c>
      <c r="D627" s="3">
        <v>17</v>
      </c>
      <c r="E627" s="3">
        <v>16</v>
      </c>
      <c r="F627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 t="shared" si="85"/>
        <v>ATENÇÃO</v>
      </c>
      <c r="M627">
        <v>19</v>
      </c>
      <c r="N627">
        <v>98.8</v>
      </c>
      <c r="O627">
        <v>16.897506925207761</v>
      </c>
    </row>
    <row r="628" spans="1:15" hidden="1" x14ac:dyDescent="0.25">
      <c r="A628" s="5">
        <v>46155</v>
      </c>
      <c r="B628" s="6" t="s">
        <v>29</v>
      </c>
      <c r="C628" s="3" t="s">
        <v>16</v>
      </c>
      <c r="D628" s="3">
        <v>12</v>
      </c>
      <c r="E628" s="3">
        <v>9</v>
      </c>
      <c r="F628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 t="shared" si="85"/>
        <v>BOM</v>
      </c>
      <c r="M628">
        <v>13</v>
      </c>
      <c r="N628">
        <v>98.63</v>
      </c>
      <c r="O628">
        <v>18.75</v>
      </c>
    </row>
    <row r="629" spans="1:15" hidden="1" x14ac:dyDescent="0.25">
      <c r="A629" s="5">
        <v>46155</v>
      </c>
      <c r="B629" s="6" t="s">
        <v>33</v>
      </c>
      <c r="C629" s="3" t="s">
        <v>16</v>
      </c>
      <c r="D629" s="3">
        <v>28</v>
      </c>
      <c r="E629" s="3">
        <v>25</v>
      </c>
      <c r="F629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 t="shared" si="85"/>
        <v>BOM</v>
      </c>
      <c r="M629">
        <v>19</v>
      </c>
      <c r="N629">
        <v>100</v>
      </c>
      <c r="O629">
        <v>13.8121546961326</v>
      </c>
    </row>
    <row r="630" spans="1:15" hidden="1" x14ac:dyDescent="0.25">
      <c r="A630" s="5">
        <v>46155</v>
      </c>
      <c r="B630" s="6" t="s">
        <v>35</v>
      </c>
      <c r="C630" s="3" t="s">
        <v>16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 t="shared" si="85"/>
        <v>BOM</v>
      </c>
      <c r="M630" s="9">
        <v>0</v>
      </c>
      <c r="N630" s="9">
        <v>100</v>
      </c>
      <c r="O630" s="9">
        <v>17.241379310344829</v>
      </c>
    </row>
    <row r="631" spans="1:15" hidden="1" x14ac:dyDescent="0.25">
      <c r="A631" s="5">
        <v>46155</v>
      </c>
      <c r="B631" s="6" t="s">
        <v>37</v>
      </c>
      <c r="C631" s="9" t="s">
        <v>16</v>
      </c>
      <c r="D631" s="3">
        <v>21</v>
      </c>
      <c r="E631" s="3">
        <v>21</v>
      </c>
      <c r="F631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 t="shared" si="85"/>
        <v>ATENÇÃO</v>
      </c>
      <c r="M631">
        <v>22</v>
      </c>
      <c r="N631">
        <v>98.63</v>
      </c>
      <c r="O631">
        <v>15.75757575757576</v>
      </c>
    </row>
    <row r="632" spans="1:15" hidden="1" x14ac:dyDescent="0.25">
      <c r="A632" s="5">
        <v>46155</v>
      </c>
      <c r="B632" s="6" t="s">
        <v>40</v>
      </c>
      <c r="C632" s="3" t="s">
        <v>16</v>
      </c>
      <c r="D632" s="3">
        <v>33</v>
      </c>
      <c r="E632" s="3">
        <v>27</v>
      </c>
      <c r="F632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 t="shared" si="85"/>
        <v>BOM</v>
      </c>
      <c r="M632">
        <v>23</v>
      </c>
      <c r="N632">
        <v>98.61</v>
      </c>
      <c r="O632">
        <v>16.97530864197531</v>
      </c>
    </row>
    <row r="633" spans="1:15" hidden="1" x14ac:dyDescent="0.25">
      <c r="A633" s="5">
        <v>46155</v>
      </c>
      <c r="B633" s="6" t="s">
        <v>47</v>
      </c>
      <c r="C633" s="3" t="s">
        <v>16</v>
      </c>
      <c r="D633" s="3">
        <v>21</v>
      </c>
      <c r="E633" s="3">
        <v>20</v>
      </c>
      <c r="F63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 t="shared" si="85"/>
        <v>BOM</v>
      </c>
      <c r="M633">
        <v>22</v>
      </c>
      <c r="N633">
        <v>98.61</v>
      </c>
      <c r="O633">
        <v>16.867469879518069</v>
      </c>
    </row>
    <row r="634" spans="1:15" hidden="1" x14ac:dyDescent="0.25">
      <c r="A634" s="5">
        <v>46155</v>
      </c>
      <c r="B634" s="6" t="s">
        <v>48</v>
      </c>
      <c r="C634" s="3" t="s">
        <v>16</v>
      </c>
      <c r="D634" s="3">
        <v>30</v>
      </c>
      <c r="E634" s="3">
        <v>29</v>
      </c>
      <c r="F634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 t="shared" si="85"/>
        <v>BOM</v>
      </c>
      <c r="M634">
        <v>26</v>
      </c>
      <c r="N634">
        <v>100</v>
      </c>
      <c r="O634">
        <v>20.820189274447952</v>
      </c>
    </row>
    <row r="635" spans="1:15" hidden="1" x14ac:dyDescent="0.25">
      <c r="A635" s="5">
        <v>46155</v>
      </c>
      <c r="B635" s="6" t="s">
        <v>56</v>
      </c>
      <c r="C635" s="3" t="s">
        <v>16</v>
      </c>
      <c r="D635" s="3">
        <v>24</v>
      </c>
      <c r="E635" s="3">
        <v>22</v>
      </c>
      <c r="F635">
        <v>21.47</v>
      </c>
      <c r="G635" s="3">
        <v>0</v>
      </c>
      <c r="H635" s="3">
        <v>0</v>
      </c>
      <c r="I635" s="3">
        <f t="shared" ref="I635:I640" si="86">E635+G635+H635</f>
        <v>22</v>
      </c>
      <c r="J635" s="3">
        <f t="shared" ref="J635:J640" si="87"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 t="shared" ref="K635:K640" si="88">I635-J635</f>
        <v>-1</v>
      </c>
      <c r="L635" s="3" t="str">
        <f t="shared" si="85"/>
        <v>ATENÇÃO</v>
      </c>
      <c r="M635">
        <v>18</v>
      </c>
      <c r="N635">
        <v>100</v>
      </c>
      <c r="O635">
        <v>16.894977168949769</v>
      </c>
    </row>
    <row r="636" spans="1:15" hidden="1" x14ac:dyDescent="0.25">
      <c r="A636" s="5">
        <v>46156</v>
      </c>
      <c r="B636" s="6" t="s">
        <v>15</v>
      </c>
      <c r="C636" s="3" t="s">
        <v>16</v>
      </c>
      <c r="D636" s="3">
        <v>33</v>
      </c>
      <c r="E636" s="3">
        <v>28</v>
      </c>
      <c r="F636">
        <v>10.58</v>
      </c>
      <c r="G636" s="3">
        <v>6</v>
      </c>
      <c r="H636" s="3">
        <v>0</v>
      </c>
      <c r="I636" s="3">
        <f t="shared" si="86"/>
        <v>34</v>
      </c>
      <c r="J636" s="3">
        <f t="shared" si="87"/>
        <v>23</v>
      </c>
      <c r="K636" s="3">
        <f t="shared" si="88"/>
        <v>11</v>
      </c>
      <c r="L636" s="3" t="str">
        <f t="shared" si="85"/>
        <v>EXCELENTE</v>
      </c>
      <c r="M636" s="3">
        <v>23</v>
      </c>
      <c r="N636" s="3">
        <v>98.94</v>
      </c>
      <c r="O636" s="3">
        <v>19.614147909967851</v>
      </c>
    </row>
    <row r="637" spans="1:15" hidden="1" x14ac:dyDescent="0.25">
      <c r="A637" s="5">
        <v>46156</v>
      </c>
      <c r="B637" s="6" t="s">
        <v>24</v>
      </c>
      <c r="C637" s="3" t="s">
        <v>16</v>
      </c>
      <c r="D637" s="3">
        <v>29</v>
      </c>
      <c r="E637" s="3">
        <v>29</v>
      </c>
      <c r="F637">
        <v>12.28</v>
      </c>
      <c r="G637" s="3">
        <v>4</v>
      </c>
      <c r="H637" s="3">
        <v>0</v>
      </c>
      <c r="I637" s="3">
        <f t="shared" si="86"/>
        <v>33</v>
      </c>
      <c r="J637" s="3">
        <f t="shared" si="87"/>
        <v>23</v>
      </c>
      <c r="K637" s="3">
        <f t="shared" si="88"/>
        <v>10</v>
      </c>
      <c r="L637" s="3" t="str">
        <f t="shared" si="85"/>
        <v>EXCELENTE</v>
      </c>
      <c r="M637">
        <v>33</v>
      </c>
      <c r="N637">
        <v>99.13</v>
      </c>
      <c r="O637">
        <v>14.7239263803681</v>
      </c>
    </row>
    <row r="638" spans="1:15" hidden="1" x14ac:dyDescent="0.25">
      <c r="A638" s="11">
        <v>46052</v>
      </c>
      <c r="B638" t="s">
        <v>36</v>
      </c>
      <c r="C638" t="s">
        <v>20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si="86"/>
        <v>31</v>
      </c>
      <c r="J638" s="3">
        <f t="shared" si="87"/>
        <v>17</v>
      </c>
      <c r="K638" s="3">
        <f t="shared" si="88"/>
        <v>14</v>
      </c>
      <c r="L638" s="3" t="str">
        <f t="shared" si="85"/>
        <v>EXCELENTE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36</v>
      </c>
      <c r="C639" t="s">
        <v>20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86"/>
        <v>15</v>
      </c>
      <c r="J639" s="3">
        <f t="shared" si="87"/>
        <v>17</v>
      </c>
      <c r="K639" s="3">
        <f t="shared" si="88"/>
        <v>-2</v>
      </c>
      <c r="L639" s="3" t="str">
        <f t="shared" si="85"/>
        <v>ATENÇÃO</v>
      </c>
      <c r="N639">
        <v>96.67</v>
      </c>
      <c r="O639">
        <v>31.451612903225811</v>
      </c>
    </row>
    <row r="640" spans="1:15" hidden="1" x14ac:dyDescent="0.25">
      <c r="A640" s="5">
        <v>46156</v>
      </c>
      <c r="B640" s="6" t="s">
        <v>25</v>
      </c>
      <c r="C640" s="9" t="s">
        <v>16</v>
      </c>
      <c r="D640" s="3">
        <v>25</v>
      </c>
      <c r="E640" s="3">
        <v>23</v>
      </c>
      <c r="F640">
        <v>20.56</v>
      </c>
      <c r="G640" s="3">
        <v>4</v>
      </c>
      <c r="H640" s="3">
        <v>0</v>
      </c>
      <c r="I640" s="3">
        <f t="shared" si="86"/>
        <v>27</v>
      </c>
      <c r="J640" s="3">
        <f t="shared" si="87"/>
        <v>23</v>
      </c>
      <c r="K640" s="3">
        <f t="shared" si="88"/>
        <v>4</v>
      </c>
      <c r="L640" s="3" t="str">
        <f t="shared" ref="L640:L671" si="89">IF(K640&lt;-5,"CRÍTICO",IF(K640&lt;0,"ATENÇÃO",IF(K640&lt;=5,"BOM","EXCELENTE")))</f>
        <v>BOM</v>
      </c>
      <c r="M640">
        <v>25</v>
      </c>
      <c r="N640">
        <v>98.8</v>
      </c>
      <c r="O640">
        <v>16.897506925207761</v>
      </c>
    </row>
    <row r="641" spans="1:15" hidden="1" x14ac:dyDescent="0.25">
      <c r="A641" s="5">
        <v>46156</v>
      </c>
      <c r="B641" s="6" t="s">
        <v>29</v>
      </c>
      <c r="C641" s="3" t="s">
        <v>16</v>
      </c>
      <c r="D641" s="3">
        <v>22</v>
      </c>
      <c r="E641" s="3">
        <v>18</v>
      </c>
      <c r="F641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 t="shared" si="89"/>
        <v>BOM</v>
      </c>
      <c r="M641">
        <v>17</v>
      </c>
      <c r="N641">
        <v>98.63</v>
      </c>
      <c r="O641">
        <v>18.75</v>
      </c>
    </row>
    <row r="642" spans="1:15" hidden="1" x14ac:dyDescent="0.25">
      <c r="A642" s="5">
        <v>46156</v>
      </c>
      <c r="B642" s="6" t="s">
        <v>33</v>
      </c>
      <c r="C642" s="3" t="s">
        <v>16</v>
      </c>
      <c r="D642" s="3">
        <v>14</v>
      </c>
      <c r="E642" s="3">
        <v>13</v>
      </c>
      <c r="F642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 t="shared" si="89"/>
        <v>CRÍTICO</v>
      </c>
      <c r="M642">
        <v>18</v>
      </c>
      <c r="N642">
        <v>100</v>
      </c>
      <c r="O642">
        <v>13.8121546961326</v>
      </c>
    </row>
    <row r="643" spans="1:15" hidden="1" x14ac:dyDescent="0.25">
      <c r="A643" s="5">
        <v>46156</v>
      </c>
      <c r="B643" s="6" t="s">
        <v>35</v>
      </c>
      <c r="C643" s="3" t="s">
        <v>16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 t="shared" si="89"/>
        <v>BOM</v>
      </c>
      <c r="M643" s="9">
        <v>0</v>
      </c>
      <c r="N643" s="9">
        <v>100</v>
      </c>
      <c r="O643" s="9">
        <v>17.241379310344829</v>
      </c>
    </row>
    <row r="644" spans="1:15" hidden="1" x14ac:dyDescent="0.25">
      <c r="A644" s="5">
        <v>46156</v>
      </c>
      <c r="B644" s="6" t="s">
        <v>37</v>
      </c>
      <c r="C644" s="9" t="s">
        <v>16</v>
      </c>
      <c r="D644" s="3">
        <v>17</v>
      </c>
      <c r="E644" s="3">
        <v>17</v>
      </c>
      <c r="F644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 t="shared" si="89"/>
        <v>CRÍTICO</v>
      </c>
      <c r="M644">
        <v>13</v>
      </c>
      <c r="N644">
        <v>98.63</v>
      </c>
      <c r="O644">
        <v>15.75757575757576</v>
      </c>
    </row>
    <row r="645" spans="1:15" hidden="1" x14ac:dyDescent="0.25">
      <c r="A645" s="5">
        <v>46156</v>
      </c>
      <c r="B645" s="6" t="s">
        <v>40</v>
      </c>
      <c r="C645" s="3" t="s">
        <v>16</v>
      </c>
      <c r="D645" s="3">
        <v>9</v>
      </c>
      <c r="E645" s="3">
        <v>9</v>
      </c>
      <c r="F645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 t="shared" si="89"/>
        <v>CRÍTICO</v>
      </c>
      <c r="M645">
        <v>9</v>
      </c>
      <c r="N645">
        <v>98.61</v>
      </c>
      <c r="O645">
        <v>16.97530864197531</v>
      </c>
    </row>
    <row r="646" spans="1:15" hidden="1" x14ac:dyDescent="0.25">
      <c r="A646" s="5">
        <v>46156</v>
      </c>
      <c r="B646" s="6" t="s">
        <v>47</v>
      </c>
      <c r="C646" s="3" t="s">
        <v>16</v>
      </c>
      <c r="D646" s="3">
        <v>26</v>
      </c>
      <c r="E646" s="3">
        <v>24</v>
      </c>
      <c r="F646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 t="shared" si="89"/>
        <v>BOM</v>
      </c>
      <c r="M646">
        <v>12</v>
      </c>
      <c r="N646">
        <v>98.61</v>
      </c>
      <c r="O646">
        <v>16.867469879518069</v>
      </c>
    </row>
    <row r="647" spans="1:15" hidden="1" x14ac:dyDescent="0.25">
      <c r="A647" s="5">
        <v>46156</v>
      </c>
      <c r="B647" s="6" t="s">
        <v>48</v>
      </c>
      <c r="C647" s="3" t="s">
        <v>16</v>
      </c>
      <c r="D647" s="3">
        <v>22</v>
      </c>
      <c r="E647" s="3">
        <v>18</v>
      </c>
      <c r="F647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 t="shared" si="89"/>
        <v>BOM</v>
      </c>
      <c r="M647">
        <v>16</v>
      </c>
      <c r="N647">
        <v>100</v>
      </c>
      <c r="O647">
        <v>20.820189274447952</v>
      </c>
    </row>
    <row r="648" spans="1:15" hidden="1" x14ac:dyDescent="0.25">
      <c r="A648" s="5">
        <v>46156</v>
      </c>
      <c r="B648" s="6" t="s">
        <v>56</v>
      </c>
      <c r="C648" s="3" t="s">
        <v>16</v>
      </c>
      <c r="D648" s="3">
        <v>29</v>
      </c>
      <c r="E648" s="3">
        <v>26</v>
      </c>
      <c r="F648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 t="shared" si="89"/>
        <v>BOM</v>
      </c>
      <c r="M648">
        <v>23</v>
      </c>
      <c r="N648">
        <v>100</v>
      </c>
      <c r="O648">
        <v>16.894977168949769</v>
      </c>
    </row>
    <row r="649" spans="1:15" hidden="1" x14ac:dyDescent="0.25">
      <c r="A649" s="5">
        <v>46157</v>
      </c>
      <c r="B649" s="6" t="s">
        <v>15</v>
      </c>
      <c r="C649" s="3" t="s">
        <v>16</v>
      </c>
      <c r="D649" s="3">
        <v>20</v>
      </c>
      <c r="E649" s="3">
        <v>19</v>
      </c>
      <c r="F649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 t="shared" si="89"/>
        <v>ATENÇÃO</v>
      </c>
      <c r="M649" s="3">
        <v>12</v>
      </c>
      <c r="N649" s="3">
        <v>98.94</v>
      </c>
      <c r="O649" s="3">
        <v>19.614147909967851</v>
      </c>
    </row>
    <row r="650" spans="1:15" hidden="1" x14ac:dyDescent="0.25">
      <c r="A650" s="5">
        <v>46157</v>
      </c>
      <c r="B650" s="6" t="s">
        <v>24</v>
      </c>
      <c r="C650" s="3" t="s">
        <v>16</v>
      </c>
      <c r="D650" s="3">
        <v>20</v>
      </c>
      <c r="E650" s="3">
        <v>19</v>
      </c>
      <c r="F650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 t="shared" si="89"/>
        <v>ATENÇÃO</v>
      </c>
      <c r="M650">
        <v>21</v>
      </c>
      <c r="N650">
        <v>99.13</v>
      </c>
      <c r="O650">
        <v>14.7239263803681</v>
      </c>
    </row>
    <row r="651" spans="1:15" hidden="1" x14ac:dyDescent="0.25">
      <c r="A651" s="5">
        <v>46157</v>
      </c>
      <c r="B651" s="6" t="s">
        <v>25</v>
      </c>
      <c r="C651" s="9" t="s">
        <v>16</v>
      </c>
      <c r="D651" s="3">
        <v>26</v>
      </c>
      <c r="E651" s="3">
        <v>26</v>
      </c>
      <c r="F651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 t="shared" si="89"/>
        <v>EXCELENTE</v>
      </c>
      <c r="M651">
        <v>29</v>
      </c>
      <c r="N651">
        <v>98.8</v>
      </c>
      <c r="O651">
        <v>16.897506925207761</v>
      </c>
    </row>
    <row r="652" spans="1:15" hidden="1" x14ac:dyDescent="0.25">
      <c r="A652" s="5">
        <v>46157</v>
      </c>
      <c r="B652" s="6" t="s">
        <v>29</v>
      </c>
      <c r="C652" s="3" t="s">
        <v>16</v>
      </c>
      <c r="D652" s="3">
        <v>35</v>
      </c>
      <c r="E652" s="3">
        <v>31</v>
      </c>
      <c r="F652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 t="shared" si="89"/>
        <v>BOM</v>
      </c>
      <c r="M652">
        <v>30</v>
      </c>
      <c r="N652">
        <v>98.63</v>
      </c>
      <c r="O652">
        <v>18.75</v>
      </c>
    </row>
    <row r="653" spans="1:15" hidden="1" x14ac:dyDescent="0.25">
      <c r="A653" s="5">
        <v>46157</v>
      </c>
      <c r="B653" s="6" t="s">
        <v>33</v>
      </c>
      <c r="C653" s="3" t="s">
        <v>16</v>
      </c>
      <c r="D653" s="3">
        <v>27</v>
      </c>
      <c r="E653" s="3">
        <v>25</v>
      </c>
      <c r="F65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 t="shared" si="89"/>
        <v>BOM</v>
      </c>
      <c r="M653">
        <v>23</v>
      </c>
      <c r="N653">
        <v>100</v>
      </c>
      <c r="O653">
        <v>13.8121546961326</v>
      </c>
    </row>
    <row r="654" spans="1:15" hidden="1" x14ac:dyDescent="0.25">
      <c r="A654" s="5">
        <v>46157</v>
      </c>
      <c r="B654" s="6" t="s">
        <v>35</v>
      </c>
      <c r="C654" s="3" t="s">
        <v>16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89"/>
        <v>BOM</v>
      </c>
      <c r="M654" s="9">
        <v>0</v>
      </c>
      <c r="N654" s="9">
        <v>100</v>
      </c>
      <c r="O654" s="9">
        <v>17.241379310344829</v>
      </c>
    </row>
    <row r="655" spans="1:15" hidden="1" x14ac:dyDescent="0.25">
      <c r="A655" s="5">
        <v>46157</v>
      </c>
      <c r="B655" s="6" t="s">
        <v>37</v>
      </c>
      <c r="C655" s="9" t="s">
        <v>16</v>
      </c>
      <c r="D655" s="3">
        <v>28</v>
      </c>
      <c r="E655" s="3">
        <v>25</v>
      </c>
      <c r="F655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 t="shared" si="89"/>
        <v>BOM</v>
      </c>
      <c r="M655">
        <v>23</v>
      </c>
      <c r="N655">
        <v>98.63</v>
      </c>
      <c r="O655">
        <v>15.75757575757576</v>
      </c>
    </row>
    <row r="656" spans="1:15" hidden="1" x14ac:dyDescent="0.25">
      <c r="A656" s="5">
        <v>46157</v>
      </c>
      <c r="B656" s="6" t="s">
        <v>40</v>
      </c>
      <c r="C656" s="3" t="s">
        <v>16</v>
      </c>
      <c r="D656" s="3">
        <v>17</v>
      </c>
      <c r="E656" s="3">
        <v>14</v>
      </c>
      <c r="F656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 t="shared" si="89"/>
        <v>CRÍTICO</v>
      </c>
      <c r="M656">
        <v>14</v>
      </c>
      <c r="N656">
        <v>98.61</v>
      </c>
      <c r="O656">
        <v>16.97530864197531</v>
      </c>
    </row>
    <row r="657" spans="1:15" hidden="1" x14ac:dyDescent="0.25">
      <c r="A657" s="5">
        <v>46157</v>
      </c>
      <c r="B657" s="6" t="s">
        <v>47</v>
      </c>
      <c r="C657" s="3" t="s">
        <v>16</v>
      </c>
      <c r="D657" s="3">
        <v>34</v>
      </c>
      <c r="E657" s="3">
        <v>32</v>
      </c>
      <c r="F657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 t="shared" si="89"/>
        <v>EXCELENTE</v>
      </c>
      <c r="M657">
        <v>13</v>
      </c>
      <c r="N657">
        <v>98.61</v>
      </c>
      <c r="O657">
        <v>16.867469879518069</v>
      </c>
    </row>
    <row r="658" spans="1:15" hidden="1" x14ac:dyDescent="0.25">
      <c r="A658" s="5">
        <v>46157</v>
      </c>
      <c r="B658" s="6" t="s">
        <v>48</v>
      </c>
      <c r="C658" s="3" t="s">
        <v>16</v>
      </c>
      <c r="D658" s="3">
        <v>28</v>
      </c>
      <c r="E658" s="3">
        <v>25</v>
      </c>
      <c r="F658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 t="shared" si="89"/>
        <v>BOM</v>
      </c>
      <c r="M658">
        <v>24</v>
      </c>
      <c r="N658">
        <v>100</v>
      </c>
      <c r="O658">
        <v>20.820189274447952</v>
      </c>
    </row>
    <row r="659" spans="1:15" hidden="1" x14ac:dyDescent="0.25">
      <c r="A659" s="5">
        <v>46157</v>
      </c>
      <c r="B659" s="6" t="s">
        <v>56</v>
      </c>
      <c r="C659" s="3" t="s">
        <v>16</v>
      </c>
      <c r="D659" s="3">
        <v>13</v>
      </c>
      <c r="E659" s="3">
        <v>13</v>
      </c>
      <c r="F659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 t="shared" si="89"/>
        <v>CRÍTICO</v>
      </c>
      <c r="M659">
        <v>12</v>
      </c>
      <c r="N659">
        <v>100</v>
      </c>
      <c r="O659">
        <v>16.894977168949769</v>
      </c>
    </row>
    <row r="660" spans="1:15" hidden="1" x14ac:dyDescent="0.25">
      <c r="A660" s="5">
        <v>46160</v>
      </c>
      <c r="B660" s="6" t="s">
        <v>15</v>
      </c>
      <c r="C660" s="3" t="s">
        <v>16</v>
      </c>
      <c r="D660" s="3">
        <v>42</v>
      </c>
      <c r="E660" s="3">
        <v>27</v>
      </c>
      <c r="F660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 t="shared" si="89"/>
        <v>EXCELENTE</v>
      </c>
      <c r="M660" s="3">
        <v>19</v>
      </c>
      <c r="N660" s="3">
        <v>98.94</v>
      </c>
      <c r="O660" s="3">
        <v>19.614147909967851</v>
      </c>
    </row>
    <row r="661" spans="1:15" hidden="1" x14ac:dyDescent="0.25">
      <c r="A661" s="5">
        <v>46160</v>
      </c>
      <c r="B661" s="6" t="s">
        <v>24</v>
      </c>
      <c r="C661" s="3" t="s">
        <v>16</v>
      </c>
      <c r="D661" s="3">
        <v>46</v>
      </c>
      <c r="E661" s="3">
        <v>39</v>
      </c>
      <c r="F661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 t="shared" si="89"/>
        <v>EXCELENTE</v>
      </c>
      <c r="M661">
        <v>42</v>
      </c>
      <c r="N661">
        <v>99.13</v>
      </c>
      <c r="O661">
        <v>14.7239263803681</v>
      </c>
    </row>
    <row r="662" spans="1:15" hidden="1" x14ac:dyDescent="0.25">
      <c r="A662" s="5">
        <v>46160</v>
      </c>
      <c r="B662" s="6" t="s">
        <v>25</v>
      </c>
      <c r="C662" s="9" t="s">
        <v>16</v>
      </c>
      <c r="D662" s="3">
        <v>23</v>
      </c>
      <c r="E662" s="3">
        <v>23</v>
      </c>
      <c r="F662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 t="shared" si="89"/>
        <v>BOM</v>
      </c>
      <c r="M662">
        <v>26</v>
      </c>
      <c r="N662">
        <v>98.8</v>
      </c>
      <c r="O662">
        <v>16.897506925207761</v>
      </c>
    </row>
    <row r="663" spans="1:15" hidden="1" x14ac:dyDescent="0.25">
      <c r="A663" s="5">
        <v>46160</v>
      </c>
      <c r="B663" s="6" t="s">
        <v>29</v>
      </c>
      <c r="C663" s="3" t="s">
        <v>16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 t="shared" si="89"/>
        <v>BOM</v>
      </c>
      <c r="M663" s="9">
        <v>0</v>
      </c>
      <c r="N663" s="9">
        <v>98.63</v>
      </c>
      <c r="O663" s="9">
        <v>18.75</v>
      </c>
    </row>
    <row r="664" spans="1:15" hidden="1" x14ac:dyDescent="0.25">
      <c r="A664" s="5">
        <v>46160</v>
      </c>
      <c r="B664" s="6" t="s">
        <v>33</v>
      </c>
      <c r="C664" s="3" t="s">
        <v>16</v>
      </c>
      <c r="D664" s="3">
        <v>29</v>
      </c>
      <c r="E664" s="3">
        <v>27</v>
      </c>
      <c r="F664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 t="shared" si="89"/>
        <v>EXCELENTE</v>
      </c>
      <c r="M664">
        <v>25</v>
      </c>
      <c r="N664">
        <v>100</v>
      </c>
      <c r="O664">
        <v>13.8121546961326</v>
      </c>
    </row>
    <row r="665" spans="1:15" hidden="1" x14ac:dyDescent="0.25">
      <c r="A665" s="5">
        <v>46160</v>
      </c>
      <c r="B665" s="6" t="s">
        <v>35</v>
      </c>
      <c r="C665" s="3" t="s">
        <v>16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 t="shared" si="89"/>
        <v>BOM</v>
      </c>
      <c r="M665" s="9">
        <v>0</v>
      </c>
      <c r="N665" s="9">
        <v>100</v>
      </c>
      <c r="O665" s="9">
        <v>17.241379310344829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5" hidden="1" x14ac:dyDescent="0.25">
      <c r="A730" s="5">
        <v>46160</v>
      </c>
      <c r="B730" s="6" t="s">
        <v>37</v>
      </c>
      <c r="C730" s="9" t="s">
        <v>16</v>
      </c>
      <c r="D730" s="3">
        <v>20</v>
      </c>
      <c r="E730" s="3">
        <v>20</v>
      </c>
      <c r="F730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 t="shared" ref="L730:L745" si="90">IF(K730&lt;-5,"CRÍTICO",IF(K730&lt;0,"ATENÇÃO",IF(K730&lt;=5,"BOM","EXCELENTE")))</f>
        <v>BOM</v>
      </c>
      <c r="M730">
        <v>21</v>
      </c>
      <c r="N730">
        <v>98.63</v>
      </c>
      <c r="O730">
        <v>15.75757575757576</v>
      </c>
    </row>
    <row r="731" spans="1:15" hidden="1" x14ac:dyDescent="0.25">
      <c r="A731" s="5">
        <v>46160</v>
      </c>
      <c r="B731" s="6" t="s">
        <v>40</v>
      </c>
      <c r="C731" s="3" t="s">
        <v>16</v>
      </c>
      <c r="D731" s="3">
        <v>28</v>
      </c>
      <c r="E731" s="3">
        <v>22</v>
      </c>
      <c r="F731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 t="shared" si="90"/>
        <v>BOM</v>
      </c>
      <c r="M731">
        <v>19</v>
      </c>
      <c r="N731">
        <v>98.61</v>
      </c>
      <c r="O731">
        <v>16.97530864197531</v>
      </c>
    </row>
    <row r="732" spans="1:15" hidden="1" x14ac:dyDescent="0.25">
      <c r="A732" s="5">
        <v>46160</v>
      </c>
      <c r="B732" s="6" t="s">
        <v>47</v>
      </c>
      <c r="C732" s="3" t="s">
        <v>16</v>
      </c>
      <c r="D732" s="3">
        <v>25</v>
      </c>
      <c r="E732" s="3">
        <v>23</v>
      </c>
      <c r="F732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 t="shared" si="90"/>
        <v>BOM</v>
      </c>
      <c r="M732">
        <v>20</v>
      </c>
      <c r="N732">
        <v>98.61</v>
      </c>
      <c r="O732">
        <v>16.867469879518069</v>
      </c>
    </row>
    <row r="733" spans="1:15" hidden="1" x14ac:dyDescent="0.25">
      <c r="A733" s="5">
        <v>46160</v>
      </c>
      <c r="B733" s="6" t="s">
        <v>48</v>
      </c>
      <c r="C733" s="3" t="s">
        <v>16</v>
      </c>
      <c r="D733" s="3">
        <v>28</v>
      </c>
      <c r="E733" s="3">
        <v>26</v>
      </c>
      <c r="F73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 t="shared" si="90"/>
        <v>BOM</v>
      </c>
      <c r="M733">
        <v>23</v>
      </c>
      <c r="N733">
        <v>100</v>
      </c>
      <c r="O733">
        <v>20.820189274447952</v>
      </c>
    </row>
    <row r="734" spans="1:15" hidden="1" x14ac:dyDescent="0.25">
      <c r="A734" s="5">
        <v>46160</v>
      </c>
      <c r="B734" s="6" t="s">
        <v>56</v>
      </c>
      <c r="C734" s="3" t="s">
        <v>16</v>
      </c>
      <c r="D734" s="3">
        <v>16</v>
      </c>
      <c r="E734" s="3">
        <v>15</v>
      </c>
      <c r="F734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 t="shared" si="90"/>
        <v>CRÍTICO</v>
      </c>
      <c r="M734">
        <v>13</v>
      </c>
      <c r="N734">
        <v>100</v>
      </c>
      <c r="O734">
        <v>16.894977168949769</v>
      </c>
    </row>
    <row r="735" spans="1:15" hidden="1" x14ac:dyDescent="0.25">
      <c r="A735" s="7">
        <v>46161</v>
      </c>
      <c r="B735" s="8" t="s">
        <v>15</v>
      </c>
      <c r="C735" s="9" t="s">
        <v>16</v>
      </c>
      <c r="D735" s="3">
        <v>38</v>
      </c>
      <c r="E735" s="3">
        <v>33</v>
      </c>
      <c r="F735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 t="shared" si="90"/>
        <v>EXCELENTE</v>
      </c>
      <c r="M735" s="3">
        <v>17</v>
      </c>
      <c r="N735" s="3">
        <v>98.94</v>
      </c>
      <c r="O735" s="3">
        <v>19.614147909967851</v>
      </c>
    </row>
    <row r="736" spans="1:15" hidden="1" x14ac:dyDescent="0.25">
      <c r="A736" s="7">
        <v>46161</v>
      </c>
      <c r="B736" s="8" t="s">
        <v>24</v>
      </c>
      <c r="C736" s="9" t="s">
        <v>16</v>
      </c>
      <c r="D736" s="3">
        <v>33</v>
      </c>
      <c r="E736" s="3">
        <v>31</v>
      </c>
      <c r="F736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 t="shared" si="90"/>
        <v>EXCELENTE</v>
      </c>
      <c r="M736">
        <v>33</v>
      </c>
      <c r="N736">
        <v>99.13</v>
      </c>
      <c r="O736">
        <v>14.7239263803681</v>
      </c>
    </row>
    <row r="737" spans="1:15" hidden="1" x14ac:dyDescent="0.25">
      <c r="A737" s="7">
        <v>46161</v>
      </c>
      <c r="B737" s="8" t="s">
        <v>25</v>
      </c>
      <c r="C737" s="9" t="s">
        <v>16</v>
      </c>
      <c r="D737" s="3">
        <v>33</v>
      </c>
      <c r="E737" s="3">
        <v>32</v>
      </c>
      <c r="F737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 t="shared" si="90"/>
        <v>EXCELENTE</v>
      </c>
      <c r="M737">
        <v>29</v>
      </c>
      <c r="N737">
        <v>98.8</v>
      </c>
      <c r="O737">
        <v>16.897506925207761</v>
      </c>
    </row>
    <row r="738" spans="1:15" hidden="1" x14ac:dyDescent="0.25">
      <c r="A738" s="7">
        <v>46161</v>
      </c>
      <c r="B738" s="8" t="s">
        <v>29</v>
      </c>
      <c r="C738" s="9" t="s">
        <v>16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 t="shared" si="90"/>
        <v>BOM</v>
      </c>
      <c r="M738" s="9">
        <v>0</v>
      </c>
      <c r="N738" s="9">
        <v>98.63</v>
      </c>
      <c r="O738" s="9">
        <v>18.75</v>
      </c>
    </row>
    <row r="739" spans="1:15" hidden="1" x14ac:dyDescent="0.25">
      <c r="A739" s="7">
        <v>46161</v>
      </c>
      <c r="B739" s="8" t="s">
        <v>33</v>
      </c>
      <c r="C739" s="9" t="s">
        <v>16</v>
      </c>
      <c r="D739" s="3">
        <v>23</v>
      </c>
      <c r="E739" s="3">
        <v>22</v>
      </c>
      <c r="F739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 t="shared" si="90"/>
        <v>BOM</v>
      </c>
      <c r="M739">
        <v>23</v>
      </c>
      <c r="N739">
        <v>100</v>
      </c>
      <c r="O739">
        <v>13.8121546961326</v>
      </c>
    </row>
    <row r="740" spans="1:15" hidden="1" x14ac:dyDescent="0.25">
      <c r="A740" s="7">
        <v>46161</v>
      </c>
      <c r="B740" s="8" t="s">
        <v>35</v>
      </c>
      <c r="C740" s="9" t="s">
        <v>16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 t="shared" si="90"/>
        <v>BOM</v>
      </c>
      <c r="M740" s="9">
        <v>0</v>
      </c>
      <c r="N740" s="9">
        <v>100</v>
      </c>
      <c r="O740" s="9">
        <v>17.241379310344829</v>
      </c>
    </row>
    <row r="741" spans="1:15" hidden="1" x14ac:dyDescent="0.25">
      <c r="A741" s="7">
        <v>46161</v>
      </c>
      <c r="B741" s="8" t="s">
        <v>37</v>
      </c>
      <c r="C741" s="9" t="s">
        <v>16</v>
      </c>
      <c r="D741" s="3">
        <v>28</v>
      </c>
      <c r="E741" s="3">
        <v>25</v>
      </c>
      <c r="F741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 t="shared" si="90"/>
        <v>BOM</v>
      </c>
      <c r="M741">
        <v>22</v>
      </c>
      <c r="N741">
        <v>98.63</v>
      </c>
      <c r="O741">
        <v>15.75757575757576</v>
      </c>
    </row>
    <row r="742" spans="1:15" hidden="1" x14ac:dyDescent="0.25">
      <c r="A742" s="7">
        <v>46161</v>
      </c>
      <c r="B742" s="8" t="s">
        <v>40</v>
      </c>
      <c r="C742" s="9" t="s">
        <v>16</v>
      </c>
      <c r="D742" s="3">
        <v>24</v>
      </c>
      <c r="E742" s="3">
        <v>20</v>
      </c>
      <c r="F742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 t="shared" si="90"/>
        <v>ATENÇÃO</v>
      </c>
      <c r="M742">
        <v>16</v>
      </c>
      <c r="N742">
        <v>98.61</v>
      </c>
      <c r="O742">
        <v>16.97530864197531</v>
      </c>
    </row>
    <row r="743" spans="1:15" hidden="1" x14ac:dyDescent="0.25">
      <c r="A743" s="7">
        <v>46161</v>
      </c>
      <c r="B743" s="8" t="s">
        <v>47</v>
      </c>
      <c r="C743" s="9" t="s">
        <v>16</v>
      </c>
      <c r="D743" s="3">
        <v>28</v>
      </c>
      <c r="E743" s="3">
        <v>25</v>
      </c>
      <c r="F74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 t="shared" si="90"/>
        <v>BOM</v>
      </c>
      <c r="M743">
        <v>45</v>
      </c>
      <c r="N743">
        <v>98.61</v>
      </c>
      <c r="O743">
        <v>16.867469879518069</v>
      </c>
    </row>
    <row r="744" spans="1:15" hidden="1" x14ac:dyDescent="0.25">
      <c r="A744" s="7">
        <v>46161</v>
      </c>
      <c r="B744" s="8" t="s">
        <v>48</v>
      </c>
      <c r="C744" s="9" t="s">
        <v>16</v>
      </c>
      <c r="D744" s="3">
        <v>22</v>
      </c>
      <c r="E744" s="3">
        <v>21</v>
      </c>
      <c r="F744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 t="shared" si="90"/>
        <v>BOM</v>
      </c>
      <c r="M744">
        <v>19</v>
      </c>
      <c r="N744">
        <v>100</v>
      </c>
      <c r="O744">
        <v>20.820189274447952</v>
      </c>
    </row>
    <row r="745" spans="1:15" hidden="1" x14ac:dyDescent="0.25">
      <c r="A745" s="7">
        <v>46161</v>
      </c>
      <c r="B745" s="8" t="s">
        <v>56</v>
      </c>
      <c r="C745" s="9" t="s">
        <v>16</v>
      </c>
      <c r="D745" s="3">
        <v>25</v>
      </c>
      <c r="E745" s="3">
        <v>23</v>
      </c>
      <c r="F745">
        <v>17.03</v>
      </c>
      <c r="G745" s="3">
        <v>0</v>
      </c>
      <c r="H745" s="3">
        <v>0</v>
      </c>
      <c r="I745" s="3">
        <f t="shared" ref="I745:I750" si="91">E745+G745+H745</f>
        <v>23</v>
      </c>
      <c r="J745" s="3">
        <f t="shared" ref="J745:J750" si="92"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 t="shared" ref="K745:K750" si="93">I745-J745</f>
        <v>0</v>
      </c>
      <c r="L745" s="3" t="str">
        <f t="shared" si="90"/>
        <v>BOM</v>
      </c>
      <c r="M745">
        <v>22</v>
      </c>
      <c r="N745">
        <v>100</v>
      </c>
      <c r="O745">
        <v>16.894977168949769</v>
      </c>
    </row>
    <row r="746" spans="1:15" hidden="1" x14ac:dyDescent="0.25">
      <c r="A746" s="7">
        <v>46162</v>
      </c>
      <c r="B746" s="8" t="s">
        <v>15</v>
      </c>
      <c r="C746" s="9" t="s">
        <v>16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 t="shared" si="91"/>
        <v>31</v>
      </c>
      <c r="J746" s="3">
        <f t="shared" si="92"/>
        <v>21</v>
      </c>
      <c r="K746" s="3">
        <f t="shared" si="93"/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98.94</v>
      </c>
      <c r="O746" s="3">
        <v>19.614147909967851</v>
      </c>
    </row>
    <row r="747" spans="1:15" hidden="1" x14ac:dyDescent="0.25">
      <c r="A747" s="11">
        <v>46056</v>
      </c>
      <c r="B747" t="s">
        <v>36</v>
      </c>
      <c r="C747" t="s">
        <v>20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si="91"/>
        <v>31</v>
      </c>
      <c r="J747" s="3">
        <f t="shared" si="92"/>
        <v>19</v>
      </c>
      <c r="K747" s="3">
        <f t="shared" si="93"/>
        <v>12</v>
      </c>
      <c r="L747" s="3" t="str">
        <f>IF(K747&lt;-5,"CRÍTICO",IF(K747&lt;0,"ATENÇÃO",IF(K747&lt;=5,"BOM","EXCELENTE")))</f>
        <v>EXCELENTE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36</v>
      </c>
      <c r="C748" t="s">
        <v>20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91"/>
        <v>19</v>
      </c>
      <c r="J748" s="3">
        <f t="shared" si="92"/>
        <v>19</v>
      </c>
      <c r="K748" s="3">
        <f t="shared" si="93"/>
        <v>0</v>
      </c>
      <c r="L748" s="3" t="str">
        <f>IF(K748&lt;-5,"CRÍTICO",IF(K748&lt;0,"ATENÇÃO",IF(K748&lt;=5,"BOM","EXCELENTE")))</f>
        <v>BOM</v>
      </c>
      <c r="N748">
        <v>96.67</v>
      </c>
      <c r="O748">
        <v>31.451612903225811</v>
      </c>
    </row>
    <row r="749" spans="1:15" hidden="1" x14ac:dyDescent="0.25">
      <c r="A749" s="7">
        <v>46162</v>
      </c>
      <c r="B749" s="8" t="s">
        <v>24</v>
      </c>
      <c r="C749" s="9" t="s">
        <v>16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 t="shared" si="91"/>
        <v>25</v>
      </c>
      <c r="J749" s="3">
        <f t="shared" si="92"/>
        <v>21</v>
      </c>
      <c r="K749" s="3">
        <f t="shared" si="93"/>
        <v>4</v>
      </c>
      <c r="L749" s="3" t="str">
        <f t="shared" ref="L749:L774" si="94">IF(K749&lt;-5,"CRÍTICO",IF(K749&lt;0,"ATENÇÃO",IF(K749&lt;=5,"OPORTUNO","MUITO BOM")))</f>
        <v>OPORTUNO</v>
      </c>
      <c r="M749" s="9">
        <v>29</v>
      </c>
      <c r="N749" s="9">
        <v>99.13</v>
      </c>
      <c r="O749" s="9">
        <v>14.7239263803681</v>
      </c>
    </row>
    <row r="750" spans="1:15" hidden="1" x14ac:dyDescent="0.25">
      <c r="A750" s="7">
        <v>46162</v>
      </c>
      <c r="B750" s="8" t="s">
        <v>25</v>
      </c>
      <c r="C750" s="9" t="s">
        <v>16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 t="shared" si="91"/>
        <v>27</v>
      </c>
      <c r="J750" s="3">
        <f t="shared" si="92"/>
        <v>21</v>
      </c>
      <c r="K750" s="3">
        <f t="shared" si="93"/>
        <v>6</v>
      </c>
      <c r="L750" s="3" t="str">
        <f t="shared" si="94"/>
        <v>MUITO BOM</v>
      </c>
      <c r="M750" s="9">
        <v>25</v>
      </c>
      <c r="N750" s="9">
        <v>98.8</v>
      </c>
      <c r="O750" s="9">
        <v>16.897506925207761</v>
      </c>
    </row>
    <row r="751" spans="1:15" hidden="1" x14ac:dyDescent="0.25">
      <c r="A751" s="7">
        <v>46162</v>
      </c>
      <c r="B751" s="8" t="s">
        <v>29</v>
      </c>
      <c r="C751" s="9" t="s">
        <v>16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 t="shared" si="94"/>
        <v>OPORTUNO</v>
      </c>
      <c r="M751" s="9">
        <v>0</v>
      </c>
      <c r="N751" s="9">
        <v>98.63</v>
      </c>
      <c r="O751" s="9">
        <v>18.75</v>
      </c>
    </row>
    <row r="752" spans="1:15" hidden="1" x14ac:dyDescent="0.25">
      <c r="A752" s="7">
        <v>46162</v>
      </c>
      <c r="B752" s="8" t="s">
        <v>33</v>
      </c>
      <c r="C752" s="9" t="s">
        <v>16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 t="shared" si="94"/>
        <v>MUITO BOM</v>
      </c>
      <c r="M752" s="9">
        <v>28</v>
      </c>
      <c r="N752" s="9">
        <v>100</v>
      </c>
      <c r="O752" s="9">
        <v>13.8121546961326</v>
      </c>
    </row>
    <row r="753" spans="1:15" hidden="1" x14ac:dyDescent="0.25">
      <c r="A753" s="7">
        <v>46162</v>
      </c>
      <c r="B753" s="8" t="s">
        <v>35</v>
      </c>
      <c r="C753" s="9" t="s">
        <v>16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 t="shared" si="94"/>
        <v>OPORTUNO</v>
      </c>
      <c r="M753" s="9">
        <v>0</v>
      </c>
      <c r="N753" s="9">
        <v>100</v>
      </c>
      <c r="O753" s="9">
        <v>17.241379310344829</v>
      </c>
    </row>
    <row r="754" spans="1:15" hidden="1" x14ac:dyDescent="0.25">
      <c r="A754" s="7">
        <v>46162</v>
      </c>
      <c r="B754" s="8" t="s">
        <v>37</v>
      </c>
      <c r="C754" s="9" t="s">
        <v>16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 t="shared" si="94"/>
        <v>OPORTUNO</v>
      </c>
      <c r="M754" s="9">
        <v>22</v>
      </c>
      <c r="N754" s="9">
        <v>98.63</v>
      </c>
      <c r="O754" s="9">
        <v>15.75757575757576</v>
      </c>
    </row>
    <row r="755" spans="1:15" hidden="1" x14ac:dyDescent="0.25">
      <c r="A755" s="7">
        <v>46162</v>
      </c>
      <c r="B755" s="8" t="s">
        <v>40</v>
      </c>
      <c r="C755" s="9" t="s">
        <v>16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 t="shared" si="94"/>
        <v>OPORTUNO</v>
      </c>
      <c r="M755" s="9">
        <v>23</v>
      </c>
      <c r="N755" s="9">
        <v>98.61</v>
      </c>
      <c r="O755" s="9">
        <v>16.97530864197531</v>
      </c>
    </row>
    <row r="756" spans="1:15" hidden="1" x14ac:dyDescent="0.25">
      <c r="A756" s="7">
        <v>46162</v>
      </c>
      <c r="B756" s="8" t="s">
        <v>47</v>
      </c>
      <c r="C756" s="9" t="s">
        <v>16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 t="shared" si="94"/>
        <v>OPORTUNO</v>
      </c>
      <c r="M756" s="9">
        <v>19</v>
      </c>
      <c r="N756" s="9">
        <v>98.61</v>
      </c>
      <c r="O756" s="9">
        <v>16.867469879518069</v>
      </c>
    </row>
    <row r="757" spans="1:15" hidden="1" x14ac:dyDescent="0.25">
      <c r="A757" s="7">
        <v>46162</v>
      </c>
      <c r="B757" s="8" t="s">
        <v>48</v>
      </c>
      <c r="C757" s="9" t="s">
        <v>16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 t="shared" si="94"/>
        <v>OPORTUNO</v>
      </c>
      <c r="M757" s="9">
        <v>8</v>
      </c>
      <c r="N757" s="9">
        <v>100</v>
      </c>
      <c r="O757" s="9">
        <v>20.820189274447952</v>
      </c>
    </row>
    <row r="758" spans="1:15" hidden="1" x14ac:dyDescent="0.25">
      <c r="A758" s="7">
        <v>46162</v>
      </c>
      <c r="B758" s="8" t="s">
        <v>56</v>
      </c>
      <c r="C758" s="9" t="s">
        <v>16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 t="shared" si="94"/>
        <v>OPORTUNO</v>
      </c>
      <c r="M758" s="9">
        <v>0</v>
      </c>
      <c r="N758" s="9">
        <v>100</v>
      </c>
      <c r="O758" s="9">
        <v>16.894977168949769</v>
      </c>
    </row>
    <row r="759" spans="1:15" hidden="1" x14ac:dyDescent="0.25">
      <c r="A759" s="5">
        <v>46163</v>
      </c>
      <c r="B759" s="6" t="s">
        <v>15</v>
      </c>
      <c r="C759" s="3" t="s">
        <v>16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 t="shared" si="94"/>
        <v>OPORTUNO</v>
      </c>
      <c r="M759" s="3">
        <v>17</v>
      </c>
      <c r="N759" s="3">
        <v>98.94</v>
      </c>
      <c r="O759" s="3">
        <v>19.614147909967851</v>
      </c>
    </row>
    <row r="760" spans="1:15" hidden="1" x14ac:dyDescent="0.25">
      <c r="A760" s="5">
        <v>46163</v>
      </c>
      <c r="B760" s="6" t="s">
        <v>24</v>
      </c>
      <c r="C760" s="3" t="s">
        <v>16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 t="shared" si="94"/>
        <v>MUITO BOM</v>
      </c>
      <c r="M760" s="3">
        <v>28</v>
      </c>
      <c r="N760" s="3">
        <v>99.13</v>
      </c>
      <c r="O760" s="3">
        <v>14.7239263803681</v>
      </c>
    </row>
    <row r="761" spans="1:15" hidden="1" x14ac:dyDescent="0.25">
      <c r="A761" s="5">
        <v>46163</v>
      </c>
      <c r="B761" s="6" t="s">
        <v>25</v>
      </c>
      <c r="C761" s="3" t="s">
        <v>16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 t="shared" si="94"/>
        <v>OPORTUNO</v>
      </c>
      <c r="M761" s="3">
        <v>21</v>
      </c>
      <c r="N761" s="3">
        <v>98.8</v>
      </c>
      <c r="O761" s="3">
        <v>16.897506925207761</v>
      </c>
    </row>
    <row r="762" spans="1:15" hidden="1" x14ac:dyDescent="0.25">
      <c r="A762" s="5">
        <v>46163</v>
      </c>
      <c r="B762" s="6" t="s">
        <v>29</v>
      </c>
      <c r="C762" s="3" t="s">
        <v>16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 t="shared" si="94"/>
        <v>OPORTUNO</v>
      </c>
      <c r="M762" s="3">
        <v>0</v>
      </c>
      <c r="N762" s="3">
        <v>98.63</v>
      </c>
      <c r="O762" s="3">
        <v>18.75</v>
      </c>
    </row>
    <row r="763" spans="1:15" hidden="1" x14ac:dyDescent="0.25">
      <c r="A763" s="5">
        <v>46163</v>
      </c>
      <c r="B763" s="6" t="s">
        <v>33</v>
      </c>
      <c r="C763" s="3" t="s">
        <v>16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 t="shared" si="94"/>
        <v>MUITO BOM</v>
      </c>
      <c r="M763" s="3">
        <v>25</v>
      </c>
      <c r="N763" s="3">
        <v>100</v>
      </c>
      <c r="O763" s="3">
        <v>13.8121546961326</v>
      </c>
    </row>
    <row r="764" spans="1:15" hidden="1" x14ac:dyDescent="0.25">
      <c r="A764" s="5">
        <v>46163</v>
      </c>
      <c r="B764" s="6" t="s">
        <v>35</v>
      </c>
      <c r="C764" s="3" t="s">
        <v>16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 t="shared" si="94"/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37</v>
      </c>
      <c r="C765" s="3" t="s">
        <v>16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 t="shared" si="94"/>
        <v>OPORTUNO</v>
      </c>
      <c r="M765" s="3">
        <v>19</v>
      </c>
      <c r="N765" s="3">
        <v>98.63</v>
      </c>
      <c r="O765" s="3">
        <v>15.75757575757576</v>
      </c>
    </row>
    <row r="766" spans="1:15" hidden="1" x14ac:dyDescent="0.25">
      <c r="A766" s="5">
        <v>46163</v>
      </c>
      <c r="B766" s="6" t="s">
        <v>40</v>
      </c>
      <c r="C766" s="3" t="s">
        <v>16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 t="shared" si="94"/>
        <v>ATENÇÃO</v>
      </c>
      <c r="M766" s="3">
        <v>14</v>
      </c>
      <c r="N766" s="3">
        <v>98.61</v>
      </c>
      <c r="O766" s="3">
        <v>16.97530864197531</v>
      </c>
    </row>
    <row r="767" spans="1:15" hidden="1" x14ac:dyDescent="0.25">
      <c r="A767" s="5">
        <v>46163</v>
      </c>
      <c r="B767" s="6" t="s">
        <v>47</v>
      </c>
      <c r="C767" s="3" t="s">
        <v>16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 t="shared" si="94"/>
        <v>OPORTUNO</v>
      </c>
      <c r="M767" s="3">
        <v>17</v>
      </c>
      <c r="N767" s="3">
        <v>98.61</v>
      </c>
      <c r="O767" s="3">
        <v>16.867469879518069</v>
      </c>
    </row>
    <row r="768" spans="1:15" hidden="1" x14ac:dyDescent="0.25">
      <c r="A768" s="5">
        <v>46163</v>
      </c>
      <c r="B768" s="6" t="s">
        <v>48</v>
      </c>
      <c r="C768" s="3" t="s">
        <v>16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 t="shared" si="94"/>
        <v>OPORTUNO</v>
      </c>
      <c r="M768" s="3">
        <v>15</v>
      </c>
      <c r="N768" s="3">
        <v>100</v>
      </c>
      <c r="O768" s="3">
        <v>20.820189274447952</v>
      </c>
    </row>
    <row r="769" spans="1:15" hidden="1" x14ac:dyDescent="0.25">
      <c r="A769" s="5">
        <v>46163</v>
      </c>
      <c r="B769" s="6" t="s">
        <v>56</v>
      </c>
      <c r="C769" s="3" t="s">
        <v>16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 t="shared" si="94"/>
        <v>OPORTUNO</v>
      </c>
      <c r="M769" s="3">
        <v>0</v>
      </c>
      <c r="N769" s="3">
        <v>100</v>
      </c>
      <c r="O769" s="3">
        <v>16.894977168949769</v>
      </c>
    </row>
    <row r="770" spans="1:15" hidden="1" x14ac:dyDescent="0.25">
      <c r="A770" s="10">
        <v>46164</v>
      </c>
      <c r="B770" s="6" t="s">
        <v>15</v>
      </c>
      <c r="C770" s="3" t="s">
        <v>16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 t="shared" si="94"/>
        <v>OPORTUNO</v>
      </c>
      <c r="M770" s="3">
        <v>11</v>
      </c>
      <c r="N770" s="3">
        <v>98.94</v>
      </c>
      <c r="O770" s="3">
        <v>19.614147909967851</v>
      </c>
    </row>
    <row r="771" spans="1:15" hidden="1" x14ac:dyDescent="0.25">
      <c r="A771" s="10">
        <v>46164</v>
      </c>
      <c r="B771" s="6" t="s">
        <v>24</v>
      </c>
      <c r="C771" s="3" t="s">
        <v>16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 t="shared" si="94"/>
        <v>MUITO BOM</v>
      </c>
      <c r="M771" s="3">
        <v>24</v>
      </c>
      <c r="N771" s="3">
        <v>99.13</v>
      </c>
      <c r="O771" s="3">
        <v>14.7239263803681</v>
      </c>
    </row>
    <row r="772" spans="1:15" hidden="1" x14ac:dyDescent="0.25">
      <c r="A772" s="10">
        <v>46164</v>
      </c>
      <c r="B772" s="6" t="s">
        <v>25</v>
      </c>
      <c r="C772" s="3" t="s">
        <v>16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 t="shared" si="94"/>
        <v>ATENÇÃO</v>
      </c>
      <c r="M772" s="3">
        <v>12</v>
      </c>
      <c r="N772" s="3">
        <v>98.8</v>
      </c>
      <c r="O772" s="3">
        <v>16.897506925207761</v>
      </c>
    </row>
    <row r="773" spans="1:15" hidden="1" x14ac:dyDescent="0.25">
      <c r="A773" s="10">
        <v>46164</v>
      </c>
      <c r="B773" s="6" t="s">
        <v>29</v>
      </c>
      <c r="C773" s="3" t="s">
        <v>16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 t="shared" si="94"/>
        <v>OPORTUNO</v>
      </c>
      <c r="M773" s="3">
        <v>0</v>
      </c>
      <c r="N773" s="3">
        <v>98.63</v>
      </c>
      <c r="O773" s="3">
        <v>18.75</v>
      </c>
    </row>
    <row r="774" spans="1:15" hidden="1" x14ac:dyDescent="0.25">
      <c r="A774" s="10">
        <v>46164</v>
      </c>
      <c r="B774" s="6" t="s">
        <v>33</v>
      </c>
      <c r="C774" s="3" t="s">
        <v>16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 t="shared" si="94"/>
        <v>OPORTUNO</v>
      </c>
      <c r="M774" s="3">
        <v>15</v>
      </c>
      <c r="N774" s="3">
        <v>100</v>
      </c>
      <c r="O774" s="3">
        <v>13.8121546961326</v>
      </c>
    </row>
    <row r="775" spans="1:15" hidden="1" x14ac:dyDescent="0.25">
      <c r="A775" s="11">
        <v>46024</v>
      </c>
      <c r="B775" t="s">
        <v>15</v>
      </c>
      <c r="C775" t="s">
        <v>16</v>
      </c>
      <c r="D775">
        <v>21</v>
      </c>
      <c r="E775">
        <v>17</v>
      </c>
      <c r="F775">
        <v>12.2</v>
      </c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10</v>
      </c>
      <c r="K775" s="3">
        <f>I775-J775</f>
        <v>7</v>
      </c>
      <c r="L775" s="3" t="str">
        <f t="shared" ref="L775:L838" si="95">IF(K775&lt;-5,"CRÍTICO",IF(K775&lt;0,"ATENÇÃO",IF(K775&lt;=5,"BOM","EXCELENTE")))</f>
        <v>EXCELENTE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17</v>
      </c>
      <c r="C776" t="s">
        <v>18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 t="shared" si="95"/>
        <v>BOM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19</v>
      </c>
      <c r="C777" t="s">
        <v>20</v>
      </c>
      <c r="D777">
        <v>21</v>
      </c>
      <c r="E777">
        <v>19</v>
      </c>
      <c r="F777">
        <v>20.149999999999999</v>
      </c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8</v>
      </c>
      <c r="K777" s="3">
        <f>I777-J777</f>
        <v>11</v>
      </c>
      <c r="L777" s="3" t="str">
        <f t="shared" si="95"/>
        <v>EXCELENTE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21</v>
      </c>
      <c r="C778" t="s">
        <v>18</v>
      </c>
      <c r="D778">
        <v>21</v>
      </c>
      <c r="E778">
        <v>20</v>
      </c>
      <c r="F778">
        <v>21.43</v>
      </c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12</v>
      </c>
      <c r="K778" s="3">
        <f>I778-J778</f>
        <v>8</v>
      </c>
      <c r="L778" s="3" t="str">
        <f t="shared" si="95"/>
        <v>EXCELENTE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22</v>
      </c>
      <c r="C779" t="s">
        <v>23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 t="shared" si="95"/>
        <v>BOM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24</v>
      </c>
      <c r="C780" t="s">
        <v>16</v>
      </c>
      <c r="D780">
        <v>28</v>
      </c>
      <c r="E780">
        <v>25</v>
      </c>
      <c r="F780">
        <v>13.37</v>
      </c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10</v>
      </c>
      <c r="K780" s="3">
        <f>I780-J780</f>
        <v>15</v>
      </c>
      <c r="L780" s="3" t="str">
        <f t="shared" si="95"/>
        <v>EXCELENTE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25</v>
      </c>
      <c r="C781" t="s">
        <v>16</v>
      </c>
      <c r="D781">
        <v>22</v>
      </c>
      <c r="E781">
        <v>19</v>
      </c>
      <c r="F781">
        <v>16.579999999999998</v>
      </c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10</v>
      </c>
      <c r="K781" s="3">
        <f>I781-J781</f>
        <v>9</v>
      </c>
      <c r="L781" s="3" t="str">
        <f t="shared" si="95"/>
        <v>EXCELENTE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26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95"/>
        <v>BOM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27</v>
      </c>
      <c r="C783" t="s">
        <v>20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95"/>
        <v>BOM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28</v>
      </c>
      <c r="C784" t="s">
        <v>18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95"/>
        <v>BOM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29</v>
      </c>
      <c r="C785" t="s">
        <v>16</v>
      </c>
      <c r="D785">
        <v>0</v>
      </c>
      <c r="E785">
        <v>0</v>
      </c>
      <c r="F785">
        <v>0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 t="shared" si="95"/>
        <v>BOM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30</v>
      </c>
      <c r="C786" t="s">
        <v>20</v>
      </c>
      <c r="D786">
        <v>14</v>
      </c>
      <c r="E786">
        <v>14</v>
      </c>
      <c r="F786">
        <v>26.53</v>
      </c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8</v>
      </c>
      <c r="K786" s="3">
        <f>I786-J786</f>
        <v>6</v>
      </c>
      <c r="L786" s="3" t="str">
        <f t="shared" si="95"/>
        <v>EXCELENTE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31</v>
      </c>
      <c r="C787" t="s">
        <v>18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95"/>
        <v>BOM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32</v>
      </c>
      <c r="C788" t="s">
        <v>23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 t="shared" si="95"/>
        <v>BOM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33</v>
      </c>
      <c r="C789" t="s">
        <v>16</v>
      </c>
      <c r="D789">
        <v>27</v>
      </c>
      <c r="E789">
        <v>26</v>
      </c>
      <c r="F789">
        <v>12.32</v>
      </c>
      <c r="I789" s="3">
        <f t="shared" ref="I789:I796" si="96">E789+G789+H789</f>
        <v>26</v>
      </c>
      <c r="J789" s="3">
        <f t="shared" ref="J789:J796" si="97"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10</v>
      </c>
      <c r="K789" s="3">
        <f t="shared" ref="K789:K796" si="98">I789-J789</f>
        <v>16</v>
      </c>
      <c r="L789" s="3" t="str">
        <f t="shared" si="95"/>
        <v>EXCELENTE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34</v>
      </c>
      <c r="C790" t="s">
        <v>18</v>
      </c>
      <c r="D790">
        <v>17</v>
      </c>
      <c r="E790">
        <v>17</v>
      </c>
      <c r="F790">
        <v>16.5</v>
      </c>
      <c r="I790" s="3">
        <f t="shared" si="96"/>
        <v>17</v>
      </c>
      <c r="J790" s="3">
        <f t="shared" si="97"/>
        <v>12</v>
      </c>
      <c r="K790" s="3">
        <f t="shared" si="98"/>
        <v>5</v>
      </c>
      <c r="L790" s="3" t="str">
        <f t="shared" si="95"/>
        <v>BOM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35</v>
      </c>
      <c r="C791" t="s">
        <v>16</v>
      </c>
      <c r="D791">
        <v>27</v>
      </c>
      <c r="E791">
        <v>25</v>
      </c>
      <c r="F791">
        <v>14.1</v>
      </c>
      <c r="I791" s="3">
        <f t="shared" si="96"/>
        <v>25</v>
      </c>
      <c r="J791" s="3">
        <f t="shared" si="97"/>
        <v>10</v>
      </c>
      <c r="K791" s="3">
        <f t="shared" si="98"/>
        <v>15</v>
      </c>
      <c r="L791" s="3" t="str">
        <f t="shared" si="95"/>
        <v>EXCELENTE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36</v>
      </c>
      <c r="C792" t="s">
        <v>20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 t="shared" si="96"/>
        <v>26</v>
      </c>
      <c r="J792" s="3">
        <f t="shared" si="97"/>
        <v>22</v>
      </c>
      <c r="K792" s="3">
        <f t="shared" si="98"/>
        <v>4</v>
      </c>
      <c r="L792" s="3" t="str">
        <f t="shared" si="95"/>
        <v>BOM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37</v>
      </c>
      <c r="C793" t="s">
        <v>16</v>
      </c>
      <c r="D793">
        <v>21</v>
      </c>
      <c r="E793">
        <v>21</v>
      </c>
      <c r="F793">
        <v>20.28</v>
      </c>
      <c r="I793" s="3">
        <f t="shared" si="96"/>
        <v>21</v>
      </c>
      <c r="J793" s="3">
        <f t="shared" si="97"/>
        <v>10</v>
      </c>
      <c r="K793" s="3">
        <f t="shared" si="98"/>
        <v>11</v>
      </c>
      <c r="L793" s="3" t="str">
        <f t="shared" si="95"/>
        <v>EXCELENTE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38</v>
      </c>
      <c r="C794" t="s">
        <v>18</v>
      </c>
      <c r="D794">
        <v>30</v>
      </c>
      <c r="E794">
        <v>27</v>
      </c>
      <c r="F794">
        <v>12.25</v>
      </c>
      <c r="I794" s="3">
        <f t="shared" si="96"/>
        <v>27</v>
      </c>
      <c r="J794" s="3">
        <f t="shared" si="97"/>
        <v>12</v>
      </c>
      <c r="K794" s="3">
        <f t="shared" si="98"/>
        <v>15</v>
      </c>
      <c r="L794" s="3" t="str">
        <f t="shared" si="95"/>
        <v>EXCELENTE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39</v>
      </c>
      <c r="C795" t="s">
        <v>18</v>
      </c>
      <c r="D795">
        <v>14</v>
      </c>
      <c r="E795">
        <v>9</v>
      </c>
      <c r="F795">
        <v>8.59</v>
      </c>
      <c r="I795" s="3">
        <f t="shared" si="96"/>
        <v>9</v>
      </c>
      <c r="J795" s="3">
        <f t="shared" si="97"/>
        <v>12</v>
      </c>
      <c r="K795" s="3">
        <f t="shared" si="98"/>
        <v>-3</v>
      </c>
      <c r="L795" s="3" t="str">
        <f t="shared" si="95"/>
        <v>ATENÇÃO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40</v>
      </c>
      <c r="C796" t="s">
        <v>16</v>
      </c>
      <c r="D796">
        <v>28</v>
      </c>
      <c r="E796">
        <v>24</v>
      </c>
      <c r="F796">
        <v>10.210000000000001</v>
      </c>
      <c r="I796" s="3">
        <f t="shared" si="96"/>
        <v>24</v>
      </c>
      <c r="J796" s="3">
        <f t="shared" si="97"/>
        <v>10</v>
      </c>
      <c r="K796" s="3">
        <f t="shared" si="98"/>
        <v>14</v>
      </c>
      <c r="L796" s="3" t="str">
        <f t="shared" si="95"/>
        <v>EXCELENTE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41</v>
      </c>
      <c r="C797" t="s">
        <v>18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 t="shared" si="95"/>
        <v>BOM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42</v>
      </c>
      <c r="C798" t="s">
        <v>43</v>
      </c>
      <c r="D798">
        <v>7</v>
      </c>
      <c r="E798">
        <v>7</v>
      </c>
      <c r="F798">
        <v>29.05</v>
      </c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7</v>
      </c>
      <c r="K798" s="3">
        <f>I798-J798</f>
        <v>0</v>
      </c>
      <c r="L798" s="3" t="str">
        <f t="shared" si="95"/>
        <v>BOM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44</v>
      </c>
      <c r="C799" t="s">
        <v>18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95"/>
        <v>BOM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45</v>
      </c>
      <c r="C800" t="s">
        <v>43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95"/>
        <v>BOM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46</v>
      </c>
      <c r="C801" t="s">
        <v>18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 t="shared" si="95"/>
        <v>BOM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47</v>
      </c>
      <c r="C802" t="s">
        <v>16</v>
      </c>
      <c r="D802">
        <v>18</v>
      </c>
      <c r="E802">
        <v>17</v>
      </c>
      <c r="F802">
        <v>20.36</v>
      </c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10</v>
      </c>
      <c r="K802" s="3">
        <f>I802-J802</f>
        <v>7</v>
      </c>
      <c r="L802" s="3" t="str">
        <f t="shared" si="95"/>
        <v>EXCELENTE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48</v>
      </c>
      <c r="C803" t="s">
        <v>16</v>
      </c>
      <c r="D803">
        <v>0</v>
      </c>
      <c r="E803">
        <v>0</v>
      </c>
      <c r="F803">
        <v>0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 t="shared" si="95"/>
        <v>BOM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49</v>
      </c>
      <c r="C804" t="s">
        <v>18</v>
      </c>
      <c r="D804">
        <v>32</v>
      </c>
      <c r="E804">
        <v>21</v>
      </c>
      <c r="F804">
        <v>15.38</v>
      </c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12</v>
      </c>
      <c r="K804" s="3">
        <f>I804-J804</f>
        <v>9</v>
      </c>
      <c r="L804" s="3" t="str">
        <f t="shared" si="95"/>
        <v>EXCELENTE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50</v>
      </c>
      <c r="C805" t="s">
        <v>20</v>
      </c>
      <c r="D805">
        <v>22</v>
      </c>
      <c r="E805">
        <v>20</v>
      </c>
      <c r="F805">
        <v>17.170000000000002</v>
      </c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8</v>
      </c>
      <c r="K805" s="3">
        <f>I805-J805</f>
        <v>12</v>
      </c>
      <c r="L805" s="3" t="str">
        <f t="shared" si="95"/>
        <v>EXCELENTE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51</v>
      </c>
      <c r="C806" t="s">
        <v>23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95"/>
        <v>BOM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52</v>
      </c>
      <c r="C807" t="s">
        <v>18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95"/>
        <v>BOM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53</v>
      </c>
      <c r="C808" t="s">
        <v>18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95"/>
        <v>BOM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54</v>
      </c>
      <c r="C809" t="s">
        <v>23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95"/>
        <v>BOM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55</v>
      </c>
      <c r="C810" t="s">
        <v>43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95"/>
        <v>BOM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56</v>
      </c>
      <c r="C811" t="s">
        <v>16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95"/>
        <v>BOM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57</v>
      </c>
      <c r="C812" t="s">
        <v>43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95"/>
        <v>BOM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58</v>
      </c>
      <c r="C813" t="s">
        <v>43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95"/>
        <v>BOM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59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95"/>
        <v>BOM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60</v>
      </c>
      <c r="C815" t="s">
        <v>20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95"/>
        <v>BOM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61</v>
      </c>
      <c r="C816" t="s">
        <v>18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95"/>
        <v>BOM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62</v>
      </c>
      <c r="C817" t="s">
        <v>20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 t="shared" si="95"/>
        <v>BOM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63</v>
      </c>
      <c r="C818" t="s">
        <v>18</v>
      </c>
      <c r="D818">
        <v>25</v>
      </c>
      <c r="E818">
        <v>24</v>
      </c>
      <c r="F818">
        <v>10.49</v>
      </c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12</v>
      </c>
      <c r="K818" s="3">
        <f>I818-J818</f>
        <v>12</v>
      </c>
      <c r="L818" s="3" t="str">
        <f t="shared" si="95"/>
        <v>EXCELENTE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15</v>
      </c>
      <c r="C819" t="s">
        <v>16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19</v>
      </c>
      <c r="K819" s="3">
        <f>I819-J819</f>
        <v>6</v>
      </c>
      <c r="L819" s="3" t="str">
        <f t="shared" si="95"/>
        <v>EXCELENTE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17</v>
      </c>
      <c r="C820" t="s">
        <v>18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 t="shared" si="95"/>
        <v>BOM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19</v>
      </c>
      <c r="C821" t="s">
        <v>20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15</v>
      </c>
      <c r="K821" s="3">
        <f>I821-J821</f>
        <v>17</v>
      </c>
      <c r="L821" s="3" t="str">
        <f t="shared" si="95"/>
        <v>EXCELENTE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21</v>
      </c>
      <c r="C822" t="s">
        <v>18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23</v>
      </c>
      <c r="K822" s="3">
        <f>I822-J822</f>
        <v>9</v>
      </c>
      <c r="L822" s="3" t="str">
        <f t="shared" si="95"/>
        <v>EXCELENTE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22</v>
      </c>
      <c r="C823" t="s">
        <v>23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 t="shared" si="95"/>
        <v>BOM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24</v>
      </c>
      <c r="C824" t="s">
        <v>16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19</v>
      </c>
      <c r="K824" s="3">
        <f>I824-J824</f>
        <v>7</v>
      </c>
      <c r="L824" s="3" t="str">
        <f t="shared" si="95"/>
        <v>EXCELENTE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25</v>
      </c>
      <c r="C825" t="s">
        <v>16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19</v>
      </c>
      <c r="K825" s="3">
        <f>I825-J825</f>
        <v>12</v>
      </c>
      <c r="L825" s="3" t="str">
        <f t="shared" si="95"/>
        <v>EXCELENTE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26</v>
      </c>
      <c r="C826" t="s">
        <v>23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 t="shared" si="95"/>
        <v>BOM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27</v>
      </c>
      <c r="C827" t="s">
        <v>20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15</v>
      </c>
      <c r="K827" s="3">
        <f>I827-J827</f>
        <v>5</v>
      </c>
      <c r="L827" s="3" t="str">
        <f t="shared" si="95"/>
        <v>BOM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28</v>
      </c>
      <c r="C828" t="s">
        <v>18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23</v>
      </c>
      <c r="K828" s="3">
        <f>I828-J828</f>
        <v>17</v>
      </c>
      <c r="L828" s="3" t="str">
        <f t="shared" si="95"/>
        <v>EXCELENTE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29</v>
      </c>
      <c r="C829" t="s">
        <v>16</v>
      </c>
      <c r="D829">
        <v>0</v>
      </c>
      <c r="E829">
        <v>0</v>
      </c>
      <c r="F829">
        <v>0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 t="shared" si="95"/>
        <v>BOM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30</v>
      </c>
      <c r="C830" t="s">
        <v>20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15</v>
      </c>
      <c r="K830" s="3">
        <f>I830-J830</f>
        <v>7</v>
      </c>
      <c r="L830" s="3" t="str">
        <f t="shared" si="95"/>
        <v>EXCELENTE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31</v>
      </c>
      <c r="C831" t="s">
        <v>18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95"/>
        <v>BOM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32</v>
      </c>
      <c r="C832" t="s">
        <v>23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 t="shared" si="95"/>
        <v>BOM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33</v>
      </c>
      <c r="C833" t="s">
        <v>16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 t="shared" ref="I833:I840" si="99">E833+G833+H833</f>
        <v>38</v>
      </c>
      <c r="J833" s="3">
        <f t="shared" ref="J833:J840" si="100"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19</v>
      </c>
      <c r="K833" s="3">
        <f t="shared" ref="K833:K840" si="101">I833-J833</f>
        <v>19</v>
      </c>
      <c r="L833" s="3" t="str">
        <f t="shared" si="95"/>
        <v>EXCELENTE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34</v>
      </c>
      <c r="C834" t="s">
        <v>18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 t="shared" si="99"/>
        <v>29</v>
      </c>
      <c r="J834" s="3">
        <f t="shared" si="100"/>
        <v>23</v>
      </c>
      <c r="K834" s="3">
        <f t="shared" si="101"/>
        <v>6</v>
      </c>
      <c r="L834" s="3" t="str">
        <f t="shared" si="95"/>
        <v>EXCELENTE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35</v>
      </c>
      <c r="C835" t="s">
        <v>16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 t="shared" si="99"/>
        <v>27</v>
      </c>
      <c r="J835" s="3">
        <f t="shared" si="100"/>
        <v>19</v>
      </c>
      <c r="K835" s="3">
        <f t="shared" si="101"/>
        <v>8</v>
      </c>
      <c r="L835" s="3" t="str">
        <f t="shared" si="95"/>
        <v>EXCELENTE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36</v>
      </c>
      <c r="C836" t="s">
        <v>20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 t="shared" si="99"/>
        <v>16</v>
      </c>
      <c r="J836" s="3">
        <f t="shared" si="100"/>
        <v>20</v>
      </c>
      <c r="K836" s="3">
        <f t="shared" si="101"/>
        <v>-4</v>
      </c>
      <c r="L836" s="3" t="str">
        <f t="shared" si="95"/>
        <v>ATENÇÃO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37</v>
      </c>
      <c r="C837" t="s">
        <v>16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 t="shared" si="99"/>
        <v>24</v>
      </c>
      <c r="J837" s="3">
        <f t="shared" si="100"/>
        <v>19</v>
      </c>
      <c r="K837" s="3">
        <f t="shared" si="101"/>
        <v>5</v>
      </c>
      <c r="L837" s="3" t="str">
        <f t="shared" si="95"/>
        <v>BOM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38</v>
      </c>
      <c r="C838" t="s">
        <v>18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 t="shared" si="99"/>
        <v>44</v>
      </c>
      <c r="J838" s="3">
        <f t="shared" si="100"/>
        <v>23</v>
      </c>
      <c r="K838" s="3">
        <f t="shared" si="101"/>
        <v>21</v>
      </c>
      <c r="L838" s="3" t="str">
        <f t="shared" si="95"/>
        <v>EXCELENTE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39</v>
      </c>
      <c r="C839" t="s">
        <v>18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 t="shared" si="99"/>
        <v>12</v>
      </c>
      <c r="J839" s="3">
        <f t="shared" si="100"/>
        <v>23</v>
      </c>
      <c r="K839" s="3">
        <f t="shared" si="101"/>
        <v>-11</v>
      </c>
      <c r="L839" s="3" t="str">
        <f t="shared" ref="L839:L902" si="102">IF(K839&lt;-5,"CRÍTICO",IF(K839&lt;0,"ATENÇÃO",IF(K839&lt;=5,"BOM","EXCELENTE")))</f>
        <v>CRÍTICO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40</v>
      </c>
      <c r="C840" t="s">
        <v>16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 t="shared" si="99"/>
        <v>30</v>
      </c>
      <c r="J840" s="3">
        <f t="shared" si="100"/>
        <v>19</v>
      </c>
      <c r="K840" s="3">
        <f t="shared" si="101"/>
        <v>11</v>
      </c>
      <c r="L840" s="3" t="str">
        <f t="shared" si="102"/>
        <v>EXCELENTE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41</v>
      </c>
      <c r="C841" t="s">
        <v>18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 t="shared" si="102"/>
        <v>BOM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42</v>
      </c>
      <c r="C842" t="s">
        <v>43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13</v>
      </c>
      <c r="K842" s="3">
        <f>I842-J842</f>
        <v>-7</v>
      </c>
      <c r="L842" s="3" t="str">
        <f t="shared" si="102"/>
        <v>CRÍTICO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44</v>
      </c>
      <c r="C843" t="s">
        <v>18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02"/>
        <v>BOM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45</v>
      </c>
      <c r="C844" t="s">
        <v>43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 t="shared" si="102"/>
        <v>BOM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46</v>
      </c>
      <c r="C845" t="s">
        <v>18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23</v>
      </c>
      <c r="K845" s="3">
        <f>I845-J845</f>
        <v>6</v>
      </c>
      <c r="L845" s="3" t="str">
        <f t="shared" si="102"/>
        <v>EXCELENTE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47</v>
      </c>
      <c r="C846" t="s">
        <v>16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19</v>
      </c>
      <c r="K846" s="3">
        <f>I846-J846</f>
        <v>9</v>
      </c>
      <c r="L846" s="3" t="str">
        <f t="shared" si="102"/>
        <v>EXCELENTE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48</v>
      </c>
      <c r="C847" t="s">
        <v>16</v>
      </c>
      <c r="D847">
        <v>0</v>
      </c>
      <c r="E847">
        <v>0</v>
      </c>
      <c r="F847">
        <v>0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 t="shared" si="102"/>
        <v>BOM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49</v>
      </c>
      <c r="C848" t="s">
        <v>18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23</v>
      </c>
      <c r="K848" s="3">
        <f>I848-J848</f>
        <v>17</v>
      </c>
      <c r="L848" s="3" t="str">
        <f t="shared" si="102"/>
        <v>EXCELENTE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50</v>
      </c>
      <c r="C849" t="s">
        <v>20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15</v>
      </c>
      <c r="K849" s="3">
        <f>I849-J849</f>
        <v>13</v>
      </c>
      <c r="L849" s="3" t="str">
        <f t="shared" si="102"/>
        <v>EXCELENTE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51</v>
      </c>
      <c r="C850" t="s">
        <v>23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 t="shared" si="102"/>
        <v>BOM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52</v>
      </c>
      <c r="C851" t="s">
        <v>18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 t="shared" si="102"/>
        <v>BOM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53</v>
      </c>
      <c r="C852" t="s">
        <v>18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23</v>
      </c>
      <c r="K852" s="3">
        <f>I852-J852</f>
        <v>9</v>
      </c>
      <c r="L852" s="3" t="str">
        <f t="shared" si="102"/>
        <v>EXCELENTE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54</v>
      </c>
      <c r="C853" t="s">
        <v>23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02"/>
        <v>BOM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55</v>
      </c>
      <c r="C854" t="s">
        <v>43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02"/>
        <v>BOM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56</v>
      </c>
      <c r="C855" t="s">
        <v>16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02"/>
        <v>BOM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57</v>
      </c>
      <c r="C856" t="s">
        <v>43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02"/>
        <v>BOM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58</v>
      </c>
      <c r="C857" t="s">
        <v>43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02"/>
        <v>BOM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59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02"/>
        <v>BOM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60</v>
      </c>
      <c r="C859" t="s">
        <v>20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02"/>
        <v>BOM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61</v>
      </c>
      <c r="C860" t="s">
        <v>18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 t="shared" si="102"/>
        <v>BOM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62</v>
      </c>
      <c r="C861" t="s">
        <v>20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15</v>
      </c>
      <c r="K861" s="3">
        <f>I861-J861</f>
        <v>4</v>
      </c>
      <c r="L861" s="3" t="str">
        <f t="shared" si="102"/>
        <v>BOM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63</v>
      </c>
      <c r="C862" t="s">
        <v>18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23</v>
      </c>
      <c r="K862" s="3">
        <f>I862-J862</f>
        <v>5</v>
      </c>
      <c r="L862" s="3" t="str">
        <f t="shared" si="102"/>
        <v>BOM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15</v>
      </c>
      <c r="C863" t="s">
        <v>16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19</v>
      </c>
      <c r="K863" s="3">
        <f>I863-J863</f>
        <v>6</v>
      </c>
      <c r="L863" s="3" t="str">
        <f t="shared" si="102"/>
        <v>EXCELENTE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17</v>
      </c>
      <c r="C864" t="s">
        <v>18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 t="shared" si="102"/>
        <v>BOM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19</v>
      </c>
      <c r="C865" t="s">
        <v>20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15</v>
      </c>
      <c r="K865" s="3">
        <f>I865-J865</f>
        <v>15</v>
      </c>
      <c r="L865" s="3" t="str">
        <f t="shared" si="102"/>
        <v>EXCELENTE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21</v>
      </c>
      <c r="C866" t="s">
        <v>18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23</v>
      </c>
      <c r="K866" s="3">
        <f>I866-J866</f>
        <v>13</v>
      </c>
      <c r="L866" s="3" t="str">
        <f t="shared" si="102"/>
        <v>EXCELENTE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22</v>
      </c>
      <c r="C867" t="s">
        <v>23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 t="shared" si="102"/>
        <v>BOM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24</v>
      </c>
      <c r="C868" t="s">
        <v>16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19</v>
      </c>
      <c r="K868" s="3">
        <f>I868-J868</f>
        <v>6</v>
      </c>
      <c r="L868" s="3" t="str">
        <f t="shared" si="102"/>
        <v>EXCELENTE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25</v>
      </c>
      <c r="C869" t="s">
        <v>16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19</v>
      </c>
      <c r="K869" s="3">
        <f>I869-J869</f>
        <v>-13</v>
      </c>
      <c r="L869" s="3" t="str">
        <f t="shared" si="102"/>
        <v>CRÍTICO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26</v>
      </c>
      <c r="C870" t="s">
        <v>23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 t="shared" si="102"/>
        <v>BOM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27</v>
      </c>
      <c r="C871" t="s">
        <v>20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15</v>
      </c>
      <c r="K871" s="3">
        <f>I871-J871</f>
        <v>6</v>
      </c>
      <c r="L871" s="3" t="str">
        <f t="shared" si="102"/>
        <v>EXCELENTE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28</v>
      </c>
      <c r="C872" t="s">
        <v>18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23</v>
      </c>
      <c r="K872" s="3">
        <f>I872-J872</f>
        <v>18</v>
      </c>
      <c r="L872" s="3" t="str">
        <f t="shared" si="102"/>
        <v>EXCELENTE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29</v>
      </c>
      <c r="C873" t="s">
        <v>16</v>
      </c>
      <c r="D873">
        <v>0</v>
      </c>
      <c r="E873">
        <v>0</v>
      </c>
      <c r="F873">
        <v>0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 t="shared" si="102"/>
        <v>BOM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30</v>
      </c>
      <c r="C874" t="s">
        <v>20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15</v>
      </c>
      <c r="K874" s="3">
        <f>I874-J874</f>
        <v>8</v>
      </c>
      <c r="L874" s="3" t="str">
        <f t="shared" si="102"/>
        <v>EXCELENTE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31</v>
      </c>
      <c r="C875" t="s">
        <v>18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02"/>
        <v>BOM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32</v>
      </c>
      <c r="C876" t="s">
        <v>23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 t="shared" si="102"/>
        <v>BOM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33</v>
      </c>
      <c r="C877" t="s">
        <v>16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 t="shared" ref="I877:I884" si="103">E877+G877+H877</f>
        <v>27</v>
      </c>
      <c r="J877" s="3">
        <f t="shared" ref="J877:J884" si="104"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19</v>
      </c>
      <c r="K877" s="3">
        <f t="shared" ref="K877:K884" si="105">I877-J877</f>
        <v>8</v>
      </c>
      <c r="L877" s="3" t="str">
        <f t="shared" si="102"/>
        <v>EXCELENTE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34</v>
      </c>
      <c r="C878" t="s">
        <v>18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 t="shared" si="103"/>
        <v>17</v>
      </c>
      <c r="J878" s="3">
        <f t="shared" si="104"/>
        <v>23</v>
      </c>
      <c r="K878" s="3">
        <f t="shared" si="105"/>
        <v>-6</v>
      </c>
      <c r="L878" s="3" t="str">
        <f t="shared" si="102"/>
        <v>CRÍTICO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35</v>
      </c>
      <c r="C879" t="s">
        <v>16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 t="shared" si="103"/>
        <v>45</v>
      </c>
      <c r="J879" s="3">
        <f t="shared" si="104"/>
        <v>19</v>
      </c>
      <c r="K879" s="3">
        <f t="shared" si="105"/>
        <v>26</v>
      </c>
      <c r="L879" s="3" t="str">
        <f t="shared" si="102"/>
        <v>EXCELENTE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36</v>
      </c>
      <c r="C880" t="s">
        <v>20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 t="shared" si="103"/>
        <v>13</v>
      </c>
      <c r="J880" s="3">
        <f t="shared" si="104"/>
        <v>17</v>
      </c>
      <c r="K880" s="3">
        <f t="shared" si="105"/>
        <v>-4</v>
      </c>
      <c r="L880" s="3" t="str">
        <f t="shared" si="102"/>
        <v>ATENÇÃO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37</v>
      </c>
      <c r="C881" t="s">
        <v>16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 t="shared" si="103"/>
        <v>21</v>
      </c>
      <c r="J881" s="3">
        <f t="shared" si="104"/>
        <v>19</v>
      </c>
      <c r="K881" s="3">
        <f t="shared" si="105"/>
        <v>2</v>
      </c>
      <c r="L881" s="3" t="str">
        <f t="shared" si="102"/>
        <v>BOM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38</v>
      </c>
      <c r="C882" t="s">
        <v>18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 t="shared" si="103"/>
        <v>46</v>
      </c>
      <c r="J882" s="3">
        <f t="shared" si="104"/>
        <v>23</v>
      </c>
      <c r="K882" s="3">
        <f t="shared" si="105"/>
        <v>23</v>
      </c>
      <c r="L882" s="3" t="str">
        <f t="shared" si="102"/>
        <v>EXCELENTE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39</v>
      </c>
      <c r="C883" t="s">
        <v>18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 t="shared" si="103"/>
        <v>41</v>
      </c>
      <c r="J883" s="3">
        <f t="shared" si="104"/>
        <v>23</v>
      </c>
      <c r="K883" s="3">
        <f t="shared" si="105"/>
        <v>18</v>
      </c>
      <c r="L883" s="3" t="str">
        <f t="shared" si="102"/>
        <v>EXCELENTE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40</v>
      </c>
      <c r="C884" t="s">
        <v>16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 t="shared" si="103"/>
        <v>30</v>
      </c>
      <c r="J884" s="3">
        <f t="shared" si="104"/>
        <v>19</v>
      </c>
      <c r="K884" s="3">
        <f t="shared" si="105"/>
        <v>11</v>
      </c>
      <c r="L884" s="3" t="str">
        <f t="shared" si="102"/>
        <v>EXCELENTE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41</v>
      </c>
      <c r="C885" t="s">
        <v>18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 t="shared" si="102"/>
        <v>BOM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42</v>
      </c>
      <c r="C886" t="s">
        <v>43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13</v>
      </c>
      <c r="K886" s="3">
        <f>I886-J886</f>
        <v>-10</v>
      </c>
      <c r="L886" s="3" t="str">
        <f t="shared" si="102"/>
        <v>CRÍTICO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44</v>
      </c>
      <c r="C887" t="s">
        <v>18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02"/>
        <v>BOM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45</v>
      </c>
      <c r="C888" t="s">
        <v>43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 t="shared" si="102"/>
        <v>BOM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46</v>
      </c>
      <c r="C889" t="s">
        <v>18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23</v>
      </c>
      <c r="K889" s="3">
        <f>I889-J889</f>
        <v>18</v>
      </c>
      <c r="L889" s="3" t="str">
        <f t="shared" si="102"/>
        <v>EXCELENTE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47</v>
      </c>
      <c r="C890" t="s">
        <v>16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19</v>
      </c>
      <c r="K890" s="3">
        <f>I890-J890</f>
        <v>10</v>
      </c>
      <c r="L890" s="3" t="str">
        <f t="shared" si="102"/>
        <v>EXCELENTE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48</v>
      </c>
      <c r="C891" t="s">
        <v>16</v>
      </c>
      <c r="D891">
        <v>0</v>
      </c>
      <c r="E891">
        <v>0</v>
      </c>
      <c r="F891">
        <v>0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 t="shared" si="102"/>
        <v>BOM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49</v>
      </c>
      <c r="C892" t="s">
        <v>18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23</v>
      </c>
      <c r="K892" s="3">
        <f>I892-J892</f>
        <v>-7</v>
      </c>
      <c r="L892" s="3" t="str">
        <f t="shared" si="102"/>
        <v>CRÍTICO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50</v>
      </c>
      <c r="C893" t="s">
        <v>20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15</v>
      </c>
      <c r="K893" s="3">
        <f>I893-J893</f>
        <v>6</v>
      </c>
      <c r="L893" s="3" t="str">
        <f t="shared" si="102"/>
        <v>EXCELENTE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51</v>
      </c>
      <c r="C894" t="s">
        <v>23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 t="shared" si="102"/>
        <v>BOM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52</v>
      </c>
      <c r="C895" t="s">
        <v>18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 t="shared" si="102"/>
        <v>BOM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53</v>
      </c>
      <c r="C896" t="s">
        <v>18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23</v>
      </c>
      <c r="K896" s="3">
        <f>I896-J896</f>
        <v>19</v>
      </c>
      <c r="L896" s="3" t="str">
        <f t="shared" si="102"/>
        <v>EXCELENTE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54</v>
      </c>
      <c r="C897" t="s">
        <v>23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02"/>
        <v>BOM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55</v>
      </c>
      <c r="C898" t="s">
        <v>43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02"/>
        <v>BOM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56</v>
      </c>
      <c r="C899" t="s">
        <v>16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02"/>
        <v>BOM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57</v>
      </c>
      <c r="C900" t="s">
        <v>43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02"/>
        <v>BOM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58</v>
      </c>
      <c r="C901" t="s">
        <v>43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02"/>
        <v>BOM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59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si="102"/>
        <v>BOM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60</v>
      </c>
      <c r="C903" t="s">
        <v>20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ref="L903:L966" si="106">IF(K903&lt;-5,"CRÍTICO",IF(K903&lt;0,"ATENÇÃO",IF(K903&lt;=5,"BOM","EXCELENTE")))</f>
        <v>BOM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61</v>
      </c>
      <c r="C904" t="s">
        <v>18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 t="shared" si="106"/>
        <v>BOM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62</v>
      </c>
      <c r="C905" t="s">
        <v>20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15</v>
      </c>
      <c r="K905" s="3">
        <f>I905-J905</f>
        <v>-4</v>
      </c>
      <c r="L905" s="3" t="str">
        <f t="shared" si="106"/>
        <v>ATENÇÃO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63</v>
      </c>
      <c r="C906" t="s">
        <v>18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23</v>
      </c>
      <c r="K906" s="3">
        <f>I906-J906</f>
        <v>4</v>
      </c>
      <c r="L906" s="3" t="str">
        <f t="shared" si="106"/>
        <v>BOM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15</v>
      </c>
      <c r="C907" t="s">
        <v>16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19</v>
      </c>
      <c r="K907" s="3">
        <f>I907-J907</f>
        <v>4</v>
      </c>
      <c r="L907" s="3" t="str">
        <f t="shared" si="106"/>
        <v>BOM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17</v>
      </c>
      <c r="C908" t="s">
        <v>18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 t="shared" si="106"/>
        <v>BOM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19</v>
      </c>
      <c r="C909" t="s">
        <v>20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16</v>
      </c>
      <c r="K909" s="3">
        <f>I909-J909</f>
        <v>9</v>
      </c>
      <c r="L909" s="3" t="str">
        <f t="shared" si="106"/>
        <v>EXCELENTE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21</v>
      </c>
      <c r="C910" t="s">
        <v>18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24</v>
      </c>
      <c r="K910" s="3">
        <f>I910-J910</f>
        <v>6</v>
      </c>
      <c r="L910" s="3" t="str">
        <f t="shared" si="106"/>
        <v>EXCELENTE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22</v>
      </c>
      <c r="C911" t="s">
        <v>23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7</v>
      </c>
      <c r="K911" s="3">
        <f>I911-J911</f>
        <v>7</v>
      </c>
      <c r="L911" s="3" t="str">
        <f t="shared" si="106"/>
        <v>EXCELENTE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24</v>
      </c>
      <c r="C912" t="s">
        <v>16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19</v>
      </c>
      <c r="K912" s="3">
        <f>I912-J912</f>
        <v>9</v>
      </c>
      <c r="L912" s="3" t="str">
        <f t="shared" si="106"/>
        <v>EXCELENTE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25</v>
      </c>
      <c r="C913" t="s">
        <v>16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19</v>
      </c>
      <c r="K913" s="3">
        <f>I913-J913</f>
        <v>4</v>
      </c>
      <c r="L913" s="3" t="str">
        <f t="shared" si="106"/>
        <v>BOM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26</v>
      </c>
      <c r="C914" t="s">
        <v>23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 t="shared" si="106"/>
        <v>BOM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27</v>
      </c>
      <c r="C915" t="s">
        <v>20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16</v>
      </c>
      <c r="K915" s="3">
        <f>I915-J915</f>
        <v>1</v>
      </c>
      <c r="L915" s="3" t="str">
        <f t="shared" si="106"/>
        <v>BOM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28</v>
      </c>
      <c r="C916" t="s">
        <v>18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24</v>
      </c>
      <c r="K916" s="3">
        <f>I916-J916</f>
        <v>21</v>
      </c>
      <c r="L916" s="3" t="str">
        <f t="shared" si="106"/>
        <v>EXCELENTE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29</v>
      </c>
      <c r="C917" t="s">
        <v>16</v>
      </c>
      <c r="D917">
        <v>0</v>
      </c>
      <c r="E917">
        <v>0</v>
      </c>
      <c r="F917">
        <v>0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 t="shared" si="106"/>
        <v>BOM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30</v>
      </c>
      <c r="C918" t="s">
        <v>20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16</v>
      </c>
      <c r="K918" s="3">
        <f>I918-J918</f>
        <v>11</v>
      </c>
      <c r="L918" s="3" t="str">
        <f t="shared" si="106"/>
        <v>EXCELENTE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31</v>
      </c>
      <c r="C919" t="s">
        <v>18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06"/>
        <v>BOM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32</v>
      </c>
      <c r="C920" t="s">
        <v>23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 t="shared" si="106"/>
        <v>BOM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33</v>
      </c>
      <c r="C921" t="s">
        <v>16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 t="shared" ref="I921:I928" si="107">E921+G921+H921</f>
        <v>33</v>
      </c>
      <c r="J921" s="3">
        <f t="shared" ref="J921:J928" si="108"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19</v>
      </c>
      <c r="K921" s="3">
        <f t="shared" ref="K921:K928" si="109">I921-J921</f>
        <v>14</v>
      </c>
      <c r="L921" s="3" t="str">
        <f t="shared" si="106"/>
        <v>EXCELENTE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34</v>
      </c>
      <c r="C922" t="s">
        <v>18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 t="shared" si="107"/>
        <v>31</v>
      </c>
      <c r="J922" s="3">
        <f t="shared" si="108"/>
        <v>24</v>
      </c>
      <c r="K922" s="3">
        <f t="shared" si="109"/>
        <v>7</v>
      </c>
      <c r="L922" s="3" t="str">
        <f t="shared" si="106"/>
        <v>EXCELENTE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35</v>
      </c>
      <c r="C923" t="s">
        <v>16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 t="shared" si="107"/>
        <v>31</v>
      </c>
      <c r="J923" s="3">
        <f t="shared" si="108"/>
        <v>19</v>
      </c>
      <c r="K923" s="3">
        <f t="shared" si="109"/>
        <v>12</v>
      </c>
      <c r="L923" s="3" t="str">
        <f t="shared" si="106"/>
        <v>EXCELENTE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36</v>
      </c>
      <c r="C924" t="s">
        <v>20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 t="shared" si="107"/>
        <v>6</v>
      </c>
      <c r="J924" s="3">
        <f t="shared" si="108"/>
        <v>19</v>
      </c>
      <c r="K924" s="3">
        <f t="shared" si="109"/>
        <v>-13</v>
      </c>
      <c r="L924" s="3" t="str">
        <f t="shared" si="106"/>
        <v>CRÍTICO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37</v>
      </c>
      <c r="C925" t="s">
        <v>16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 t="shared" si="107"/>
        <v>25</v>
      </c>
      <c r="J925" s="3">
        <f t="shared" si="108"/>
        <v>19</v>
      </c>
      <c r="K925" s="3">
        <f t="shared" si="109"/>
        <v>6</v>
      </c>
      <c r="L925" s="3" t="str">
        <f t="shared" si="106"/>
        <v>EXCELENTE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38</v>
      </c>
      <c r="C926" t="s">
        <v>18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 t="shared" si="107"/>
        <v>53</v>
      </c>
      <c r="J926" s="3">
        <f t="shared" si="108"/>
        <v>24</v>
      </c>
      <c r="K926" s="3">
        <f t="shared" si="109"/>
        <v>29</v>
      </c>
      <c r="L926" s="3" t="str">
        <f t="shared" si="106"/>
        <v>EXCELENTE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39</v>
      </c>
      <c r="C927" t="s">
        <v>18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 t="shared" si="107"/>
        <v>27</v>
      </c>
      <c r="J927" s="3">
        <f t="shared" si="108"/>
        <v>24</v>
      </c>
      <c r="K927" s="3">
        <f t="shared" si="109"/>
        <v>3</v>
      </c>
      <c r="L927" s="3" t="str">
        <f t="shared" si="106"/>
        <v>BOM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40</v>
      </c>
      <c r="C928" t="s">
        <v>16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 t="shared" si="107"/>
        <v>27</v>
      </c>
      <c r="J928" s="3">
        <f t="shared" si="108"/>
        <v>19</v>
      </c>
      <c r="K928" s="3">
        <f t="shared" si="109"/>
        <v>8</v>
      </c>
      <c r="L928" s="3" t="str">
        <f t="shared" si="106"/>
        <v>EXCELENTE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41</v>
      </c>
      <c r="C929" t="s">
        <v>18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 t="shared" si="106"/>
        <v>BOM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42</v>
      </c>
      <c r="C930" t="s">
        <v>43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14</v>
      </c>
      <c r="K930" s="3">
        <f>I930-J930</f>
        <v>-6</v>
      </c>
      <c r="L930" s="3" t="str">
        <f t="shared" si="106"/>
        <v>CRÍTICO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44</v>
      </c>
      <c r="C931" t="s">
        <v>18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24</v>
      </c>
      <c r="K931" s="3">
        <f>I931-J931</f>
        <v>-9</v>
      </c>
      <c r="L931" s="3" t="str">
        <f t="shared" si="106"/>
        <v>CRÍTICO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45</v>
      </c>
      <c r="C932" t="s">
        <v>43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 t="shared" si="106"/>
        <v>BOM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46</v>
      </c>
      <c r="C933" t="s">
        <v>18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24</v>
      </c>
      <c r="K933" s="3">
        <f>I933-J933</f>
        <v>6</v>
      </c>
      <c r="L933" s="3" t="str">
        <f t="shared" si="106"/>
        <v>EXCELENTE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47</v>
      </c>
      <c r="C934" t="s">
        <v>16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19</v>
      </c>
      <c r="K934" s="3">
        <f>I934-J934</f>
        <v>7</v>
      </c>
      <c r="L934" s="3" t="str">
        <f t="shared" si="106"/>
        <v>EXCELENTE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48</v>
      </c>
      <c r="C935" t="s">
        <v>16</v>
      </c>
      <c r="D935">
        <v>0</v>
      </c>
      <c r="E935">
        <v>0</v>
      </c>
      <c r="F935">
        <v>0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 t="shared" si="106"/>
        <v>BOM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49</v>
      </c>
      <c r="C936" t="s">
        <v>18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24</v>
      </c>
      <c r="K936" s="3">
        <f>I936-J936</f>
        <v>19</v>
      </c>
      <c r="L936" s="3" t="str">
        <f t="shared" si="106"/>
        <v>EXCELENTE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50</v>
      </c>
      <c r="C937" t="s">
        <v>20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16</v>
      </c>
      <c r="K937" s="3">
        <f>I937-J937</f>
        <v>10</v>
      </c>
      <c r="L937" s="3" t="str">
        <f t="shared" si="106"/>
        <v>EXCELENTE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51</v>
      </c>
      <c r="C938" t="s">
        <v>23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7</v>
      </c>
      <c r="K938" s="3">
        <f>I938-J938</f>
        <v>10</v>
      </c>
      <c r="L938" s="3" t="str">
        <f t="shared" si="106"/>
        <v>EXCELENTE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52</v>
      </c>
      <c r="C939" t="s">
        <v>18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 t="shared" si="106"/>
        <v>BOM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53</v>
      </c>
      <c r="C940" t="s">
        <v>18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24</v>
      </c>
      <c r="K940" s="3">
        <f>I940-J940</f>
        <v>6</v>
      </c>
      <c r="L940" s="3" t="str">
        <f t="shared" si="106"/>
        <v>EXCELENTE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54</v>
      </c>
      <c r="C941" t="s">
        <v>23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06"/>
        <v>BOM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55</v>
      </c>
      <c r="C942" t="s">
        <v>43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06"/>
        <v>BOM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56</v>
      </c>
      <c r="C943" t="s">
        <v>16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06"/>
        <v>BOM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57</v>
      </c>
      <c r="C944" t="s">
        <v>43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06"/>
        <v>BOM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58</v>
      </c>
      <c r="C945" t="s">
        <v>43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06"/>
        <v>BOM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59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06"/>
        <v>BOM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60</v>
      </c>
      <c r="C947" t="s">
        <v>20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06"/>
        <v>BOM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61</v>
      </c>
      <c r="C948" t="s">
        <v>18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 t="shared" si="106"/>
        <v>BOM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62</v>
      </c>
      <c r="C949" t="s">
        <v>20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16</v>
      </c>
      <c r="K949" s="3">
        <f>I949-J949</f>
        <v>1</v>
      </c>
      <c r="L949" s="3" t="str">
        <f t="shared" si="106"/>
        <v>BOM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63</v>
      </c>
      <c r="C950" t="s">
        <v>18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24</v>
      </c>
      <c r="K950" s="3">
        <f>I950-J950</f>
        <v>2</v>
      </c>
      <c r="L950" s="3" t="str">
        <f t="shared" si="106"/>
        <v>BOM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15</v>
      </c>
      <c r="C951" t="s">
        <v>16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17</v>
      </c>
      <c r="K951" s="3">
        <f>I951-J951</f>
        <v>10</v>
      </c>
      <c r="L951" s="3" t="str">
        <f t="shared" si="106"/>
        <v>EXCELENTE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17</v>
      </c>
      <c r="C952" t="s">
        <v>18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 t="shared" si="106"/>
        <v>BOM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19</v>
      </c>
      <c r="C953" t="s">
        <v>20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14</v>
      </c>
      <c r="K953" s="3">
        <f>I953-J953</f>
        <v>3</v>
      </c>
      <c r="L953" s="3" t="str">
        <f t="shared" si="106"/>
        <v>BOM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21</v>
      </c>
      <c r="C954" t="s">
        <v>18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22</v>
      </c>
      <c r="K954" s="3">
        <f>I954-J954</f>
        <v>19</v>
      </c>
      <c r="L954" s="3" t="str">
        <f t="shared" si="106"/>
        <v>EXCELENTE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22</v>
      </c>
      <c r="C955" t="s">
        <v>23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6</v>
      </c>
      <c r="K955" s="3">
        <f>I955-J955</f>
        <v>3</v>
      </c>
      <c r="L955" s="3" t="str">
        <f t="shared" si="106"/>
        <v>BOM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24</v>
      </c>
      <c r="C956" t="s">
        <v>16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17</v>
      </c>
      <c r="K956" s="3">
        <f>I956-J956</f>
        <v>14</v>
      </c>
      <c r="L956" s="3" t="str">
        <f t="shared" si="106"/>
        <v>EXCELENTE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25</v>
      </c>
      <c r="C957" t="s">
        <v>16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17</v>
      </c>
      <c r="K957" s="3">
        <f>I957-J957</f>
        <v>-1</v>
      </c>
      <c r="L957" s="3" t="str">
        <f t="shared" si="106"/>
        <v>ATENÇÃO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26</v>
      </c>
      <c r="C958" t="s">
        <v>23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 t="shared" si="106"/>
        <v>BOM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27</v>
      </c>
      <c r="C959" t="s">
        <v>20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14</v>
      </c>
      <c r="K959" s="3">
        <f>I959-J959</f>
        <v>15</v>
      </c>
      <c r="L959" s="3" t="str">
        <f t="shared" si="106"/>
        <v>EXCELENTE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28</v>
      </c>
      <c r="C960" t="s">
        <v>18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22</v>
      </c>
      <c r="K960" s="3">
        <f>I960-J960</f>
        <v>7</v>
      </c>
      <c r="L960" s="3" t="str">
        <f t="shared" si="106"/>
        <v>EXCELENTE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29</v>
      </c>
      <c r="C961" t="s">
        <v>16</v>
      </c>
      <c r="D961">
        <v>0</v>
      </c>
      <c r="E961">
        <v>0</v>
      </c>
      <c r="F961">
        <v>0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 t="shared" si="106"/>
        <v>BOM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30</v>
      </c>
      <c r="C962" t="s">
        <v>20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14</v>
      </c>
      <c r="K962" s="3">
        <f>I962-J962</f>
        <v>10</v>
      </c>
      <c r="L962" s="3" t="str">
        <f t="shared" si="106"/>
        <v>EXCELENTE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31</v>
      </c>
      <c r="C963" t="s">
        <v>18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06"/>
        <v>BOM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32</v>
      </c>
      <c r="C964" t="s">
        <v>23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 t="shared" si="106"/>
        <v>BOM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33</v>
      </c>
      <c r="C965" t="s">
        <v>16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 t="shared" ref="I965:I972" si="110">E965+G965+H965</f>
        <v>26</v>
      </c>
      <c r="J965" s="3">
        <f t="shared" ref="J965:J972" si="111"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17</v>
      </c>
      <c r="K965" s="3">
        <f t="shared" ref="K965:K972" si="112">I965-J965</f>
        <v>9</v>
      </c>
      <c r="L965" s="3" t="str">
        <f t="shared" si="106"/>
        <v>EXCELENTE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34</v>
      </c>
      <c r="C966" t="s">
        <v>18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 t="shared" si="110"/>
        <v>15</v>
      </c>
      <c r="J966" s="3">
        <f t="shared" si="111"/>
        <v>22</v>
      </c>
      <c r="K966" s="3">
        <f t="shared" si="112"/>
        <v>-7</v>
      </c>
      <c r="L966" s="3" t="str">
        <f t="shared" si="106"/>
        <v>CRÍTICO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35</v>
      </c>
      <c r="C967" t="s">
        <v>16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 t="shared" si="110"/>
        <v>33</v>
      </c>
      <c r="J967" s="3">
        <f t="shared" si="111"/>
        <v>17</v>
      </c>
      <c r="K967" s="3">
        <f t="shared" si="112"/>
        <v>16</v>
      </c>
      <c r="L967" s="3" t="str">
        <f t="shared" ref="L967:L1030" si="113">IF(K967&lt;-5,"CRÍTICO",IF(K967&lt;0,"ATENÇÃO",IF(K967&lt;=5,"BOM","EXCELENTE")))</f>
        <v>EXCELENTE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36</v>
      </c>
      <c r="C968" t="s">
        <v>20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 t="shared" si="110"/>
        <v>2</v>
      </c>
      <c r="J968" s="3">
        <f t="shared" si="111"/>
        <v>18</v>
      </c>
      <c r="K968" s="3">
        <f t="shared" si="112"/>
        <v>-16</v>
      </c>
      <c r="L968" s="3" t="str">
        <f t="shared" si="113"/>
        <v>CRÍTICO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37</v>
      </c>
      <c r="C969" t="s">
        <v>16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 t="shared" si="110"/>
        <v>36</v>
      </c>
      <c r="J969" s="3">
        <f t="shared" si="111"/>
        <v>17</v>
      </c>
      <c r="K969" s="3">
        <f t="shared" si="112"/>
        <v>19</v>
      </c>
      <c r="L969" s="3" t="str">
        <f t="shared" si="113"/>
        <v>EXCELENTE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38</v>
      </c>
      <c r="C970" t="s">
        <v>18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 t="shared" si="110"/>
        <v>44</v>
      </c>
      <c r="J970" s="3">
        <f t="shared" si="111"/>
        <v>22</v>
      </c>
      <c r="K970" s="3">
        <f t="shared" si="112"/>
        <v>22</v>
      </c>
      <c r="L970" s="3" t="str">
        <f t="shared" si="113"/>
        <v>EXCELENTE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39</v>
      </c>
      <c r="C971" t="s">
        <v>18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 t="shared" si="110"/>
        <v>21</v>
      </c>
      <c r="J971" s="3">
        <f t="shared" si="111"/>
        <v>22</v>
      </c>
      <c r="K971" s="3">
        <f t="shared" si="112"/>
        <v>-1</v>
      </c>
      <c r="L971" s="3" t="str">
        <f t="shared" si="113"/>
        <v>ATENÇÃO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40</v>
      </c>
      <c r="C972" t="s">
        <v>16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 t="shared" si="110"/>
        <v>22</v>
      </c>
      <c r="J972" s="3">
        <f t="shared" si="111"/>
        <v>17</v>
      </c>
      <c r="K972" s="3">
        <f t="shared" si="112"/>
        <v>5</v>
      </c>
      <c r="L972" s="3" t="str">
        <f t="shared" si="113"/>
        <v>BOM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41</v>
      </c>
      <c r="C973" t="s">
        <v>18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 t="shared" si="113"/>
        <v>BOM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42</v>
      </c>
      <c r="C974" t="s">
        <v>43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12</v>
      </c>
      <c r="K974" s="3">
        <f>I974-J974</f>
        <v>-4</v>
      </c>
      <c r="L974" s="3" t="str">
        <f t="shared" si="113"/>
        <v>ATENÇÃO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44</v>
      </c>
      <c r="C975" t="s">
        <v>18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22</v>
      </c>
      <c r="K975" s="3">
        <f>I975-J975</f>
        <v>0</v>
      </c>
      <c r="L975" s="3" t="str">
        <f t="shared" si="113"/>
        <v>BOM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45</v>
      </c>
      <c r="C976" t="s">
        <v>43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 t="shared" si="113"/>
        <v>BOM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46</v>
      </c>
      <c r="C977" t="s">
        <v>18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22</v>
      </c>
      <c r="K977" s="3">
        <f>I977-J977</f>
        <v>7</v>
      </c>
      <c r="L977" s="3" t="str">
        <f t="shared" si="113"/>
        <v>EXCELENTE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47</v>
      </c>
      <c r="C978" t="s">
        <v>16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17</v>
      </c>
      <c r="K978" s="3">
        <f>I978-J978</f>
        <v>14</v>
      </c>
      <c r="L978" s="3" t="str">
        <f t="shared" si="113"/>
        <v>EXCELENTE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48</v>
      </c>
      <c r="C979" t="s">
        <v>16</v>
      </c>
      <c r="D979">
        <v>0</v>
      </c>
      <c r="E979">
        <v>0</v>
      </c>
      <c r="F979">
        <v>0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 t="shared" si="113"/>
        <v>BOM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49</v>
      </c>
      <c r="C980" t="s">
        <v>18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22</v>
      </c>
      <c r="K980" s="3">
        <f>I980-J980</f>
        <v>9</v>
      </c>
      <c r="L980" s="3" t="str">
        <f t="shared" si="113"/>
        <v>EXCELENTE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50</v>
      </c>
      <c r="C981" t="s">
        <v>20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14</v>
      </c>
      <c r="K981" s="3">
        <f>I981-J981</f>
        <v>0</v>
      </c>
      <c r="L981" s="3" t="str">
        <f t="shared" si="113"/>
        <v>BOM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51</v>
      </c>
      <c r="C982" t="s">
        <v>23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6</v>
      </c>
      <c r="K982" s="3">
        <f>I982-J982</f>
        <v>6</v>
      </c>
      <c r="L982" s="3" t="str">
        <f t="shared" si="113"/>
        <v>EXCELENTE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52</v>
      </c>
      <c r="C983" t="s">
        <v>18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 t="shared" si="113"/>
        <v>BOM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53</v>
      </c>
      <c r="C984" t="s">
        <v>18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22</v>
      </c>
      <c r="K984" s="3">
        <f>I984-J984</f>
        <v>10</v>
      </c>
      <c r="L984" s="3" t="str">
        <f t="shared" si="113"/>
        <v>EXCELENTE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54</v>
      </c>
      <c r="C985" t="s">
        <v>23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13"/>
        <v>BOM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55</v>
      </c>
      <c r="C986" t="s">
        <v>43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13"/>
        <v>BOM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56</v>
      </c>
      <c r="C987" t="s">
        <v>16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13"/>
        <v>BOM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57</v>
      </c>
      <c r="C988" t="s">
        <v>43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13"/>
        <v>BOM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58</v>
      </c>
      <c r="C989" t="s">
        <v>43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13"/>
        <v>BOM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59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13"/>
        <v>BOM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60</v>
      </c>
      <c r="C991" t="s">
        <v>20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13"/>
        <v>BOM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61</v>
      </c>
      <c r="C992" t="s">
        <v>18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 t="shared" si="113"/>
        <v>BOM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62</v>
      </c>
      <c r="C993" t="s">
        <v>20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14</v>
      </c>
      <c r="K993" s="3">
        <f>I993-J993</f>
        <v>-4</v>
      </c>
      <c r="L993" s="3" t="str">
        <f t="shared" si="113"/>
        <v>ATENÇÃO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63</v>
      </c>
      <c r="C994" t="s">
        <v>18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22</v>
      </c>
      <c r="K994" s="3">
        <f>I994-J994</f>
        <v>4</v>
      </c>
      <c r="L994" s="3" t="str">
        <f t="shared" si="113"/>
        <v>BOM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15</v>
      </c>
      <c r="C995" t="s">
        <v>16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15</v>
      </c>
      <c r="K995" s="3">
        <f>I995-J995</f>
        <v>4</v>
      </c>
      <c r="L995" s="3" t="str">
        <f t="shared" si="113"/>
        <v>BOM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17</v>
      </c>
      <c r="C996" t="s">
        <v>18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 t="shared" si="113"/>
        <v>BOM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19</v>
      </c>
      <c r="C997" t="s">
        <v>20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12</v>
      </c>
      <c r="K997" s="3">
        <f>I997-J997</f>
        <v>11</v>
      </c>
      <c r="L997" s="3" t="str">
        <f t="shared" si="113"/>
        <v>EXCELENTE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21</v>
      </c>
      <c r="C998" t="s">
        <v>18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19</v>
      </c>
      <c r="K998" s="3">
        <f>I998-J998</f>
        <v>5</v>
      </c>
      <c r="L998" s="3" t="str">
        <f t="shared" si="113"/>
        <v>BOM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22</v>
      </c>
      <c r="C999" t="s">
        <v>23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5</v>
      </c>
      <c r="K999" s="3">
        <f>I999-J999</f>
        <v>6</v>
      </c>
      <c r="L999" s="3" t="str">
        <f t="shared" si="113"/>
        <v>EXCELENTE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24</v>
      </c>
      <c r="C1000" t="s">
        <v>16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15</v>
      </c>
      <c r="K1000" s="3">
        <f>I1000-J1000</f>
        <v>1</v>
      </c>
      <c r="L1000" s="3" t="str">
        <f t="shared" si="113"/>
        <v>BOM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25</v>
      </c>
      <c r="C1001" t="s">
        <v>16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15</v>
      </c>
      <c r="K1001" s="3">
        <f>I1001-J1001</f>
        <v>1</v>
      </c>
      <c r="L1001" s="3" t="str">
        <f t="shared" si="113"/>
        <v>BOM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26</v>
      </c>
      <c r="C1002" t="s">
        <v>23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 t="shared" si="113"/>
        <v>BOM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27</v>
      </c>
      <c r="C1003" t="s">
        <v>20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12</v>
      </c>
      <c r="K1003" s="3">
        <f>I1003-J1003</f>
        <v>3</v>
      </c>
      <c r="L1003" s="3" t="str">
        <f t="shared" si="113"/>
        <v>BOM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28</v>
      </c>
      <c r="C1004" t="s">
        <v>18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19</v>
      </c>
      <c r="K1004" s="3">
        <f>I1004-J1004</f>
        <v>8</v>
      </c>
      <c r="L1004" s="3" t="str">
        <f t="shared" si="113"/>
        <v>EXCELENTE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29</v>
      </c>
      <c r="C1005" t="s">
        <v>16</v>
      </c>
      <c r="D1005">
        <v>0</v>
      </c>
      <c r="E1005">
        <v>0</v>
      </c>
      <c r="F1005">
        <v>0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 t="shared" si="113"/>
        <v>BOM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30</v>
      </c>
      <c r="C1006" t="s">
        <v>20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12</v>
      </c>
      <c r="K1006" s="3">
        <f>I1006-J1006</f>
        <v>8</v>
      </c>
      <c r="L1006" s="3" t="str">
        <f t="shared" si="113"/>
        <v>EXCELENTE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31</v>
      </c>
      <c r="C1007" t="s">
        <v>18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13"/>
        <v>BOM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32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 t="shared" si="113"/>
        <v>BOM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33</v>
      </c>
      <c r="C1009" t="s">
        <v>16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 t="shared" ref="I1009:I1016" si="114">E1009+G1009+H1009</f>
        <v>24</v>
      </c>
      <c r="J1009" s="3">
        <f t="shared" ref="J1009:J1016" si="115"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15</v>
      </c>
      <c r="K1009" s="3">
        <f t="shared" ref="K1009:K1016" si="116">I1009-J1009</f>
        <v>9</v>
      </c>
      <c r="L1009" s="3" t="str">
        <f t="shared" si="113"/>
        <v>EXCELENTE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34</v>
      </c>
      <c r="C1010" t="s">
        <v>18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 t="shared" si="114"/>
        <v>19</v>
      </c>
      <c r="J1010" s="3">
        <f t="shared" si="115"/>
        <v>19</v>
      </c>
      <c r="K1010" s="3">
        <f t="shared" si="116"/>
        <v>0</v>
      </c>
      <c r="L1010" s="3" t="str">
        <f t="shared" si="113"/>
        <v>BOM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35</v>
      </c>
      <c r="C1011" t="s">
        <v>16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 t="shared" si="114"/>
        <v>25</v>
      </c>
      <c r="J1011" s="3">
        <f t="shared" si="115"/>
        <v>15</v>
      </c>
      <c r="K1011" s="3">
        <f t="shared" si="116"/>
        <v>10</v>
      </c>
      <c r="L1011" s="3" t="str">
        <f t="shared" si="113"/>
        <v>EXCELENTE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36</v>
      </c>
      <c r="C1012" t="s">
        <v>20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 t="shared" si="114"/>
        <v>5</v>
      </c>
      <c r="J1012" s="3">
        <f t="shared" si="115"/>
        <v>16</v>
      </c>
      <c r="K1012" s="3">
        <f t="shared" si="116"/>
        <v>-11</v>
      </c>
      <c r="L1012" s="3" t="str">
        <f t="shared" si="113"/>
        <v>CRÍTICO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37</v>
      </c>
      <c r="C1013" t="s">
        <v>16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 t="shared" si="114"/>
        <v>26</v>
      </c>
      <c r="J1013" s="3">
        <f t="shared" si="115"/>
        <v>15</v>
      </c>
      <c r="K1013" s="3">
        <f t="shared" si="116"/>
        <v>11</v>
      </c>
      <c r="L1013" s="3" t="str">
        <f t="shared" si="113"/>
        <v>EXCELENTE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38</v>
      </c>
      <c r="C1014" t="s">
        <v>18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 t="shared" si="114"/>
        <v>27</v>
      </c>
      <c r="J1014" s="3">
        <f t="shared" si="115"/>
        <v>19</v>
      </c>
      <c r="K1014" s="3">
        <f t="shared" si="116"/>
        <v>8</v>
      </c>
      <c r="L1014" s="3" t="str">
        <f t="shared" si="113"/>
        <v>EXCELENTE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39</v>
      </c>
      <c r="C1015" t="s">
        <v>18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 t="shared" si="114"/>
        <v>21</v>
      </c>
      <c r="J1015" s="3">
        <f t="shared" si="115"/>
        <v>19</v>
      </c>
      <c r="K1015" s="3">
        <f t="shared" si="116"/>
        <v>2</v>
      </c>
      <c r="L1015" s="3" t="str">
        <f t="shared" si="113"/>
        <v>BOM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40</v>
      </c>
      <c r="C1016" t="s">
        <v>16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 t="shared" si="114"/>
        <v>19</v>
      </c>
      <c r="J1016" s="3">
        <f t="shared" si="115"/>
        <v>15</v>
      </c>
      <c r="K1016" s="3">
        <f t="shared" si="116"/>
        <v>4</v>
      </c>
      <c r="L1016" s="3" t="str">
        <f t="shared" si="113"/>
        <v>BOM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41</v>
      </c>
      <c r="C1017" t="s">
        <v>18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 t="shared" si="113"/>
        <v>BOM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42</v>
      </c>
      <c r="C1018" t="s">
        <v>43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11</v>
      </c>
      <c r="K1018" s="3">
        <f>I1018-J1018</f>
        <v>-3</v>
      </c>
      <c r="L1018" s="3" t="str">
        <f t="shared" si="113"/>
        <v>ATENÇÃO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44</v>
      </c>
      <c r="C1019" t="s">
        <v>18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19</v>
      </c>
      <c r="K1019" s="3">
        <f>I1019-J1019</f>
        <v>0</v>
      </c>
      <c r="L1019" s="3" t="str">
        <f t="shared" si="113"/>
        <v>BOM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45</v>
      </c>
      <c r="C1020" t="s">
        <v>43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 t="shared" si="113"/>
        <v>BOM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46</v>
      </c>
      <c r="C1021" t="s">
        <v>18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19</v>
      </c>
      <c r="K1021" s="3">
        <f>I1021-J1021</f>
        <v>5</v>
      </c>
      <c r="L1021" s="3" t="str">
        <f t="shared" si="113"/>
        <v>BOM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47</v>
      </c>
      <c r="C1022" t="s">
        <v>16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15</v>
      </c>
      <c r="K1022" s="3">
        <f>I1022-J1022</f>
        <v>13</v>
      </c>
      <c r="L1022" s="3" t="str">
        <f t="shared" si="113"/>
        <v>EXCELENTE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48</v>
      </c>
      <c r="C1023" t="s">
        <v>16</v>
      </c>
      <c r="D1023">
        <v>0</v>
      </c>
      <c r="E1023">
        <v>0</v>
      </c>
      <c r="F1023">
        <v>0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 t="shared" si="113"/>
        <v>BOM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49</v>
      </c>
      <c r="C1024" t="s">
        <v>18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19</v>
      </c>
      <c r="K1024" s="3">
        <f>I1024-J1024</f>
        <v>15</v>
      </c>
      <c r="L1024" s="3" t="str">
        <f t="shared" si="113"/>
        <v>EXCELENTE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50</v>
      </c>
      <c r="C1025" t="s">
        <v>20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12</v>
      </c>
      <c r="K1025" s="3">
        <f>I1025-J1025</f>
        <v>2</v>
      </c>
      <c r="L1025" s="3" t="str">
        <f t="shared" si="113"/>
        <v>BOM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51</v>
      </c>
      <c r="C1026" t="s">
        <v>23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5</v>
      </c>
      <c r="K1026" s="3">
        <f>I1026-J1026</f>
        <v>5</v>
      </c>
      <c r="L1026" s="3" t="str">
        <f t="shared" si="113"/>
        <v>BOM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52</v>
      </c>
      <c r="C1027" t="s">
        <v>18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 t="shared" si="113"/>
        <v>BOM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53</v>
      </c>
      <c r="C1028" t="s">
        <v>18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19</v>
      </c>
      <c r="K1028" s="3">
        <f>I1028-J1028</f>
        <v>10</v>
      </c>
      <c r="L1028" s="3" t="str">
        <f t="shared" si="113"/>
        <v>EXCELENTE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54</v>
      </c>
      <c r="C1029" t="s">
        <v>23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13"/>
        <v>BOM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55</v>
      </c>
      <c r="C1030" t="s">
        <v>43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 t="shared" si="113"/>
        <v>BOM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56</v>
      </c>
      <c r="C1031" t="s">
        <v>16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15</v>
      </c>
      <c r="K1031" s="3">
        <f>I1031-J1031</f>
        <v>5</v>
      </c>
      <c r="L1031" s="3" t="str">
        <f t="shared" ref="L1031:L1094" si="117">IF(K1031&lt;-5,"CRÍTICO",IF(K1031&lt;0,"ATENÇÃO",IF(K1031&lt;=5,"BOM","EXCELENTE")))</f>
        <v>BOM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57</v>
      </c>
      <c r="C1032" t="s">
        <v>43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17"/>
        <v>BOM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58</v>
      </c>
      <c r="C1033" t="s">
        <v>43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17"/>
        <v>BOM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59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17"/>
        <v>BOM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60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17"/>
        <v>BOM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61</v>
      </c>
      <c r="C1036" t="s">
        <v>18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 t="shared" si="117"/>
        <v>BOM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62</v>
      </c>
      <c r="C1037" t="s">
        <v>20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12</v>
      </c>
      <c r="K1037" s="3">
        <f>I1037-J1037</f>
        <v>4</v>
      </c>
      <c r="L1037" s="3" t="str">
        <f t="shared" si="117"/>
        <v>BOM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63</v>
      </c>
      <c r="C1038" t="s">
        <v>18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19</v>
      </c>
      <c r="K1038" s="3">
        <f>I1038-J1038</f>
        <v>8</v>
      </c>
      <c r="L1038" s="3" t="str">
        <f t="shared" si="117"/>
        <v>EXCELENTE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15</v>
      </c>
      <c r="C1039" t="s">
        <v>16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15</v>
      </c>
      <c r="K1039" s="3">
        <f>I1039-J1039</f>
        <v>4</v>
      </c>
      <c r="L1039" s="3" t="str">
        <f t="shared" si="117"/>
        <v>BOM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17</v>
      </c>
      <c r="C1040" t="s">
        <v>18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 t="shared" si="117"/>
        <v>BOM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19</v>
      </c>
      <c r="C1041" t="s">
        <v>20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12</v>
      </c>
      <c r="K1041" s="3">
        <f>I1041-J1041</f>
        <v>16</v>
      </c>
      <c r="L1041" s="3" t="str">
        <f t="shared" si="117"/>
        <v>EXCELENTE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21</v>
      </c>
      <c r="C1042" t="s">
        <v>18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19</v>
      </c>
      <c r="K1042" s="3">
        <f>I1042-J1042</f>
        <v>11</v>
      </c>
      <c r="L1042" s="3" t="str">
        <f t="shared" si="117"/>
        <v>EXCELENTE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22</v>
      </c>
      <c r="C1043" t="s">
        <v>23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5</v>
      </c>
      <c r="K1043" s="3">
        <f>I1043-J1043</f>
        <v>2</v>
      </c>
      <c r="L1043" s="3" t="str">
        <f t="shared" si="117"/>
        <v>BOM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24</v>
      </c>
      <c r="C1044" t="s">
        <v>16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15</v>
      </c>
      <c r="K1044" s="3">
        <f>I1044-J1044</f>
        <v>15</v>
      </c>
      <c r="L1044" s="3" t="str">
        <f t="shared" si="117"/>
        <v>EXCELENTE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25</v>
      </c>
      <c r="C1045" t="s">
        <v>16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15</v>
      </c>
      <c r="K1045" s="3">
        <f>I1045-J1045</f>
        <v>-4</v>
      </c>
      <c r="L1045" s="3" t="str">
        <f t="shared" si="117"/>
        <v>ATENÇÃO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26</v>
      </c>
      <c r="C1046" t="s">
        <v>23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 t="shared" si="117"/>
        <v>BOM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27</v>
      </c>
      <c r="C1047" t="s">
        <v>20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12</v>
      </c>
      <c r="K1047" s="3">
        <f>I1047-J1047</f>
        <v>7</v>
      </c>
      <c r="L1047" s="3" t="str">
        <f t="shared" si="117"/>
        <v>EXCELENTE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28</v>
      </c>
      <c r="C1048" t="s">
        <v>18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19</v>
      </c>
      <c r="K1048" s="3">
        <f>I1048-J1048</f>
        <v>9</v>
      </c>
      <c r="L1048" s="3" t="str">
        <f t="shared" si="117"/>
        <v>EXCELENTE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29</v>
      </c>
      <c r="C1049" t="s">
        <v>16</v>
      </c>
      <c r="D1049">
        <v>0</v>
      </c>
      <c r="E1049">
        <v>0</v>
      </c>
      <c r="F1049">
        <v>0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 t="shared" si="117"/>
        <v>BOM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30</v>
      </c>
      <c r="C1050" t="s">
        <v>20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12</v>
      </c>
      <c r="K1050" s="3">
        <f>I1050-J1050</f>
        <v>20</v>
      </c>
      <c r="L1050" s="3" t="str">
        <f t="shared" si="117"/>
        <v>EXCELENTE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31</v>
      </c>
      <c r="C1051" t="s">
        <v>18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17"/>
        <v>BOM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32</v>
      </c>
      <c r="C1052" t="s">
        <v>23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 t="shared" si="117"/>
        <v>BOM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33</v>
      </c>
      <c r="C1053" t="s">
        <v>16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 t="shared" ref="I1053:I1060" si="118">E1053+G1053+H1053</f>
        <v>28</v>
      </c>
      <c r="J1053" s="3">
        <f t="shared" ref="J1053:J1060" si="119"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15</v>
      </c>
      <c r="K1053" s="3">
        <f t="shared" ref="K1053:K1060" si="120">I1053-J1053</f>
        <v>13</v>
      </c>
      <c r="L1053" s="3" t="str">
        <f t="shared" si="117"/>
        <v>EXCELENTE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34</v>
      </c>
      <c r="C1054" t="s">
        <v>18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 t="shared" si="118"/>
        <v>16</v>
      </c>
      <c r="J1054" s="3">
        <f t="shared" si="119"/>
        <v>19</v>
      </c>
      <c r="K1054" s="3">
        <f t="shared" si="120"/>
        <v>-3</v>
      </c>
      <c r="L1054" s="3" t="str">
        <f t="shared" si="117"/>
        <v>ATENÇÃO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35</v>
      </c>
      <c r="C1055" t="s">
        <v>16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 t="shared" si="118"/>
        <v>21</v>
      </c>
      <c r="J1055" s="3">
        <f t="shared" si="119"/>
        <v>15</v>
      </c>
      <c r="K1055" s="3">
        <f t="shared" si="120"/>
        <v>6</v>
      </c>
      <c r="L1055" s="3" t="str">
        <f t="shared" si="117"/>
        <v>EXCELENTE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36</v>
      </c>
      <c r="C1056" t="s">
        <v>20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 t="shared" si="118"/>
        <v>1</v>
      </c>
      <c r="J1056" s="3">
        <f t="shared" si="119"/>
        <v>17</v>
      </c>
      <c r="K1056" s="3">
        <f t="shared" si="120"/>
        <v>-16</v>
      </c>
      <c r="L1056" s="3" t="str">
        <f t="shared" si="117"/>
        <v>CRÍTICO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37</v>
      </c>
      <c r="C1057" t="s">
        <v>16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 t="shared" si="118"/>
        <v>25</v>
      </c>
      <c r="J1057" s="3">
        <f t="shared" si="119"/>
        <v>15</v>
      </c>
      <c r="K1057" s="3">
        <f t="shared" si="120"/>
        <v>10</v>
      </c>
      <c r="L1057" s="3" t="str">
        <f t="shared" si="117"/>
        <v>EXCELENTE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38</v>
      </c>
      <c r="C1058" t="s">
        <v>18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 t="shared" si="118"/>
        <v>34</v>
      </c>
      <c r="J1058" s="3">
        <f t="shared" si="119"/>
        <v>19</v>
      </c>
      <c r="K1058" s="3">
        <f t="shared" si="120"/>
        <v>15</v>
      </c>
      <c r="L1058" s="3" t="str">
        <f t="shared" si="117"/>
        <v>EXCELENTE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39</v>
      </c>
      <c r="C1059" t="s">
        <v>18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 t="shared" si="118"/>
        <v>1</v>
      </c>
      <c r="J1059" s="3">
        <f t="shared" si="119"/>
        <v>19</v>
      </c>
      <c r="K1059" s="3">
        <f t="shared" si="120"/>
        <v>-18</v>
      </c>
      <c r="L1059" s="3" t="str">
        <f t="shared" si="117"/>
        <v>CRÍTICO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40</v>
      </c>
      <c r="C1060" t="s">
        <v>16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 t="shared" si="118"/>
        <v>24</v>
      </c>
      <c r="J1060" s="3">
        <f t="shared" si="119"/>
        <v>15</v>
      </c>
      <c r="K1060" s="3">
        <f t="shared" si="120"/>
        <v>9</v>
      </c>
      <c r="L1060" s="3" t="str">
        <f t="shared" si="117"/>
        <v>EXCELENTE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41</v>
      </c>
      <c r="C1061" t="s">
        <v>18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 t="shared" si="117"/>
        <v>BOM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42</v>
      </c>
      <c r="C1062" t="s">
        <v>43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11</v>
      </c>
      <c r="K1062" s="3">
        <f>I1062-J1062</f>
        <v>0</v>
      </c>
      <c r="L1062" s="3" t="str">
        <f t="shared" si="117"/>
        <v>BOM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44</v>
      </c>
      <c r="C1063" t="s">
        <v>18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19</v>
      </c>
      <c r="K1063" s="3">
        <f>I1063-J1063</f>
        <v>-18</v>
      </c>
      <c r="L1063" s="3" t="str">
        <f t="shared" si="117"/>
        <v>CRÍTICO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45</v>
      </c>
      <c r="C1064" t="s">
        <v>43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 t="shared" si="117"/>
        <v>BOM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46</v>
      </c>
      <c r="C1065" t="s">
        <v>18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19</v>
      </c>
      <c r="K1065" s="3">
        <f>I1065-J1065</f>
        <v>7</v>
      </c>
      <c r="L1065" s="3" t="str">
        <f t="shared" si="117"/>
        <v>EXCELENTE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47</v>
      </c>
      <c r="C1066" t="s">
        <v>16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15</v>
      </c>
      <c r="K1066" s="3">
        <f>I1066-J1066</f>
        <v>10</v>
      </c>
      <c r="L1066" s="3" t="str">
        <f t="shared" si="117"/>
        <v>EXCELENTE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48</v>
      </c>
      <c r="C1067" t="s">
        <v>16</v>
      </c>
      <c r="D1067">
        <v>0</v>
      </c>
      <c r="E1067">
        <v>0</v>
      </c>
      <c r="F1067">
        <v>0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 t="shared" si="117"/>
        <v>BOM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49</v>
      </c>
      <c r="C1068" t="s">
        <v>18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19</v>
      </c>
      <c r="K1068" s="3">
        <f>I1068-J1068</f>
        <v>8</v>
      </c>
      <c r="L1068" s="3" t="str">
        <f t="shared" si="117"/>
        <v>EXCELENTE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50</v>
      </c>
      <c r="C1069" t="s">
        <v>20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12</v>
      </c>
      <c r="K1069" s="3">
        <f>I1069-J1069</f>
        <v>7</v>
      </c>
      <c r="L1069" s="3" t="str">
        <f t="shared" si="117"/>
        <v>EXCELENTE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51</v>
      </c>
      <c r="C1070" t="s">
        <v>23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5</v>
      </c>
      <c r="K1070" s="3">
        <f>I1070-J1070</f>
        <v>-1</v>
      </c>
      <c r="L1070" s="3" t="str">
        <f t="shared" si="117"/>
        <v>ATENÇÃO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52</v>
      </c>
      <c r="C1071" t="s">
        <v>18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 t="shared" si="117"/>
        <v>BOM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53</v>
      </c>
      <c r="C1072" t="s">
        <v>18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19</v>
      </c>
      <c r="K1072" s="3">
        <f>I1072-J1072</f>
        <v>11</v>
      </c>
      <c r="L1072" s="3" t="str">
        <f t="shared" si="117"/>
        <v>EXCELENTE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54</v>
      </c>
      <c r="C1073" t="s">
        <v>23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17"/>
        <v>BOM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55</v>
      </c>
      <c r="C1074" t="s">
        <v>43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17"/>
        <v>BOM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56</v>
      </c>
      <c r="C1075" t="s">
        <v>16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17"/>
        <v>BOM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57</v>
      </c>
      <c r="C1076" t="s">
        <v>43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17"/>
        <v>BOM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58</v>
      </c>
      <c r="C1077" t="s">
        <v>43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17"/>
        <v>BOM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59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17"/>
        <v>BOM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60</v>
      </c>
      <c r="C1079" t="s">
        <v>20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17"/>
        <v>BOM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61</v>
      </c>
      <c r="C1080" t="s">
        <v>18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 t="shared" si="117"/>
        <v>BOM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62</v>
      </c>
      <c r="C1081" t="s">
        <v>20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12</v>
      </c>
      <c r="K1081" s="3">
        <f>I1081-J1081</f>
        <v>4</v>
      </c>
      <c r="L1081" s="3" t="str">
        <f t="shared" si="117"/>
        <v>BOM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63</v>
      </c>
      <c r="C1082" t="s">
        <v>18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19</v>
      </c>
      <c r="K1082" s="3">
        <f>I1082-J1082</f>
        <v>1</v>
      </c>
      <c r="L1082" s="3" t="str">
        <f t="shared" si="117"/>
        <v>BOM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15</v>
      </c>
      <c r="C1083" t="s">
        <v>16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16</v>
      </c>
      <c r="K1083" s="3">
        <f>I1083-J1083</f>
        <v>10</v>
      </c>
      <c r="L1083" s="3" t="str">
        <f t="shared" si="117"/>
        <v>EXCELENTE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17</v>
      </c>
      <c r="C1084" t="s">
        <v>18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 t="shared" si="117"/>
        <v>BOM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19</v>
      </c>
      <c r="C1085" t="s">
        <v>20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13</v>
      </c>
      <c r="K1085" s="3">
        <f>I1085-J1085</f>
        <v>8</v>
      </c>
      <c r="L1085" s="3" t="str">
        <f t="shared" si="117"/>
        <v>EXCELENTE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21</v>
      </c>
      <c r="C1086" t="s">
        <v>18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20</v>
      </c>
      <c r="K1086" s="3">
        <f>I1086-J1086</f>
        <v>-1</v>
      </c>
      <c r="L1086" s="3" t="str">
        <f t="shared" si="117"/>
        <v>ATENÇÃO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22</v>
      </c>
      <c r="C1087" t="s">
        <v>23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 t="shared" si="117"/>
        <v>BOM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24</v>
      </c>
      <c r="C1088" t="s">
        <v>16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16</v>
      </c>
      <c r="K1088" s="3">
        <f>I1088-J1088</f>
        <v>10</v>
      </c>
      <c r="L1088" s="3" t="str">
        <f t="shared" si="117"/>
        <v>EXCELENTE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25</v>
      </c>
      <c r="C1089" t="s">
        <v>16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16</v>
      </c>
      <c r="K1089" s="3">
        <f>I1089-J1089</f>
        <v>8</v>
      </c>
      <c r="L1089" s="3" t="str">
        <f t="shared" si="117"/>
        <v>EXCELENTE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26</v>
      </c>
      <c r="C1090" t="s">
        <v>23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 t="shared" si="117"/>
        <v>BOM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27</v>
      </c>
      <c r="C1091" t="s">
        <v>20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13</v>
      </c>
      <c r="K1091" s="3">
        <f>I1091-J1091</f>
        <v>4</v>
      </c>
      <c r="L1091" s="3" t="str">
        <f t="shared" si="117"/>
        <v>BOM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28</v>
      </c>
      <c r="C1092" t="s">
        <v>18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20</v>
      </c>
      <c r="K1092" s="3">
        <f>I1092-J1092</f>
        <v>15</v>
      </c>
      <c r="L1092" s="3" t="str">
        <f t="shared" si="117"/>
        <v>EXCELENTE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29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 t="shared" si="117"/>
        <v>BOM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30</v>
      </c>
      <c r="C1094" t="s">
        <v>20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13</v>
      </c>
      <c r="K1094" s="3">
        <f>I1094-J1094</f>
        <v>12</v>
      </c>
      <c r="L1094" s="3" t="str">
        <f t="shared" si="117"/>
        <v>EXCELENTE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31</v>
      </c>
      <c r="C1095" t="s">
        <v>18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ref="L1095:L1158" si="121">IF(K1095&lt;-5,"CRÍTICO",IF(K1095&lt;0,"ATENÇÃO",IF(K1095&lt;=5,"BOM","EXCELENTE")))</f>
        <v>BOM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32</v>
      </c>
      <c r="C1096" t="s">
        <v>23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 t="shared" si="121"/>
        <v>BOM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33</v>
      </c>
      <c r="C1097" t="s">
        <v>16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 t="shared" ref="I1097:I1104" si="122">E1097+G1097+H1097</f>
        <v>35</v>
      </c>
      <c r="J1097" s="3">
        <f t="shared" ref="J1097:J1104" si="123"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16</v>
      </c>
      <c r="K1097" s="3">
        <f t="shared" ref="K1097:K1104" si="124">I1097-J1097</f>
        <v>19</v>
      </c>
      <c r="L1097" s="3" t="str">
        <f t="shared" si="121"/>
        <v>EXCELENTE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34</v>
      </c>
      <c r="C1098" t="s">
        <v>18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 t="shared" si="122"/>
        <v>21</v>
      </c>
      <c r="J1098" s="3">
        <f t="shared" si="123"/>
        <v>20</v>
      </c>
      <c r="K1098" s="3">
        <f t="shared" si="124"/>
        <v>1</v>
      </c>
      <c r="L1098" s="3" t="str">
        <f t="shared" si="121"/>
        <v>BOM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35</v>
      </c>
      <c r="C1099" t="s">
        <v>16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 t="shared" si="122"/>
        <v>30</v>
      </c>
      <c r="J1099" s="3">
        <f t="shared" si="123"/>
        <v>16</v>
      </c>
      <c r="K1099" s="3">
        <f t="shared" si="124"/>
        <v>14</v>
      </c>
      <c r="L1099" s="3" t="str">
        <f t="shared" si="121"/>
        <v>EXCELENTE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36</v>
      </c>
      <c r="C1100" t="s">
        <v>20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 t="shared" si="122"/>
        <v>5</v>
      </c>
      <c r="J1100" s="3">
        <f t="shared" si="123"/>
        <v>4</v>
      </c>
      <c r="K1100" s="3">
        <f t="shared" si="124"/>
        <v>1</v>
      </c>
      <c r="L1100" s="3" t="str">
        <f t="shared" si="121"/>
        <v>BOM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37</v>
      </c>
      <c r="C1101" t="s">
        <v>16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 t="shared" si="122"/>
        <v>32</v>
      </c>
      <c r="J1101" s="3">
        <f t="shared" si="123"/>
        <v>16</v>
      </c>
      <c r="K1101" s="3">
        <f t="shared" si="124"/>
        <v>16</v>
      </c>
      <c r="L1101" s="3" t="str">
        <f t="shared" si="121"/>
        <v>EXCELENTE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38</v>
      </c>
      <c r="C1102" t="s">
        <v>18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 t="shared" si="122"/>
        <v>44</v>
      </c>
      <c r="J1102" s="3">
        <f t="shared" si="123"/>
        <v>20</v>
      </c>
      <c r="K1102" s="3">
        <f t="shared" si="124"/>
        <v>24</v>
      </c>
      <c r="L1102" s="3" t="str">
        <f t="shared" si="121"/>
        <v>EXCELENTE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39</v>
      </c>
      <c r="C1103" t="s">
        <v>18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 t="shared" si="122"/>
        <v>20</v>
      </c>
      <c r="J1103" s="3">
        <f t="shared" si="123"/>
        <v>20</v>
      </c>
      <c r="K1103" s="3">
        <f t="shared" si="124"/>
        <v>0</v>
      </c>
      <c r="L1103" s="3" t="str">
        <f t="shared" si="121"/>
        <v>BOM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40</v>
      </c>
      <c r="C1104" t="s">
        <v>16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 t="shared" si="122"/>
        <v>21</v>
      </c>
      <c r="J1104" s="3">
        <f t="shared" si="123"/>
        <v>16</v>
      </c>
      <c r="K1104" s="3">
        <f t="shared" si="124"/>
        <v>5</v>
      </c>
      <c r="L1104" s="3" t="str">
        <f t="shared" si="121"/>
        <v>BOM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41</v>
      </c>
      <c r="C1105" t="s">
        <v>18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 t="shared" si="121"/>
        <v>BOM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42</v>
      </c>
      <c r="C1106" t="s">
        <v>43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11</v>
      </c>
      <c r="K1106" s="3">
        <f>I1106-J1106</f>
        <v>-6</v>
      </c>
      <c r="L1106" s="3" t="str">
        <f t="shared" si="121"/>
        <v>CRÍTICO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44</v>
      </c>
      <c r="C1107" t="s">
        <v>18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20</v>
      </c>
      <c r="K1107" s="3">
        <f>I1107-J1107</f>
        <v>3</v>
      </c>
      <c r="L1107" s="3" t="str">
        <f t="shared" si="121"/>
        <v>BOM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45</v>
      </c>
      <c r="C1108" t="s">
        <v>43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 t="shared" si="121"/>
        <v>BOM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46</v>
      </c>
      <c r="C1109" t="s">
        <v>18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20</v>
      </c>
      <c r="K1109" s="3">
        <f>I1109-J1109</f>
        <v>5</v>
      </c>
      <c r="L1109" s="3" t="str">
        <f t="shared" si="121"/>
        <v>BOM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47</v>
      </c>
      <c r="C1110" t="s">
        <v>16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16</v>
      </c>
      <c r="K1110" s="3">
        <f>I1110-J1110</f>
        <v>-1</v>
      </c>
      <c r="L1110" s="3" t="str">
        <f t="shared" si="121"/>
        <v>ATENÇÃO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48</v>
      </c>
      <c r="C1111" t="s">
        <v>16</v>
      </c>
      <c r="D1111">
        <v>0</v>
      </c>
      <c r="E1111">
        <v>0</v>
      </c>
      <c r="F1111">
        <v>0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 t="shared" si="121"/>
        <v>BOM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49</v>
      </c>
      <c r="C1112" t="s">
        <v>18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20</v>
      </c>
      <c r="K1112" s="3">
        <f>I1112-J1112</f>
        <v>9</v>
      </c>
      <c r="L1112" s="3" t="str">
        <f t="shared" si="121"/>
        <v>EXCELENTE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50</v>
      </c>
      <c r="C1113" t="s">
        <v>20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13</v>
      </c>
      <c r="K1113" s="3">
        <f>I1113-J1113</f>
        <v>0</v>
      </c>
      <c r="L1113" s="3" t="str">
        <f t="shared" si="121"/>
        <v>BOM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51</v>
      </c>
      <c r="C1114" t="s">
        <v>23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 t="shared" si="121"/>
        <v>BOM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52</v>
      </c>
      <c r="C1115" t="s">
        <v>18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 t="shared" si="121"/>
        <v>BOM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53</v>
      </c>
      <c r="C1116" t="s">
        <v>18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20</v>
      </c>
      <c r="K1116" s="3">
        <f>I1116-J1116</f>
        <v>12</v>
      </c>
      <c r="L1116" s="3" t="str">
        <f t="shared" si="121"/>
        <v>EXCELENTE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54</v>
      </c>
      <c r="C1117" t="s">
        <v>23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21"/>
        <v>BOM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55</v>
      </c>
      <c r="C1118" t="s">
        <v>43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21"/>
        <v>BOM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56</v>
      </c>
      <c r="C1119" t="s">
        <v>16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21"/>
        <v>BOM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57</v>
      </c>
      <c r="C1120" t="s">
        <v>43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21"/>
        <v>BOM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58</v>
      </c>
      <c r="C1121" t="s">
        <v>43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21"/>
        <v>BOM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59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21"/>
        <v>BOM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60</v>
      </c>
      <c r="C1123" t="s">
        <v>20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21"/>
        <v>BOM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61</v>
      </c>
      <c r="C1124" t="s">
        <v>18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 t="shared" si="121"/>
        <v>BOM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62</v>
      </c>
      <c r="C1125" t="s">
        <v>20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13</v>
      </c>
      <c r="K1125" s="3">
        <f>I1125-J1125</f>
        <v>-4</v>
      </c>
      <c r="L1125" s="3" t="str">
        <f t="shared" si="121"/>
        <v>ATENÇÃO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63</v>
      </c>
      <c r="C1126" t="s">
        <v>18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20</v>
      </c>
      <c r="K1126" s="3">
        <f>I1126-J1126</f>
        <v>5</v>
      </c>
      <c r="L1126" s="3" t="str">
        <f t="shared" si="121"/>
        <v>BOM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15</v>
      </c>
      <c r="C1127" t="s">
        <v>16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15</v>
      </c>
      <c r="K1127" s="3">
        <f>I1127-J1127</f>
        <v>0</v>
      </c>
      <c r="L1127" s="3" t="str">
        <f t="shared" si="121"/>
        <v>BOM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17</v>
      </c>
      <c r="C1128" t="s">
        <v>18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 t="shared" si="121"/>
        <v>BOM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19</v>
      </c>
      <c r="C1129" t="s">
        <v>20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12</v>
      </c>
      <c r="K1129" s="3">
        <f>I1129-J1129</f>
        <v>8</v>
      </c>
      <c r="L1129" s="3" t="str">
        <f t="shared" si="121"/>
        <v>EXCELENTE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21</v>
      </c>
      <c r="C1130" t="s">
        <v>18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19</v>
      </c>
      <c r="K1130" s="3">
        <f>I1130-J1130</f>
        <v>-13</v>
      </c>
      <c r="L1130" s="3" t="str">
        <f t="shared" si="121"/>
        <v>CRÍTICO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22</v>
      </c>
      <c r="C1131" t="s">
        <v>23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5</v>
      </c>
      <c r="K1131" s="3">
        <f>I1131-J1131</f>
        <v>4</v>
      </c>
      <c r="L1131" s="3" t="str">
        <f t="shared" si="121"/>
        <v>BOM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24</v>
      </c>
      <c r="C1132" t="s">
        <v>16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15</v>
      </c>
      <c r="K1132" s="3">
        <f>I1132-J1132</f>
        <v>12</v>
      </c>
      <c r="L1132" s="3" t="str">
        <f t="shared" si="121"/>
        <v>EXCELENTE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25</v>
      </c>
      <c r="C1133" t="s">
        <v>16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15</v>
      </c>
      <c r="K1133" s="3">
        <f>I1133-J1133</f>
        <v>8</v>
      </c>
      <c r="L1133" s="3" t="str">
        <f t="shared" si="121"/>
        <v>EXCELENTE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26</v>
      </c>
      <c r="C1134" t="s">
        <v>23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 t="shared" si="121"/>
        <v>BOM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27</v>
      </c>
      <c r="C1135" t="s">
        <v>20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12</v>
      </c>
      <c r="K1135" s="3">
        <f>I1135-J1135</f>
        <v>4</v>
      </c>
      <c r="L1135" s="3" t="str">
        <f t="shared" si="121"/>
        <v>BOM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28</v>
      </c>
      <c r="C1136" t="s">
        <v>18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19</v>
      </c>
      <c r="K1136" s="3">
        <f>I1136-J1136</f>
        <v>13</v>
      </c>
      <c r="L1136" s="3" t="str">
        <f t="shared" si="121"/>
        <v>EXCELENTE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29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 t="shared" si="121"/>
        <v>BOM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30</v>
      </c>
      <c r="C1138" t="s">
        <v>20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12</v>
      </c>
      <c r="K1138" s="3">
        <f>I1138-J1138</f>
        <v>10</v>
      </c>
      <c r="L1138" s="3" t="str">
        <f t="shared" si="121"/>
        <v>EXCELENTE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31</v>
      </c>
      <c r="C1139" t="s">
        <v>18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21"/>
        <v>BOM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32</v>
      </c>
      <c r="C1140" t="s">
        <v>23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 t="shared" si="121"/>
        <v>BOM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33</v>
      </c>
      <c r="C1141" t="s">
        <v>16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15</v>
      </c>
      <c r="K1141" s="3">
        <f>I1141-J1141</f>
        <v>6</v>
      </c>
      <c r="L1141" s="3" t="str">
        <f t="shared" si="121"/>
        <v>EXCELENTE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34</v>
      </c>
      <c r="C1142" t="s">
        <v>18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19</v>
      </c>
      <c r="K1142" s="3">
        <f>I1142-J1142</f>
        <v>-6</v>
      </c>
      <c r="L1142" s="3" t="str">
        <f t="shared" si="121"/>
        <v>CRÍTICO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35</v>
      </c>
      <c r="C1143" t="s">
        <v>16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15</v>
      </c>
      <c r="K1143" s="3">
        <f>I1143-J1143</f>
        <v>3</v>
      </c>
      <c r="L1143" s="3" t="str">
        <f t="shared" si="121"/>
        <v>BOM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36</v>
      </c>
      <c r="C1144" t="s">
        <v>20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 t="shared" si="121"/>
        <v>BOM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37</v>
      </c>
      <c r="C1145" t="s">
        <v>16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15</v>
      </c>
      <c r="K1145" s="3">
        <f>I1145-J1145</f>
        <v>14</v>
      </c>
      <c r="L1145" s="3" t="str">
        <f t="shared" si="121"/>
        <v>EXCELENTE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38</v>
      </c>
      <c r="C1146" t="s">
        <v>18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19</v>
      </c>
      <c r="K1146" s="3">
        <f>I1146-J1146</f>
        <v>14</v>
      </c>
      <c r="L1146" s="3" t="str">
        <f t="shared" si="121"/>
        <v>EXCELENTE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39</v>
      </c>
      <c r="C1147" t="s">
        <v>18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19</v>
      </c>
      <c r="K1147" s="3">
        <f>I1147-J1147</f>
        <v>-2</v>
      </c>
      <c r="L1147" s="3" t="str">
        <f t="shared" si="121"/>
        <v>ATENÇÃO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40</v>
      </c>
      <c r="C1148" t="s">
        <v>16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15</v>
      </c>
      <c r="K1148" s="3">
        <f>I1148-J1148</f>
        <v>9</v>
      </c>
      <c r="L1148" s="3" t="str">
        <f t="shared" si="121"/>
        <v>EXCELENTE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41</v>
      </c>
      <c r="C1149" t="s">
        <v>18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 t="shared" si="121"/>
        <v>BOM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42</v>
      </c>
      <c r="C1150" t="s">
        <v>43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11</v>
      </c>
      <c r="K1150" s="3">
        <f>I1150-J1150</f>
        <v>-7</v>
      </c>
      <c r="L1150" s="3" t="str">
        <f t="shared" si="121"/>
        <v>CRÍTICO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44</v>
      </c>
      <c r="C1151" t="s">
        <v>18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19</v>
      </c>
      <c r="K1151" s="3">
        <f>I1151-J1151</f>
        <v>-2</v>
      </c>
      <c r="L1151" s="3" t="str">
        <f t="shared" si="121"/>
        <v>ATENÇÃO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45</v>
      </c>
      <c r="C1152" t="s">
        <v>43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 t="shared" si="121"/>
        <v>BOM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46</v>
      </c>
      <c r="C1153" t="s">
        <v>18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19</v>
      </c>
      <c r="K1153" s="3">
        <f>I1153-J1153</f>
        <v>11</v>
      </c>
      <c r="L1153" s="3" t="str">
        <f t="shared" si="121"/>
        <v>EXCELENTE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47</v>
      </c>
      <c r="C1154" t="s">
        <v>16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15</v>
      </c>
      <c r="K1154" s="3">
        <f>I1154-J1154</f>
        <v>20</v>
      </c>
      <c r="L1154" s="3" t="str">
        <f t="shared" si="121"/>
        <v>EXCELENTE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48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 t="shared" si="121"/>
        <v>BOM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49</v>
      </c>
      <c r="C1156" t="s">
        <v>18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19</v>
      </c>
      <c r="K1156" s="3">
        <f>I1156-J1156</f>
        <v>23</v>
      </c>
      <c r="L1156" s="3" t="str">
        <f t="shared" si="121"/>
        <v>EXCELENTE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50</v>
      </c>
      <c r="C1157" t="s">
        <v>20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12</v>
      </c>
      <c r="K1157" s="3">
        <f>I1157-J1157</f>
        <v>4</v>
      </c>
      <c r="L1157" s="3" t="str">
        <f t="shared" si="121"/>
        <v>BOM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51</v>
      </c>
      <c r="C1158" t="s">
        <v>23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5</v>
      </c>
      <c r="K1158" s="3">
        <f>I1158-J1158</f>
        <v>-3</v>
      </c>
      <c r="L1158" s="3" t="str">
        <f t="shared" si="121"/>
        <v>ATENÇÃO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52</v>
      </c>
      <c r="C1159" t="s">
        <v>18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 t="shared" ref="L1159:L1222" si="125">IF(K1159&lt;-5,"CRÍTICO",IF(K1159&lt;0,"ATENÇÃO",IF(K1159&lt;=5,"BOM","EXCELENTE")))</f>
        <v>BOM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53</v>
      </c>
      <c r="C1160" t="s">
        <v>18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19</v>
      </c>
      <c r="K1160" s="3">
        <f>I1160-J1160</f>
        <v>12</v>
      </c>
      <c r="L1160" s="3" t="str">
        <f t="shared" si="125"/>
        <v>EXCELENTE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54</v>
      </c>
      <c r="C1161" t="s">
        <v>23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25"/>
        <v>BOM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55</v>
      </c>
      <c r="C1162" t="s">
        <v>43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 t="shared" si="125"/>
        <v>BOM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56</v>
      </c>
      <c r="C1163" t="s">
        <v>16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15</v>
      </c>
      <c r="K1163" s="3">
        <f>I1163-J1163</f>
        <v>10</v>
      </c>
      <c r="L1163" s="3" t="str">
        <f t="shared" si="125"/>
        <v>EXCELENTE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57</v>
      </c>
      <c r="C1164" t="s">
        <v>43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25"/>
        <v>BOM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58</v>
      </c>
      <c r="C1165" t="s">
        <v>43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25"/>
        <v>BOM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59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25"/>
        <v>BOM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60</v>
      </c>
      <c r="C1167" t="s">
        <v>20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25"/>
        <v>BOM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61</v>
      </c>
      <c r="C1168" t="s">
        <v>18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 t="shared" si="125"/>
        <v>BOM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62</v>
      </c>
      <c r="C1169" t="s">
        <v>20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12</v>
      </c>
      <c r="K1169" s="3">
        <f>I1169-J1169</f>
        <v>5</v>
      </c>
      <c r="L1169" s="3" t="str">
        <f t="shared" si="125"/>
        <v>BOM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63</v>
      </c>
      <c r="C1170" t="s">
        <v>18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19</v>
      </c>
      <c r="K1170" s="3">
        <f>I1170-J1170</f>
        <v>12</v>
      </c>
      <c r="L1170" s="3" t="str">
        <f t="shared" si="125"/>
        <v>EXCELENTE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15</v>
      </c>
      <c r="C1171" t="s">
        <v>16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16</v>
      </c>
      <c r="K1171" s="3">
        <f>I1171-J1171</f>
        <v>10</v>
      </c>
      <c r="L1171" s="3" t="str">
        <f t="shared" si="125"/>
        <v>EXCELENTE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17</v>
      </c>
      <c r="C1172" t="s">
        <v>18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 t="shared" si="125"/>
        <v>BOM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19</v>
      </c>
      <c r="C1173" t="s">
        <v>20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13</v>
      </c>
      <c r="K1173" s="3">
        <f>I1173-J1173</f>
        <v>17</v>
      </c>
      <c r="L1173" s="3" t="str">
        <f t="shared" si="125"/>
        <v>EXCELENTE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21</v>
      </c>
      <c r="C1174" t="s">
        <v>18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20</v>
      </c>
      <c r="K1174" s="3">
        <f>I1174-J1174</f>
        <v>-7</v>
      </c>
      <c r="L1174" s="3" t="str">
        <f t="shared" si="125"/>
        <v>CRÍTICO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22</v>
      </c>
      <c r="C1175" t="s">
        <v>23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 t="shared" si="125"/>
        <v>BOM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24</v>
      </c>
      <c r="C1176" t="s">
        <v>16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16</v>
      </c>
      <c r="K1176" s="3">
        <f>I1176-J1176</f>
        <v>5</v>
      </c>
      <c r="L1176" s="3" t="str">
        <f t="shared" si="125"/>
        <v>BOM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25</v>
      </c>
      <c r="C1177" t="s">
        <v>16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16</v>
      </c>
      <c r="K1177" s="3">
        <f>I1177-J1177</f>
        <v>5</v>
      </c>
      <c r="L1177" s="3" t="str">
        <f t="shared" si="125"/>
        <v>BOM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26</v>
      </c>
      <c r="C1178" t="s">
        <v>23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 t="shared" si="125"/>
        <v>BOM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27</v>
      </c>
      <c r="C1179" t="s">
        <v>20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13</v>
      </c>
      <c r="K1179" s="3">
        <f>I1179-J1179</f>
        <v>-4</v>
      </c>
      <c r="L1179" s="3" t="str">
        <f t="shared" si="125"/>
        <v>ATENÇÃO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28</v>
      </c>
      <c r="C1180" t="s">
        <v>18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20</v>
      </c>
      <c r="K1180" s="3">
        <f>I1180-J1180</f>
        <v>23</v>
      </c>
      <c r="L1180" s="3" t="str">
        <f t="shared" si="125"/>
        <v>EXCELENTE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29</v>
      </c>
      <c r="C1181" t="s">
        <v>16</v>
      </c>
      <c r="D1181">
        <v>0</v>
      </c>
      <c r="E1181">
        <v>0</v>
      </c>
      <c r="F1181">
        <v>0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 t="shared" si="125"/>
        <v>BOM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30</v>
      </c>
      <c r="C1182" t="s">
        <v>20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13</v>
      </c>
      <c r="K1182" s="3">
        <f>I1182-J1182</f>
        <v>3</v>
      </c>
      <c r="L1182" s="3" t="str">
        <f t="shared" si="125"/>
        <v>BOM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31</v>
      </c>
      <c r="C1183" t="s">
        <v>18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25"/>
        <v>BOM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32</v>
      </c>
      <c r="C1184" t="s">
        <v>23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 t="shared" si="125"/>
        <v>BOM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33</v>
      </c>
      <c r="C1185" t="s">
        <v>16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16</v>
      </c>
      <c r="K1185" s="3">
        <f>I1185-J1185</f>
        <v>9</v>
      </c>
      <c r="L1185" s="3" t="str">
        <f t="shared" si="125"/>
        <v>EXCELENTE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34</v>
      </c>
      <c r="C1186" t="s">
        <v>18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20</v>
      </c>
      <c r="K1186" s="3">
        <f>I1186-J1186</f>
        <v>12</v>
      </c>
      <c r="L1186" s="3" t="str">
        <f t="shared" si="125"/>
        <v>EXCELENTE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35</v>
      </c>
      <c r="C1187" t="s">
        <v>16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 t="shared" si="125"/>
        <v>BOM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36</v>
      </c>
      <c r="C1188" t="s">
        <v>20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15</v>
      </c>
      <c r="K1188" s="3">
        <f>I1188-J1188</f>
        <v>3</v>
      </c>
      <c r="L1188" s="3" t="str">
        <f t="shared" si="125"/>
        <v>BOM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37</v>
      </c>
      <c r="C1189" t="s">
        <v>16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16</v>
      </c>
      <c r="K1189" s="3">
        <f>I1189-J1189</f>
        <v>14</v>
      </c>
      <c r="L1189" s="3" t="str">
        <f t="shared" si="125"/>
        <v>EXCELENTE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38</v>
      </c>
      <c r="C1190" t="s">
        <v>18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20</v>
      </c>
      <c r="K1190" s="3">
        <f>I1190-J1190</f>
        <v>30</v>
      </c>
      <c r="L1190" s="3" t="str">
        <f t="shared" si="125"/>
        <v>EXCELENTE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39</v>
      </c>
      <c r="C1191" t="s">
        <v>18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 t="shared" si="125"/>
        <v>BOM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40</v>
      </c>
      <c r="C1192" t="s">
        <v>16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16</v>
      </c>
      <c r="K1192" s="3">
        <f>I1192-J1192</f>
        <v>8</v>
      </c>
      <c r="L1192" s="3" t="str">
        <f t="shared" si="125"/>
        <v>EXCELENTE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41</v>
      </c>
      <c r="C1193" t="s">
        <v>18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 t="shared" si="125"/>
        <v>BOM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42</v>
      </c>
      <c r="C1194" t="s">
        <v>43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12</v>
      </c>
      <c r="K1194" s="3">
        <f>I1194-J1194</f>
        <v>-5</v>
      </c>
      <c r="L1194" s="3" t="str">
        <f t="shared" si="125"/>
        <v>ATENÇÃO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44</v>
      </c>
      <c r="C1195" t="s">
        <v>18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20</v>
      </c>
      <c r="K1195" s="3">
        <f>I1195-J1195</f>
        <v>1</v>
      </c>
      <c r="L1195" s="3" t="str">
        <f t="shared" si="125"/>
        <v>BOM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45</v>
      </c>
      <c r="C1196" t="s">
        <v>43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 t="shared" si="125"/>
        <v>BOM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46</v>
      </c>
      <c r="C1197" t="s">
        <v>18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20</v>
      </c>
      <c r="K1197" s="3">
        <f>I1197-J1197</f>
        <v>12</v>
      </c>
      <c r="L1197" s="3" t="str">
        <f t="shared" si="125"/>
        <v>EXCELENTE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47</v>
      </c>
      <c r="C1198" t="s">
        <v>16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16</v>
      </c>
      <c r="K1198" s="3">
        <f>I1198-J1198</f>
        <v>15</v>
      </c>
      <c r="L1198" s="3" t="str">
        <f t="shared" si="125"/>
        <v>EXCELENTE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48</v>
      </c>
      <c r="C1199" t="s">
        <v>16</v>
      </c>
      <c r="D1199">
        <v>0</v>
      </c>
      <c r="E1199">
        <v>0</v>
      </c>
      <c r="F1199">
        <v>0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 t="shared" si="125"/>
        <v>BOM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49</v>
      </c>
      <c r="C1200" t="s">
        <v>18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20</v>
      </c>
      <c r="K1200" s="3">
        <f>I1200-J1200</f>
        <v>31</v>
      </c>
      <c r="L1200" s="3" t="str">
        <f t="shared" si="125"/>
        <v>EXCELENTE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50</v>
      </c>
      <c r="C1201" t="s">
        <v>20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13</v>
      </c>
      <c r="K1201" s="3">
        <f>I1201-J1201</f>
        <v>4</v>
      </c>
      <c r="L1201" s="3" t="str">
        <f t="shared" si="125"/>
        <v>BOM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51</v>
      </c>
      <c r="C1202" t="s">
        <v>23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25"/>
        <v>BOM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52</v>
      </c>
      <c r="C1203" t="s">
        <v>18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 t="shared" si="125"/>
        <v>BOM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53</v>
      </c>
      <c r="C1204" t="s">
        <v>18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20</v>
      </c>
      <c r="K1204" s="3">
        <f>I1204-J1204</f>
        <v>28</v>
      </c>
      <c r="L1204" s="3" t="str">
        <f t="shared" si="125"/>
        <v>EXCELENTE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54</v>
      </c>
      <c r="C1205" t="s">
        <v>23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 t="shared" si="125"/>
        <v>ATENÇÃO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55</v>
      </c>
      <c r="C1206" t="s">
        <v>43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25"/>
        <v>BOM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56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25"/>
        <v>BOM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57</v>
      </c>
      <c r="C1208" t="s">
        <v>43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25"/>
        <v>BOM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58</v>
      </c>
      <c r="C1209" t="s">
        <v>43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25"/>
        <v>BOM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59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25"/>
        <v>BOM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60</v>
      </c>
      <c r="C1211" t="s">
        <v>20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25"/>
        <v>BOM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61</v>
      </c>
      <c r="C1212" t="s">
        <v>18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 t="shared" si="125"/>
        <v>BOM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62</v>
      </c>
      <c r="C1213" t="s">
        <v>20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13</v>
      </c>
      <c r="K1213" s="3">
        <f>I1213-J1213</f>
        <v>1</v>
      </c>
      <c r="L1213" s="3" t="str">
        <f t="shared" si="125"/>
        <v>BOM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63</v>
      </c>
      <c r="C1214" t="s">
        <v>18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20</v>
      </c>
      <c r="K1214" s="3">
        <f>I1214-J1214</f>
        <v>15</v>
      </c>
      <c r="L1214" s="3" t="str">
        <f t="shared" si="125"/>
        <v>EXCELENTE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15</v>
      </c>
      <c r="C1215" t="s">
        <v>16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16</v>
      </c>
      <c r="K1215" s="3">
        <f>I1215-J1215</f>
        <v>10</v>
      </c>
      <c r="L1215" s="3" t="str">
        <f t="shared" si="125"/>
        <v>EXCELENTE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17</v>
      </c>
      <c r="C1216" t="s">
        <v>18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 t="shared" si="125"/>
        <v>BOM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19</v>
      </c>
      <c r="C1217" t="s">
        <v>20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13</v>
      </c>
      <c r="K1217" s="3">
        <f>I1217-J1217</f>
        <v>12</v>
      </c>
      <c r="L1217" s="3" t="str">
        <f t="shared" si="125"/>
        <v>EXCELENTE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21</v>
      </c>
      <c r="C1218" t="s">
        <v>18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20</v>
      </c>
      <c r="K1218" s="3">
        <f>I1218-J1218</f>
        <v>12</v>
      </c>
      <c r="L1218" s="3" t="str">
        <f t="shared" si="125"/>
        <v>EXCELENTE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22</v>
      </c>
      <c r="C1219" t="s">
        <v>23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 t="shared" si="125"/>
        <v>ATENÇÃO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24</v>
      </c>
      <c r="C1220" t="s">
        <v>16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16</v>
      </c>
      <c r="K1220" s="3">
        <f>I1220-J1220</f>
        <v>11</v>
      </c>
      <c r="L1220" s="3" t="str">
        <f t="shared" si="125"/>
        <v>EXCELENTE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25</v>
      </c>
      <c r="C1221" t="s">
        <v>16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16</v>
      </c>
      <c r="K1221" s="3">
        <f>I1221-J1221</f>
        <v>-3</v>
      </c>
      <c r="L1221" s="3" t="str">
        <f t="shared" si="125"/>
        <v>ATENÇÃO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26</v>
      </c>
      <c r="C1222" t="s">
        <v>23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 t="shared" si="125"/>
        <v>BOM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27</v>
      </c>
      <c r="C1223" t="s">
        <v>20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13</v>
      </c>
      <c r="K1223" s="3">
        <f>I1223-J1223</f>
        <v>-2</v>
      </c>
      <c r="L1223" s="3" t="str">
        <f t="shared" ref="L1223:L1286" si="126">IF(K1223&lt;-5,"CRÍTICO",IF(K1223&lt;0,"ATENÇÃO",IF(K1223&lt;=5,"BOM","EXCELENTE")))</f>
        <v>ATENÇÃO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28</v>
      </c>
      <c r="C1224" t="s">
        <v>18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20</v>
      </c>
      <c r="K1224" s="3">
        <f>I1224-J1224</f>
        <v>6</v>
      </c>
      <c r="L1224" s="3" t="str">
        <f t="shared" si="126"/>
        <v>EXCELENTE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29</v>
      </c>
      <c r="C1225" t="s">
        <v>16</v>
      </c>
      <c r="D1225">
        <v>0</v>
      </c>
      <c r="E1225">
        <v>0</v>
      </c>
      <c r="F1225">
        <v>0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 t="shared" si="126"/>
        <v>BOM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30</v>
      </c>
      <c r="C1226" t="s">
        <v>20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13</v>
      </c>
      <c r="K1226" s="3">
        <f>I1226-J1226</f>
        <v>-4</v>
      </c>
      <c r="L1226" s="3" t="str">
        <f t="shared" si="126"/>
        <v>ATENÇÃO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31</v>
      </c>
      <c r="C1227" t="s">
        <v>18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26"/>
        <v>BOM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32</v>
      </c>
      <c r="C1228" t="s">
        <v>23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 t="shared" si="126"/>
        <v>BOM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33</v>
      </c>
      <c r="C1229" t="s">
        <v>16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 t="shared" ref="I1229:I1236" si="127">E1229+G1229+H1229</f>
        <v>25</v>
      </c>
      <c r="J1229" s="3">
        <f t="shared" ref="J1229:J1236" si="128"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16</v>
      </c>
      <c r="K1229" s="3">
        <f t="shared" ref="K1229:K1236" si="129">I1229-J1229</f>
        <v>9</v>
      </c>
      <c r="L1229" s="3" t="str">
        <f t="shared" si="126"/>
        <v>EXCELENTE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34</v>
      </c>
      <c r="C1230" t="s">
        <v>18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 t="shared" si="127"/>
        <v>18</v>
      </c>
      <c r="J1230" s="3">
        <f t="shared" si="128"/>
        <v>20</v>
      </c>
      <c r="K1230" s="3">
        <f t="shared" si="129"/>
        <v>-2</v>
      </c>
      <c r="L1230" s="3" t="str">
        <f t="shared" si="126"/>
        <v>ATENÇÃO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35</v>
      </c>
      <c r="C1231" t="s">
        <v>16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 t="shared" si="127"/>
        <v>26</v>
      </c>
      <c r="J1231" s="3">
        <f t="shared" si="128"/>
        <v>16</v>
      </c>
      <c r="K1231" s="3">
        <f t="shared" si="129"/>
        <v>10</v>
      </c>
      <c r="L1231" s="3" t="str">
        <f t="shared" si="126"/>
        <v>EXCELENTE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36</v>
      </c>
      <c r="C1232" t="s">
        <v>20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 t="shared" si="127"/>
        <v>20</v>
      </c>
      <c r="J1232" s="3">
        <f t="shared" si="128"/>
        <v>14</v>
      </c>
      <c r="K1232" s="3">
        <f t="shared" si="129"/>
        <v>6</v>
      </c>
      <c r="L1232" s="3" t="str">
        <f t="shared" si="126"/>
        <v>EXCELENTE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37</v>
      </c>
      <c r="C1233" t="s">
        <v>16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 t="shared" si="127"/>
        <v>21</v>
      </c>
      <c r="J1233" s="3">
        <f t="shared" si="128"/>
        <v>16</v>
      </c>
      <c r="K1233" s="3">
        <f t="shared" si="129"/>
        <v>5</v>
      </c>
      <c r="L1233" s="3" t="str">
        <f t="shared" si="126"/>
        <v>BOM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38</v>
      </c>
      <c r="C1234" t="s">
        <v>18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 t="shared" si="127"/>
        <v>32</v>
      </c>
      <c r="J1234" s="3">
        <f t="shared" si="128"/>
        <v>20</v>
      </c>
      <c r="K1234" s="3">
        <f t="shared" si="129"/>
        <v>12</v>
      </c>
      <c r="L1234" s="3" t="str">
        <f t="shared" si="126"/>
        <v>EXCELENTE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39</v>
      </c>
      <c r="C1235" t="s">
        <v>18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 t="shared" si="127"/>
        <v>19</v>
      </c>
      <c r="J1235" s="3">
        <f t="shared" si="128"/>
        <v>20</v>
      </c>
      <c r="K1235" s="3">
        <f t="shared" si="129"/>
        <v>-1</v>
      </c>
      <c r="L1235" s="3" t="str">
        <f t="shared" si="126"/>
        <v>ATENÇÃO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40</v>
      </c>
      <c r="C1236" t="s">
        <v>16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 t="shared" si="127"/>
        <v>20</v>
      </c>
      <c r="J1236" s="3">
        <f t="shared" si="128"/>
        <v>16</v>
      </c>
      <c r="K1236" s="3">
        <f t="shared" si="129"/>
        <v>4</v>
      </c>
      <c r="L1236" s="3" t="str">
        <f t="shared" si="126"/>
        <v>BOM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41</v>
      </c>
      <c r="C1237" t="s">
        <v>18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 t="shared" si="126"/>
        <v>BOM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42</v>
      </c>
      <c r="C1238" t="s">
        <v>43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11</v>
      </c>
      <c r="K1238" s="3">
        <f>I1238-J1238</f>
        <v>4</v>
      </c>
      <c r="L1238" s="3" t="str">
        <f t="shared" si="126"/>
        <v>BOM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44</v>
      </c>
      <c r="C1239" t="s">
        <v>18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20</v>
      </c>
      <c r="K1239" s="3">
        <f>I1239-J1239</f>
        <v>2</v>
      </c>
      <c r="L1239" s="3" t="str">
        <f t="shared" si="126"/>
        <v>BOM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45</v>
      </c>
      <c r="C1240" t="s">
        <v>43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 t="shared" si="126"/>
        <v>BOM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46</v>
      </c>
      <c r="C1241" t="s">
        <v>18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20</v>
      </c>
      <c r="K1241" s="3">
        <f>I1241-J1241</f>
        <v>7</v>
      </c>
      <c r="L1241" s="3" t="str">
        <f t="shared" si="126"/>
        <v>EXCELENTE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47</v>
      </c>
      <c r="C1242" t="s">
        <v>16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16</v>
      </c>
      <c r="K1242" s="3">
        <f>I1242-J1242</f>
        <v>12</v>
      </c>
      <c r="L1242" s="3" t="str">
        <f t="shared" si="126"/>
        <v>EXCELENTE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48</v>
      </c>
      <c r="C1243" t="s">
        <v>16</v>
      </c>
      <c r="D1243">
        <v>0</v>
      </c>
      <c r="E1243">
        <v>0</v>
      </c>
      <c r="F1243">
        <v>0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 t="shared" si="126"/>
        <v>BOM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49</v>
      </c>
      <c r="C1244" t="s">
        <v>18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20</v>
      </c>
      <c r="K1244" s="3">
        <f>I1244-J1244</f>
        <v>9</v>
      </c>
      <c r="L1244" s="3" t="str">
        <f t="shared" si="126"/>
        <v>EXCELENTE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50</v>
      </c>
      <c r="C1245" t="s">
        <v>20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13</v>
      </c>
      <c r="K1245" s="3">
        <f>I1245-J1245</f>
        <v>6</v>
      </c>
      <c r="L1245" s="3" t="str">
        <f t="shared" si="126"/>
        <v>EXCELENTE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51</v>
      </c>
      <c r="C1246" t="s">
        <v>23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 t="shared" si="126"/>
        <v>ATENÇÃO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52</v>
      </c>
      <c r="C1247" t="s">
        <v>18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 t="shared" si="126"/>
        <v>BOM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53</v>
      </c>
      <c r="C1248" t="s">
        <v>18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20</v>
      </c>
      <c r="K1248" s="3">
        <f>I1248-J1248</f>
        <v>5</v>
      </c>
      <c r="L1248" s="3" t="str">
        <f t="shared" si="126"/>
        <v>BOM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54</v>
      </c>
      <c r="C1249" t="s">
        <v>23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 t="shared" si="126"/>
        <v>ATENÇÃO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55</v>
      </c>
      <c r="C1250" t="s">
        <v>43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26"/>
        <v>BOM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56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26"/>
        <v>BOM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57</v>
      </c>
      <c r="C1252" t="s">
        <v>43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26"/>
        <v>BOM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58</v>
      </c>
      <c r="C1253" t="s">
        <v>43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26"/>
        <v>BOM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59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26"/>
        <v>BOM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60</v>
      </c>
      <c r="C1255" t="s">
        <v>20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 t="shared" si="126"/>
        <v>BOM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61</v>
      </c>
      <c r="C1256" t="s">
        <v>18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20</v>
      </c>
      <c r="K1256" s="3">
        <f>I1256-J1256</f>
        <v>7</v>
      </c>
      <c r="L1256" s="3" t="str">
        <f t="shared" si="126"/>
        <v>EXCELENTE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62</v>
      </c>
      <c r="C1257" t="s">
        <v>20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13</v>
      </c>
      <c r="K1257" s="3">
        <f>I1257-J1257</f>
        <v>2</v>
      </c>
      <c r="L1257" s="3" t="str">
        <f t="shared" si="126"/>
        <v>BOM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63</v>
      </c>
      <c r="C1258" t="s">
        <v>18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20</v>
      </c>
      <c r="K1258" s="3">
        <f>I1258-J1258</f>
        <v>2</v>
      </c>
      <c r="L1258" s="3" t="str">
        <f t="shared" si="126"/>
        <v>BOM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15</v>
      </c>
      <c r="C1259" t="s">
        <v>16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15</v>
      </c>
      <c r="K1259" s="3">
        <f>I1259-J1259</f>
        <v>8</v>
      </c>
      <c r="L1259" s="3" t="str">
        <f t="shared" si="126"/>
        <v>EXCELENTE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17</v>
      </c>
      <c r="C1260" t="s">
        <v>18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 t="shared" si="126"/>
        <v>BOM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19</v>
      </c>
      <c r="C1261" t="s">
        <v>20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12</v>
      </c>
      <c r="K1261" s="3">
        <f>I1261-J1261</f>
        <v>3</v>
      </c>
      <c r="L1261" s="3" t="str">
        <f t="shared" si="126"/>
        <v>BOM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21</v>
      </c>
      <c r="C1262" t="s">
        <v>18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19</v>
      </c>
      <c r="K1262" s="3">
        <f>I1262-J1262</f>
        <v>12</v>
      </c>
      <c r="L1262" s="3" t="str">
        <f t="shared" si="126"/>
        <v>EXCELENTE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22</v>
      </c>
      <c r="C1263" t="s">
        <v>23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5</v>
      </c>
      <c r="K1263" s="3">
        <f>I1263-J1263</f>
        <v>2</v>
      </c>
      <c r="L1263" s="3" t="str">
        <f t="shared" si="126"/>
        <v>BOM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24</v>
      </c>
      <c r="C1264" t="s">
        <v>16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15</v>
      </c>
      <c r="K1264" s="3">
        <f>I1264-J1264</f>
        <v>9</v>
      </c>
      <c r="L1264" s="3" t="str">
        <f t="shared" si="126"/>
        <v>EXCELENTE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25</v>
      </c>
      <c r="C1265" t="s">
        <v>16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15</v>
      </c>
      <c r="K1265" s="3">
        <f>I1265-J1265</f>
        <v>4</v>
      </c>
      <c r="L1265" s="3" t="str">
        <f t="shared" si="126"/>
        <v>BOM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26</v>
      </c>
      <c r="C1266" t="s">
        <v>23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 t="shared" si="126"/>
        <v>BOM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27</v>
      </c>
      <c r="C1267" t="s">
        <v>20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12</v>
      </c>
      <c r="K1267" s="3">
        <f>I1267-J1267</f>
        <v>0</v>
      </c>
      <c r="L1267" s="3" t="str">
        <f t="shared" si="126"/>
        <v>BOM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28</v>
      </c>
      <c r="C1268" t="s">
        <v>18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19</v>
      </c>
      <c r="K1268" s="3">
        <f>I1268-J1268</f>
        <v>-8</v>
      </c>
      <c r="L1268" s="3" t="str">
        <f t="shared" si="126"/>
        <v>CRÍTICO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29</v>
      </c>
      <c r="C1269" t="s">
        <v>16</v>
      </c>
      <c r="D1269">
        <v>0</v>
      </c>
      <c r="E1269">
        <v>0</v>
      </c>
      <c r="F1269">
        <v>0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 t="shared" si="126"/>
        <v>BOM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30</v>
      </c>
      <c r="C1270" t="s">
        <v>20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12</v>
      </c>
      <c r="K1270" s="3">
        <f>I1270-J1270</f>
        <v>8</v>
      </c>
      <c r="L1270" s="3" t="str">
        <f t="shared" si="126"/>
        <v>EXCELENTE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31</v>
      </c>
      <c r="C1271" t="s">
        <v>18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26"/>
        <v>BOM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32</v>
      </c>
      <c r="C1272" t="s">
        <v>23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 t="shared" si="126"/>
        <v>BOM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33</v>
      </c>
      <c r="C1273" t="s">
        <v>16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 t="shared" ref="I1273:I1280" si="130">E1273+G1273+H1273</f>
        <v>26</v>
      </c>
      <c r="J1273" s="3">
        <f t="shared" ref="J1273:J1280" si="131"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15</v>
      </c>
      <c r="K1273" s="3">
        <f t="shared" ref="K1273:K1280" si="132">I1273-J1273</f>
        <v>11</v>
      </c>
      <c r="L1273" s="3" t="str">
        <f t="shared" si="126"/>
        <v>EXCELENTE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34</v>
      </c>
      <c r="C1274" t="s">
        <v>18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 t="shared" si="130"/>
        <v>18</v>
      </c>
      <c r="J1274" s="3">
        <f t="shared" si="131"/>
        <v>19</v>
      </c>
      <c r="K1274" s="3">
        <f t="shared" si="132"/>
        <v>-1</v>
      </c>
      <c r="L1274" s="3" t="str">
        <f t="shared" si="126"/>
        <v>ATENÇÃO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35</v>
      </c>
      <c r="C1275" t="s">
        <v>16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 t="shared" si="130"/>
        <v>18</v>
      </c>
      <c r="J1275" s="3">
        <f t="shared" si="131"/>
        <v>15</v>
      </c>
      <c r="K1275" s="3">
        <f t="shared" si="132"/>
        <v>3</v>
      </c>
      <c r="L1275" s="3" t="str">
        <f t="shared" si="126"/>
        <v>BOM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36</v>
      </c>
      <c r="C1276" t="s">
        <v>20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 t="shared" si="130"/>
        <v>16</v>
      </c>
      <c r="J1276" s="3">
        <f t="shared" si="131"/>
        <v>14</v>
      </c>
      <c r="K1276" s="3">
        <f t="shared" si="132"/>
        <v>2</v>
      </c>
      <c r="L1276" s="3" t="str">
        <f t="shared" si="126"/>
        <v>BOM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37</v>
      </c>
      <c r="C1277" t="s">
        <v>16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 t="shared" si="130"/>
        <v>20</v>
      </c>
      <c r="J1277" s="3">
        <f t="shared" si="131"/>
        <v>15</v>
      </c>
      <c r="K1277" s="3">
        <f t="shared" si="132"/>
        <v>5</v>
      </c>
      <c r="L1277" s="3" t="str">
        <f t="shared" si="126"/>
        <v>BOM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38</v>
      </c>
      <c r="C1278" t="s">
        <v>18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 t="shared" si="130"/>
        <v>26</v>
      </c>
      <c r="J1278" s="3">
        <f t="shared" si="131"/>
        <v>19</v>
      </c>
      <c r="K1278" s="3">
        <f t="shared" si="132"/>
        <v>7</v>
      </c>
      <c r="L1278" s="3" t="str">
        <f t="shared" si="126"/>
        <v>EXCELENTE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39</v>
      </c>
      <c r="C1279" t="s">
        <v>18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 t="shared" si="130"/>
        <v>17</v>
      </c>
      <c r="J1279" s="3">
        <f t="shared" si="131"/>
        <v>19</v>
      </c>
      <c r="K1279" s="3">
        <f t="shared" si="132"/>
        <v>-2</v>
      </c>
      <c r="L1279" s="3" t="str">
        <f t="shared" si="126"/>
        <v>ATENÇÃO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40</v>
      </c>
      <c r="C1280" t="s">
        <v>16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 t="shared" si="130"/>
        <v>23</v>
      </c>
      <c r="J1280" s="3">
        <f t="shared" si="131"/>
        <v>15</v>
      </c>
      <c r="K1280" s="3">
        <f t="shared" si="132"/>
        <v>8</v>
      </c>
      <c r="L1280" s="3" t="str">
        <f t="shared" si="126"/>
        <v>EXCELENTE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41</v>
      </c>
      <c r="C1281" t="s">
        <v>18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 t="shared" si="126"/>
        <v>BOM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42</v>
      </c>
      <c r="C1282" t="s">
        <v>43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11</v>
      </c>
      <c r="K1282" s="3">
        <f>I1282-J1282</f>
        <v>4</v>
      </c>
      <c r="L1282" s="3" t="str">
        <f t="shared" si="126"/>
        <v>BOM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44</v>
      </c>
      <c r="C1283" t="s">
        <v>18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19</v>
      </c>
      <c r="K1283" s="3">
        <f>I1283-J1283</f>
        <v>-4</v>
      </c>
      <c r="L1283" s="3" t="str">
        <f t="shared" si="126"/>
        <v>ATENÇÃO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45</v>
      </c>
      <c r="C1284" t="s">
        <v>43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 t="shared" si="126"/>
        <v>BOM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46</v>
      </c>
      <c r="C1285" t="s">
        <v>18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19</v>
      </c>
      <c r="K1285" s="3">
        <f>I1285-J1285</f>
        <v>4</v>
      </c>
      <c r="L1285" s="3" t="str">
        <f t="shared" si="126"/>
        <v>BOM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47</v>
      </c>
      <c r="C1286" t="s">
        <v>16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15</v>
      </c>
      <c r="K1286" s="3">
        <f>I1286-J1286</f>
        <v>9</v>
      </c>
      <c r="L1286" s="3" t="str">
        <f t="shared" si="126"/>
        <v>EXCELENTE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48</v>
      </c>
      <c r="C1287" t="s">
        <v>16</v>
      </c>
      <c r="D1287">
        <v>0</v>
      </c>
      <c r="E1287">
        <v>0</v>
      </c>
      <c r="F1287">
        <v>0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 t="shared" ref="L1287:L1350" si="133">IF(K1287&lt;-5,"CRÍTICO",IF(K1287&lt;0,"ATENÇÃO",IF(K1287&lt;=5,"BOM","EXCELENTE")))</f>
        <v>BOM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49</v>
      </c>
      <c r="C1288" t="s">
        <v>18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 t="shared" ref="I1288:I1293" si="134">E1288+G1288+H1288</f>
        <v>27</v>
      </c>
      <c r="J1288" s="3">
        <f t="shared" ref="J1288:J1293" si="135"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19</v>
      </c>
      <c r="K1288" s="3">
        <f t="shared" ref="K1288:K1293" si="136">I1288-J1288</f>
        <v>8</v>
      </c>
      <c r="L1288" s="3" t="str">
        <f t="shared" si="133"/>
        <v>EXCELENTE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50</v>
      </c>
      <c r="C1289" t="s">
        <v>20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 t="shared" si="134"/>
        <v>19</v>
      </c>
      <c r="J1289" s="3">
        <f t="shared" si="135"/>
        <v>12</v>
      </c>
      <c r="K1289" s="3">
        <f t="shared" si="136"/>
        <v>7</v>
      </c>
      <c r="L1289" s="3" t="str">
        <f t="shared" si="133"/>
        <v>EXCELENTE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51</v>
      </c>
      <c r="C1290" t="s">
        <v>23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 t="shared" si="134"/>
        <v>13</v>
      </c>
      <c r="J1290" s="3">
        <f t="shared" si="135"/>
        <v>5</v>
      </c>
      <c r="K1290" s="3">
        <f t="shared" si="136"/>
        <v>8</v>
      </c>
      <c r="L1290" s="3" t="str">
        <f t="shared" si="133"/>
        <v>EXCELENTE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52</v>
      </c>
      <c r="C1291" t="s">
        <v>18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 t="shared" si="134"/>
        <v>26</v>
      </c>
      <c r="J1291" s="3">
        <f t="shared" si="135"/>
        <v>19</v>
      </c>
      <c r="K1291" s="3">
        <f t="shared" si="136"/>
        <v>7</v>
      </c>
      <c r="L1291" s="3" t="str">
        <f t="shared" si="133"/>
        <v>EXCELENTE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53</v>
      </c>
      <c r="C1292" t="s">
        <v>18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 t="shared" si="134"/>
        <v>25</v>
      </c>
      <c r="J1292" s="3">
        <f t="shared" si="135"/>
        <v>19</v>
      </c>
      <c r="K1292" s="3">
        <f t="shared" si="136"/>
        <v>6</v>
      </c>
      <c r="L1292" s="3" t="str">
        <f t="shared" si="133"/>
        <v>EXCELENTE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54</v>
      </c>
      <c r="C1293" t="s">
        <v>23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 t="shared" si="134"/>
        <v>1</v>
      </c>
      <c r="J1293" s="3">
        <f t="shared" si="135"/>
        <v>5</v>
      </c>
      <c r="K1293" s="3">
        <f t="shared" si="136"/>
        <v>-4</v>
      </c>
      <c r="L1293" s="3" t="str">
        <f t="shared" si="133"/>
        <v>ATENÇÃO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55</v>
      </c>
      <c r="C1294" t="s">
        <v>43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 t="shared" si="133"/>
        <v>BOM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56</v>
      </c>
      <c r="C1295" t="s">
        <v>16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15</v>
      </c>
      <c r="K1295" s="3">
        <f>I1295-J1295</f>
        <v>10</v>
      </c>
      <c r="L1295" s="3" t="str">
        <f t="shared" si="133"/>
        <v>EXCELENTE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57</v>
      </c>
      <c r="C1296" t="s">
        <v>43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33"/>
        <v>BOM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58</v>
      </c>
      <c r="C1297" t="s">
        <v>43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33"/>
        <v>BOM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59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33"/>
        <v>BOM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60</v>
      </c>
      <c r="C1299" t="s">
        <v>20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33"/>
        <v>BOM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61</v>
      </c>
      <c r="C1300" t="s">
        <v>18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 t="shared" si="133"/>
        <v>BOM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62</v>
      </c>
      <c r="C1301" t="s">
        <v>20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12</v>
      </c>
      <c r="K1301" s="3">
        <f>I1301-J1301</f>
        <v>-3</v>
      </c>
      <c r="L1301" s="3" t="str">
        <f t="shared" si="133"/>
        <v>ATENÇÃO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63</v>
      </c>
      <c r="C1302" t="s">
        <v>18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19</v>
      </c>
      <c r="K1302" s="3">
        <f>I1302-J1302</f>
        <v>2</v>
      </c>
      <c r="L1302" s="3" t="str">
        <f t="shared" si="133"/>
        <v>BOM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15</v>
      </c>
      <c r="C1303" t="s">
        <v>16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14</v>
      </c>
      <c r="K1303" s="3">
        <f>I1303-J1303</f>
        <v>9</v>
      </c>
      <c r="L1303" s="3" t="str">
        <f t="shared" si="133"/>
        <v>EXCELENTE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17</v>
      </c>
      <c r="C1304" t="s">
        <v>18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 t="shared" si="133"/>
        <v>BOM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19</v>
      </c>
      <c r="C1305" t="s">
        <v>20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12</v>
      </c>
      <c r="K1305" s="3">
        <f>I1305-J1305</f>
        <v>9</v>
      </c>
      <c r="L1305" s="3" t="str">
        <f t="shared" si="133"/>
        <v>EXCELENTE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21</v>
      </c>
      <c r="C1306" t="s">
        <v>18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18</v>
      </c>
      <c r="K1306" s="3">
        <f>I1306-J1306</f>
        <v>0</v>
      </c>
      <c r="L1306" s="3" t="str">
        <f t="shared" si="133"/>
        <v>BOM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22</v>
      </c>
      <c r="C1307" t="s">
        <v>23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5</v>
      </c>
      <c r="K1307" s="3">
        <f>I1307-J1307</f>
        <v>3</v>
      </c>
      <c r="L1307" s="3" t="str">
        <f t="shared" si="133"/>
        <v>BOM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24</v>
      </c>
      <c r="C1308" t="s">
        <v>16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14</v>
      </c>
      <c r="K1308" s="3">
        <f>I1308-J1308</f>
        <v>4</v>
      </c>
      <c r="L1308" s="3" t="str">
        <f t="shared" si="133"/>
        <v>BOM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25</v>
      </c>
      <c r="C1309" t="s">
        <v>16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14</v>
      </c>
      <c r="K1309" s="3">
        <f>I1309-J1309</f>
        <v>3</v>
      </c>
      <c r="L1309" s="3" t="str">
        <f t="shared" si="133"/>
        <v>BOM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26</v>
      </c>
      <c r="C1310" t="s">
        <v>23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 t="shared" si="133"/>
        <v>BOM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27</v>
      </c>
      <c r="C1311" t="s">
        <v>20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12</v>
      </c>
      <c r="K1311" s="3">
        <f>I1311-J1311</f>
        <v>4</v>
      </c>
      <c r="L1311" s="3" t="str">
        <f t="shared" si="133"/>
        <v>BOM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28</v>
      </c>
      <c r="C1312" t="s">
        <v>18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18</v>
      </c>
      <c r="K1312" s="3">
        <f>I1312-J1312</f>
        <v>6</v>
      </c>
      <c r="L1312" s="3" t="str">
        <f t="shared" si="133"/>
        <v>EXCELENTE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29</v>
      </c>
      <c r="C1313" t="s">
        <v>16</v>
      </c>
      <c r="D1313">
        <v>0</v>
      </c>
      <c r="E1313">
        <v>0</v>
      </c>
      <c r="F1313">
        <v>0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 t="shared" si="133"/>
        <v>BOM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30</v>
      </c>
      <c r="C1314" t="s">
        <v>20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12</v>
      </c>
      <c r="K1314" s="3">
        <f>I1314-J1314</f>
        <v>5</v>
      </c>
      <c r="L1314" s="3" t="str">
        <f t="shared" si="133"/>
        <v>BOM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31</v>
      </c>
      <c r="C1315" t="s">
        <v>18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33"/>
        <v>BOM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32</v>
      </c>
      <c r="C1316" t="s">
        <v>23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 t="shared" si="133"/>
        <v>BOM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33</v>
      </c>
      <c r="C1317" t="s">
        <v>16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 t="shared" ref="I1317:I1324" si="137">E1317+G1317+H1317</f>
        <v>20</v>
      </c>
      <c r="J1317" s="3">
        <f t="shared" ref="J1317:J1324" si="138"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14</v>
      </c>
      <c r="K1317" s="3">
        <f t="shared" ref="K1317:K1324" si="139">I1317-J1317</f>
        <v>6</v>
      </c>
      <c r="L1317" s="3" t="str">
        <f t="shared" si="133"/>
        <v>EXCELENTE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34</v>
      </c>
      <c r="C1318" t="s">
        <v>18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 t="shared" si="137"/>
        <v>12</v>
      </c>
      <c r="J1318" s="3">
        <f t="shared" si="138"/>
        <v>18</v>
      </c>
      <c r="K1318" s="3">
        <f t="shared" si="139"/>
        <v>-6</v>
      </c>
      <c r="L1318" s="3" t="str">
        <f t="shared" si="133"/>
        <v>CRÍTICO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35</v>
      </c>
      <c r="C1319" t="s">
        <v>16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 t="shared" si="137"/>
        <v>21</v>
      </c>
      <c r="J1319" s="3">
        <f t="shared" si="138"/>
        <v>14</v>
      </c>
      <c r="K1319" s="3">
        <f t="shared" si="139"/>
        <v>7</v>
      </c>
      <c r="L1319" s="3" t="str">
        <f t="shared" si="133"/>
        <v>EXCELENTE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36</v>
      </c>
      <c r="C1320" t="s">
        <v>20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 t="shared" si="137"/>
        <v>16</v>
      </c>
      <c r="J1320" s="3">
        <f t="shared" si="138"/>
        <v>14</v>
      </c>
      <c r="K1320" s="3">
        <f t="shared" si="139"/>
        <v>2</v>
      </c>
      <c r="L1320" s="3" t="str">
        <f t="shared" si="133"/>
        <v>BOM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37</v>
      </c>
      <c r="C1321" t="s">
        <v>16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 t="shared" si="137"/>
        <v>18</v>
      </c>
      <c r="J1321" s="3">
        <f t="shared" si="138"/>
        <v>14</v>
      </c>
      <c r="K1321" s="3">
        <f t="shared" si="139"/>
        <v>4</v>
      </c>
      <c r="L1321" s="3" t="str">
        <f t="shared" si="133"/>
        <v>BOM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38</v>
      </c>
      <c r="C1322" t="s">
        <v>18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 t="shared" si="137"/>
        <v>29</v>
      </c>
      <c r="J1322" s="3">
        <f t="shared" si="138"/>
        <v>18</v>
      </c>
      <c r="K1322" s="3">
        <f t="shared" si="139"/>
        <v>11</v>
      </c>
      <c r="L1322" s="3" t="str">
        <f t="shared" si="133"/>
        <v>EXCELENTE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39</v>
      </c>
      <c r="C1323" t="s">
        <v>18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 t="shared" si="137"/>
        <v>11</v>
      </c>
      <c r="J1323" s="3">
        <f t="shared" si="138"/>
        <v>18</v>
      </c>
      <c r="K1323" s="3">
        <f t="shared" si="139"/>
        <v>-7</v>
      </c>
      <c r="L1323" s="3" t="str">
        <f t="shared" si="133"/>
        <v>CRÍTICO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40</v>
      </c>
      <c r="C1324" t="s">
        <v>16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 t="shared" si="137"/>
        <v>22</v>
      </c>
      <c r="J1324" s="3">
        <f t="shared" si="138"/>
        <v>14</v>
      </c>
      <c r="K1324" s="3">
        <f t="shared" si="139"/>
        <v>8</v>
      </c>
      <c r="L1324" s="3" t="str">
        <f t="shared" si="133"/>
        <v>EXCELENTE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41</v>
      </c>
      <c r="C1325" t="s">
        <v>18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 t="shared" si="133"/>
        <v>BOM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42</v>
      </c>
      <c r="C1326" t="s">
        <v>43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10</v>
      </c>
      <c r="K1326" s="3">
        <f>I1326-J1326</f>
        <v>0</v>
      </c>
      <c r="L1326" s="3" t="str">
        <f t="shared" si="133"/>
        <v>BOM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44</v>
      </c>
      <c r="C1327" t="s">
        <v>18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18</v>
      </c>
      <c r="K1327" s="3">
        <f>I1327-J1327</f>
        <v>-3</v>
      </c>
      <c r="L1327" s="3" t="str">
        <f t="shared" si="133"/>
        <v>ATENÇÃO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45</v>
      </c>
      <c r="C1328" t="s">
        <v>43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 t="shared" si="133"/>
        <v>BOM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46</v>
      </c>
      <c r="C1329" t="s">
        <v>18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18</v>
      </c>
      <c r="K1329" s="3">
        <f>I1329-J1329</f>
        <v>5</v>
      </c>
      <c r="L1329" s="3" t="str">
        <f t="shared" si="133"/>
        <v>BOM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47</v>
      </c>
      <c r="C1330" t="s">
        <v>16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14</v>
      </c>
      <c r="K1330" s="3">
        <f>I1330-J1330</f>
        <v>3</v>
      </c>
      <c r="L1330" s="3" t="str">
        <f t="shared" si="133"/>
        <v>BOM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48</v>
      </c>
      <c r="C1331" t="s">
        <v>16</v>
      </c>
      <c r="D1331">
        <v>0</v>
      </c>
      <c r="E1331">
        <v>0</v>
      </c>
      <c r="F1331">
        <v>0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 t="shared" si="133"/>
        <v>BOM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49</v>
      </c>
      <c r="C1332" t="s">
        <v>18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18</v>
      </c>
      <c r="K1332" s="3">
        <f>I1332-J1332</f>
        <v>-8</v>
      </c>
      <c r="L1332" s="3" t="str">
        <f t="shared" si="133"/>
        <v>CRÍTICO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50</v>
      </c>
      <c r="C1333" t="s">
        <v>20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12</v>
      </c>
      <c r="K1333" s="3">
        <f>I1333-J1333</f>
        <v>5</v>
      </c>
      <c r="L1333" s="3" t="str">
        <f t="shared" si="133"/>
        <v>BOM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51</v>
      </c>
      <c r="C1334" t="s">
        <v>23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5</v>
      </c>
      <c r="K1334" s="3">
        <f>I1334-J1334</f>
        <v>-1</v>
      </c>
      <c r="L1334" s="3" t="str">
        <f t="shared" si="133"/>
        <v>ATENÇÃO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52</v>
      </c>
      <c r="C1335" t="s">
        <v>18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18</v>
      </c>
      <c r="K1335" s="3">
        <f>I1335-J1335</f>
        <v>6</v>
      </c>
      <c r="L1335" s="3" t="str">
        <f t="shared" si="133"/>
        <v>EXCELENTE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53</v>
      </c>
      <c r="C1336" t="s">
        <v>18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18</v>
      </c>
      <c r="K1336" s="3">
        <f>I1336-J1336</f>
        <v>6</v>
      </c>
      <c r="L1336" s="3" t="str">
        <f t="shared" si="133"/>
        <v>EXCELENTE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54</v>
      </c>
      <c r="C1337" t="s">
        <v>23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33"/>
        <v>BOM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55</v>
      </c>
      <c r="C1338" t="s">
        <v>43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 t="shared" si="133"/>
        <v>BOM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56</v>
      </c>
      <c r="C1339" t="s">
        <v>16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14</v>
      </c>
      <c r="K1339" s="3">
        <f>I1339-J1339</f>
        <v>2</v>
      </c>
      <c r="L1339" s="3" t="str">
        <f t="shared" si="133"/>
        <v>BOM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57</v>
      </c>
      <c r="C1340" t="s">
        <v>43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33"/>
        <v>BOM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58</v>
      </c>
      <c r="C1341" t="s">
        <v>43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33"/>
        <v>BOM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59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33"/>
        <v>BOM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60</v>
      </c>
      <c r="C1343" t="s">
        <v>20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 t="shared" si="133"/>
        <v>BOM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61</v>
      </c>
      <c r="C1344" t="s">
        <v>18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18</v>
      </c>
      <c r="K1344" s="3">
        <f>I1344-J1344</f>
        <v>7</v>
      </c>
      <c r="L1344" s="3" t="str">
        <f t="shared" si="133"/>
        <v>EXCELENTE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62</v>
      </c>
      <c r="C1345" t="s">
        <v>20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12</v>
      </c>
      <c r="K1345" s="3">
        <f>I1345-J1345</f>
        <v>-1</v>
      </c>
      <c r="L1345" s="3" t="str">
        <f t="shared" si="133"/>
        <v>ATENÇÃO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63</v>
      </c>
      <c r="C1346" t="s">
        <v>18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18</v>
      </c>
      <c r="K1346" s="3">
        <f>I1346-J1346</f>
        <v>8</v>
      </c>
      <c r="L1346" s="3" t="str">
        <f t="shared" si="133"/>
        <v>EXCELENTE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15</v>
      </c>
      <c r="C1347" t="s">
        <v>16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15</v>
      </c>
      <c r="K1347" s="3">
        <f>I1347-J1347</f>
        <v>8</v>
      </c>
      <c r="L1347" s="3" t="str">
        <f t="shared" si="133"/>
        <v>EXCELENTE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17</v>
      </c>
      <c r="C1348" t="s">
        <v>18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 t="shared" si="133"/>
        <v>BOM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19</v>
      </c>
      <c r="C1349" t="s">
        <v>20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12</v>
      </c>
      <c r="K1349" s="3">
        <f>I1349-J1349</f>
        <v>9</v>
      </c>
      <c r="L1349" s="3" t="str">
        <f t="shared" si="133"/>
        <v>EXCELENTE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21</v>
      </c>
      <c r="C1350" t="s">
        <v>18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19</v>
      </c>
      <c r="K1350" s="3">
        <f>I1350-J1350</f>
        <v>1</v>
      </c>
      <c r="L1350" s="3" t="str">
        <f t="shared" si="133"/>
        <v>BOM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22</v>
      </c>
      <c r="C1351" t="s">
        <v>23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5</v>
      </c>
      <c r="K1351" s="3">
        <f>I1351-J1351</f>
        <v>4</v>
      </c>
      <c r="L1351" s="3" t="str">
        <f t="shared" ref="L1351:L1414" si="140">IF(K1351&lt;-5,"CRÍTICO",IF(K1351&lt;0,"ATENÇÃO",IF(K1351&lt;=5,"BOM","EXCELENTE")))</f>
        <v>BOM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24</v>
      </c>
      <c r="C1352" t="s">
        <v>16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15</v>
      </c>
      <c r="K1352" s="3">
        <f>I1352-J1352</f>
        <v>10</v>
      </c>
      <c r="L1352" s="3" t="str">
        <f t="shared" si="140"/>
        <v>EXCELENTE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25</v>
      </c>
      <c r="C1353" t="s">
        <v>16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15</v>
      </c>
      <c r="K1353" s="3">
        <f>I1353-J1353</f>
        <v>-3</v>
      </c>
      <c r="L1353" s="3" t="str">
        <f t="shared" si="140"/>
        <v>ATENÇÃO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26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 t="shared" si="140"/>
        <v>BOM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27</v>
      </c>
      <c r="C1355" t="s">
        <v>20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12</v>
      </c>
      <c r="K1355" s="3">
        <f>I1355-J1355</f>
        <v>13</v>
      </c>
      <c r="L1355" s="3" t="str">
        <f t="shared" si="140"/>
        <v>EXCELENTE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28</v>
      </c>
      <c r="C1356" t="s">
        <v>18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19</v>
      </c>
      <c r="K1356" s="3">
        <f>I1356-J1356</f>
        <v>8</v>
      </c>
      <c r="L1356" s="3" t="str">
        <f t="shared" si="140"/>
        <v>EXCELENTE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29</v>
      </c>
      <c r="C1357" t="s">
        <v>16</v>
      </c>
      <c r="D1357">
        <v>0</v>
      </c>
      <c r="E1357">
        <v>0</v>
      </c>
      <c r="F1357">
        <v>0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 t="shared" si="140"/>
        <v>BOM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30</v>
      </c>
      <c r="C1358" t="s">
        <v>20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12</v>
      </c>
      <c r="K1358" s="3">
        <f>I1358-J1358</f>
        <v>8</v>
      </c>
      <c r="L1358" s="3" t="str">
        <f t="shared" si="140"/>
        <v>EXCELENTE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31</v>
      </c>
      <c r="C1359" t="s">
        <v>18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40"/>
        <v>BOM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32</v>
      </c>
      <c r="C1360" t="s">
        <v>23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 t="shared" si="140"/>
        <v>BOM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33</v>
      </c>
      <c r="C1361" t="s">
        <v>16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 t="shared" ref="I1361:I1367" si="141">E1361+G1361+H1361</f>
        <v>30</v>
      </c>
      <c r="J1361" s="3">
        <f t="shared" ref="J1361:J1367" si="142"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15</v>
      </c>
      <c r="K1361" s="3">
        <f t="shared" ref="K1361:K1367" si="143">I1361-J1361</f>
        <v>15</v>
      </c>
      <c r="L1361" s="3" t="str">
        <f t="shared" si="140"/>
        <v>EXCELENTE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34</v>
      </c>
      <c r="C1362" t="s">
        <v>18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 t="shared" si="141"/>
        <v>22</v>
      </c>
      <c r="J1362" s="3">
        <f t="shared" si="142"/>
        <v>19</v>
      </c>
      <c r="K1362" s="3">
        <f t="shared" si="143"/>
        <v>3</v>
      </c>
      <c r="L1362" s="3" t="str">
        <f t="shared" si="140"/>
        <v>BOM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35</v>
      </c>
      <c r="C1363" t="s">
        <v>16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 t="shared" si="141"/>
        <v>8</v>
      </c>
      <c r="J1363" s="3">
        <f t="shared" si="142"/>
        <v>15</v>
      </c>
      <c r="K1363" s="3">
        <f t="shared" si="143"/>
        <v>-7</v>
      </c>
      <c r="L1363" s="3" t="str">
        <f t="shared" si="140"/>
        <v>CRÍTICO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36</v>
      </c>
      <c r="C1364" t="s">
        <v>20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 t="shared" si="141"/>
        <v>25</v>
      </c>
      <c r="J1364" s="3">
        <f t="shared" si="142"/>
        <v>12</v>
      </c>
      <c r="K1364" s="3">
        <f t="shared" si="143"/>
        <v>13</v>
      </c>
      <c r="L1364" s="3" t="str">
        <f t="shared" si="140"/>
        <v>EXCELENTE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37</v>
      </c>
      <c r="C1365" t="s">
        <v>16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 t="shared" si="141"/>
        <v>22</v>
      </c>
      <c r="J1365" s="3">
        <f t="shared" si="142"/>
        <v>15</v>
      </c>
      <c r="K1365" s="3">
        <f t="shared" si="143"/>
        <v>7</v>
      </c>
      <c r="L1365" s="3" t="str">
        <f t="shared" si="140"/>
        <v>EXCELENTE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38</v>
      </c>
      <c r="C1366" t="s">
        <v>18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 t="shared" si="141"/>
        <v>29</v>
      </c>
      <c r="J1366" s="3">
        <f t="shared" si="142"/>
        <v>19</v>
      </c>
      <c r="K1366" s="3">
        <f t="shared" si="143"/>
        <v>10</v>
      </c>
      <c r="L1366" s="3" t="str">
        <f t="shared" si="140"/>
        <v>EXCELENTE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39</v>
      </c>
      <c r="C1367" t="s">
        <v>18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 t="shared" si="141"/>
        <v>12</v>
      </c>
      <c r="J1367" s="3">
        <f t="shared" si="142"/>
        <v>19</v>
      </c>
      <c r="K1367" s="3">
        <f t="shared" si="143"/>
        <v>-7</v>
      </c>
      <c r="L1367" s="3" t="str">
        <f t="shared" si="140"/>
        <v>CRÍTICO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40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40"/>
        <v>BOM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41</v>
      </c>
      <c r="C1369" t="s">
        <v>18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 t="shared" si="140"/>
        <v>BOM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42</v>
      </c>
      <c r="C1370" t="s">
        <v>43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 t="shared" si="140"/>
        <v>ATENÇÃO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44</v>
      </c>
      <c r="C1371" t="s">
        <v>18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19</v>
      </c>
      <c r="K1371" s="3">
        <f>I1371-J1371</f>
        <v>5</v>
      </c>
      <c r="L1371" s="3" t="str">
        <f t="shared" si="140"/>
        <v>BOM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45</v>
      </c>
      <c r="C1372" t="s">
        <v>43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 t="shared" si="140"/>
        <v>BOM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46</v>
      </c>
      <c r="C1373" t="s">
        <v>18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19</v>
      </c>
      <c r="K1373" s="3">
        <f>I1373-J1373</f>
        <v>0</v>
      </c>
      <c r="L1373" s="3" t="str">
        <f t="shared" si="140"/>
        <v>BOM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47</v>
      </c>
      <c r="C1374" t="s">
        <v>16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15</v>
      </c>
      <c r="K1374" s="3">
        <f>I1374-J1374</f>
        <v>12</v>
      </c>
      <c r="L1374" s="3" t="str">
        <f t="shared" si="140"/>
        <v>EXCELENTE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48</v>
      </c>
      <c r="C1375" t="s">
        <v>16</v>
      </c>
      <c r="D1375">
        <v>0</v>
      </c>
      <c r="E1375">
        <v>0</v>
      </c>
      <c r="F1375">
        <v>0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 t="shared" si="140"/>
        <v>BOM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49</v>
      </c>
      <c r="C1376" t="s">
        <v>18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 t="shared" ref="I1376:I1381" si="144">E1376+G1376+H1376</f>
        <v>19</v>
      </c>
      <c r="J1376" s="3">
        <f t="shared" ref="J1376:J1381" si="145"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19</v>
      </c>
      <c r="K1376" s="3">
        <f t="shared" ref="K1376:K1381" si="146">I1376-J1376</f>
        <v>0</v>
      </c>
      <c r="L1376" s="3" t="str">
        <f t="shared" si="140"/>
        <v>BOM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50</v>
      </c>
      <c r="C1377" t="s">
        <v>20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 t="shared" si="144"/>
        <v>17</v>
      </c>
      <c r="J1377" s="3">
        <f t="shared" si="145"/>
        <v>12</v>
      </c>
      <c r="K1377" s="3">
        <f t="shared" si="146"/>
        <v>5</v>
      </c>
      <c r="L1377" s="3" t="str">
        <f t="shared" si="140"/>
        <v>BOM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51</v>
      </c>
      <c r="C1378" t="s">
        <v>23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 t="shared" si="144"/>
        <v>8</v>
      </c>
      <c r="J1378" s="3">
        <f t="shared" si="145"/>
        <v>5</v>
      </c>
      <c r="K1378" s="3">
        <f t="shared" si="146"/>
        <v>3</v>
      </c>
      <c r="L1378" s="3" t="str">
        <f t="shared" si="140"/>
        <v>BOM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52</v>
      </c>
      <c r="C1379" t="s">
        <v>18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 t="shared" si="144"/>
        <v>27</v>
      </c>
      <c r="J1379" s="3">
        <f t="shared" si="145"/>
        <v>19</v>
      </c>
      <c r="K1379" s="3">
        <f t="shared" si="146"/>
        <v>8</v>
      </c>
      <c r="L1379" s="3" t="str">
        <f t="shared" si="140"/>
        <v>EXCELENTE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53</v>
      </c>
      <c r="C1380" t="s">
        <v>18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 t="shared" si="144"/>
        <v>27</v>
      </c>
      <c r="J1380" s="3">
        <f t="shared" si="145"/>
        <v>19</v>
      </c>
      <c r="K1380" s="3">
        <f t="shared" si="146"/>
        <v>8</v>
      </c>
      <c r="L1380" s="3" t="str">
        <f t="shared" si="140"/>
        <v>EXCELENTE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54</v>
      </c>
      <c r="C1381" t="s">
        <v>23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 t="shared" si="144"/>
        <v>5</v>
      </c>
      <c r="J1381" s="3">
        <f t="shared" si="145"/>
        <v>5</v>
      </c>
      <c r="K1381" s="3">
        <f t="shared" si="146"/>
        <v>0</v>
      </c>
      <c r="L1381" s="3" t="str">
        <f t="shared" si="140"/>
        <v>BOM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55</v>
      </c>
      <c r="C1382" t="s">
        <v>43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 t="shared" si="140"/>
        <v>BOM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56</v>
      </c>
      <c r="C1383" t="s">
        <v>16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15</v>
      </c>
      <c r="K1383" s="3">
        <f>I1383-J1383</f>
        <v>3</v>
      </c>
      <c r="L1383" s="3" t="str">
        <f t="shared" si="140"/>
        <v>BOM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57</v>
      </c>
      <c r="C1384" t="s">
        <v>43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40"/>
        <v>BOM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58</v>
      </c>
      <c r="C1385" t="s">
        <v>43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40"/>
        <v>BOM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59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40"/>
        <v>BOM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60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 t="shared" si="140"/>
        <v>BOM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61</v>
      </c>
      <c r="C1388" t="s">
        <v>18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19</v>
      </c>
      <c r="K1388" s="3">
        <f>I1388-J1388</f>
        <v>1</v>
      </c>
      <c r="L1388" s="3" t="str">
        <f t="shared" si="140"/>
        <v>BOM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62</v>
      </c>
      <c r="C1389" t="s">
        <v>20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12</v>
      </c>
      <c r="K1389" s="3">
        <f>I1389-J1389</f>
        <v>2</v>
      </c>
      <c r="L1389" s="3" t="str">
        <f t="shared" si="140"/>
        <v>BOM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63</v>
      </c>
      <c r="C1390" t="s">
        <v>18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19</v>
      </c>
      <c r="K1390" s="3">
        <f>I1390-J1390</f>
        <v>-1</v>
      </c>
      <c r="L1390" s="3" t="str">
        <f t="shared" si="140"/>
        <v>ATENÇÃO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15</v>
      </c>
      <c r="C1391" t="s">
        <v>16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16</v>
      </c>
      <c r="K1391" s="3">
        <f>I1391-J1391</f>
        <v>7</v>
      </c>
      <c r="L1391" s="3" t="str">
        <f t="shared" si="140"/>
        <v>EXCELENTE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17</v>
      </c>
      <c r="C1392" t="s">
        <v>18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 t="shared" si="140"/>
        <v>BOM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19</v>
      </c>
      <c r="C1393" t="s">
        <v>20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13</v>
      </c>
      <c r="K1393" s="3">
        <f>I1393-J1393</f>
        <v>5</v>
      </c>
      <c r="L1393" s="3" t="str">
        <f t="shared" si="140"/>
        <v>BOM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21</v>
      </c>
      <c r="C1394" t="s">
        <v>18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20</v>
      </c>
      <c r="K1394" s="3">
        <f>I1394-J1394</f>
        <v>9</v>
      </c>
      <c r="L1394" s="3" t="str">
        <f t="shared" si="140"/>
        <v>EXCELENTE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22</v>
      </c>
      <c r="C1395" t="s">
        <v>23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 t="shared" si="140"/>
        <v>BOM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24</v>
      </c>
      <c r="C1396" t="s">
        <v>16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16</v>
      </c>
      <c r="K1396" s="3">
        <f>I1396-J1396</f>
        <v>10</v>
      </c>
      <c r="L1396" s="3" t="str">
        <f t="shared" si="140"/>
        <v>EXCELENTE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25</v>
      </c>
      <c r="C1397" t="s">
        <v>16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16</v>
      </c>
      <c r="K1397" s="3">
        <f>I1397-J1397</f>
        <v>-1</v>
      </c>
      <c r="L1397" s="3" t="str">
        <f t="shared" si="140"/>
        <v>ATENÇÃO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26</v>
      </c>
      <c r="C1398" t="s">
        <v>23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 t="shared" si="140"/>
        <v>BOM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27</v>
      </c>
      <c r="C1399" t="s">
        <v>20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13</v>
      </c>
      <c r="K1399" s="3">
        <f>I1399-J1399</f>
        <v>9</v>
      </c>
      <c r="L1399" s="3" t="str">
        <f t="shared" si="140"/>
        <v>EXCELENTE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28</v>
      </c>
      <c r="C1400" t="s">
        <v>18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20</v>
      </c>
      <c r="K1400" s="3">
        <f>I1400-J1400</f>
        <v>9</v>
      </c>
      <c r="L1400" s="3" t="str">
        <f t="shared" si="140"/>
        <v>EXCELENTE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29</v>
      </c>
      <c r="C1401" t="s">
        <v>16</v>
      </c>
      <c r="D1401">
        <v>0</v>
      </c>
      <c r="E1401">
        <v>0</v>
      </c>
      <c r="F1401">
        <v>0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 t="shared" si="140"/>
        <v>BOM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30</v>
      </c>
      <c r="C1402" t="s">
        <v>20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13</v>
      </c>
      <c r="K1402" s="3">
        <f>I1402-J1402</f>
        <v>-8</v>
      </c>
      <c r="L1402" s="3" t="str">
        <f t="shared" si="140"/>
        <v>CRÍTICO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31</v>
      </c>
      <c r="C1403" t="s">
        <v>18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40"/>
        <v>BOM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32</v>
      </c>
      <c r="C1404" t="s">
        <v>23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 t="shared" si="140"/>
        <v>BOM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33</v>
      </c>
      <c r="C1405" t="s">
        <v>16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 t="shared" ref="I1405:I1412" si="147">E1405+G1405+H1405</f>
        <v>26</v>
      </c>
      <c r="J1405" s="3">
        <f t="shared" ref="J1405:J1412" si="148"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16</v>
      </c>
      <c r="K1405" s="3">
        <f t="shared" ref="K1405:K1412" si="149">I1405-J1405</f>
        <v>10</v>
      </c>
      <c r="L1405" s="3" t="str">
        <f t="shared" si="140"/>
        <v>EXCELENTE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34</v>
      </c>
      <c r="C1406" t="s">
        <v>18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 t="shared" si="147"/>
        <v>17</v>
      </c>
      <c r="J1406" s="3">
        <f t="shared" si="148"/>
        <v>20</v>
      </c>
      <c r="K1406" s="3">
        <f t="shared" si="149"/>
        <v>-3</v>
      </c>
      <c r="L1406" s="3" t="str">
        <f t="shared" si="140"/>
        <v>ATENÇÃO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35</v>
      </c>
      <c r="C1407" t="s">
        <v>16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 t="shared" si="147"/>
        <v>20</v>
      </c>
      <c r="J1407" s="3">
        <f t="shared" si="148"/>
        <v>16</v>
      </c>
      <c r="K1407" s="3">
        <f t="shared" si="149"/>
        <v>4</v>
      </c>
      <c r="L1407" s="3" t="str">
        <f t="shared" si="140"/>
        <v>BOM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36</v>
      </c>
      <c r="C1408" t="s">
        <v>20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 t="shared" si="147"/>
        <v>15</v>
      </c>
      <c r="J1408" s="3">
        <f t="shared" si="148"/>
        <v>12</v>
      </c>
      <c r="K1408" s="3">
        <f t="shared" si="149"/>
        <v>3</v>
      </c>
      <c r="L1408" s="3" t="str">
        <f t="shared" si="140"/>
        <v>BOM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37</v>
      </c>
      <c r="C1409" t="s">
        <v>16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 t="shared" si="147"/>
        <v>20</v>
      </c>
      <c r="J1409" s="3">
        <f t="shared" si="148"/>
        <v>16</v>
      </c>
      <c r="K1409" s="3">
        <f t="shared" si="149"/>
        <v>4</v>
      </c>
      <c r="L1409" s="3" t="str">
        <f t="shared" si="140"/>
        <v>BOM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38</v>
      </c>
      <c r="C1410" t="s">
        <v>18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 t="shared" si="147"/>
        <v>25</v>
      </c>
      <c r="J1410" s="3">
        <f t="shared" si="148"/>
        <v>20</v>
      </c>
      <c r="K1410" s="3">
        <f t="shared" si="149"/>
        <v>5</v>
      </c>
      <c r="L1410" s="3" t="str">
        <f t="shared" si="140"/>
        <v>BOM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39</v>
      </c>
      <c r="C1411" t="s">
        <v>18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 t="shared" si="147"/>
        <v>8</v>
      </c>
      <c r="J1411" s="3">
        <f t="shared" si="148"/>
        <v>20</v>
      </c>
      <c r="K1411" s="3">
        <f t="shared" si="149"/>
        <v>-12</v>
      </c>
      <c r="L1411" s="3" t="str">
        <f t="shared" si="140"/>
        <v>CRÍTICO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40</v>
      </c>
      <c r="C1412" t="s">
        <v>16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 t="shared" si="147"/>
        <v>20</v>
      </c>
      <c r="J1412" s="3">
        <f t="shared" si="148"/>
        <v>16</v>
      </c>
      <c r="K1412" s="3">
        <f t="shared" si="149"/>
        <v>4</v>
      </c>
      <c r="L1412" s="3" t="str">
        <f t="shared" si="140"/>
        <v>BOM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41</v>
      </c>
      <c r="C1413" t="s">
        <v>18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 t="shared" si="140"/>
        <v>BOM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42</v>
      </c>
      <c r="C1414" t="s">
        <v>43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11</v>
      </c>
      <c r="K1414" s="3">
        <f>I1414-J1414</f>
        <v>-7</v>
      </c>
      <c r="L1414" s="3" t="str">
        <f t="shared" si="140"/>
        <v>CRÍTICO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44</v>
      </c>
      <c r="C1415" t="s">
        <v>18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20</v>
      </c>
      <c r="K1415" s="3">
        <f>I1415-J1415</f>
        <v>-2</v>
      </c>
      <c r="L1415" s="3" t="str">
        <f t="shared" ref="L1415:L1478" si="150">IF(K1415&lt;-5,"CRÍTICO",IF(K1415&lt;0,"ATENÇÃO",IF(K1415&lt;=5,"BOM","EXCELENTE")))</f>
        <v>ATENÇÃO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45</v>
      </c>
      <c r="C1416" t="s">
        <v>43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 t="shared" si="150"/>
        <v>BOM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46</v>
      </c>
      <c r="C1417" t="s">
        <v>18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20</v>
      </c>
      <c r="K1417" s="3">
        <f>I1417-J1417</f>
        <v>1</v>
      </c>
      <c r="L1417" s="3" t="str">
        <f t="shared" si="150"/>
        <v>BOM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47</v>
      </c>
      <c r="C1418" t="s">
        <v>16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16</v>
      </c>
      <c r="K1418" s="3">
        <f>I1418-J1418</f>
        <v>7</v>
      </c>
      <c r="L1418" s="3" t="str">
        <f t="shared" si="150"/>
        <v>EXCELENTE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48</v>
      </c>
      <c r="C1419" t="s">
        <v>16</v>
      </c>
      <c r="D1419">
        <v>0</v>
      </c>
      <c r="E1419">
        <v>0</v>
      </c>
      <c r="F1419">
        <v>0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 t="shared" si="150"/>
        <v>BOM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49</v>
      </c>
      <c r="C1420" t="s">
        <v>18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 t="shared" ref="I1420:I1425" si="151">E1420+G1420+H1420</f>
        <v>29</v>
      </c>
      <c r="J1420" s="3">
        <f t="shared" ref="J1420:J1425" si="152"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20</v>
      </c>
      <c r="K1420" s="3">
        <f t="shared" ref="K1420:K1425" si="153">I1420-J1420</f>
        <v>9</v>
      </c>
      <c r="L1420" s="3" t="str">
        <f t="shared" si="150"/>
        <v>EXCELENTE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50</v>
      </c>
      <c r="C1421" t="s">
        <v>20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 t="shared" si="151"/>
        <v>23</v>
      </c>
      <c r="J1421" s="3">
        <f t="shared" si="152"/>
        <v>13</v>
      </c>
      <c r="K1421" s="3">
        <f t="shared" si="153"/>
        <v>10</v>
      </c>
      <c r="L1421" s="3" t="str">
        <f t="shared" si="150"/>
        <v>EXCELENTE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51</v>
      </c>
      <c r="C1422" t="s">
        <v>23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 t="shared" si="151"/>
        <v>8</v>
      </c>
      <c r="J1422" s="3">
        <f t="shared" si="152"/>
        <v>6</v>
      </c>
      <c r="K1422" s="3">
        <f t="shared" si="153"/>
        <v>2</v>
      </c>
      <c r="L1422" s="3" t="str">
        <f t="shared" si="150"/>
        <v>BOM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52</v>
      </c>
      <c r="C1423" t="s">
        <v>18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 t="shared" si="151"/>
        <v>22</v>
      </c>
      <c r="J1423" s="3">
        <f t="shared" si="152"/>
        <v>20</v>
      </c>
      <c r="K1423" s="3">
        <f t="shared" si="153"/>
        <v>2</v>
      </c>
      <c r="L1423" s="3" t="str">
        <f t="shared" si="150"/>
        <v>BOM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53</v>
      </c>
      <c r="C1424" t="s">
        <v>18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 t="shared" si="151"/>
        <v>23</v>
      </c>
      <c r="J1424" s="3">
        <f t="shared" si="152"/>
        <v>20</v>
      </c>
      <c r="K1424" s="3">
        <f t="shared" si="153"/>
        <v>3</v>
      </c>
      <c r="L1424" s="3" t="str">
        <f t="shared" si="150"/>
        <v>BOM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54</v>
      </c>
      <c r="C1425" t="s">
        <v>23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 t="shared" si="151"/>
        <v>9</v>
      </c>
      <c r="J1425" s="3">
        <f t="shared" si="152"/>
        <v>6</v>
      </c>
      <c r="K1425" s="3">
        <f t="shared" si="153"/>
        <v>3</v>
      </c>
      <c r="L1425" s="3" t="str">
        <f t="shared" si="150"/>
        <v>BOM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55</v>
      </c>
      <c r="C1426" t="s">
        <v>43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 t="shared" si="150"/>
        <v>BOM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56</v>
      </c>
      <c r="C1427" t="s">
        <v>16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16</v>
      </c>
      <c r="K1427" s="3">
        <f>I1427-J1427</f>
        <v>2</v>
      </c>
      <c r="L1427" s="3" t="str">
        <f t="shared" si="150"/>
        <v>BOM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57</v>
      </c>
      <c r="C1428" t="s">
        <v>43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50"/>
        <v>BOM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58</v>
      </c>
      <c r="C1429" t="s">
        <v>43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50"/>
        <v>BOM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59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50"/>
        <v>BOM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60</v>
      </c>
      <c r="C1431" t="s">
        <v>20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 t="shared" si="150"/>
        <v>BOM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61</v>
      </c>
      <c r="C1432" t="s">
        <v>18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20</v>
      </c>
      <c r="K1432" s="3">
        <f>I1432-J1432</f>
        <v>4</v>
      </c>
      <c r="L1432" s="3" t="str">
        <f t="shared" si="150"/>
        <v>BOM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62</v>
      </c>
      <c r="C1433" t="s">
        <v>20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13</v>
      </c>
      <c r="K1433" s="3">
        <f>I1433-J1433</f>
        <v>0</v>
      </c>
      <c r="L1433" s="3" t="str">
        <f t="shared" si="150"/>
        <v>BOM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63</v>
      </c>
      <c r="C1434" t="s">
        <v>18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20</v>
      </c>
      <c r="K1434" s="3">
        <f>I1434-J1434</f>
        <v>7</v>
      </c>
      <c r="L1434" s="3" t="str">
        <f t="shared" si="150"/>
        <v>EXCELENTE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15</v>
      </c>
      <c r="C1435" t="s">
        <v>16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15</v>
      </c>
      <c r="K1435" s="3">
        <f>I1435-J1435</f>
        <v>7</v>
      </c>
      <c r="L1435" s="3" t="str">
        <f t="shared" si="150"/>
        <v>EXCELENTE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17</v>
      </c>
      <c r="C1436" t="s">
        <v>18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 t="shared" si="150"/>
        <v>BOM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19</v>
      </c>
      <c r="C1437" t="s">
        <v>20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13</v>
      </c>
      <c r="K1437" s="3">
        <f>I1437-J1437</f>
        <v>16</v>
      </c>
      <c r="L1437" s="3" t="str">
        <f t="shared" si="150"/>
        <v>EXCELENTE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21</v>
      </c>
      <c r="C1438" t="s">
        <v>18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19</v>
      </c>
      <c r="K1438" s="3">
        <f>I1438-J1438</f>
        <v>3</v>
      </c>
      <c r="L1438" s="3" t="str">
        <f t="shared" si="150"/>
        <v>BOM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22</v>
      </c>
      <c r="C1439" t="s">
        <v>23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 t="shared" si="150"/>
        <v>BOM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24</v>
      </c>
      <c r="C1440" t="s">
        <v>16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15</v>
      </c>
      <c r="K1440" s="3">
        <f>I1440-J1440</f>
        <v>6</v>
      </c>
      <c r="L1440" s="3" t="str">
        <f t="shared" si="150"/>
        <v>EXCELENTE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25</v>
      </c>
      <c r="C1441" t="s">
        <v>16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15</v>
      </c>
      <c r="K1441" s="3">
        <f>I1441-J1441</f>
        <v>8</v>
      </c>
      <c r="L1441" s="3" t="str">
        <f t="shared" si="150"/>
        <v>EXCELENTE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26</v>
      </c>
      <c r="C1442" t="s">
        <v>23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 t="shared" si="150"/>
        <v>BOM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27</v>
      </c>
      <c r="C1443" t="s">
        <v>20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13</v>
      </c>
      <c r="K1443" s="3">
        <f>I1443-J1443</f>
        <v>2</v>
      </c>
      <c r="L1443" s="3" t="str">
        <f t="shared" si="150"/>
        <v>BOM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28</v>
      </c>
      <c r="C1444" t="s">
        <v>18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19</v>
      </c>
      <c r="K1444" s="3">
        <f>I1444-J1444</f>
        <v>8</v>
      </c>
      <c r="L1444" s="3" t="str">
        <f t="shared" si="150"/>
        <v>EXCELENTE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29</v>
      </c>
      <c r="C1445" t="s">
        <v>16</v>
      </c>
      <c r="D1445">
        <v>0</v>
      </c>
      <c r="E1445">
        <v>0</v>
      </c>
      <c r="F1445">
        <v>0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 t="shared" si="150"/>
        <v>BOM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30</v>
      </c>
      <c r="C1446" t="s">
        <v>20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13</v>
      </c>
      <c r="K1446" s="3">
        <f>I1446-J1446</f>
        <v>14</v>
      </c>
      <c r="L1446" s="3" t="str">
        <f t="shared" si="150"/>
        <v>EXCELENTE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31</v>
      </c>
      <c r="C1447" t="s">
        <v>18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50"/>
        <v>BOM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32</v>
      </c>
      <c r="C1448" t="s">
        <v>23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 t="shared" si="150"/>
        <v>BOM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33</v>
      </c>
      <c r="C1449" t="s">
        <v>16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 t="shared" ref="I1449:I1456" si="154">E1449+G1449+H1449</f>
        <v>20</v>
      </c>
      <c r="J1449" s="3">
        <f t="shared" ref="J1449:J1456" si="155"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15</v>
      </c>
      <c r="K1449" s="3">
        <f t="shared" ref="K1449:K1456" si="156">I1449-J1449</f>
        <v>5</v>
      </c>
      <c r="L1449" s="3" t="str">
        <f t="shared" si="150"/>
        <v>BOM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34</v>
      </c>
      <c r="C1450" t="s">
        <v>18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 t="shared" si="154"/>
        <v>13</v>
      </c>
      <c r="J1450" s="3">
        <f t="shared" si="155"/>
        <v>19</v>
      </c>
      <c r="K1450" s="3">
        <f t="shared" si="156"/>
        <v>-6</v>
      </c>
      <c r="L1450" s="3" t="str">
        <f t="shared" si="150"/>
        <v>CRÍTICO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35</v>
      </c>
      <c r="C1451" t="s">
        <v>16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 t="shared" si="154"/>
        <v>17</v>
      </c>
      <c r="J1451" s="3">
        <f t="shared" si="155"/>
        <v>15</v>
      </c>
      <c r="K1451" s="3">
        <f t="shared" si="156"/>
        <v>2</v>
      </c>
      <c r="L1451" s="3" t="str">
        <f t="shared" si="150"/>
        <v>BOM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36</v>
      </c>
      <c r="C1452" t="s">
        <v>20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 t="shared" si="154"/>
        <v>13</v>
      </c>
      <c r="J1452" s="3">
        <f t="shared" si="155"/>
        <v>13</v>
      </c>
      <c r="K1452" s="3">
        <f t="shared" si="156"/>
        <v>0</v>
      </c>
      <c r="L1452" s="3" t="str">
        <f t="shared" si="150"/>
        <v>BOM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37</v>
      </c>
      <c r="C1453" t="s">
        <v>16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 t="shared" si="154"/>
        <v>23</v>
      </c>
      <c r="J1453" s="3">
        <f t="shared" si="155"/>
        <v>15</v>
      </c>
      <c r="K1453" s="3">
        <f t="shared" si="156"/>
        <v>8</v>
      </c>
      <c r="L1453" s="3" t="str">
        <f t="shared" si="150"/>
        <v>EXCELENTE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38</v>
      </c>
      <c r="C1454" t="s">
        <v>18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 t="shared" si="154"/>
        <v>34</v>
      </c>
      <c r="J1454" s="3">
        <f t="shared" si="155"/>
        <v>19</v>
      </c>
      <c r="K1454" s="3">
        <f t="shared" si="156"/>
        <v>15</v>
      </c>
      <c r="L1454" s="3" t="str">
        <f t="shared" si="150"/>
        <v>EXCELENTE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39</v>
      </c>
      <c r="C1455" t="s">
        <v>18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 t="shared" si="154"/>
        <v>6</v>
      </c>
      <c r="J1455" s="3">
        <f t="shared" si="155"/>
        <v>19</v>
      </c>
      <c r="K1455" s="3">
        <f t="shared" si="156"/>
        <v>-13</v>
      </c>
      <c r="L1455" s="3" t="str">
        <f t="shared" si="150"/>
        <v>CRÍTICO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40</v>
      </c>
      <c r="C1456" t="s">
        <v>16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 t="shared" si="154"/>
        <v>17</v>
      </c>
      <c r="J1456" s="3">
        <f t="shared" si="155"/>
        <v>15</v>
      </c>
      <c r="K1456" s="3">
        <f t="shared" si="156"/>
        <v>2</v>
      </c>
      <c r="L1456" s="3" t="str">
        <f t="shared" si="150"/>
        <v>BOM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41</v>
      </c>
      <c r="C1457" t="s">
        <v>18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 t="shared" si="150"/>
        <v>BOM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42</v>
      </c>
      <c r="C1458" t="s">
        <v>43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11</v>
      </c>
      <c r="K1458" s="3">
        <f>I1458-J1458</f>
        <v>-6</v>
      </c>
      <c r="L1458" s="3" t="str">
        <f t="shared" si="150"/>
        <v>CRÍTICO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44</v>
      </c>
      <c r="C1459" t="s">
        <v>18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19</v>
      </c>
      <c r="K1459" s="3">
        <f>I1459-J1459</f>
        <v>3</v>
      </c>
      <c r="L1459" s="3" t="str">
        <f t="shared" si="150"/>
        <v>BOM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45</v>
      </c>
      <c r="C1460" t="s">
        <v>43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 t="shared" si="150"/>
        <v>BOM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46</v>
      </c>
      <c r="C1461" t="s">
        <v>18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19</v>
      </c>
      <c r="K1461" s="3">
        <f>I1461-J1461</f>
        <v>-8</v>
      </c>
      <c r="L1461" s="3" t="str">
        <f t="shared" si="150"/>
        <v>CRÍTICO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47</v>
      </c>
      <c r="C1462" t="s">
        <v>16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15</v>
      </c>
      <c r="K1462" s="3">
        <f>I1462-J1462</f>
        <v>8</v>
      </c>
      <c r="L1462" s="3" t="str">
        <f t="shared" si="150"/>
        <v>EXCELENTE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48</v>
      </c>
      <c r="C1463" t="s">
        <v>16</v>
      </c>
      <c r="D1463">
        <v>0</v>
      </c>
      <c r="E1463">
        <v>0</v>
      </c>
      <c r="F1463">
        <v>0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 t="shared" si="150"/>
        <v>BOM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49</v>
      </c>
      <c r="C1464" t="s">
        <v>18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 t="shared" ref="I1464:I1469" si="157">E1464+G1464+H1464</f>
        <v>17</v>
      </c>
      <c r="J1464" s="3">
        <f t="shared" ref="J1464:J1469" si="158"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19</v>
      </c>
      <c r="K1464" s="3">
        <f t="shared" ref="K1464:K1469" si="159">I1464-J1464</f>
        <v>-2</v>
      </c>
      <c r="L1464" s="3" t="str">
        <f t="shared" si="150"/>
        <v>ATENÇÃO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50</v>
      </c>
      <c r="C1465" t="s">
        <v>20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 t="shared" si="157"/>
        <v>18</v>
      </c>
      <c r="J1465" s="3">
        <f t="shared" si="158"/>
        <v>13</v>
      </c>
      <c r="K1465" s="3">
        <f t="shared" si="159"/>
        <v>5</v>
      </c>
      <c r="L1465" s="3" t="str">
        <f t="shared" si="150"/>
        <v>BOM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51</v>
      </c>
      <c r="C1466" t="s">
        <v>23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 t="shared" si="157"/>
        <v>9</v>
      </c>
      <c r="J1466" s="3">
        <f t="shared" si="158"/>
        <v>6</v>
      </c>
      <c r="K1466" s="3">
        <f t="shared" si="159"/>
        <v>3</v>
      </c>
      <c r="L1466" s="3" t="str">
        <f t="shared" si="150"/>
        <v>BOM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52</v>
      </c>
      <c r="C1467" t="s">
        <v>18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 t="shared" si="157"/>
        <v>26</v>
      </c>
      <c r="J1467" s="3">
        <f t="shared" si="158"/>
        <v>19</v>
      </c>
      <c r="K1467" s="3">
        <f t="shared" si="159"/>
        <v>7</v>
      </c>
      <c r="L1467" s="3" t="str">
        <f t="shared" si="150"/>
        <v>EXCELENTE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53</v>
      </c>
      <c r="C1468" t="s">
        <v>18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 t="shared" si="157"/>
        <v>24</v>
      </c>
      <c r="J1468" s="3">
        <f t="shared" si="158"/>
        <v>19</v>
      </c>
      <c r="K1468" s="3">
        <f t="shared" si="159"/>
        <v>5</v>
      </c>
      <c r="L1468" s="3" t="str">
        <f t="shared" si="150"/>
        <v>BOM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54</v>
      </c>
      <c r="C1469" t="s">
        <v>23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 t="shared" si="157"/>
        <v>8</v>
      </c>
      <c r="J1469" s="3">
        <f t="shared" si="158"/>
        <v>6</v>
      </c>
      <c r="K1469" s="3">
        <f t="shared" si="159"/>
        <v>2</v>
      </c>
      <c r="L1469" s="3" t="str">
        <f t="shared" si="150"/>
        <v>BOM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55</v>
      </c>
      <c r="C1470" t="s">
        <v>43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 t="shared" si="150"/>
        <v>BOM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56</v>
      </c>
      <c r="C1471" t="s">
        <v>16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15</v>
      </c>
      <c r="K1471" s="3">
        <f>I1471-J1471</f>
        <v>6</v>
      </c>
      <c r="L1471" s="3" t="str">
        <f t="shared" si="150"/>
        <v>EXCELENTE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57</v>
      </c>
      <c r="C1472" t="s">
        <v>43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50"/>
        <v>BOM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58</v>
      </c>
      <c r="C1473" t="s">
        <v>43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50"/>
        <v>BOM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59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50"/>
        <v>BOM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60</v>
      </c>
      <c r="C1475" t="s">
        <v>20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 t="shared" si="150"/>
        <v>BOM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61</v>
      </c>
      <c r="C1476" t="s">
        <v>18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19</v>
      </c>
      <c r="K1476" s="3">
        <f>I1476-J1476</f>
        <v>9</v>
      </c>
      <c r="L1476" s="3" t="str">
        <f t="shared" si="150"/>
        <v>EXCELENTE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62</v>
      </c>
      <c r="C1477" t="s">
        <v>20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13</v>
      </c>
      <c r="K1477" s="3">
        <f>I1477-J1477</f>
        <v>2</v>
      </c>
      <c r="L1477" s="3" t="str">
        <f t="shared" si="150"/>
        <v>BOM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63</v>
      </c>
      <c r="C1478" t="s">
        <v>18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 t="shared" si="150"/>
        <v>EXCELENTE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15</v>
      </c>
      <c r="C1479" t="s">
        <v>16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18</v>
      </c>
      <c r="K1479" s="3">
        <f>I1479-J1479</f>
        <v>7</v>
      </c>
      <c r="L1479" s="3" t="str">
        <f t="shared" ref="L1479:L1542" si="160">IF(K1479&lt;-5,"CRÍTICO",IF(K1479&lt;0,"ATENÇÃO",IF(K1479&lt;=5,"BOM","EXCELENTE")))</f>
        <v>EXCELENTE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17</v>
      </c>
      <c r="C1480" t="s">
        <v>18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 t="shared" si="160"/>
        <v>BOM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19</v>
      </c>
      <c r="C1481" t="s">
        <v>20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14</v>
      </c>
      <c r="K1481" s="3">
        <f>I1481-J1481</f>
        <v>12</v>
      </c>
      <c r="L1481" s="3" t="str">
        <f t="shared" si="160"/>
        <v>EXCELENTE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21</v>
      </c>
      <c r="C1482" t="s">
        <v>18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22</v>
      </c>
      <c r="K1482" s="3">
        <f>I1482-J1482</f>
        <v>2</v>
      </c>
      <c r="L1482" s="3" t="str">
        <f t="shared" si="160"/>
        <v>BOM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22</v>
      </c>
      <c r="C1483" t="s">
        <v>23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6</v>
      </c>
      <c r="K1483" s="3">
        <f>I1483-J1483</f>
        <v>3</v>
      </c>
      <c r="L1483" s="3" t="str">
        <f t="shared" si="160"/>
        <v>BOM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24</v>
      </c>
      <c r="C1484" t="s">
        <v>16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18</v>
      </c>
      <c r="K1484" s="3">
        <f>I1484-J1484</f>
        <v>12</v>
      </c>
      <c r="L1484" s="3" t="str">
        <f t="shared" si="160"/>
        <v>EXCELENTE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25</v>
      </c>
      <c r="C1485" t="s">
        <v>16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18</v>
      </c>
      <c r="K1485" s="3">
        <f>I1485-J1485</f>
        <v>5</v>
      </c>
      <c r="L1485" s="3" t="str">
        <f t="shared" si="160"/>
        <v>BOM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26</v>
      </c>
      <c r="C1486" t="s">
        <v>23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 t="shared" si="160"/>
        <v>BOM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27</v>
      </c>
      <c r="C1487" t="s">
        <v>20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14</v>
      </c>
      <c r="K1487" s="3">
        <f>I1487-J1487</f>
        <v>6</v>
      </c>
      <c r="L1487" s="3" t="str">
        <f t="shared" si="160"/>
        <v>EXCELENTE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28</v>
      </c>
      <c r="C1488" t="s">
        <v>18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22</v>
      </c>
      <c r="K1488" s="3">
        <f>I1488-J1488</f>
        <v>6</v>
      </c>
      <c r="L1488" s="3" t="str">
        <f t="shared" si="160"/>
        <v>EXCELENTE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29</v>
      </c>
      <c r="C1489" t="s">
        <v>16</v>
      </c>
      <c r="D1489">
        <v>0</v>
      </c>
      <c r="E1489">
        <v>0</v>
      </c>
      <c r="F1489">
        <v>0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 t="shared" si="160"/>
        <v>BOM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30</v>
      </c>
      <c r="C1490" t="s">
        <v>20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14</v>
      </c>
      <c r="K1490" s="3">
        <f>I1490-J1490</f>
        <v>-3</v>
      </c>
      <c r="L1490" s="3" t="str">
        <f t="shared" si="160"/>
        <v>ATENÇÃO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31</v>
      </c>
      <c r="C1491" t="s">
        <v>18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60"/>
        <v>BOM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32</v>
      </c>
      <c r="C1492" t="s">
        <v>23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 t="shared" si="160"/>
        <v>BOM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33</v>
      </c>
      <c r="C1493" t="s">
        <v>16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 t="shared" ref="I1493:I1500" si="161">E1493+G1493+H1493</f>
        <v>31</v>
      </c>
      <c r="J1493" s="3">
        <f t="shared" ref="J1493:J1500" si="162"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18</v>
      </c>
      <c r="K1493" s="3">
        <f t="shared" ref="K1493:K1500" si="163">I1493-J1493</f>
        <v>13</v>
      </c>
      <c r="L1493" s="3" t="str">
        <f t="shared" si="160"/>
        <v>EXCELENTE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34</v>
      </c>
      <c r="C1494" t="s">
        <v>18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 t="shared" si="161"/>
        <v>25</v>
      </c>
      <c r="J1494" s="3">
        <f t="shared" si="162"/>
        <v>22</v>
      </c>
      <c r="K1494" s="3">
        <f t="shared" si="163"/>
        <v>3</v>
      </c>
      <c r="L1494" s="3" t="str">
        <f t="shared" si="160"/>
        <v>BOM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35</v>
      </c>
      <c r="C1495" t="s">
        <v>16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 t="shared" si="161"/>
        <v>24</v>
      </c>
      <c r="J1495" s="3">
        <f t="shared" si="162"/>
        <v>18</v>
      </c>
      <c r="K1495" s="3">
        <f t="shared" si="163"/>
        <v>6</v>
      </c>
      <c r="L1495" s="3" t="str">
        <f t="shared" si="160"/>
        <v>EXCELENTE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36</v>
      </c>
      <c r="C1496" t="s">
        <v>20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 t="shared" si="161"/>
        <v>13</v>
      </c>
      <c r="J1496" s="3">
        <f t="shared" si="162"/>
        <v>12</v>
      </c>
      <c r="K1496" s="3">
        <f t="shared" si="163"/>
        <v>1</v>
      </c>
      <c r="L1496" s="3" t="str">
        <f t="shared" si="160"/>
        <v>BOM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37</v>
      </c>
      <c r="C1497" t="s">
        <v>16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 t="shared" si="161"/>
        <v>26</v>
      </c>
      <c r="J1497" s="3">
        <f t="shared" si="162"/>
        <v>18</v>
      </c>
      <c r="K1497" s="3">
        <f t="shared" si="163"/>
        <v>8</v>
      </c>
      <c r="L1497" s="3" t="str">
        <f t="shared" si="160"/>
        <v>EXCELENTE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38</v>
      </c>
      <c r="C1498" t="s">
        <v>18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 t="shared" si="161"/>
        <v>38</v>
      </c>
      <c r="J1498" s="3">
        <f t="shared" si="162"/>
        <v>22</v>
      </c>
      <c r="K1498" s="3">
        <f t="shared" si="163"/>
        <v>16</v>
      </c>
      <c r="L1498" s="3" t="str">
        <f t="shared" si="160"/>
        <v>EXCELENTE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39</v>
      </c>
      <c r="C1499" t="s">
        <v>18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 t="shared" si="161"/>
        <v>21</v>
      </c>
      <c r="J1499" s="3">
        <f t="shared" si="162"/>
        <v>22</v>
      </c>
      <c r="K1499" s="3">
        <f t="shared" si="163"/>
        <v>-1</v>
      </c>
      <c r="L1499" s="3" t="str">
        <f t="shared" si="160"/>
        <v>ATENÇÃO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40</v>
      </c>
      <c r="C1500" t="s">
        <v>16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 t="shared" si="161"/>
        <v>28</v>
      </c>
      <c r="J1500" s="3">
        <f t="shared" si="162"/>
        <v>18</v>
      </c>
      <c r="K1500" s="3">
        <f t="shared" si="163"/>
        <v>10</v>
      </c>
      <c r="L1500" s="3" t="str">
        <f t="shared" si="160"/>
        <v>EXCELENTE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41</v>
      </c>
      <c r="C1501" t="s">
        <v>18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 t="shared" si="160"/>
        <v>BOM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42</v>
      </c>
      <c r="C1502" t="s">
        <v>43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 t="shared" si="160"/>
        <v>ATENÇÃO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44</v>
      </c>
      <c r="C1503" t="s">
        <v>18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22</v>
      </c>
      <c r="K1503" s="3">
        <f>I1503-J1503</f>
        <v>-6</v>
      </c>
      <c r="L1503" s="3" t="str">
        <f t="shared" si="160"/>
        <v>CRÍTICO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45</v>
      </c>
      <c r="C1504" t="s">
        <v>43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 t="shared" si="160"/>
        <v>BOM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46</v>
      </c>
      <c r="C1505" t="s">
        <v>18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22</v>
      </c>
      <c r="K1505" s="3">
        <f>I1505-J1505</f>
        <v>2</v>
      </c>
      <c r="L1505" s="3" t="str">
        <f t="shared" si="160"/>
        <v>BOM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47</v>
      </c>
      <c r="C1506" t="s">
        <v>16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18</v>
      </c>
      <c r="K1506" s="3">
        <f>I1506-J1506</f>
        <v>12</v>
      </c>
      <c r="L1506" s="3" t="str">
        <f t="shared" si="160"/>
        <v>EXCELENTE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48</v>
      </c>
      <c r="C1507" t="s">
        <v>16</v>
      </c>
      <c r="D1507">
        <v>0</v>
      </c>
      <c r="E1507">
        <v>0</v>
      </c>
      <c r="F1507">
        <v>0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 t="shared" si="160"/>
        <v>BOM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49</v>
      </c>
      <c r="C1508" t="s">
        <v>18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22</v>
      </c>
      <c r="K1508" s="3">
        <f>I1508-J1508</f>
        <v>9</v>
      </c>
      <c r="L1508" s="3" t="str">
        <f t="shared" si="160"/>
        <v>EXCELENTE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50</v>
      </c>
      <c r="C1509" t="s">
        <v>20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14</v>
      </c>
      <c r="K1509" s="3">
        <f>I1509-J1509</f>
        <v>9</v>
      </c>
      <c r="L1509" s="3" t="str">
        <f t="shared" si="160"/>
        <v>EXCELENTE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51</v>
      </c>
      <c r="C1510" t="s">
        <v>23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60"/>
        <v>BOM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52</v>
      </c>
      <c r="C1511" t="s">
        <v>18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 t="shared" si="160"/>
        <v>BOM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53</v>
      </c>
      <c r="C1512" t="s">
        <v>18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22</v>
      </c>
      <c r="K1512" s="3">
        <f>I1512-J1512</f>
        <v>11</v>
      </c>
      <c r="L1512" s="3" t="str">
        <f t="shared" si="160"/>
        <v>EXCELENTE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54</v>
      </c>
      <c r="C1513" t="s">
        <v>23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6</v>
      </c>
      <c r="K1513" s="3">
        <f>I1513-J1513</f>
        <v>-3</v>
      </c>
      <c r="L1513" s="3" t="str">
        <f t="shared" si="160"/>
        <v>ATENÇÃO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55</v>
      </c>
      <c r="C1514" t="s">
        <v>43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 t="shared" si="160"/>
        <v>BOM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56</v>
      </c>
      <c r="C1515" t="s">
        <v>16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18</v>
      </c>
      <c r="K1515" s="3">
        <f>I1515-J1515</f>
        <v>1</v>
      </c>
      <c r="L1515" s="3" t="str">
        <f t="shared" si="160"/>
        <v>BOM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57</v>
      </c>
      <c r="C1516" t="s">
        <v>43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60"/>
        <v>BOM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58</v>
      </c>
      <c r="C1517" t="s">
        <v>43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60"/>
        <v>BOM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59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60"/>
        <v>BOM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60</v>
      </c>
      <c r="C1519" t="s">
        <v>20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 t="shared" si="160"/>
        <v>BOM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61</v>
      </c>
      <c r="C1520" t="s">
        <v>18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22</v>
      </c>
      <c r="K1520" s="3">
        <f>I1520-J1520</f>
        <v>11</v>
      </c>
      <c r="L1520" s="3" t="str">
        <f t="shared" si="160"/>
        <v>EXCELENTE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62</v>
      </c>
      <c r="C1521" t="s">
        <v>20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14</v>
      </c>
      <c r="K1521" s="3">
        <f>I1521-J1521</f>
        <v>-1</v>
      </c>
      <c r="L1521" s="3" t="str">
        <f t="shared" si="160"/>
        <v>ATENÇÃO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63</v>
      </c>
      <c r="C1522" t="s">
        <v>18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22</v>
      </c>
      <c r="K1522" s="3">
        <f>I1522-J1522</f>
        <v>4</v>
      </c>
      <c r="L1522" s="3" t="str">
        <f t="shared" si="160"/>
        <v>BOM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15</v>
      </c>
      <c r="C1523" t="s">
        <v>16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19</v>
      </c>
      <c r="K1523" s="3">
        <f>I1523-J1523</f>
        <v>9</v>
      </c>
      <c r="L1523" s="3" t="str">
        <f t="shared" si="160"/>
        <v>EXCELENTE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17</v>
      </c>
      <c r="C1524" t="s">
        <v>18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 t="shared" si="160"/>
        <v>BOM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19</v>
      </c>
      <c r="C1525" t="s">
        <v>20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15</v>
      </c>
      <c r="K1525" s="3">
        <f>I1525-J1525</f>
        <v>11</v>
      </c>
      <c r="L1525" s="3" t="str">
        <f t="shared" si="160"/>
        <v>EXCELENTE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21</v>
      </c>
      <c r="C1526" t="s">
        <v>18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23</v>
      </c>
      <c r="K1526" s="3">
        <f>I1526-J1526</f>
        <v>14</v>
      </c>
      <c r="L1526" s="3" t="str">
        <f t="shared" si="160"/>
        <v>EXCELENTE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22</v>
      </c>
      <c r="C1527" t="s">
        <v>23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 t="shared" si="160"/>
        <v>BOM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24</v>
      </c>
      <c r="C1528" t="s">
        <v>16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19</v>
      </c>
      <c r="K1528" s="3">
        <f>I1528-J1528</f>
        <v>11</v>
      </c>
      <c r="L1528" s="3" t="str">
        <f t="shared" si="160"/>
        <v>EXCELENTE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25</v>
      </c>
      <c r="C1529" t="s">
        <v>16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19</v>
      </c>
      <c r="K1529" s="3">
        <f>I1529-J1529</f>
        <v>5</v>
      </c>
      <c r="L1529" s="3" t="str">
        <f t="shared" si="160"/>
        <v>BOM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26</v>
      </c>
      <c r="C1530" t="s">
        <v>23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 t="shared" si="160"/>
        <v>BOM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27</v>
      </c>
      <c r="C1531" t="s">
        <v>20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15</v>
      </c>
      <c r="K1531" s="3">
        <f>I1531-J1531</f>
        <v>11</v>
      </c>
      <c r="L1531" s="3" t="str">
        <f t="shared" si="160"/>
        <v>EXCELENTE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28</v>
      </c>
      <c r="C1532" t="s">
        <v>18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23</v>
      </c>
      <c r="K1532" s="3">
        <f>I1532-J1532</f>
        <v>5</v>
      </c>
      <c r="L1532" s="3" t="str">
        <f t="shared" si="160"/>
        <v>BOM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29</v>
      </c>
      <c r="C1533" t="s">
        <v>16</v>
      </c>
      <c r="D1533">
        <v>0</v>
      </c>
      <c r="E1533">
        <v>0</v>
      </c>
      <c r="F1533">
        <v>0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 t="shared" si="160"/>
        <v>BOM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30</v>
      </c>
      <c r="C1534" t="s">
        <v>20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15</v>
      </c>
      <c r="K1534" s="3">
        <f>I1534-J1534</f>
        <v>7</v>
      </c>
      <c r="L1534" s="3" t="str">
        <f t="shared" si="160"/>
        <v>EXCELENTE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31</v>
      </c>
      <c r="C1535" t="s">
        <v>18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60"/>
        <v>BOM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32</v>
      </c>
      <c r="C1536" t="s">
        <v>23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 t="shared" si="160"/>
        <v>BOM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33</v>
      </c>
      <c r="C1537" t="s">
        <v>16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 t="shared" ref="I1537:I1544" si="164">E1537+G1537+H1537</f>
        <v>34</v>
      </c>
      <c r="J1537" s="3">
        <f t="shared" ref="J1537:J1544" si="165"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19</v>
      </c>
      <c r="K1537" s="3">
        <f t="shared" ref="K1537:K1544" si="166">I1537-J1537</f>
        <v>15</v>
      </c>
      <c r="L1537" s="3" t="str">
        <f t="shared" si="160"/>
        <v>EXCELENTE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34</v>
      </c>
      <c r="C1538" t="s">
        <v>18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 t="shared" si="164"/>
        <v>23</v>
      </c>
      <c r="J1538" s="3">
        <f t="shared" si="165"/>
        <v>23</v>
      </c>
      <c r="K1538" s="3">
        <f t="shared" si="166"/>
        <v>0</v>
      </c>
      <c r="L1538" s="3" t="str">
        <f t="shared" si="160"/>
        <v>BOM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35</v>
      </c>
      <c r="C1539" t="s">
        <v>16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 t="shared" si="164"/>
        <v>33</v>
      </c>
      <c r="J1539" s="3">
        <f t="shared" si="165"/>
        <v>19</v>
      </c>
      <c r="K1539" s="3">
        <f t="shared" si="166"/>
        <v>14</v>
      </c>
      <c r="L1539" s="3" t="str">
        <f t="shared" si="160"/>
        <v>EXCELENTE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36</v>
      </c>
      <c r="C1540" t="s">
        <v>20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 t="shared" si="164"/>
        <v>21</v>
      </c>
      <c r="J1540" s="3">
        <f t="shared" si="165"/>
        <v>16</v>
      </c>
      <c r="K1540" s="3">
        <f t="shared" si="166"/>
        <v>5</v>
      </c>
      <c r="L1540" s="3" t="str">
        <f t="shared" si="160"/>
        <v>BOM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37</v>
      </c>
      <c r="C1541" t="s">
        <v>16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 t="shared" si="164"/>
        <v>32</v>
      </c>
      <c r="J1541" s="3">
        <f t="shared" si="165"/>
        <v>19</v>
      </c>
      <c r="K1541" s="3">
        <f t="shared" si="166"/>
        <v>13</v>
      </c>
      <c r="L1541" s="3" t="str">
        <f t="shared" si="160"/>
        <v>EXCELENTE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38</v>
      </c>
      <c r="C1542" t="s">
        <v>18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 t="shared" si="164"/>
        <v>36</v>
      </c>
      <c r="J1542" s="3">
        <f t="shared" si="165"/>
        <v>23</v>
      </c>
      <c r="K1542" s="3">
        <f t="shared" si="166"/>
        <v>13</v>
      </c>
      <c r="L1542" s="3" t="str">
        <f t="shared" si="160"/>
        <v>EXCELENTE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39</v>
      </c>
      <c r="C1543" t="s">
        <v>18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 t="shared" si="164"/>
        <v>15</v>
      </c>
      <c r="J1543" s="3">
        <f t="shared" si="165"/>
        <v>23</v>
      </c>
      <c r="K1543" s="3">
        <f t="shared" si="166"/>
        <v>-8</v>
      </c>
      <c r="L1543" s="3" t="str">
        <f t="shared" ref="L1543:L1606" si="167">IF(K1543&lt;-5,"CRÍTICO",IF(K1543&lt;0,"ATENÇÃO",IF(K1543&lt;=5,"BOM","EXCELENTE")))</f>
        <v>CRÍTICO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40</v>
      </c>
      <c r="C1544" t="s">
        <v>16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 t="shared" si="164"/>
        <v>23</v>
      </c>
      <c r="J1544" s="3">
        <f t="shared" si="165"/>
        <v>19</v>
      </c>
      <c r="K1544" s="3">
        <f t="shared" si="166"/>
        <v>4</v>
      </c>
      <c r="L1544" s="3" t="str">
        <f t="shared" si="167"/>
        <v>BOM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41</v>
      </c>
      <c r="C1545" t="s">
        <v>18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 t="shared" si="167"/>
        <v>BOM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42</v>
      </c>
      <c r="C1546" t="s">
        <v>43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13</v>
      </c>
      <c r="K1546" s="3">
        <f>I1546-J1546</f>
        <v>-5</v>
      </c>
      <c r="L1546" s="3" t="str">
        <f t="shared" si="167"/>
        <v>ATENÇÃO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44</v>
      </c>
      <c r="C1547" t="s">
        <v>18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23</v>
      </c>
      <c r="K1547" s="3">
        <f>I1547-J1547</f>
        <v>-9</v>
      </c>
      <c r="L1547" s="3" t="str">
        <f t="shared" si="167"/>
        <v>CRÍTICO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45</v>
      </c>
      <c r="C1548" t="s">
        <v>43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 t="shared" si="167"/>
        <v>BOM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46</v>
      </c>
      <c r="C1549" t="s">
        <v>18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23</v>
      </c>
      <c r="K1549" s="3">
        <f>I1549-J1549</f>
        <v>2</v>
      </c>
      <c r="L1549" s="3" t="str">
        <f t="shared" si="167"/>
        <v>BOM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47</v>
      </c>
      <c r="C1550" t="s">
        <v>16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19</v>
      </c>
      <c r="K1550" s="3">
        <f>I1550-J1550</f>
        <v>18</v>
      </c>
      <c r="L1550" s="3" t="str">
        <f t="shared" si="167"/>
        <v>EXCELENTE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48</v>
      </c>
      <c r="C1551" t="s">
        <v>16</v>
      </c>
      <c r="D1551">
        <v>0</v>
      </c>
      <c r="E1551">
        <v>0</v>
      </c>
      <c r="F1551">
        <v>0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 t="shared" si="167"/>
        <v>BOM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49</v>
      </c>
      <c r="C1552" t="s">
        <v>18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23</v>
      </c>
      <c r="K1552" s="3">
        <f>I1552-J1552</f>
        <v>9</v>
      </c>
      <c r="L1552" s="3" t="str">
        <f t="shared" si="167"/>
        <v>EXCELENTE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50</v>
      </c>
      <c r="C1553" t="s">
        <v>20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15</v>
      </c>
      <c r="K1553" s="3">
        <f>I1553-J1553</f>
        <v>0</v>
      </c>
      <c r="L1553" s="3" t="str">
        <f t="shared" si="167"/>
        <v>BOM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51</v>
      </c>
      <c r="C1554" t="s">
        <v>23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 t="shared" si="167"/>
        <v>ATENÇÃO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52</v>
      </c>
      <c r="C1555" t="s">
        <v>18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 t="shared" si="167"/>
        <v>BOM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53</v>
      </c>
      <c r="C1556" t="s">
        <v>18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23</v>
      </c>
      <c r="K1556" s="3">
        <f>I1556-J1556</f>
        <v>-1</v>
      </c>
      <c r="L1556" s="3" t="str">
        <f t="shared" si="167"/>
        <v>ATENÇÃO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54</v>
      </c>
      <c r="C1557" t="s">
        <v>23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 t="shared" si="167"/>
        <v>ATENÇÃO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55</v>
      </c>
      <c r="C1558" t="s">
        <v>43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 t="shared" si="167"/>
        <v>BOM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56</v>
      </c>
      <c r="C1559" t="s">
        <v>16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19</v>
      </c>
      <c r="K1559" s="3">
        <f>I1559-J1559</f>
        <v>-8</v>
      </c>
      <c r="L1559" s="3" t="str">
        <f t="shared" si="167"/>
        <v>CRÍTICO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57</v>
      </c>
      <c r="C1560" t="s">
        <v>43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167"/>
        <v>BOM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58</v>
      </c>
      <c r="C1561" t="s">
        <v>43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167"/>
        <v>BOM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59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167"/>
        <v>BOM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60</v>
      </c>
      <c r="C1563" t="s">
        <v>20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 t="shared" si="167"/>
        <v>BOM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61</v>
      </c>
      <c r="C1564" t="s">
        <v>18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23</v>
      </c>
      <c r="K1564" s="3">
        <f>I1564-J1564</f>
        <v>11</v>
      </c>
      <c r="L1564" s="3" t="str">
        <f t="shared" si="167"/>
        <v>EXCELENTE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62</v>
      </c>
      <c r="C1565" t="s">
        <v>20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15</v>
      </c>
      <c r="K1565" s="3">
        <f>I1565-J1565</f>
        <v>5</v>
      </c>
      <c r="L1565" s="3" t="str">
        <f t="shared" si="167"/>
        <v>BOM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63</v>
      </c>
      <c r="C1566" t="s">
        <v>18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8</v>
      </c>
      <c r="L1566" s="3" t="str">
        <f t="shared" si="167"/>
        <v>EXCELENTE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15</v>
      </c>
      <c r="C1567" t="s">
        <v>16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21</v>
      </c>
      <c r="K1567" s="3">
        <f>I1567-J1567</f>
        <v>19</v>
      </c>
      <c r="L1567" s="3" t="str">
        <f t="shared" si="167"/>
        <v>EXCELENTE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17</v>
      </c>
      <c r="C1568" t="s">
        <v>18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 t="shared" si="167"/>
        <v>BOM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19</v>
      </c>
      <c r="C1569" t="s">
        <v>20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17</v>
      </c>
      <c r="K1569" s="3">
        <f>I1569-J1569</f>
        <v>11</v>
      </c>
      <c r="L1569" s="3" t="str">
        <f t="shared" si="167"/>
        <v>EXCELENTE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21</v>
      </c>
      <c r="C1570" t="s">
        <v>18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26</v>
      </c>
      <c r="K1570" s="3">
        <f>I1570-J1570</f>
        <v>-3</v>
      </c>
      <c r="L1570" s="3" t="str">
        <f t="shared" si="167"/>
        <v>ATENÇÃO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22</v>
      </c>
      <c r="C1571" t="s">
        <v>23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7</v>
      </c>
      <c r="K1571" s="3">
        <f>I1571-J1571</f>
        <v>6</v>
      </c>
      <c r="L1571" s="3" t="str">
        <f t="shared" si="167"/>
        <v>EXCELENTE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24</v>
      </c>
      <c r="C1572" t="s">
        <v>16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21</v>
      </c>
      <c r="K1572" s="3">
        <f>I1572-J1572</f>
        <v>14</v>
      </c>
      <c r="L1572" s="3" t="str">
        <f t="shared" si="167"/>
        <v>EXCELENTE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25</v>
      </c>
      <c r="C1573" t="s">
        <v>16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21</v>
      </c>
      <c r="K1573" s="3">
        <f>I1573-J1573</f>
        <v>3</v>
      </c>
      <c r="L1573" s="3" t="str">
        <f t="shared" si="167"/>
        <v>BOM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26</v>
      </c>
      <c r="C1574" t="s">
        <v>23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 t="shared" si="167"/>
        <v>BOM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27</v>
      </c>
      <c r="C1575" t="s">
        <v>20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17</v>
      </c>
      <c r="K1575" s="3">
        <f>I1575-J1575</f>
        <v>8</v>
      </c>
      <c r="L1575" s="3" t="str">
        <f t="shared" si="167"/>
        <v>EXCELENTE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28</v>
      </c>
      <c r="C1576" t="s">
        <v>18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26</v>
      </c>
      <c r="K1576" s="3">
        <f>I1576-J1576</f>
        <v>11</v>
      </c>
      <c r="L1576" s="3" t="str">
        <f t="shared" si="167"/>
        <v>EXCELENTE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29</v>
      </c>
      <c r="C1577" t="s">
        <v>16</v>
      </c>
      <c r="D1577">
        <v>0</v>
      </c>
      <c r="E1577">
        <v>0</v>
      </c>
      <c r="F1577">
        <v>0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 t="shared" si="167"/>
        <v>BOM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30</v>
      </c>
      <c r="C1578" t="s">
        <v>20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17</v>
      </c>
      <c r="K1578" s="3">
        <f>I1578-J1578</f>
        <v>6</v>
      </c>
      <c r="L1578" s="3" t="str">
        <f t="shared" si="167"/>
        <v>EXCELENTE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31</v>
      </c>
      <c r="C1579" t="s">
        <v>18</v>
      </c>
      <c r="D1579">
        <v>0</v>
      </c>
      <c r="E1579">
        <v>0</v>
      </c>
      <c r="F1579">
        <v>0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 t="shared" si="167"/>
        <v>BOM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32</v>
      </c>
      <c r="C1580" t="s">
        <v>23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 t="shared" ref="I1580:I1588" si="168">E1580+G1580+H1580</f>
        <v>2</v>
      </c>
      <c r="J1580" s="3">
        <f t="shared" ref="J1580:J1588" si="169"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7</v>
      </c>
      <c r="K1580" s="3">
        <f t="shared" ref="K1580:K1588" si="170">I1580-J1580</f>
        <v>-5</v>
      </c>
      <c r="L1580" s="3" t="str">
        <f t="shared" si="167"/>
        <v>ATENÇÃO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33</v>
      </c>
      <c r="C1581" t="s">
        <v>16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 t="shared" si="168"/>
        <v>31</v>
      </c>
      <c r="J1581" s="3">
        <f t="shared" si="169"/>
        <v>21</v>
      </c>
      <c r="K1581" s="3">
        <f t="shared" si="170"/>
        <v>10</v>
      </c>
      <c r="L1581" s="3" t="str">
        <f t="shared" si="167"/>
        <v>EXCELENTE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34</v>
      </c>
      <c r="C1582" t="s">
        <v>18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 t="shared" si="168"/>
        <v>30</v>
      </c>
      <c r="J1582" s="3">
        <f t="shared" si="169"/>
        <v>26</v>
      </c>
      <c r="K1582" s="3">
        <f t="shared" si="170"/>
        <v>4</v>
      </c>
      <c r="L1582" s="3" t="str">
        <f t="shared" si="167"/>
        <v>BOM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35</v>
      </c>
      <c r="C1583" t="s">
        <v>16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 t="shared" si="168"/>
        <v>30</v>
      </c>
      <c r="J1583" s="3">
        <f t="shared" si="169"/>
        <v>21</v>
      </c>
      <c r="K1583" s="3">
        <f t="shared" si="170"/>
        <v>9</v>
      </c>
      <c r="L1583" s="3" t="str">
        <f t="shared" si="167"/>
        <v>EXCELENTE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36</v>
      </c>
      <c r="C1584" t="s">
        <v>20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 t="shared" si="168"/>
        <v>21</v>
      </c>
      <c r="J1584" s="3">
        <f t="shared" si="169"/>
        <v>16</v>
      </c>
      <c r="K1584" s="3">
        <f t="shared" si="170"/>
        <v>5</v>
      </c>
      <c r="L1584" s="3" t="str">
        <f t="shared" si="167"/>
        <v>BOM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37</v>
      </c>
      <c r="C1585" t="s">
        <v>16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 t="shared" si="168"/>
        <v>34</v>
      </c>
      <c r="J1585" s="3">
        <f t="shared" si="169"/>
        <v>21</v>
      </c>
      <c r="K1585" s="3">
        <f t="shared" si="170"/>
        <v>13</v>
      </c>
      <c r="L1585" s="3" t="str">
        <f t="shared" si="167"/>
        <v>EXCELENTE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38</v>
      </c>
      <c r="C1586" t="s">
        <v>18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 t="shared" si="168"/>
        <v>50</v>
      </c>
      <c r="J1586" s="3">
        <f t="shared" si="169"/>
        <v>26</v>
      </c>
      <c r="K1586" s="3">
        <f t="shared" si="170"/>
        <v>24</v>
      </c>
      <c r="L1586" s="3" t="str">
        <f t="shared" si="167"/>
        <v>EXCELENTE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39</v>
      </c>
      <c r="C1587" t="s">
        <v>18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 t="shared" si="168"/>
        <v>15</v>
      </c>
      <c r="J1587" s="3">
        <f t="shared" si="169"/>
        <v>26</v>
      </c>
      <c r="K1587" s="3">
        <f t="shared" si="170"/>
        <v>-11</v>
      </c>
      <c r="L1587" s="3" t="str">
        <f t="shared" si="167"/>
        <v>CRÍTICO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40</v>
      </c>
      <c r="C1588" t="s">
        <v>16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 t="shared" si="168"/>
        <v>38</v>
      </c>
      <c r="J1588" s="3">
        <f t="shared" si="169"/>
        <v>21</v>
      </c>
      <c r="K1588" s="3">
        <f t="shared" si="170"/>
        <v>17</v>
      </c>
      <c r="L1588" s="3" t="str">
        <f t="shared" si="167"/>
        <v>EXCELENTE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41</v>
      </c>
      <c r="C1589" t="s">
        <v>18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 t="shared" si="167"/>
        <v>BOM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42</v>
      </c>
      <c r="C1590" t="s">
        <v>43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15</v>
      </c>
      <c r="K1590" s="3">
        <f>I1590-J1590</f>
        <v>-6</v>
      </c>
      <c r="L1590" s="3" t="str">
        <f t="shared" si="167"/>
        <v>CRÍTICO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44</v>
      </c>
      <c r="C1591" t="s">
        <v>18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26</v>
      </c>
      <c r="K1591" s="3">
        <f>I1591-J1591</f>
        <v>-8</v>
      </c>
      <c r="L1591" s="3" t="str">
        <f t="shared" si="167"/>
        <v>CRÍTICO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45</v>
      </c>
      <c r="C1592" t="s">
        <v>43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 t="shared" si="167"/>
        <v>BOM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46</v>
      </c>
      <c r="C1593" t="s">
        <v>18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26</v>
      </c>
      <c r="K1593" s="3">
        <f>I1593-J1593</f>
        <v>0</v>
      </c>
      <c r="L1593" s="3" t="str">
        <f t="shared" si="167"/>
        <v>BOM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47</v>
      </c>
      <c r="C1594" t="s">
        <v>16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21</v>
      </c>
      <c r="K1594" s="3">
        <f>I1594-J1594</f>
        <v>9</v>
      </c>
      <c r="L1594" s="3" t="str">
        <f t="shared" si="167"/>
        <v>EXCELENTE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48</v>
      </c>
      <c r="C1595" t="s">
        <v>16</v>
      </c>
      <c r="D1595">
        <v>0</v>
      </c>
      <c r="E1595">
        <v>0</v>
      </c>
      <c r="F1595">
        <v>0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 t="shared" si="167"/>
        <v>BOM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49</v>
      </c>
      <c r="C1596" t="s">
        <v>18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26</v>
      </c>
      <c r="K1596" s="3">
        <f>I1596-J1596</f>
        <v>2</v>
      </c>
      <c r="L1596" s="3" t="str">
        <f t="shared" si="167"/>
        <v>BOM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50</v>
      </c>
      <c r="C1597" t="s">
        <v>20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17</v>
      </c>
      <c r="K1597" s="3">
        <f>I1597-J1597</f>
        <v>2</v>
      </c>
      <c r="L1597" s="3" t="str">
        <f t="shared" si="167"/>
        <v>BOM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51</v>
      </c>
      <c r="C1598" t="s">
        <v>23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167"/>
        <v>BOM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52</v>
      </c>
      <c r="C1599" t="s">
        <v>18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 t="shared" si="167"/>
        <v>BOM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53</v>
      </c>
      <c r="C1600" t="s">
        <v>18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26</v>
      </c>
      <c r="K1600" s="3">
        <f>I1600-J1600</f>
        <v>16</v>
      </c>
      <c r="L1600" s="3" t="str">
        <f t="shared" si="167"/>
        <v>EXCELENTE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54</v>
      </c>
      <c r="C1601" t="s">
        <v>23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7</v>
      </c>
      <c r="K1601" s="3">
        <f>I1601-J1601</f>
        <v>0</v>
      </c>
      <c r="L1601" s="3" t="str">
        <f t="shared" si="167"/>
        <v>BOM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55</v>
      </c>
      <c r="C1602" t="s">
        <v>43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 t="shared" si="167"/>
        <v>BOM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56</v>
      </c>
      <c r="C1603" t="s">
        <v>16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21</v>
      </c>
      <c r="K1603" s="3">
        <f>I1603-J1603</f>
        <v>9</v>
      </c>
      <c r="L1603" s="3" t="str">
        <f t="shared" si="167"/>
        <v>EXCELENTE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57</v>
      </c>
      <c r="C1604" t="s">
        <v>43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167"/>
        <v>BOM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58</v>
      </c>
      <c r="C1605" t="s">
        <v>43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167"/>
        <v>BOM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59</v>
      </c>
      <c r="C1606" t="s">
        <v>23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 t="shared" si="167"/>
        <v>BOM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60</v>
      </c>
      <c r="C1607" t="s">
        <v>20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17</v>
      </c>
      <c r="K1607" s="3">
        <f>I1607-J1607</f>
        <v>-15</v>
      </c>
      <c r="L1607" s="3" t="str">
        <f t="shared" ref="L1607:L1670" si="171">IF(K1607&lt;-5,"CRÍTICO",IF(K1607&lt;0,"ATENÇÃO",IF(K1607&lt;=5,"BOM","EXCELENTE")))</f>
        <v>CRÍTICO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61</v>
      </c>
      <c r="C1608" t="s">
        <v>18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26</v>
      </c>
      <c r="K1608" s="3">
        <f>I1608-J1608</f>
        <v>10</v>
      </c>
      <c r="L1608" s="3" t="str">
        <f t="shared" si="171"/>
        <v>EXCELENTE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62</v>
      </c>
      <c r="C1609" t="s">
        <v>20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17</v>
      </c>
      <c r="K1609" s="3">
        <f>I1609-J1609</f>
        <v>-4</v>
      </c>
      <c r="L1609" s="3" t="str">
        <f t="shared" si="171"/>
        <v>ATENÇÃO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63</v>
      </c>
      <c r="C1610" t="s">
        <v>18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26</v>
      </c>
      <c r="K1610" s="3">
        <f>I1610-J1610</f>
        <v>4</v>
      </c>
      <c r="L1610" s="3" t="str">
        <f t="shared" si="171"/>
        <v>BOM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15</v>
      </c>
      <c r="C1611" t="s">
        <v>16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21</v>
      </c>
      <c r="K1611" s="3">
        <f>I1611-J1611</f>
        <v>1</v>
      </c>
      <c r="L1611" s="3" t="str">
        <f t="shared" si="171"/>
        <v>BOM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17</v>
      </c>
      <c r="C1612" t="s">
        <v>18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 t="shared" si="171"/>
        <v>BOM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19</v>
      </c>
      <c r="C1613" t="s">
        <v>20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17</v>
      </c>
      <c r="K1613" s="3">
        <f>I1613-J1613</f>
        <v>11</v>
      </c>
      <c r="L1613" s="3" t="str">
        <f t="shared" si="171"/>
        <v>EXCELENTE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21</v>
      </c>
      <c r="C1614" t="s">
        <v>18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26</v>
      </c>
      <c r="K1614" s="3">
        <f>I1614-J1614</f>
        <v>1</v>
      </c>
      <c r="L1614" s="3" t="str">
        <f t="shared" si="171"/>
        <v>BOM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22</v>
      </c>
      <c r="C1615" t="s">
        <v>23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7</v>
      </c>
      <c r="K1615" s="3">
        <f>I1615-J1615</f>
        <v>3</v>
      </c>
      <c r="L1615" s="3" t="str">
        <f t="shared" si="171"/>
        <v>BOM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24</v>
      </c>
      <c r="C1616" t="s">
        <v>16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21</v>
      </c>
      <c r="K1616" s="3">
        <f>I1616-J1616</f>
        <v>7</v>
      </c>
      <c r="L1616" s="3" t="str">
        <f t="shared" si="171"/>
        <v>EXCELENTE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25</v>
      </c>
      <c r="C1617" t="s">
        <v>16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21</v>
      </c>
      <c r="K1617" s="3">
        <f>I1617-J1617</f>
        <v>8</v>
      </c>
      <c r="L1617" s="3" t="str">
        <f t="shared" si="171"/>
        <v>EXCELENTE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26</v>
      </c>
      <c r="C1618" t="s">
        <v>23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 t="shared" si="171"/>
        <v>BOM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27</v>
      </c>
      <c r="C1619" t="s">
        <v>20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17</v>
      </c>
      <c r="K1619" s="3">
        <f>I1619-J1619</f>
        <v>-3</v>
      </c>
      <c r="L1619" s="3" t="str">
        <f t="shared" si="171"/>
        <v>ATENÇÃO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28</v>
      </c>
      <c r="C1620" t="s">
        <v>18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26</v>
      </c>
      <c r="K1620" s="3">
        <f>I1620-J1620</f>
        <v>5</v>
      </c>
      <c r="L1620" s="3" t="str">
        <f t="shared" si="171"/>
        <v>BOM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29</v>
      </c>
      <c r="C1621" t="s">
        <v>16</v>
      </c>
      <c r="D1621">
        <v>0</v>
      </c>
      <c r="E1621">
        <v>0</v>
      </c>
      <c r="F1621">
        <v>0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 t="shared" si="171"/>
        <v>BOM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30</v>
      </c>
      <c r="C1622" t="s">
        <v>20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17</v>
      </c>
      <c r="K1622" s="3">
        <f>I1622-J1622</f>
        <v>4</v>
      </c>
      <c r="L1622" s="3" t="str">
        <f t="shared" si="171"/>
        <v>BOM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31</v>
      </c>
      <c r="C1623" t="s">
        <v>18</v>
      </c>
      <c r="D1623">
        <v>0</v>
      </c>
      <c r="E1623">
        <v>0</v>
      </c>
      <c r="F1623">
        <v>0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 t="shared" si="171"/>
        <v>BOM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32</v>
      </c>
      <c r="C1624" t="s">
        <v>23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 t="shared" ref="I1624:I1632" si="172">E1624+G1624+H1624</f>
        <v>4</v>
      </c>
      <c r="J1624" s="3">
        <f t="shared" ref="J1624:J1632" si="173"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7</v>
      </c>
      <c r="K1624" s="3">
        <f t="shared" ref="K1624:K1632" si="174">I1624-J1624</f>
        <v>-3</v>
      </c>
      <c r="L1624" s="3" t="str">
        <f t="shared" si="171"/>
        <v>ATENÇÃO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33</v>
      </c>
      <c r="C1625" t="s">
        <v>16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 t="shared" si="172"/>
        <v>23</v>
      </c>
      <c r="J1625" s="3">
        <f t="shared" si="173"/>
        <v>21</v>
      </c>
      <c r="K1625" s="3">
        <f t="shared" si="174"/>
        <v>2</v>
      </c>
      <c r="L1625" s="3" t="str">
        <f t="shared" si="171"/>
        <v>BOM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34</v>
      </c>
      <c r="C1626" t="s">
        <v>18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 t="shared" si="172"/>
        <v>28</v>
      </c>
      <c r="J1626" s="3">
        <f t="shared" si="173"/>
        <v>26</v>
      </c>
      <c r="K1626" s="3">
        <f t="shared" si="174"/>
        <v>2</v>
      </c>
      <c r="L1626" s="3" t="str">
        <f t="shared" si="171"/>
        <v>BOM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35</v>
      </c>
      <c r="C1627" t="s">
        <v>16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 t="shared" si="172"/>
        <v>43</v>
      </c>
      <c r="J1627" s="3">
        <f t="shared" si="173"/>
        <v>21</v>
      </c>
      <c r="K1627" s="3">
        <f t="shared" si="174"/>
        <v>22</v>
      </c>
      <c r="L1627" s="3" t="str">
        <f t="shared" si="171"/>
        <v>EXCELENTE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36</v>
      </c>
      <c r="C1628" t="s">
        <v>20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 t="shared" si="172"/>
        <v>21</v>
      </c>
      <c r="J1628" s="3">
        <f t="shared" si="173"/>
        <v>16</v>
      </c>
      <c r="K1628" s="3">
        <f t="shared" si="174"/>
        <v>5</v>
      </c>
      <c r="L1628" s="3" t="str">
        <f t="shared" si="171"/>
        <v>BOM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37</v>
      </c>
      <c r="C1629" t="s">
        <v>16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 t="shared" si="172"/>
        <v>31</v>
      </c>
      <c r="J1629" s="3">
        <f t="shared" si="173"/>
        <v>21</v>
      </c>
      <c r="K1629" s="3">
        <f t="shared" si="174"/>
        <v>10</v>
      </c>
      <c r="L1629" s="3" t="str">
        <f t="shared" si="171"/>
        <v>EXCELENTE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38</v>
      </c>
      <c r="C1630" t="s">
        <v>18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 t="shared" si="172"/>
        <v>37</v>
      </c>
      <c r="J1630" s="3">
        <f t="shared" si="173"/>
        <v>26</v>
      </c>
      <c r="K1630" s="3">
        <f t="shared" si="174"/>
        <v>11</v>
      </c>
      <c r="L1630" s="3" t="str">
        <f t="shared" si="171"/>
        <v>EXCELENTE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39</v>
      </c>
      <c r="C1631" t="s">
        <v>18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 t="shared" si="172"/>
        <v>18</v>
      </c>
      <c r="J1631" s="3">
        <f t="shared" si="173"/>
        <v>26</v>
      </c>
      <c r="K1631" s="3">
        <f t="shared" si="174"/>
        <v>-8</v>
      </c>
      <c r="L1631" s="3" t="str">
        <f t="shared" si="171"/>
        <v>CRÍTICO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40</v>
      </c>
      <c r="C1632" t="s">
        <v>16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 t="shared" si="172"/>
        <v>21</v>
      </c>
      <c r="J1632" s="3">
        <f t="shared" si="173"/>
        <v>21</v>
      </c>
      <c r="K1632" s="3">
        <f t="shared" si="174"/>
        <v>0</v>
      </c>
      <c r="L1632" s="3" t="str">
        <f t="shared" si="171"/>
        <v>BOM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41</v>
      </c>
      <c r="C1633" t="s">
        <v>18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 t="shared" si="171"/>
        <v>BOM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42</v>
      </c>
      <c r="C1634" t="s">
        <v>43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15</v>
      </c>
      <c r="K1634" s="3">
        <f>I1634-J1634</f>
        <v>-7</v>
      </c>
      <c r="L1634" s="3" t="str">
        <f t="shared" si="171"/>
        <v>CRÍTICO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44</v>
      </c>
      <c r="C1635" t="s">
        <v>18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26</v>
      </c>
      <c r="K1635" s="3">
        <f>I1635-J1635</f>
        <v>-12</v>
      </c>
      <c r="L1635" s="3" t="str">
        <f t="shared" si="171"/>
        <v>CRÍTICO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45</v>
      </c>
      <c r="C1636" t="s">
        <v>43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 t="shared" si="171"/>
        <v>BOM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46</v>
      </c>
      <c r="C1637" t="s">
        <v>18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26</v>
      </c>
      <c r="K1637" s="3">
        <f>I1637-J1637</f>
        <v>3</v>
      </c>
      <c r="L1637" s="3" t="str">
        <f t="shared" si="171"/>
        <v>BOM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47</v>
      </c>
      <c r="C1638" t="s">
        <v>16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21</v>
      </c>
      <c r="K1638" s="3">
        <f>I1638-J1638</f>
        <v>2</v>
      </c>
      <c r="L1638" s="3" t="str">
        <f t="shared" si="171"/>
        <v>BOM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48</v>
      </c>
      <c r="C1639" t="s">
        <v>16</v>
      </c>
      <c r="D1639">
        <v>0</v>
      </c>
      <c r="E1639">
        <v>0</v>
      </c>
      <c r="F1639">
        <v>0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 t="shared" si="171"/>
        <v>BOM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49</v>
      </c>
      <c r="C1640" t="s">
        <v>18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26</v>
      </c>
      <c r="K1640" s="3">
        <f>I1640-J1640</f>
        <v>9</v>
      </c>
      <c r="L1640" s="3" t="str">
        <f t="shared" si="171"/>
        <v>EXCELENTE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50</v>
      </c>
      <c r="C1641" t="s">
        <v>20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17</v>
      </c>
      <c r="K1641" s="3">
        <f>I1641-J1641</f>
        <v>0</v>
      </c>
      <c r="L1641" s="3" t="str">
        <f t="shared" si="171"/>
        <v>BOM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51</v>
      </c>
      <c r="C1642" t="s">
        <v>23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7</v>
      </c>
      <c r="K1642" s="3">
        <f>I1642-J1642</f>
        <v>1</v>
      </c>
      <c r="L1642" s="3" t="str">
        <f t="shared" si="171"/>
        <v>BOM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52</v>
      </c>
      <c r="C1643" t="s">
        <v>18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 t="shared" si="171"/>
        <v>BOM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53</v>
      </c>
      <c r="C1644" t="s">
        <v>18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26</v>
      </c>
      <c r="K1644" s="3">
        <f>I1644-J1644</f>
        <v>5</v>
      </c>
      <c r="L1644" s="3" t="str">
        <f t="shared" si="171"/>
        <v>BOM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54</v>
      </c>
      <c r="C1645" t="s">
        <v>23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7</v>
      </c>
      <c r="K1645" s="3">
        <f>I1645-J1645</f>
        <v>2</v>
      </c>
      <c r="L1645" s="3" t="str">
        <f t="shared" si="171"/>
        <v>BOM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55</v>
      </c>
      <c r="C1646" t="s">
        <v>43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 t="shared" si="171"/>
        <v>BOM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56</v>
      </c>
      <c r="C1647" t="s">
        <v>16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21</v>
      </c>
      <c r="K1647" s="3">
        <f>I1647-J1647</f>
        <v>-5</v>
      </c>
      <c r="L1647" s="3" t="str">
        <f t="shared" si="171"/>
        <v>ATENÇÃO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57</v>
      </c>
      <c r="C1648" t="s">
        <v>43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171"/>
        <v>BOM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58</v>
      </c>
      <c r="C1649" t="s">
        <v>43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171"/>
        <v>BOM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59</v>
      </c>
      <c r="C1650" t="s">
        <v>23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 t="shared" si="171"/>
        <v>BOM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60</v>
      </c>
      <c r="C1651" t="s">
        <v>20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17</v>
      </c>
      <c r="K1651" s="3">
        <f>I1651-J1651</f>
        <v>-12</v>
      </c>
      <c r="L1651" s="3" t="str">
        <f t="shared" si="171"/>
        <v>CRÍTICO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61</v>
      </c>
      <c r="C1652" t="s">
        <v>18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26</v>
      </c>
      <c r="K1652" s="3">
        <f>I1652-J1652</f>
        <v>19</v>
      </c>
      <c r="L1652" s="3" t="str">
        <f t="shared" si="171"/>
        <v>EXCELENTE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62</v>
      </c>
      <c r="C1653" t="s">
        <v>20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17</v>
      </c>
      <c r="K1653" s="3">
        <f>I1653-J1653</f>
        <v>-7</v>
      </c>
      <c r="L1653" s="3" t="str">
        <f t="shared" si="171"/>
        <v>CRÍTICO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63</v>
      </c>
      <c r="C1654" t="s">
        <v>18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26</v>
      </c>
      <c r="K1654" s="3">
        <f>I1654-J1654</f>
        <v>6</v>
      </c>
      <c r="L1654" s="3" t="str">
        <f t="shared" si="171"/>
        <v>EXCELENTE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15</v>
      </c>
      <c r="C1655" t="s">
        <v>16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20</v>
      </c>
      <c r="K1655" s="3">
        <f>I1655-J1655</f>
        <v>12</v>
      </c>
      <c r="L1655" s="3" t="str">
        <f t="shared" si="171"/>
        <v>EXCELENTE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17</v>
      </c>
      <c r="C1656" t="s">
        <v>18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 t="shared" si="171"/>
        <v>BOM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19</v>
      </c>
      <c r="C1657" t="s">
        <v>20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17</v>
      </c>
      <c r="K1657" s="3">
        <f>I1657-J1657</f>
        <v>8</v>
      </c>
      <c r="L1657" s="3" t="str">
        <f t="shared" si="171"/>
        <v>EXCELENTE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21</v>
      </c>
      <c r="C1658" t="s">
        <v>18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25</v>
      </c>
      <c r="K1658" s="3">
        <f>I1658-J1658</f>
        <v>0</v>
      </c>
      <c r="L1658" s="3" t="str">
        <f t="shared" si="171"/>
        <v>BOM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22</v>
      </c>
      <c r="C1659" t="s">
        <v>23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 t="shared" si="171"/>
        <v>BOM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24</v>
      </c>
      <c r="C1660" t="s">
        <v>16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20</v>
      </c>
      <c r="K1660" s="3">
        <f>I1660-J1660</f>
        <v>-2</v>
      </c>
      <c r="L1660" s="3" t="str">
        <f t="shared" si="171"/>
        <v>ATENÇÃO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25</v>
      </c>
      <c r="C1661" t="s">
        <v>16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20</v>
      </c>
      <c r="K1661" s="3">
        <f>I1661-J1661</f>
        <v>-6</v>
      </c>
      <c r="L1661" s="3" t="str">
        <f t="shared" si="171"/>
        <v>CRÍTICO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26</v>
      </c>
      <c r="C1662" t="s">
        <v>23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 t="shared" si="171"/>
        <v>BOM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27</v>
      </c>
      <c r="C1663" t="s">
        <v>20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17</v>
      </c>
      <c r="K1663" s="3">
        <f>I1663-J1663</f>
        <v>6</v>
      </c>
      <c r="L1663" s="3" t="str">
        <f t="shared" si="171"/>
        <v>EXCELENTE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28</v>
      </c>
      <c r="C1664" t="s">
        <v>18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25</v>
      </c>
      <c r="K1664" s="3">
        <f>I1664-J1664</f>
        <v>19</v>
      </c>
      <c r="L1664" s="3" t="str">
        <f t="shared" si="171"/>
        <v>EXCELENTE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29</v>
      </c>
      <c r="C1665" t="s">
        <v>16</v>
      </c>
      <c r="D1665">
        <v>0</v>
      </c>
      <c r="E1665">
        <v>0</v>
      </c>
      <c r="F1665">
        <v>0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 t="shared" si="171"/>
        <v>BOM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30</v>
      </c>
      <c r="C1666" t="s">
        <v>20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17</v>
      </c>
      <c r="K1666" s="3">
        <f>I1666-J1666</f>
        <v>9</v>
      </c>
      <c r="L1666" s="3" t="str">
        <f t="shared" si="171"/>
        <v>EXCELENTE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31</v>
      </c>
      <c r="C1667" t="s">
        <v>18</v>
      </c>
      <c r="D1667">
        <v>0</v>
      </c>
      <c r="E1667">
        <v>0</v>
      </c>
      <c r="F1667">
        <v>0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 t="shared" si="171"/>
        <v>BOM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32</v>
      </c>
      <c r="C1668" t="s">
        <v>23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 t="shared" ref="I1668:I1676" si="175">E1668+G1668+H1668</f>
        <v>3</v>
      </c>
      <c r="J1668" s="3">
        <f t="shared" ref="J1668:J1676" si="176"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7</v>
      </c>
      <c r="K1668" s="3">
        <f t="shared" ref="K1668:K1676" si="177">I1668-J1668</f>
        <v>-4</v>
      </c>
      <c r="L1668" s="3" t="str">
        <f t="shared" si="171"/>
        <v>ATENÇÃO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33</v>
      </c>
      <c r="C1669" t="s">
        <v>16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 t="shared" si="175"/>
        <v>32</v>
      </c>
      <c r="J1669" s="3">
        <f t="shared" si="176"/>
        <v>20</v>
      </c>
      <c r="K1669" s="3">
        <f t="shared" si="177"/>
        <v>12</v>
      </c>
      <c r="L1669" s="3" t="str">
        <f t="shared" si="171"/>
        <v>EXCELENTE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34</v>
      </c>
      <c r="C1670" t="s">
        <v>18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 t="shared" si="175"/>
        <v>27</v>
      </c>
      <c r="J1670" s="3">
        <f t="shared" si="176"/>
        <v>25</v>
      </c>
      <c r="K1670" s="3">
        <f t="shared" si="177"/>
        <v>2</v>
      </c>
      <c r="L1670" s="3" t="str">
        <f t="shared" si="171"/>
        <v>BOM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35</v>
      </c>
      <c r="C1671" t="s">
        <v>16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 t="shared" si="175"/>
        <v>39</v>
      </c>
      <c r="J1671" s="3">
        <f t="shared" si="176"/>
        <v>20</v>
      </c>
      <c r="K1671" s="3">
        <f t="shared" si="177"/>
        <v>19</v>
      </c>
      <c r="L1671" s="3" t="str">
        <f t="shared" ref="L1671:L1734" si="178">IF(K1671&lt;-5,"CRÍTICO",IF(K1671&lt;0,"ATENÇÃO",IF(K1671&lt;=5,"BOM","EXCELENTE")))</f>
        <v>EXCELENTE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36</v>
      </c>
      <c r="C1672" t="s">
        <v>20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 t="shared" si="175"/>
        <v>16</v>
      </c>
      <c r="J1672" s="3">
        <f t="shared" si="176"/>
        <v>17</v>
      </c>
      <c r="K1672" s="3">
        <f t="shared" si="177"/>
        <v>-1</v>
      </c>
      <c r="L1672" s="3" t="str">
        <f t="shared" si="178"/>
        <v>ATENÇÃO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37</v>
      </c>
      <c r="C1673" t="s">
        <v>16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 t="shared" si="175"/>
        <v>35</v>
      </c>
      <c r="J1673" s="3">
        <f t="shared" si="176"/>
        <v>20</v>
      </c>
      <c r="K1673" s="3">
        <f t="shared" si="177"/>
        <v>15</v>
      </c>
      <c r="L1673" s="3" t="str">
        <f t="shared" si="178"/>
        <v>EXCELENTE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38</v>
      </c>
      <c r="C1674" t="s">
        <v>18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 t="shared" si="175"/>
        <v>59</v>
      </c>
      <c r="J1674" s="3">
        <f t="shared" si="176"/>
        <v>25</v>
      </c>
      <c r="K1674" s="3">
        <f t="shared" si="177"/>
        <v>34</v>
      </c>
      <c r="L1674" s="3" t="str">
        <f t="shared" si="178"/>
        <v>EXCELENTE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39</v>
      </c>
      <c r="C1675" t="s">
        <v>18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 t="shared" si="175"/>
        <v>17</v>
      </c>
      <c r="J1675" s="3">
        <f t="shared" si="176"/>
        <v>25</v>
      </c>
      <c r="K1675" s="3">
        <f t="shared" si="177"/>
        <v>-8</v>
      </c>
      <c r="L1675" s="3" t="str">
        <f t="shared" si="178"/>
        <v>CRÍTICO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40</v>
      </c>
      <c r="C1676" t="s">
        <v>16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 t="shared" si="175"/>
        <v>14</v>
      </c>
      <c r="J1676" s="3">
        <f t="shared" si="176"/>
        <v>20</v>
      </c>
      <c r="K1676" s="3">
        <f t="shared" si="177"/>
        <v>-6</v>
      </c>
      <c r="L1676" s="3" t="str">
        <f t="shared" si="178"/>
        <v>CRÍTICO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41</v>
      </c>
      <c r="C1677" t="s">
        <v>18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 t="shared" si="178"/>
        <v>BOM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42</v>
      </c>
      <c r="C1678" t="s">
        <v>43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15</v>
      </c>
      <c r="K1678" s="3">
        <f>I1678-J1678</f>
        <v>4</v>
      </c>
      <c r="L1678" s="3" t="str">
        <f t="shared" si="178"/>
        <v>BOM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44</v>
      </c>
      <c r="C1679" t="s">
        <v>18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25</v>
      </c>
      <c r="K1679" s="3">
        <f>I1679-J1679</f>
        <v>-8</v>
      </c>
      <c r="L1679" s="3" t="str">
        <f t="shared" si="178"/>
        <v>CRÍTICO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45</v>
      </c>
      <c r="C1680" t="s">
        <v>43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 t="shared" si="178"/>
        <v>BOM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46</v>
      </c>
      <c r="C1681" t="s">
        <v>18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25</v>
      </c>
      <c r="K1681" s="3">
        <f>I1681-J1681</f>
        <v>1</v>
      </c>
      <c r="L1681" s="3" t="str">
        <f t="shared" si="178"/>
        <v>BOM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47</v>
      </c>
      <c r="C1682" t="s">
        <v>16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20</v>
      </c>
      <c r="K1682" s="3">
        <f>I1682-J1682</f>
        <v>21</v>
      </c>
      <c r="L1682" s="3" t="str">
        <f t="shared" si="178"/>
        <v>EXCELENTE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48</v>
      </c>
      <c r="C1683" t="s">
        <v>16</v>
      </c>
      <c r="D1683">
        <v>0</v>
      </c>
      <c r="E1683">
        <v>0</v>
      </c>
      <c r="F1683">
        <v>0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 t="shared" si="178"/>
        <v>BOM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49</v>
      </c>
      <c r="C1684" t="s">
        <v>18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25</v>
      </c>
      <c r="K1684" s="3">
        <f>I1684-J1684</f>
        <v>-1</v>
      </c>
      <c r="L1684" s="3" t="str">
        <f t="shared" si="178"/>
        <v>ATENÇÃO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50</v>
      </c>
      <c r="C1685" t="s">
        <v>20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17</v>
      </c>
      <c r="K1685" s="3">
        <f>I1685-J1685</f>
        <v>3</v>
      </c>
      <c r="L1685" s="3" t="str">
        <f t="shared" si="178"/>
        <v>BOM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51</v>
      </c>
      <c r="C1686" t="s">
        <v>23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7</v>
      </c>
      <c r="K1686" s="3">
        <f>I1686-J1686</f>
        <v>1</v>
      </c>
      <c r="L1686" s="3" t="str">
        <f t="shared" si="178"/>
        <v>BOM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52</v>
      </c>
      <c r="C1687" t="s">
        <v>18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 t="shared" si="178"/>
        <v>BOM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53</v>
      </c>
      <c r="C1688" t="s">
        <v>18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25</v>
      </c>
      <c r="K1688" s="3">
        <f>I1688-J1688</f>
        <v>9</v>
      </c>
      <c r="L1688" s="3" t="str">
        <f t="shared" si="178"/>
        <v>EXCELENTE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54</v>
      </c>
      <c r="C1689" t="s">
        <v>23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7</v>
      </c>
      <c r="K1689" s="3">
        <f>I1689-J1689</f>
        <v>-4</v>
      </c>
      <c r="L1689" s="3" t="str">
        <f t="shared" si="178"/>
        <v>ATENÇÃO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55</v>
      </c>
      <c r="C1690" t="s">
        <v>43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 t="shared" si="178"/>
        <v>BOM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56</v>
      </c>
      <c r="C1691" t="s">
        <v>16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20</v>
      </c>
      <c r="K1691" s="3">
        <f>I1691-J1691</f>
        <v>5</v>
      </c>
      <c r="L1691" s="3" t="str">
        <f t="shared" si="178"/>
        <v>BOM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57</v>
      </c>
      <c r="C1692" t="s">
        <v>43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178"/>
        <v>BOM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58</v>
      </c>
      <c r="C1693" t="s">
        <v>43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178"/>
        <v>BOM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59</v>
      </c>
      <c r="C1694" t="s">
        <v>23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 t="shared" si="178"/>
        <v>BOM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60</v>
      </c>
      <c r="C1695" t="s">
        <v>20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17</v>
      </c>
      <c r="K1695" s="3">
        <f>I1695-J1695</f>
        <v>-9</v>
      </c>
      <c r="L1695" s="3" t="str">
        <f t="shared" si="178"/>
        <v>CRÍTICO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61</v>
      </c>
      <c r="C1696" t="s">
        <v>18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25</v>
      </c>
      <c r="K1696" s="3">
        <f>I1696-J1696</f>
        <v>3</v>
      </c>
      <c r="L1696" s="3" t="str">
        <f t="shared" si="178"/>
        <v>BOM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62</v>
      </c>
      <c r="C1697" t="s">
        <v>20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17</v>
      </c>
      <c r="K1697" s="3">
        <f>I1697-J1697</f>
        <v>-3</v>
      </c>
      <c r="L1697" s="3" t="str">
        <f t="shared" si="178"/>
        <v>ATENÇÃO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63</v>
      </c>
      <c r="C1698" t="s">
        <v>18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25</v>
      </c>
      <c r="K1698" s="3">
        <f>I1698-J1698</f>
        <v>11</v>
      </c>
      <c r="L1698" s="3" t="str">
        <f t="shared" si="178"/>
        <v>EXCELENTE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15</v>
      </c>
      <c r="C1699" t="s">
        <v>16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21</v>
      </c>
      <c r="K1699" s="3">
        <f>I1699-J1699</f>
        <v>22</v>
      </c>
      <c r="L1699" s="3" t="str">
        <f t="shared" si="178"/>
        <v>EXCELENTE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17</v>
      </c>
      <c r="C1700" t="s">
        <v>18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 t="shared" si="178"/>
        <v>BOM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19</v>
      </c>
      <c r="C1701" t="s">
        <v>20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17</v>
      </c>
      <c r="K1701" s="3">
        <f>I1701-J1701</f>
        <v>10</v>
      </c>
      <c r="L1701" s="3" t="str">
        <f t="shared" si="178"/>
        <v>EXCELENTE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21</v>
      </c>
      <c r="C1702" t="s">
        <v>18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26</v>
      </c>
      <c r="K1702" s="3">
        <f>I1702-J1702</f>
        <v>-2</v>
      </c>
      <c r="L1702" s="3" t="str">
        <f t="shared" si="178"/>
        <v>ATENÇÃO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22</v>
      </c>
      <c r="C1703" t="s">
        <v>23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 t="shared" si="178"/>
        <v>BOM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24</v>
      </c>
      <c r="C1704" t="s">
        <v>16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21</v>
      </c>
      <c r="K1704" s="3">
        <f>I1704-J1704</f>
        <v>9</v>
      </c>
      <c r="L1704" s="3" t="str">
        <f t="shared" si="178"/>
        <v>EXCELENTE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25</v>
      </c>
      <c r="C1705" t="s">
        <v>16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21</v>
      </c>
      <c r="K1705" s="3">
        <f>I1705-J1705</f>
        <v>-2</v>
      </c>
      <c r="L1705" s="3" t="str">
        <f t="shared" si="178"/>
        <v>ATENÇÃO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26</v>
      </c>
      <c r="C1706" t="s">
        <v>23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 t="shared" si="178"/>
        <v>BOM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27</v>
      </c>
      <c r="C1707" t="s">
        <v>20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17</v>
      </c>
      <c r="K1707" s="3">
        <f>I1707-J1707</f>
        <v>-16</v>
      </c>
      <c r="L1707" s="3" t="str">
        <f t="shared" si="178"/>
        <v>CRÍTICO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28</v>
      </c>
      <c r="C1708" t="s">
        <v>18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26</v>
      </c>
      <c r="K1708" s="3">
        <f>I1708-J1708</f>
        <v>16</v>
      </c>
      <c r="L1708" s="3" t="str">
        <f t="shared" si="178"/>
        <v>EXCELENTE</v>
      </c>
      <c r="N1708">
        <v>93.48</v>
      </c>
      <c r="O1708">
        <v>31.334622823984521</v>
      </c>
    </row>
    <row r="1709" spans="1:15" hidden="1" x14ac:dyDescent="0.25">
      <c r="A1709" s="11">
        <v>46055</v>
      </c>
      <c r="B1709" t="s">
        <v>29</v>
      </c>
      <c r="C1709" t="s">
        <v>16</v>
      </c>
      <c r="D1709">
        <v>0</v>
      </c>
      <c r="E1709">
        <v>0</v>
      </c>
      <c r="F1709">
        <v>0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 t="shared" si="178"/>
        <v>BOM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30</v>
      </c>
      <c r="C1710" t="s">
        <v>20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17</v>
      </c>
      <c r="K1710" s="3">
        <f>I1710-J1710</f>
        <v>-8</v>
      </c>
      <c r="L1710" s="3" t="str">
        <f t="shared" si="178"/>
        <v>CRÍTICO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31</v>
      </c>
      <c r="C1711" t="s">
        <v>18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178"/>
        <v>BOM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32</v>
      </c>
      <c r="C1712" t="s">
        <v>23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 t="shared" si="178"/>
        <v>BOM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33</v>
      </c>
      <c r="C1713" t="s">
        <v>16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21</v>
      </c>
      <c r="K1713" s="3">
        <f>I1713-J1713</f>
        <v>6</v>
      </c>
      <c r="L1713" s="3" t="str">
        <f t="shared" si="178"/>
        <v>EXCELENTE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34</v>
      </c>
      <c r="C1714" t="s">
        <v>18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26</v>
      </c>
      <c r="K1714" s="3">
        <f>I1714-J1714</f>
        <v>-4</v>
      </c>
      <c r="L1714" s="3" t="str">
        <f t="shared" si="178"/>
        <v>ATENÇÃO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35</v>
      </c>
      <c r="C1715" t="s">
        <v>16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21</v>
      </c>
      <c r="K1715" s="3">
        <f>I1715-J1715</f>
        <v>8</v>
      </c>
      <c r="L1715" s="3" t="str">
        <f t="shared" si="178"/>
        <v>EXCELENTE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36</v>
      </c>
      <c r="C1716" t="s">
        <v>20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 t="shared" si="178"/>
        <v>BOM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37</v>
      </c>
      <c r="C1717" t="s">
        <v>16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21</v>
      </c>
      <c r="K1717" s="3">
        <f>I1717-J1717</f>
        <v>14</v>
      </c>
      <c r="L1717" s="3" t="str">
        <f t="shared" si="178"/>
        <v>EXCELENTE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38</v>
      </c>
      <c r="C1718" t="s">
        <v>18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26</v>
      </c>
      <c r="K1718" s="3">
        <f>I1718-J1718</f>
        <v>25</v>
      </c>
      <c r="L1718" s="3" t="str">
        <f t="shared" si="178"/>
        <v>EXCELENTE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39</v>
      </c>
      <c r="C1719" t="s">
        <v>18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26</v>
      </c>
      <c r="K1719" s="3">
        <f>I1719-J1719</f>
        <v>-10</v>
      </c>
      <c r="L1719" s="3" t="str">
        <f t="shared" si="178"/>
        <v>CRÍTICO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40</v>
      </c>
      <c r="C1720" t="s">
        <v>16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21</v>
      </c>
      <c r="K1720" s="3">
        <f>I1720-J1720</f>
        <v>15</v>
      </c>
      <c r="L1720" s="3" t="str">
        <f t="shared" si="178"/>
        <v>EXCELENTE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41</v>
      </c>
      <c r="C1721" t="s">
        <v>18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 t="shared" si="178"/>
        <v>BOM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42</v>
      </c>
      <c r="C1722" t="s">
        <v>43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15</v>
      </c>
      <c r="K1722" s="3">
        <f>I1722-J1722</f>
        <v>0</v>
      </c>
      <c r="L1722" s="3" t="str">
        <f t="shared" si="178"/>
        <v>BOM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44</v>
      </c>
      <c r="C1723" t="s">
        <v>18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26</v>
      </c>
      <c r="K1723" s="3">
        <f>I1723-J1723</f>
        <v>4</v>
      </c>
      <c r="L1723" s="3" t="str">
        <f t="shared" si="178"/>
        <v>BOM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45</v>
      </c>
      <c r="C1724" t="s">
        <v>43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 t="shared" si="178"/>
        <v>BOM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46</v>
      </c>
      <c r="C1725" t="s">
        <v>18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26</v>
      </c>
      <c r="K1725" s="3">
        <f>I1725-J1725</f>
        <v>6</v>
      </c>
      <c r="L1725" s="3" t="str">
        <f t="shared" si="178"/>
        <v>EXCELENTE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47</v>
      </c>
      <c r="C1726" t="s">
        <v>16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21</v>
      </c>
      <c r="K1726" s="3">
        <f>I1726-J1726</f>
        <v>6</v>
      </c>
      <c r="L1726" s="3" t="str">
        <f t="shared" si="178"/>
        <v>EXCELENTE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48</v>
      </c>
      <c r="C1727" t="s">
        <v>16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178"/>
        <v>BOM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49</v>
      </c>
      <c r="C1728" t="s">
        <v>18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 t="shared" si="178"/>
        <v>BOM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50</v>
      </c>
      <c r="C1729" t="s">
        <v>20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17</v>
      </c>
      <c r="K1729" s="3">
        <f>I1729-J1729</f>
        <v>6</v>
      </c>
      <c r="L1729" s="3" t="str">
        <f t="shared" si="178"/>
        <v>EXCELENTE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51</v>
      </c>
      <c r="C1730" t="s">
        <v>23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7</v>
      </c>
      <c r="K1730" s="3">
        <f>I1730-J1730</f>
        <v>1</v>
      </c>
      <c r="L1730" s="3" t="str">
        <f t="shared" si="178"/>
        <v>BOM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52</v>
      </c>
      <c r="C1731" t="s">
        <v>18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26</v>
      </c>
      <c r="K1731" s="3">
        <f>I1731-J1731</f>
        <v>9</v>
      </c>
      <c r="L1731" s="3" t="str">
        <f t="shared" si="178"/>
        <v>EXCELENTE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53</v>
      </c>
      <c r="C1732" t="s">
        <v>18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26</v>
      </c>
      <c r="K1732" s="3">
        <f>I1732-J1732</f>
        <v>11</v>
      </c>
      <c r="L1732" s="3" t="str">
        <f t="shared" si="178"/>
        <v>EXCELENTE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54</v>
      </c>
      <c r="C1733" t="s">
        <v>23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7</v>
      </c>
      <c r="K1733" s="3">
        <f>I1733-J1733</f>
        <v>2</v>
      </c>
      <c r="L1733" s="3" t="str">
        <f t="shared" si="178"/>
        <v>BOM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55</v>
      </c>
      <c r="C1734" t="s">
        <v>43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 t="shared" si="178"/>
        <v>BOM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56</v>
      </c>
      <c r="C1735" t="s">
        <v>16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21</v>
      </c>
      <c r="K1735" s="3">
        <f>I1735-J1735</f>
        <v>10</v>
      </c>
      <c r="L1735" s="3" t="str">
        <f t="shared" ref="L1735:L1798" si="179">IF(K1735&lt;-5,"CRÍTICO",IF(K1735&lt;0,"ATENÇÃO",IF(K1735&lt;=5,"BOM","EXCELENTE")))</f>
        <v>EXCELENTE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57</v>
      </c>
      <c r="C1736" t="s">
        <v>43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179"/>
        <v>BOM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58</v>
      </c>
      <c r="C1737" t="s">
        <v>43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179"/>
        <v>BOM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59</v>
      </c>
      <c r="C1738" t="s">
        <v>23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 t="shared" si="179"/>
        <v>BOM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60</v>
      </c>
      <c r="C1739" t="s">
        <v>20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17</v>
      </c>
      <c r="K1739" s="3">
        <f>I1739-J1739</f>
        <v>-6</v>
      </c>
      <c r="L1739" s="3" t="str">
        <f t="shared" si="179"/>
        <v>CRÍTICO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61</v>
      </c>
      <c r="C1740" t="s">
        <v>18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26</v>
      </c>
      <c r="K1740" s="3">
        <f>I1740-J1740</f>
        <v>14</v>
      </c>
      <c r="L1740" s="3" t="str">
        <f t="shared" si="179"/>
        <v>EXCELENTE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62</v>
      </c>
      <c r="C1741" t="s">
        <v>20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17</v>
      </c>
      <c r="K1741" s="3">
        <f>I1741-J1741</f>
        <v>-1</v>
      </c>
      <c r="L1741" s="3" t="str">
        <f t="shared" si="179"/>
        <v>ATENÇÃO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63</v>
      </c>
      <c r="C1742" t="s">
        <v>18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26</v>
      </c>
      <c r="K1742" s="3">
        <f>I1742-J1742</f>
        <v>6</v>
      </c>
      <c r="L1742" s="3" t="str">
        <f t="shared" si="179"/>
        <v>EXCELENTE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15</v>
      </c>
      <c r="C1743" t="s">
        <v>16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24</v>
      </c>
      <c r="K1743" s="3">
        <f>I1743-J1743</f>
        <v>11</v>
      </c>
      <c r="L1743" s="3" t="str">
        <f t="shared" si="179"/>
        <v>EXCELENTE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17</v>
      </c>
      <c r="C1744" t="s">
        <v>18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 t="shared" si="179"/>
        <v>BOM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19</v>
      </c>
      <c r="C1745" t="s">
        <v>20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19</v>
      </c>
      <c r="K1745" s="3">
        <f>I1745-J1745</f>
        <v>8</v>
      </c>
      <c r="L1745" s="3" t="str">
        <f t="shared" si="179"/>
        <v>EXCELENTE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21</v>
      </c>
      <c r="C1746" t="s">
        <v>18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29</v>
      </c>
      <c r="K1746" s="3">
        <f>I1746-J1746</f>
        <v>10</v>
      </c>
      <c r="L1746" s="3" t="str">
        <f t="shared" si="179"/>
        <v>EXCELENTE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22</v>
      </c>
      <c r="C1747" t="s">
        <v>23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8</v>
      </c>
      <c r="K1747" s="3">
        <f>I1747-J1747</f>
        <v>-2</v>
      </c>
      <c r="L1747" s="3" t="str">
        <f t="shared" si="179"/>
        <v>ATENÇÃO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24</v>
      </c>
      <c r="C1748" t="s">
        <v>16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24</v>
      </c>
      <c r="K1748" s="3">
        <f>I1748-J1748</f>
        <v>14</v>
      </c>
      <c r="L1748" s="3" t="str">
        <f t="shared" si="179"/>
        <v>EXCELENTE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25</v>
      </c>
      <c r="C1749" t="s">
        <v>16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24</v>
      </c>
      <c r="K1749" s="3">
        <f>I1749-J1749</f>
        <v>1</v>
      </c>
      <c r="L1749" s="3" t="str">
        <f t="shared" si="179"/>
        <v>BOM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26</v>
      </c>
      <c r="C1750" t="s">
        <v>23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 t="shared" si="179"/>
        <v>BOM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27</v>
      </c>
      <c r="C1751" t="s">
        <v>20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19</v>
      </c>
      <c r="K1751" s="3">
        <f>I1751-J1751</f>
        <v>2</v>
      </c>
      <c r="L1751" s="3" t="str">
        <f t="shared" si="179"/>
        <v>BOM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28</v>
      </c>
      <c r="C1752" t="s">
        <v>18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29</v>
      </c>
      <c r="K1752" s="3">
        <f>I1752-J1752</f>
        <v>4</v>
      </c>
      <c r="L1752" s="3" t="str">
        <f t="shared" si="179"/>
        <v>BOM</v>
      </c>
      <c r="N1752">
        <v>93.48</v>
      </c>
      <c r="O1752">
        <v>31.334622823984521</v>
      </c>
    </row>
    <row r="1753" spans="1:15" hidden="1" x14ac:dyDescent="0.25">
      <c r="A1753" s="11">
        <v>46056</v>
      </c>
      <c r="B1753" t="s">
        <v>29</v>
      </c>
      <c r="C1753" t="s">
        <v>16</v>
      </c>
      <c r="D1753">
        <v>0</v>
      </c>
      <c r="E1753">
        <v>0</v>
      </c>
      <c r="F1753">
        <v>0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 t="shared" si="179"/>
        <v>BOM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30</v>
      </c>
      <c r="C1754" t="s">
        <v>20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19</v>
      </c>
      <c r="K1754" s="3">
        <f>I1754-J1754</f>
        <v>11</v>
      </c>
      <c r="L1754" s="3" t="str">
        <f t="shared" si="179"/>
        <v>EXCELENTE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31</v>
      </c>
      <c r="C1755" t="s">
        <v>18</v>
      </c>
      <c r="D1755">
        <v>0</v>
      </c>
      <c r="E1755">
        <v>0</v>
      </c>
      <c r="F1755">
        <v>0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 t="shared" si="179"/>
        <v>BOM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32</v>
      </c>
      <c r="C1756" t="s">
        <v>23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ref="I1756:I1764" si="180">E1756+G1756+H1756</f>
        <v>5</v>
      </c>
      <c r="J1756" s="3">
        <f t="shared" ref="J1756:J1764" si="181"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8</v>
      </c>
      <c r="K1756" s="3">
        <f t="shared" ref="K1756:K1764" si="182">I1756-J1756</f>
        <v>-3</v>
      </c>
      <c r="L1756" s="3" t="str">
        <f t="shared" si="179"/>
        <v>ATENÇÃO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33</v>
      </c>
      <c r="C1757" t="s">
        <v>16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180"/>
        <v>32</v>
      </c>
      <c r="J1757" s="3">
        <f t="shared" si="181"/>
        <v>24</v>
      </c>
      <c r="K1757" s="3">
        <f t="shared" si="182"/>
        <v>8</v>
      </c>
      <c r="L1757" s="3" t="str">
        <f t="shared" si="179"/>
        <v>EXCELENTE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34</v>
      </c>
      <c r="C1758" t="s">
        <v>18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180"/>
        <v>29</v>
      </c>
      <c r="J1758" s="3">
        <f t="shared" si="181"/>
        <v>29</v>
      </c>
      <c r="K1758" s="3">
        <f t="shared" si="182"/>
        <v>0</v>
      </c>
      <c r="L1758" s="3" t="str">
        <f t="shared" si="179"/>
        <v>BOM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35</v>
      </c>
      <c r="C1759" t="s">
        <v>16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180"/>
        <v>52</v>
      </c>
      <c r="J1759" s="3">
        <f t="shared" si="181"/>
        <v>24</v>
      </c>
      <c r="K1759" s="3">
        <f t="shared" si="182"/>
        <v>28</v>
      </c>
      <c r="L1759" s="3" t="str">
        <f t="shared" si="179"/>
        <v>EXCELENTE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36</v>
      </c>
      <c r="C1760" t="s">
        <v>20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180"/>
        <v>29</v>
      </c>
      <c r="J1760" s="3">
        <f t="shared" si="181"/>
        <v>13</v>
      </c>
      <c r="K1760" s="3">
        <f t="shared" si="182"/>
        <v>16</v>
      </c>
      <c r="L1760" s="3" t="str">
        <f t="shared" si="179"/>
        <v>EXCELENTE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37</v>
      </c>
      <c r="C1761" t="s">
        <v>16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180"/>
        <v>30</v>
      </c>
      <c r="J1761" s="3">
        <f t="shared" si="181"/>
        <v>24</v>
      </c>
      <c r="K1761" s="3">
        <f t="shared" si="182"/>
        <v>6</v>
      </c>
      <c r="L1761" s="3" t="str">
        <f t="shared" si="179"/>
        <v>EXCELENTE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38</v>
      </c>
      <c r="C1762" t="s">
        <v>18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180"/>
        <v>45</v>
      </c>
      <c r="J1762" s="3">
        <f t="shared" si="181"/>
        <v>29</v>
      </c>
      <c r="K1762" s="3">
        <f t="shared" si="182"/>
        <v>16</v>
      </c>
      <c r="L1762" s="3" t="str">
        <f t="shared" si="179"/>
        <v>EXCELENTE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39</v>
      </c>
      <c r="C1763" t="s">
        <v>18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si="180"/>
        <v>43</v>
      </c>
      <c r="J1763" s="3">
        <f t="shared" si="181"/>
        <v>29</v>
      </c>
      <c r="K1763" s="3">
        <f t="shared" si="182"/>
        <v>14</v>
      </c>
      <c r="L1763" s="3" t="str">
        <f t="shared" si="179"/>
        <v>EXCELENTE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40</v>
      </c>
      <c r="C1764" t="s">
        <v>16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180"/>
        <v>30</v>
      </c>
      <c r="J1764" s="3">
        <f t="shared" si="181"/>
        <v>24</v>
      </c>
      <c r="K1764" s="3">
        <f t="shared" si="182"/>
        <v>6</v>
      </c>
      <c r="L1764" s="3" t="str">
        <f t="shared" si="179"/>
        <v>EXCELENTE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41</v>
      </c>
      <c r="C1765" t="s">
        <v>18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 t="shared" si="179"/>
        <v>BOM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42</v>
      </c>
      <c r="C1766" t="s">
        <v>43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17</v>
      </c>
      <c r="K1766" s="3">
        <f>I1766-J1766</f>
        <v>-4</v>
      </c>
      <c r="L1766" s="3" t="str">
        <f t="shared" si="179"/>
        <v>ATENÇÃO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44</v>
      </c>
      <c r="C1767" t="s">
        <v>18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29</v>
      </c>
      <c r="K1767" s="3">
        <f>I1767-J1767</f>
        <v>-17</v>
      </c>
      <c r="L1767" s="3" t="str">
        <f t="shared" si="179"/>
        <v>CRÍTICO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45</v>
      </c>
      <c r="C1768" t="s">
        <v>43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 t="shared" si="179"/>
        <v>BOM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46</v>
      </c>
      <c r="C1769" t="s">
        <v>18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29</v>
      </c>
      <c r="K1769" s="3">
        <f>I1769-J1769</f>
        <v>-4</v>
      </c>
      <c r="L1769" s="3" t="str">
        <f t="shared" si="179"/>
        <v>ATENÇÃO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47</v>
      </c>
      <c r="C1770" t="s">
        <v>16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24</v>
      </c>
      <c r="K1770" s="3">
        <f>I1770-J1770</f>
        <v>13</v>
      </c>
      <c r="L1770" s="3" t="str">
        <f t="shared" si="179"/>
        <v>EXCELENTE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48</v>
      </c>
      <c r="C1771" t="s">
        <v>16</v>
      </c>
      <c r="D1771">
        <v>0</v>
      </c>
      <c r="E1771">
        <v>0</v>
      </c>
      <c r="F1771">
        <v>0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 t="shared" si="179"/>
        <v>BOM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49</v>
      </c>
      <c r="C1772" t="s">
        <v>18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ref="I1772:I1777" si="183">E1772+G1772+H1772</f>
        <v>8</v>
      </c>
      <c r="J1772" s="3">
        <f t="shared" ref="J1772:J1777" si="184"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29</v>
      </c>
      <c r="K1772" s="3">
        <f t="shared" ref="K1772:K1777" si="185">I1772-J1772</f>
        <v>-21</v>
      </c>
      <c r="L1772" s="3" t="str">
        <f t="shared" si="179"/>
        <v>CRÍTICO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50</v>
      </c>
      <c r="C1773" t="s">
        <v>20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183"/>
        <v>24</v>
      </c>
      <c r="J1773" s="3">
        <f t="shared" si="184"/>
        <v>19</v>
      </c>
      <c r="K1773" s="3">
        <f t="shared" si="185"/>
        <v>5</v>
      </c>
      <c r="L1773" s="3" t="str">
        <f t="shared" si="179"/>
        <v>BOM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51</v>
      </c>
      <c r="C1774" t="s">
        <v>23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183"/>
        <v>4</v>
      </c>
      <c r="J1774" s="3">
        <f t="shared" si="184"/>
        <v>8</v>
      </c>
      <c r="K1774" s="3">
        <f t="shared" si="185"/>
        <v>-4</v>
      </c>
      <c r="L1774" s="3" t="str">
        <f t="shared" si="179"/>
        <v>ATENÇÃO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52</v>
      </c>
      <c r="C1775" t="s">
        <v>18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183"/>
        <v>27</v>
      </c>
      <c r="J1775" s="3">
        <f t="shared" si="184"/>
        <v>29</v>
      </c>
      <c r="K1775" s="3">
        <f t="shared" si="185"/>
        <v>-2</v>
      </c>
      <c r="L1775" s="3" t="str">
        <f t="shared" si="179"/>
        <v>ATENÇÃO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53</v>
      </c>
      <c r="C1776" t="s">
        <v>18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183"/>
        <v>44</v>
      </c>
      <c r="J1776" s="3">
        <f t="shared" si="184"/>
        <v>29</v>
      </c>
      <c r="K1776" s="3">
        <f t="shared" si="185"/>
        <v>15</v>
      </c>
      <c r="L1776" s="3" t="str">
        <f t="shared" si="179"/>
        <v>EXCELENTE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54</v>
      </c>
      <c r="C1777" t="s">
        <v>23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183"/>
        <v>11</v>
      </c>
      <c r="J1777" s="3">
        <f t="shared" si="184"/>
        <v>8</v>
      </c>
      <c r="K1777" s="3">
        <f t="shared" si="185"/>
        <v>3</v>
      </c>
      <c r="L1777" s="3" t="str">
        <f t="shared" si="179"/>
        <v>BOM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55</v>
      </c>
      <c r="C1778" t="s">
        <v>43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 t="shared" si="179"/>
        <v>BOM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56</v>
      </c>
      <c r="C1779" t="s">
        <v>16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24</v>
      </c>
      <c r="K1779" s="3">
        <f>I1779-J1779</f>
        <v>8</v>
      </c>
      <c r="L1779" s="3" t="str">
        <f t="shared" si="179"/>
        <v>EXCELENTE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57</v>
      </c>
      <c r="C1780" t="s">
        <v>43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179"/>
        <v>BOM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58</v>
      </c>
      <c r="C1781" t="s">
        <v>43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179"/>
        <v>BOM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59</v>
      </c>
      <c r="C1782" t="s">
        <v>23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 t="shared" si="179"/>
        <v>BOM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60</v>
      </c>
      <c r="C1783" t="s">
        <v>20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19</v>
      </c>
      <c r="K1783" s="3">
        <f>I1783-J1783</f>
        <v>-2</v>
      </c>
      <c r="L1783" s="3" t="str">
        <f t="shared" si="179"/>
        <v>ATENÇÃO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61</v>
      </c>
      <c r="C1784" t="s">
        <v>18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29</v>
      </c>
      <c r="K1784" s="3">
        <f>I1784-J1784</f>
        <v>4</v>
      </c>
      <c r="L1784" s="3" t="str">
        <f t="shared" si="179"/>
        <v>BOM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62</v>
      </c>
      <c r="C1785" t="s">
        <v>20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19</v>
      </c>
      <c r="K1785" s="3">
        <f>I1785-J1785</f>
        <v>-7</v>
      </c>
      <c r="L1785" s="3" t="str">
        <f t="shared" si="179"/>
        <v>CRÍTICO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63</v>
      </c>
      <c r="C1786" t="s">
        <v>18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29</v>
      </c>
      <c r="K1786" s="3">
        <f>I1786-J1786</f>
        <v>5</v>
      </c>
      <c r="L1786" s="3" t="str">
        <f t="shared" si="179"/>
        <v>BOM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15</v>
      </c>
      <c r="C1787" t="s">
        <v>16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23</v>
      </c>
      <c r="K1787" s="3">
        <f>I1787-J1787</f>
        <v>3</v>
      </c>
      <c r="L1787" s="3" t="str">
        <f t="shared" si="179"/>
        <v>BOM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17</v>
      </c>
      <c r="C1788" t="s">
        <v>18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 t="shared" si="179"/>
        <v>BOM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19</v>
      </c>
      <c r="C1789" t="s">
        <v>20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19</v>
      </c>
      <c r="K1789" s="3">
        <f>I1789-J1789</f>
        <v>5</v>
      </c>
      <c r="L1789" s="3" t="str">
        <f t="shared" si="179"/>
        <v>BOM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21</v>
      </c>
      <c r="C1790" t="s">
        <v>18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29</v>
      </c>
      <c r="K1790" s="3">
        <f>I1790-J1790</f>
        <v>9</v>
      </c>
      <c r="L1790" s="3" t="str">
        <f t="shared" si="179"/>
        <v>EXCELENTE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22</v>
      </c>
      <c r="C1791" t="s">
        <v>23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8</v>
      </c>
      <c r="K1791" s="3">
        <f>I1791-J1791</f>
        <v>0</v>
      </c>
      <c r="L1791" s="3" t="str">
        <f t="shared" si="179"/>
        <v>BOM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24</v>
      </c>
      <c r="C1792" t="s">
        <v>16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23</v>
      </c>
      <c r="K1792" s="3">
        <f>I1792-J1792</f>
        <v>11</v>
      </c>
      <c r="L1792" s="3" t="str">
        <f t="shared" si="179"/>
        <v>EXCELENTE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25</v>
      </c>
      <c r="C1793" t="s">
        <v>16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23</v>
      </c>
      <c r="K1793" s="3">
        <f>I1793-J1793</f>
        <v>8</v>
      </c>
      <c r="L1793" s="3" t="str">
        <f t="shared" si="179"/>
        <v>EXCELENTE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26</v>
      </c>
      <c r="C1794" t="s">
        <v>23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 t="shared" si="179"/>
        <v>BOM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27</v>
      </c>
      <c r="C1795" t="s">
        <v>20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19</v>
      </c>
      <c r="K1795" s="3">
        <f>I1795-J1795</f>
        <v>-3</v>
      </c>
      <c r="L1795" s="3" t="str">
        <f t="shared" si="179"/>
        <v>ATENÇÃO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28</v>
      </c>
      <c r="C1796" t="s">
        <v>18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29</v>
      </c>
      <c r="K1796" s="3">
        <f>I1796-J1796</f>
        <v>19</v>
      </c>
      <c r="L1796" s="3" t="str">
        <f t="shared" si="179"/>
        <v>EXCELENTE</v>
      </c>
      <c r="N1796">
        <v>93.48</v>
      </c>
      <c r="O1796">
        <v>31.334622823984521</v>
      </c>
    </row>
    <row r="1797" spans="1:15" hidden="1" x14ac:dyDescent="0.25">
      <c r="A1797" s="11">
        <v>46057</v>
      </c>
      <c r="B1797" t="s">
        <v>29</v>
      </c>
      <c r="C1797" t="s">
        <v>16</v>
      </c>
      <c r="D1797">
        <v>0</v>
      </c>
      <c r="E1797">
        <v>0</v>
      </c>
      <c r="F1797">
        <v>0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 t="shared" si="179"/>
        <v>BOM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30</v>
      </c>
      <c r="C1798" t="s">
        <v>20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19</v>
      </c>
      <c r="K1798" s="3">
        <f>I1798-J1798</f>
        <v>-7</v>
      </c>
      <c r="L1798" s="3" t="str">
        <f t="shared" si="179"/>
        <v>CRÍTICO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31</v>
      </c>
      <c r="C1799" t="s">
        <v>18</v>
      </c>
      <c r="D1799">
        <v>0</v>
      </c>
      <c r="E1799">
        <v>0</v>
      </c>
      <c r="F1799">
        <v>0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 t="shared" ref="L1799:L1862" si="186">IF(K1799&lt;-5,"CRÍTICO",IF(K1799&lt;0,"ATENÇÃO",IF(K1799&lt;=5,"BOM","EXCELENTE")))</f>
        <v>BOM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32</v>
      </c>
      <c r="C1800" t="s">
        <v>23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ref="I1800:I1808" si="187">E1800+G1800+H1800</f>
        <v>5</v>
      </c>
      <c r="J1800" s="3">
        <f t="shared" ref="J1800:J1808" si="188"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8</v>
      </c>
      <c r="K1800" s="3">
        <f t="shared" ref="K1800:K1808" si="189">I1800-J1800</f>
        <v>-3</v>
      </c>
      <c r="L1800" s="3" t="str">
        <f t="shared" si="186"/>
        <v>ATENÇÃO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33</v>
      </c>
      <c r="C1801" t="s">
        <v>16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187"/>
        <v>23</v>
      </c>
      <c r="J1801" s="3">
        <f t="shared" si="188"/>
        <v>23</v>
      </c>
      <c r="K1801" s="3">
        <f t="shared" si="189"/>
        <v>0</v>
      </c>
      <c r="L1801" s="3" t="str">
        <f t="shared" si="186"/>
        <v>BOM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34</v>
      </c>
      <c r="C1802" t="s">
        <v>18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187"/>
        <v>27</v>
      </c>
      <c r="J1802" s="3">
        <f t="shared" si="188"/>
        <v>29</v>
      </c>
      <c r="K1802" s="3">
        <f t="shared" si="189"/>
        <v>-2</v>
      </c>
      <c r="L1802" s="3" t="str">
        <f t="shared" si="186"/>
        <v>ATENÇÃO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35</v>
      </c>
      <c r="C1803" t="s">
        <v>16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187"/>
        <v>48</v>
      </c>
      <c r="J1803" s="3">
        <f t="shared" si="188"/>
        <v>23</v>
      </c>
      <c r="K1803" s="3">
        <f t="shared" si="189"/>
        <v>25</v>
      </c>
      <c r="L1803" s="3" t="str">
        <f t="shared" si="186"/>
        <v>EXCELENTE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36</v>
      </c>
      <c r="C1804" t="s">
        <v>20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si="187"/>
        <v>11</v>
      </c>
      <c r="J1804" s="3">
        <f t="shared" si="188"/>
        <v>13</v>
      </c>
      <c r="K1804" s="3">
        <f t="shared" si="189"/>
        <v>-2</v>
      </c>
      <c r="L1804" s="3" t="str">
        <f t="shared" si="186"/>
        <v>ATENÇÃO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37</v>
      </c>
      <c r="C1805" t="s">
        <v>16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187"/>
        <v>32</v>
      </c>
      <c r="J1805" s="3">
        <f t="shared" si="188"/>
        <v>23</v>
      </c>
      <c r="K1805" s="3">
        <f t="shared" si="189"/>
        <v>9</v>
      </c>
      <c r="L1805" s="3" t="str">
        <f t="shared" si="186"/>
        <v>EXCELENTE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38</v>
      </c>
      <c r="C1806" t="s">
        <v>18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187"/>
        <v>53</v>
      </c>
      <c r="J1806" s="3">
        <f t="shared" si="188"/>
        <v>29</v>
      </c>
      <c r="K1806" s="3">
        <f t="shared" si="189"/>
        <v>24</v>
      </c>
      <c r="L1806" s="3" t="str">
        <f t="shared" si="186"/>
        <v>EXCELENTE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39</v>
      </c>
      <c r="C1807" t="s">
        <v>18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187"/>
        <v>46</v>
      </c>
      <c r="J1807" s="3">
        <f t="shared" si="188"/>
        <v>29</v>
      </c>
      <c r="K1807" s="3">
        <f t="shared" si="189"/>
        <v>17</v>
      </c>
      <c r="L1807" s="3" t="str">
        <f t="shared" si="186"/>
        <v>EXCELENTE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40</v>
      </c>
      <c r="C1808" t="s">
        <v>16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187"/>
        <v>33</v>
      </c>
      <c r="J1808" s="3">
        <f t="shared" si="188"/>
        <v>23</v>
      </c>
      <c r="K1808" s="3">
        <f t="shared" si="189"/>
        <v>10</v>
      </c>
      <c r="L1808" s="3" t="str">
        <f t="shared" si="186"/>
        <v>EXCELENTE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41</v>
      </c>
      <c r="C1809" t="s">
        <v>18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 t="shared" si="186"/>
        <v>BOM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42</v>
      </c>
      <c r="C1810" t="s">
        <v>43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17</v>
      </c>
      <c r="K1810" s="3">
        <f>I1810-J1810</f>
        <v>0</v>
      </c>
      <c r="L1810" s="3" t="str">
        <f t="shared" si="186"/>
        <v>BOM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44</v>
      </c>
      <c r="C1811" t="s">
        <v>18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29</v>
      </c>
      <c r="K1811" s="3">
        <f>I1811-J1811</f>
        <v>2</v>
      </c>
      <c r="L1811" s="3" t="str">
        <f t="shared" si="186"/>
        <v>BOM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45</v>
      </c>
      <c r="C1812" t="s">
        <v>43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 t="shared" si="186"/>
        <v>BOM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46</v>
      </c>
      <c r="C1813" t="s">
        <v>18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29</v>
      </c>
      <c r="K1813" s="3">
        <f>I1813-J1813</f>
        <v>-3</v>
      </c>
      <c r="L1813" s="3" t="str">
        <f t="shared" si="186"/>
        <v>ATENÇÃO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47</v>
      </c>
      <c r="C1814" t="s">
        <v>16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23</v>
      </c>
      <c r="K1814" s="3">
        <f>I1814-J1814</f>
        <v>3</v>
      </c>
      <c r="L1814" s="3" t="str">
        <f t="shared" si="186"/>
        <v>BOM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48</v>
      </c>
      <c r="C1815" t="s">
        <v>16</v>
      </c>
      <c r="D1815">
        <v>0</v>
      </c>
      <c r="E1815">
        <v>0</v>
      </c>
      <c r="F1815">
        <v>0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 t="shared" si="186"/>
        <v>BOM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49</v>
      </c>
      <c r="C1816" t="s">
        <v>18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ref="I1816:I1821" si="190">E1816+G1816+H1816</f>
        <v>34</v>
      </c>
      <c r="J1816" s="3">
        <f t="shared" ref="J1816:J1821" si="191"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29</v>
      </c>
      <c r="K1816" s="3">
        <f t="shared" ref="K1816:K1821" si="192">I1816-J1816</f>
        <v>5</v>
      </c>
      <c r="L1816" s="3" t="str">
        <f t="shared" si="186"/>
        <v>BOM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50</v>
      </c>
      <c r="C1817" t="s">
        <v>20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190"/>
        <v>23</v>
      </c>
      <c r="J1817" s="3">
        <f t="shared" si="191"/>
        <v>19</v>
      </c>
      <c r="K1817" s="3">
        <f t="shared" si="192"/>
        <v>4</v>
      </c>
      <c r="L1817" s="3" t="str">
        <f t="shared" si="186"/>
        <v>BOM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51</v>
      </c>
      <c r="C1818" t="s">
        <v>23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190"/>
        <v>8</v>
      </c>
      <c r="J1818" s="3">
        <f t="shared" si="191"/>
        <v>8</v>
      </c>
      <c r="K1818" s="3">
        <f t="shared" si="192"/>
        <v>0</v>
      </c>
      <c r="L1818" s="3" t="str">
        <f t="shared" si="186"/>
        <v>BOM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52</v>
      </c>
      <c r="C1819" t="s">
        <v>18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190"/>
        <v>38</v>
      </c>
      <c r="J1819" s="3">
        <f t="shared" si="191"/>
        <v>29</v>
      </c>
      <c r="K1819" s="3">
        <f t="shared" si="192"/>
        <v>9</v>
      </c>
      <c r="L1819" s="3" t="str">
        <f t="shared" si="186"/>
        <v>EXCELENTE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53</v>
      </c>
      <c r="C1820" t="s">
        <v>18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190"/>
        <v>31</v>
      </c>
      <c r="J1820" s="3">
        <f t="shared" si="191"/>
        <v>29</v>
      </c>
      <c r="K1820" s="3">
        <f t="shared" si="192"/>
        <v>2</v>
      </c>
      <c r="L1820" s="3" t="str">
        <f t="shared" si="186"/>
        <v>BOM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54</v>
      </c>
      <c r="C1821" t="s">
        <v>23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190"/>
        <v>15</v>
      </c>
      <c r="J1821" s="3">
        <f t="shared" si="191"/>
        <v>8</v>
      </c>
      <c r="K1821" s="3">
        <f t="shared" si="192"/>
        <v>7</v>
      </c>
      <c r="L1821" s="3" t="str">
        <f t="shared" si="186"/>
        <v>EXCELENTE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55</v>
      </c>
      <c r="C1822" t="s">
        <v>43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186"/>
        <v>BOM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56</v>
      </c>
      <c r="C1823" t="s">
        <v>16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186"/>
        <v>BOM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57</v>
      </c>
      <c r="C1824" t="s">
        <v>43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186"/>
        <v>BOM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58</v>
      </c>
      <c r="C1825" t="s">
        <v>43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186"/>
        <v>BOM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59</v>
      </c>
      <c r="C1826" t="s">
        <v>23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 t="shared" si="186"/>
        <v>BOM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60</v>
      </c>
      <c r="C1827" t="s">
        <v>20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19</v>
      </c>
      <c r="K1827" s="3">
        <f>I1827-J1827</f>
        <v>-3</v>
      </c>
      <c r="L1827" s="3" t="str">
        <f t="shared" si="186"/>
        <v>ATENÇÃO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61</v>
      </c>
      <c r="C1828" t="s">
        <v>18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29</v>
      </c>
      <c r="K1828" s="3">
        <f>I1828-J1828</f>
        <v>14</v>
      </c>
      <c r="L1828" s="3" t="str">
        <f t="shared" si="186"/>
        <v>EXCELENTE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62</v>
      </c>
      <c r="C1829" t="s">
        <v>20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19</v>
      </c>
      <c r="K1829" s="3">
        <f>I1829-J1829</f>
        <v>-2</v>
      </c>
      <c r="L1829" s="3" t="str">
        <f t="shared" si="186"/>
        <v>ATENÇÃO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63</v>
      </c>
      <c r="C1830" t="s">
        <v>18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29</v>
      </c>
      <c r="K1830" s="3">
        <f>I1830-J1830</f>
        <v>8</v>
      </c>
      <c r="L1830" s="3" t="str">
        <f t="shared" si="186"/>
        <v>EXCELENTE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15</v>
      </c>
      <c r="C1831" t="s">
        <v>16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27</v>
      </c>
      <c r="K1831" s="3">
        <f>I1831-J1831</f>
        <v>7</v>
      </c>
      <c r="L1831" s="3" t="str">
        <f t="shared" si="186"/>
        <v>EXCELENTE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17</v>
      </c>
      <c r="C1832" t="s">
        <v>18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 t="shared" si="186"/>
        <v>BOM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19</v>
      </c>
      <c r="C1833" t="s">
        <v>20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22</v>
      </c>
      <c r="K1833" s="3">
        <f>I1833-J1833</f>
        <v>18</v>
      </c>
      <c r="L1833" s="3" t="str">
        <f t="shared" si="186"/>
        <v>EXCELENTE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21</v>
      </c>
      <c r="C1834" t="s">
        <v>18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34</v>
      </c>
      <c r="K1834" s="3">
        <f>I1834-J1834</f>
        <v>6</v>
      </c>
      <c r="L1834" s="3" t="str">
        <f t="shared" si="186"/>
        <v>EXCELENTE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22</v>
      </c>
      <c r="C1835" t="s">
        <v>23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 t="shared" si="186"/>
        <v>BOM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24</v>
      </c>
      <c r="C1836" t="s">
        <v>16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27</v>
      </c>
      <c r="K1836" s="3">
        <f>I1836-J1836</f>
        <v>3</v>
      </c>
      <c r="L1836" s="3" t="str">
        <f t="shared" si="186"/>
        <v>BOM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25</v>
      </c>
      <c r="C1837" t="s">
        <v>16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27</v>
      </c>
      <c r="K1837" s="3">
        <f>I1837-J1837</f>
        <v>-11</v>
      </c>
      <c r="L1837" s="3" t="str">
        <f t="shared" si="186"/>
        <v>CRÍTICO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26</v>
      </c>
      <c r="C1838" t="s">
        <v>23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 t="shared" si="186"/>
        <v>BOM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27</v>
      </c>
      <c r="C1839" t="s">
        <v>20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22</v>
      </c>
      <c r="K1839" s="3">
        <f>I1839-J1839</f>
        <v>-8</v>
      </c>
      <c r="L1839" s="3" t="str">
        <f t="shared" si="186"/>
        <v>CRÍTICO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28</v>
      </c>
      <c r="C1840" t="s">
        <v>18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34</v>
      </c>
      <c r="K1840" s="3">
        <f>I1840-J1840</f>
        <v>-6</v>
      </c>
      <c r="L1840" s="3" t="str">
        <f t="shared" si="186"/>
        <v>CRÍTICO</v>
      </c>
      <c r="N1840">
        <v>93.48</v>
      </c>
      <c r="O1840">
        <v>31.334622823984521</v>
      </c>
    </row>
    <row r="1841" spans="1:15" hidden="1" x14ac:dyDescent="0.25">
      <c r="A1841" s="11">
        <v>46058</v>
      </c>
      <c r="B1841" t="s">
        <v>29</v>
      </c>
      <c r="C1841" t="s">
        <v>16</v>
      </c>
      <c r="D1841">
        <v>0</v>
      </c>
      <c r="E1841">
        <v>0</v>
      </c>
      <c r="F1841">
        <v>0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 t="shared" si="186"/>
        <v>BOM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30</v>
      </c>
      <c r="C1842" t="s">
        <v>20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22</v>
      </c>
      <c r="K1842" s="3">
        <f>I1842-J1842</f>
        <v>-2</v>
      </c>
      <c r="L1842" s="3" t="str">
        <f t="shared" si="186"/>
        <v>ATENÇÃO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31</v>
      </c>
      <c r="C1843" t="s">
        <v>18</v>
      </c>
      <c r="D1843">
        <v>0</v>
      </c>
      <c r="E1843">
        <v>0</v>
      </c>
      <c r="F1843">
        <v>0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 t="shared" si="186"/>
        <v>BOM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32</v>
      </c>
      <c r="C1844" t="s">
        <v>23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ref="I1844:I1852" si="193">E1844+G1844+H1844</f>
        <v>28</v>
      </c>
      <c r="J1844" s="3">
        <f t="shared" ref="J1844:J1852" si="194"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 t="shared" ref="K1844:K1852" si="195">I1844-J1844</f>
        <v>18</v>
      </c>
      <c r="L1844" s="3" t="str">
        <f t="shared" si="186"/>
        <v>EXCELENTE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33</v>
      </c>
      <c r="C1845" t="s">
        <v>16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193"/>
        <v>35</v>
      </c>
      <c r="J1845" s="3">
        <f t="shared" si="194"/>
        <v>27</v>
      </c>
      <c r="K1845" s="3">
        <f t="shared" si="195"/>
        <v>8</v>
      </c>
      <c r="L1845" s="3" t="str">
        <f t="shared" si="186"/>
        <v>EXCELENTE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34</v>
      </c>
      <c r="C1846" t="s">
        <v>18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193"/>
        <v>35</v>
      </c>
      <c r="J1846" s="3">
        <f t="shared" si="194"/>
        <v>34</v>
      </c>
      <c r="K1846" s="3">
        <f t="shared" si="195"/>
        <v>1</v>
      </c>
      <c r="L1846" s="3" t="str">
        <f t="shared" si="186"/>
        <v>BOM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35</v>
      </c>
      <c r="C1847" t="s">
        <v>16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193"/>
        <v>44</v>
      </c>
      <c r="J1847" s="3">
        <f t="shared" si="194"/>
        <v>27</v>
      </c>
      <c r="K1847" s="3">
        <f t="shared" si="195"/>
        <v>17</v>
      </c>
      <c r="L1847" s="3" t="str">
        <f t="shared" si="186"/>
        <v>EXCELENTE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36</v>
      </c>
      <c r="C1848" t="s">
        <v>20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si="193"/>
        <v>3</v>
      </c>
      <c r="J1848" s="3">
        <f t="shared" si="194"/>
        <v>15</v>
      </c>
      <c r="K1848" s="3">
        <f t="shared" si="195"/>
        <v>-12</v>
      </c>
      <c r="L1848" s="3" t="str">
        <f t="shared" si="186"/>
        <v>CRÍTICO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37</v>
      </c>
      <c r="C1849" t="s">
        <v>16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193"/>
        <v>37</v>
      </c>
      <c r="J1849" s="3">
        <f t="shared" si="194"/>
        <v>27</v>
      </c>
      <c r="K1849" s="3">
        <f t="shared" si="195"/>
        <v>10</v>
      </c>
      <c r="L1849" s="3" t="str">
        <f t="shared" si="186"/>
        <v>EXCELENTE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38</v>
      </c>
      <c r="C1850" t="s">
        <v>18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193"/>
        <v>43</v>
      </c>
      <c r="J1850" s="3">
        <f t="shared" si="194"/>
        <v>34</v>
      </c>
      <c r="K1850" s="3">
        <f t="shared" si="195"/>
        <v>9</v>
      </c>
      <c r="L1850" s="3" t="str">
        <f t="shared" si="186"/>
        <v>EXCELENTE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39</v>
      </c>
      <c r="C1851" t="s">
        <v>18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193"/>
        <v>44</v>
      </c>
      <c r="J1851" s="3">
        <f t="shared" si="194"/>
        <v>34</v>
      </c>
      <c r="K1851" s="3">
        <f t="shared" si="195"/>
        <v>10</v>
      </c>
      <c r="L1851" s="3" t="str">
        <f t="shared" si="186"/>
        <v>EXCELENTE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40</v>
      </c>
      <c r="C1852" t="s">
        <v>16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193"/>
        <v>38</v>
      </c>
      <c r="J1852" s="3">
        <f t="shared" si="194"/>
        <v>27</v>
      </c>
      <c r="K1852" s="3">
        <f t="shared" si="195"/>
        <v>11</v>
      </c>
      <c r="L1852" s="3" t="str">
        <f t="shared" si="186"/>
        <v>EXCELENTE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41</v>
      </c>
      <c r="C1853" t="s">
        <v>18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 t="shared" si="186"/>
        <v>BOM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42</v>
      </c>
      <c r="C1854" t="s">
        <v>43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19</v>
      </c>
      <c r="K1854" s="3">
        <f>I1854-J1854</f>
        <v>0</v>
      </c>
      <c r="L1854" s="3" t="str">
        <f t="shared" si="186"/>
        <v>BOM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44</v>
      </c>
      <c r="C1855" t="s">
        <v>18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34</v>
      </c>
      <c r="K1855" s="3">
        <f>I1855-J1855</f>
        <v>-27</v>
      </c>
      <c r="L1855" s="3" t="str">
        <f t="shared" si="186"/>
        <v>CRÍTICO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45</v>
      </c>
      <c r="C1856" t="s">
        <v>43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 t="shared" si="186"/>
        <v>BOM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46</v>
      </c>
      <c r="C1857" t="s">
        <v>18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34</v>
      </c>
      <c r="K1857" s="3">
        <f>I1857-J1857</f>
        <v>-12</v>
      </c>
      <c r="L1857" s="3" t="str">
        <f t="shared" si="186"/>
        <v>CRÍTICO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47</v>
      </c>
      <c r="C1858" t="s">
        <v>16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27</v>
      </c>
      <c r="K1858" s="3">
        <f>I1858-J1858</f>
        <v>7</v>
      </c>
      <c r="L1858" s="3" t="str">
        <f t="shared" si="186"/>
        <v>EXCELENTE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48</v>
      </c>
      <c r="C1859" t="s">
        <v>16</v>
      </c>
      <c r="D1859">
        <v>0</v>
      </c>
      <c r="E1859">
        <v>0</v>
      </c>
      <c r="F1859">
        <v>0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 t="shared" si="186"/>
        <v>BOM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49</v>
      </c>
      <c r="C1860" t="s">
        <v>18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ref="I1860:I1865" si="196">E1860+G1860+H1860</f>
        <v>36</v>
      </c>
      <c r="J1860" s="3">
        <f t="shared" ref="J1860:J1865" si="197"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34</v>
      </c>
      <c r="K1860" s="3">
        <f t="shared" ref="K1860:K1865" si="198">I1860-J1860</f>
        <v>2</v>
      </c>
      <c r="L1860" s="3" t="str">
        <f t="shared" si="186"/>
        <v>BOM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50</v>
      </c>
      <c r="C1861" t="s">
        <v>20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196"/>
        <v>24</v>
      </c>
      <c r="J1861" s="3">
        <f t="shared" si="197"/>
        <v>22</v>
      </c>
      <c r="K1861" s="3">
        <f t="shared" si="198"/>
        <v>2</v>
      </c>
      <c r="L1861" s="3" t="str">
        <f t="shared" si="186"/>
        <v>BOM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51</v>
      </c>
      <c r="C1862" t="s">
        <v>23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196"/>
        <v>39</v>
      </c>
      <c r="J1862" s="3">
        <f t="shared" si="197"/>
        <v>10</v>
      </c>
      <c r="K1862" s="3">
        <f t="shared" si="198"/>
        <v>29</v>
      </c>
      <c r="L1862" s="3" t="str">
        <f t="shared" si="186"/>
        <v>EXCELENTE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52</v>
      </c>
      <c r="C1863" t="s">
        <v>18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196"/>
        <v>40</v>
      </c>
      <c r="J1863" s="3">
        <f t="shared" si="197"/>
        <v>34</v>
      </c>
      <c r="K1863" s="3">
        <f t="shared" si="198"/>
        <v>6</v>
      </c>
      <c r="L1863" s="3" t="str">
        <f t="shared" ref="L1863:L1926" si="199">IF(K1863&lt;-5,"CRÍTICO",IF(K1863&lt;0,"ATENÇÃO",IF(K1863&lt;=5,"BOM","EXCELENTE")))</f>
        <v>EXCELENTE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53</v>
      </c>
      <c r="C1864" t="s">
        <v>18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196"/>
        <v>32</v>
      </c>
      <c r="J1864" s="3">
        <f t="shared" si="197"/>
        <v>34</v>
      </c>
      <c r="K1864" s="3">
        <f t="shared" si="198"/>
        <v>-2</v>
      </c>
      <c r="L1864" s="3" t="str">
        <f t="shared" si="199"/>
        <v>ATENÇÃO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54</v>
      </c>
      <c r="C1865" t="s">
        <v>23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196"/>
        <v>16</v>
      </c>
      <c r="J1865" s="3">
        <f t="shared" si="197"/>
        <v>10</v>
      </c>
      <c r="K1865" s="3">
        <f t="shared" si="198"/>
        <v>6</v>
      </c>
      <c r="L1865" s="3" t="str">
        <f t="shared" si="199"/>
        <v>EXCELENTE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55</v>
      </c>
      <c r="C1866" t="s">
        <v>43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 t="shared" si="199"/>
        <v>BOM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56</v>
      </c>
      <c r="C1867" t="s">
        <v>16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27</v>
      </c>
      <c r="K1867" s="3">
        <f>I1867-J1867</f>
        <v>0</v>
      </c>
      <c r="L1867" s="3" t="str">
        <f t="shared" si="199"/>
        <v>BOM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57</v>
      </c>
      <c r="C1868" t="s">
        <v>43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199"/>
        <v>BOM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58</v>
      </c>
      <c r="C1869" t="s">
        <v>43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199"/>
        <v>BOM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59</v>
      </c>
      <c r="C1870" t="s">
        <v>23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 t="shared" si="199"/>
        <v>BOM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60</v>
      </c>
      <c r="C1871" t="s">
        <v>20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22</v>
      </c>
      <c r="K1871" s="3">
        <f>I1871-J1871</f>
        <v>1</v>
      </c>
      <c r="L1871" s="3" t="str">
        <f t="shared" si="199"/>
        <v>BOM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61</v>
      </c>
      <c r="C1872" t="s">
        <v>18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34</v>
      </c>
      <c r="K1872" s="3">
        <f>I1872-J1872</f>
        <v>-7</v>
      </c>
      <c r="L1872" s="3" t="str">
        <f t="shared" si="199"/>
        <v>CRÍTICO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62</v>
      </c>
      <c r="C1873" t="s">
        <v>20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22</v>
      </c>
      <c r="K1873" s="3">
        <f>I1873-J1873</f>
        <v>-4</v>
      </c>
      <c r="L1873" s="3" t="str">
        <f t="shared" si="199"/>
        <v>ATENÇÃO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63</v>
      </c>
      <c r="C1874" t="s">
        <v>18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34</v>
      </c>
      <c r="K1874" s="3">
        <f>I1874-J1874</f>
        <v>4</v>
      </c>
      <c r="L1874" s="3" t="str">
        <f t="shared" si="199"/>
        <v>BOM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15</v>
      </c>
      <c r="C1875" t="s">
        <v>16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25</v>
      </c>
      <c r="K1875" s="3">
        <f>I1875-J1875</f>
        <v>-7</v>
      </c>
      <c r="L1875" s="3" t="str">
        <f t="shared" si="199"/>
        <v>CRÍTICO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17</v>
      </c>
      <c r="C1876" t="s">
        <v>18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 t="shared" si="199"/>
        <v>BOM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19</v>
      </c>
      <c r="C1877" t="s">
        <v>20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20</v>
      </c>
      <c r="K1877" s="3">
        <f>I1877-J1877</f>
        <v>6</v>
      </c>
      <c r="L1877" s="3" t="str">
        <f t="shared" si="199"/>
        <v>EXCELENTE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21</v>
      </c>
      <c r="C1878" t="s">
        <v>18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31</v>
      </c>
      <c r="K1878" s="3">
        <f>I1878-J1878</f>
        <v>-1</v>
      </c>
      <c r="L1878" s="3" t="str">
        <f t="shared" si="199"/>
        <v>ATENÇÃO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22</v>
      </c>
      <c r="C1879" t="s">
        <v>23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9</v>
      </c>
      <c r="K1879" s="3">
        <f>I1879-J1879</f>
        <v>2</v>
      </c>
      <c r="L1879" s="3" t="str">
        <f t="shared" si="199"/>
        <v>BOM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24</v>
      </c>
      <c r="C1880" t="s">
        <v>16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25</v>
      </c>
      <c r="K1880" s="3">
        <f>I1880-J1880</f>
        <v>10</v>
      </c>
      <c r="L1880" s="3" t="str">
        <f t="shared" si="199"/>
        <v>EXCELENTE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25</v>
      </c>
      <c r="C1881" t="s">
        <v>16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25</v>
      </c>
      <c r="K1881" s="3">
        <f>I1881-J1881</f>
        <v>-3</v>
      </c>
      <c r="L1881" s="3" t="str">
        <f t="shared" si="199"/>
        <v>ATENÇÃO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26</v>
      </c>
      <c r="C1882" t="s">
        <v>23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 t="shared" si="199"/>
        <v>BOM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27</v>
      </c>
      <c r="C1883" t="s">
        <v>20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20</v>
      </c>
      <c r="K1883" s="3">
        <f>I1883-J1883</f>
        <v>-15</v>
      </c>
      <c r="L1883" s="3" t="str">
        <f t="shared" si="199"/>
        <v>CRÍTICO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28</v>
      </c>
      <c r="C1884" t="s">
        <v>18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31</v>
      </c>
      <c r="K1884" s="3">
        <f>I1884-J1884</f>
        <v>11</v>
      </c>
      <c r="L1884" s="3" t="str">
        <f t="shared" si="199"/>
        <v>EXCELENTE</v>
      </c>
      <c r="N1884">
        <v>93.48</v>
      </c>
      <c r="O1884">
        <v>31.334622823984521</v>
      </c>
    </row>
    <row r="1885" spans="1:15" hidden="1" x14ac:dyDescent="0.25">
      <c r="A1885" s="11">
        <v>46059</v>
      </c>
      <c r="B1885" t="s">
        <v>29</v>
      </c>
      <c r="C1885" t="s">
        <v>16</v>
      </c>
      <c r="D1885">
        <v>0</v>
      </c>
      <c r="E1885">
        <v>0</v>
      </c>
      <c r="F1885">
        <v>0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 t="shared" si="199"/>
        <v>BOM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30</v>
      </c>
      <c r="C1886" t="s">
        <v>20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20</v>
      </c>
      <c r="K1886" s="3">
        <f>I1886-J1886</f>
        <v>1</v>
      </c>
      <c r="L1886" s="3" t="str">
        <f t="shared" si="199"/>
        <v>BOM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31</v>
      </c>
      <c r="C1887" t="s">
        <v>18</v>
      </c>
      <c r="D1887">
        <v>0</v>
      </c>
      <c r="E1887">
        <v>0</v>
      </c>
      <c r="F1887">
        <v>0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 t="shared" si="199"/>
        <v>BOM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32</v>
      </c>
      <c r="C1888" t="s">
        <v>23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9</v>
      </c>
      <c r="K1888" s="3">
        <f>I1888-J1888</f>
        <v>34</v>
      </c>
      <c r="L1888" s="3" t="str">
        <f t="shared" si="199"/>
        <v>EXCELENTE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33</v>
      </c>
      <c r="C1889" t="s">
        <v>16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25</v>
      </c>
      <c r="K1889" s="3">
        <f>I1889-J1889</f>
        <v>6</v>
      </c>
      <c r="L1889" s="3" t="str">
        <f t="shared" si="199"/>
        <v>EXCELENTE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34</v>
      </c>
      <c r="C1890" t="s">
        <v>18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31</v>
      </c>
      <c r="K1890" s="3">
        <f>I1890-J1890</f>
        <v>2</v>
      </c>
      <c r="L1890" s="3" t="str">
        <f t="shared" si="199"/>
        <v>BOM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35</v>
      </c>
      <c r="C1891" t="s">
        <v>16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25</v>
      </c>
      <c r="K1891" s="3">
        <f>I1891-J1891</f>
        <v>4</v>
      </c>
      <c r="L1891" s="3" t="str">
        <f t="shared" si="199"/>
        <v>BOM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36</v>
      </c>
      <c r="C1892" t="s">
        <v>20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 t="shared" si="199"/>
        <v>BOM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37</v>
      </c>
      <c r="C1893" t="s">
        <v>16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25</v>
      </c>
      <c r="K1893" s="3">
        <f>I1893-J1893</f>
        <v>1</v>
      </c>
      <c r="L1893" s="3" t="str">
        <f t="shared" si="199"/>
        <v>BOM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38</v>
      </c>
      <c r="C1894" t="s">
        <v>18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31</v>
      </c>
      <c r="K1894" s="3">
        <f>I1894-J1894</f>
        <v>25</v>
      </c>
      <c r="L1894" s="3" t="str">
        <f t="shared" si="199"/>
        <v>EXCELENTE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39</v>
      </c>
      <c r="C1895" t="s">
        <v>18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31</v>
      </c>
      <c r="K1895" s="3">
        <f>I1895-J1895</f>
        <v>-2</v>
      </c>
      <c r="L1895" s="3" t="str">
        <f t="shared" si="199"/>
        <v>ATENÇÃO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40</v>
      </c>
      <c r="C1896" t="s">
        <v>16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25</v>
      </c>
      <c r="K1896" s="3">
        <f>I1896-J1896</f>
        <v>-2</v>
      </c>
      <c r="L1896" s="3" t="str">
        <f t="shared" si="199"/>
        <v>ATENÇÃO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41</v>
      </c>
      <c r="C1897" t="s">
        <v>18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 t="shared" si="199"/>
        <v>BOM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42</v>
      </c>
      <c r="C1898" t="s">
        <v>43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18</v>
      </c>
      <c r="K1898" s="3">
        <f>I1898-J1898</f>
        <v>-3</v>
      </c>
      <c r="L1898" s="3" t="str">
        <f t="shared" si="199"/>
        <v>ATENÇÃO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44</v>
      </c>
      <c r="C1899" t="s">
        <v>18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31</v>
      </c>
      <c r="K1899" s="3">
        <f>I1899-J1899</f>
        <v>-28</v>
      </c>
      <c r="L1899" s="3" t="str">
        <f t="shared" si="199"/>
        <v>CRÍTICO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45</v>
      </c>
      <c r="C1900" t="s">
        <v>43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 t="shared" si="199"/>
        <v>BOM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46</v>
      </c>
      <c r="C1901" t="s">
        <v>18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31</v>
      </c>
      <c r="K1901" s="3">
        <f>I1901-J1901</f>
        <v>-7</v>
      </c>
      <c r="L1901" s="3" t="str">
        <f t="shared" si="199"/>
        <v>CRÍTICO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47</v>
      </c>
      <c r="C1902" t="s">
        <v>16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25</v>
      </c>
      <c r="K1902" s="3">
        <f>I1902-J1902</f>
        <v>4</v>
      </c>
      <c r="L1902" s="3" t="str">
        <f t="shared" si="199"/>
        <v>BOM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48</v>
      </c>
      <c r="C1903" t="s">
        <v>16</v>
      </c>
      <c r="D1903">
        <v>0</v>
      </c>
      <c r="E1903">
        <v>0</v>
      </c>
      <c r="F1903">
        <v>0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 t="shared" si="199"/>
        <v>BOM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49</v>
      </c>
      <c r="C1904" t="s">
        <v>18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ref="I1904:I1909" si="200">E1904+G1904+H1904</f>
        <v>27</v>
      </c>
      <c r="J1904" s="3">
        <f t="shared" ref="J1904:J1909" si="201"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31</v>
      </c>
      <c r="K1904" s="3">
        <f t="shared" ref="K1904:K1909" si="202">I1904-J1904</f>
        <v>-4</v>
      </c>
      <c r="L1904" s="3" t="str">
        <f t="shared" si="199"/>
        <v>ATENÇÃO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50</v>
      </c>
      <c r="C1905" t="s">
        <v>20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200"/>
        <v>32</v>
      </c>
      <c r="J1905" s="3">
        <f t="shared" si="201"/>
        <v>20</v>
      </c>
      <c r="K1905" s="3">
        <f t="shared" si="202"/>
        <v>12</v>
      </c>
      <c r="L1905" s="3" t="str">
        <f t="shared" si="199"/>
        <v>EXCELENTE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51</v>
      </c>
      <c r="C1906" t="s">
        <v>23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200"/>
        <v>33</v>
      </c>
      <c r="J1906" s="3">
        <f t="shared" si="201"/>
        <v>9</v>
      </c>
      <c r="K1906" s="3">
        <f t="shared" si="202"/>
        <v>24</v>
      </c>
      <c r="L1906" s="3" t="str">
        <f t="shared" si="199"/>
        <v>EXCELENTE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52</v>
      </c>
      <c r="C1907" t="s">
        <v>18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200"/>
        <v>40</v>
      </c>
      <c r="J1907" s="3">
        <f t="shared" si="201"/>
        <v>31</v>
      </c>
      <c r="K1907" s="3">
        <f t="shared" si="202"/>
        <v>9</v>
      </c>
      <c r="L1907" s="3" t="str">
        <f t="shared" si="199"/>
        <v>EXCELENTE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53</v>
      </c>
      <c r="C1908" t="s">
        <v>18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200"/>
        <v>25</v>
      </c>
      <c r="J1908" s="3">
        <f t="shared" si="201"/>
        <v>31</v>
      </c>
      <c r="K1908" s="3">
        <f t="shared" si="202"/>
        <v>-6</v>
      </c>
      <c r="L1908" s="3" t="str">
        <f t="shared" si="199"/>
        <v>CRÍTICO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54</v>
      </c>
      <c r="C1909" t="s">
        <v>23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200"/>
        <v>11</v>
      </c>
      <c r="J1909" s="3">
        <f t="shared" si="201"/>
        <v>9</v>
      </c>
      <c r="K1909" s="3">
        <f t="shared" si="202"/>
        <v>2</v>
      </c>
      <c r="L1909" s="3" t="str">
        <f t="shared" si="199"/>
        <v>BOM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55</v>
      </c>
      <c r="C1910" t="s">
        <v>43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199"/>
        <v>BOM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56</v>
      </c>
      <c r="C1911" t="s">
        <v>16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199"/>
        <v>BOM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57</v>
      </c>
      <c r="C1912" t="s">
        <v>43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199"/>
        <v>BOM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58</v>
      </c>
      <c r="C1913" t="s">
        <v>43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199"/>
        <v>BOM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59</v>
      </c>
      <c r="C1914" t="s">
        <v>23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 t="shared" si="199"/>
        <v>BOM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60</v>
      </c>
      <c r="C1915" t="s">
        <v>20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20</v>
      </c>
      <c r="K1915" s="3">
        <f>I1915-J1915</f>
        <v>-7</v>
      </c>
      <c r="L1915" s="3" t="str">
        <f t="shared" si="199"/>
        <v>CRÍTICO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61</v>
      </c>
      <c r="C1916" t="s">
        <v>18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31</v>
      </c>
      <c r="K1916" s="3">
        <f>I1916-J1916</f>
        <v>-4</v>
      </c>
      <c r="L1916" s="3" t="str">
        <f t="shared" si="199"/>
        <v>ATENÇÃO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62</v>
      </c>
      <c r="C1917" t="s">
        <v>20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20</v>
      </c>
      <c r="K1917" s="3">
        <f>I1917-J1917</f>
        <v>-3</v>
      </c>
      <c r="L1917" s="3" t="str">
        <f t="shared" si="199"/>
        <v>ATENÇÃO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63</v>
      </c>
      <c r="C1918" t="s">
        <v>18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31</v>
      </c>
      <c r="K1918" s="3">
        <f>I1918-J1918</f>
        <v>9</v>
      </c>
      <c r="L1918" s="3" t="str">
        <f t="shared" si="199"/>
        <v>EXCELENTE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15</v>
      </c>
      <c r="C1919" t="s">
        <v>16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21</v>
      </c>
      <c r="K1919" s="3">
        <f>I1919-J1919</f>
        <v>7</v>
      </c>
      <c r="L1919" s="3" t="str">
        <f t="shared" si="199"/>
        <v>EXCELENTE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17</v>
      </c>
      <c r="C1920" t="s">
        <v>18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 t="shared" si="199"/>
        <v>BOM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19</v>
      </c>
      <c r="C1921" t="s">
        <v>20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17</v>
      </c>
      <c r="K1921" s="3">
        <f>I1921-J1921</f>
        <v>12</v>
      </c>
      <c r="L1921" s="3" t="str">
        <f t="shared" si="199"/>
        <v>EXCELENTE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21</v>
      </c>
      <c r="C1922" t="s">
        <v>18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26</v>
      </c>
      <c r="K1922" s="3">
        <f>I1922-J1922</f>
        <v>-3</v>
      </c>
      <c r="L1922" s="3" t="str">
        <f t="shared" si="199"/>
        <v>ATENÇÃO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22</v>
      </c>
      <c r="C1923" t="s">
        <v>23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 t="shared" si="199"/>
        <v>BOM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24</v>
      </c>
      <c r="C1924" t="s">
        <v>16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21</v>
      </c>
      <c r="K1924" s="3">
        <f>I1924-J1924</f>
        <v>3</v>
      </c>
      <c r="L1924" s="3" t="str">
        <f t="shared" si="199"/>
        <v>BOM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25</v>
      </c>
      <c r="C1925" t="s">
        <v>16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21</v>
      </c>
      <c r="K1925" s="3">
        <f>I1925-J1925</f>
        <v>0</v>
      </c>
      <c r="L1925" s="3" t="str">
        <f t="shared" si="199"/>
        <v>BOM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26</v>
      </c>
      <c r="C1926" t="s">
        <v>23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 t="shared" si="199"/>
        <v>BOM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27</v>
      </c>
      <c r="C1927" t="s">
        <v>20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17</v>
      </c>
      <c r="K1927" s="3">
        <f>I1927-J1927</f>
        <v>0</v>
      </c>
      <c r="L1927" s="3" t="str">
        <f t="shared" ref="L1927:L1990" si="203">IF(K1927&lt;-5,"CRÍTICO",IF(K1927&lt;0,"ATENÇÃO",IF(K1927&lt;=5,"BOM","EXCELENTE")))</f>
        <v>BOM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28</v>
      </c>
      <c r="C1928" t="s">
        <v>18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26</v>
      </c>
      <c r="K1928" s="3">
        <f>I1928-J1928</f>
        <v>11</v>
      </c>
      <c r="L1928" s="3" t="str">
        <f t="shared" si="203"/>
        <v>EXCELENTE</v>
      </c>
      <c r="N1928">
        <v>93.48</v>
      </c>
      <c r="O1928">
        <v>31.334622823984521</v>
      </c>
    </row>
    <row r="1929" spans="1:15" hidden="1" x14ac:dyDescent="0.25">
      <c r="A1929" s="11">
        <v>46062</v>
      </c>
      <c r="B1929" t="s">
        <v>29</v>
      </c>
      <c r="C1929" t="s">
        <v>16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 t="shared" si="203"/>
        <v>BOM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30</v>
      </c>
      <c r="C1930" t="s">
        <v>20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17</v>
      </c>
      <c r="K1930" s="3">
        <f>I1930-J1930</f>
        <v>1</v>
      </c>
      <c r="L1930" s="3" t="str">
        <f t="shared" si="203"/>
        <v>BOM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31</v>
      </c>
      <c r="C1931" t="s">
        <v>18</v>
      </c>
      <c r="D1931">
        <v>0</v>
      </c>
      <c r="E1931">
        <v>0</v>
      </c>
      <c r="F1931">
        <v>0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 t="shared" si="203"/>
        <v>BOM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32</v>
      </c>
      <c r="C1932" t="s">
        <v>23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ref="I1932:I1940" si="204">E1932+G1932+H1932</f>
        <v>13</v>
      </c>
      <c r="J1932" s="3">
        <f t="shared" ref="J1932:J1940" si="205"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 t="shared" ref="K1932:K1940" si="206">I1932-J1932</f>
        <v>5</v>
      </c>
      <c r="L1932" s="3" t="str">
        <f t="shared" si="203"/>
        <v>BOM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33</v>
      </c>
      <c r="C1933" t="s">
        <v>16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204"/>
        <v>33</v>
      </c>
      <c r="J1933" s="3">
        <f t="shared" si="205"/>
        <v>21</v>
      </c>
      <c r="K1933" s="3">
        <f t="shared" si="206"/>
        <v>12</v>
      </c>
      <c r="L1933" s="3" t="str">
        <f t="shared" si="203"/>
        <v>EXCELENTE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34</v>
      </c>
      <c r="C1934" t="s">
        <v>18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204"/>
        <v>27</v>
      </c>
      <c r="J1934" s="3">
        <f t="shared" si="205"/>
        <v>26</v>
      </c>
      <c r="K1934" s="3">
        <f t="shared" si="206"/>
        <v>1</v>
      </c>
      <c r="L1934" s="3" t="str">
        <f t="shared" si="203"/>
        <v>BOM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35</v>
      </c>
      <c r="C1935" t="s">
        <v>16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204"/>
        <v>46</v>
      </c>
      <c r="J1935" s="3">
        <f t="shared" si="205"/>
        <v>21</v>
      </c>
      <c r="K1935" s="3">
        <f t="shared" si="206"/>
        <v>25</v>
      </c>
      <c r="L1935" s="3" t="str">
        <f t="shared" si="203"/>
        <v>EXCELENTE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36</v>
      </c>
      <c r="C1936" t="s">
        <v>20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204"/>
        <v>9</v>
      </c>
      <c r="J1936" s="3">
        <f t="shared" si="205"/>
        <v>13</v>
      </c>
      <c r="K1936" s="3">
        <f t="shared" si="206"/>
        <v>-4</v>
      </c>
      <c r="L1936" s="3" t="str">
        <f t="shared" si="203"/>
        <v>ATENÇÃO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37</v>
      </c>
      <c r="C1937" t="s">
        <v>16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204"/>
        <v>19</v>
      </c>
      <c r="J1937" s="3">
        <f t="shared" si="205"/>
        <v>21</v>
      </c>
      <c r="K1937" s="3">
        <f t="shared" si="206"/>
        <v>-2</v>
      </c>
      <c r="L1937" s="3" t="str">
        <f t="shared" si="203"/>
        <v>ATENÇÃO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38</v>
      </c>
      <c r="C1938" t="s">
        <v>18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204"/>
        <v>40</v>
      </c>
      <c r="J1938" s="3">
        <f t="shared" si="205"/>
        <v>26</v>
      </c>
      <c r="K1938" s="3">
        <f t="shared" si="206"/>
        <v>14</v>
      </c>
      <c r="L1938" s="3" t="str">
        <f t="shared" si="203"/>
        <v>EXCELENTE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39</v>
      </c>
      <c r="C1939" t="s">
        <v>18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204"/>
        <v>20</v>
      </c>
      <c r="J1939" s="3">
        <f t="shared" si="205"/>
        <v>26</v>
      </c>
      <c r="K1939" s="3">
        <f t="shared" si="206"/>
        <v>-6</v>
      </c>
      <c r="L1939" s="3" t="str">
        <f t="shared" si="203"/>
        <v>CRÍTICO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40</v>
      </c>
      <c r="C1940" t="s">
        <v>16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204"/>
        <v>22</v>
      </c>
      <c r="J1940" s="3">
        <f t="shared" si="205"/>
        <v>21</v>
      </c>
      <c r="K1940" s="3">
        <f t="shared" si="206"/>
        <v>1</v>
      </c>
      <c r="L1940" s="3" t="str">
        <f t="shared" si="203"/>
        <v>BOM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41</v>
      </c>
      <c r="C1941" t="s">
        <v>18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 t="shared" si="203"/>
        <v>BOM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42</v>
      </c>
      <c r="C1942" t="s">
        <v>43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15</v>
      </c>
      <c r="K1942" s="3">
        <f>I1942-J1942</f>
        <v>-9</v>
      </c>
      <c r="L1942" s="3" t="str">
        <f t="shared" si="203"/>
        <v>CRÍTICO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44</v>
      </c>
      <c r="C1943" t="s">
        <v>18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26</v>
      </c>
      <c r="K1943" s="3">
        <f>I1943-J1943</f>
        <v>-10</v>
      </c>
      <c r="L1943" s="3" t="str">
        <f t="shared" si="203"/>
        <v>CRÍTICO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45</v>
      </c>
      <c r="C1944" t="s">
        <v>43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 t="shared" si="203"/>
        <v>BOM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46</v>
      </c>
      <c r="C1945" t="s">
        <v>18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26</v>
      </c>
      <c r="K1945" s="3">
        <f>I1945-J1945</f>
        <v>-10</v>
      </c>
      <c r="L1945" s="3" t="str">
        <f t="shared" si="203"/>
        <v>CRÍTICO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47</v>
      </c>
      <c r="C1946" t="s">
        <v>16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21</v>
      </c>
      <c r="K1946" s="3">
        <f>I1946-J1946</f>
        <v>5</v>
      </c>
      <c r="L1946" s="3" t="str">
        <f t="shared" si="203"/>
        <v>BOM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48</v>
      </c>
      <c r="C1947" t="s">
        <v>16</v>
      </c>
      <c r="D1947">
        <v>0</v>
      </c>
      <c r="E1947">
        <v>0</v>
      </c>
      <c r="F1947">
        <v>0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 t="shared" si="203"/>
        <v>BOM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49</v>
      </c>
      <c r="C1948" t="s">
        <v>18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26</v>
      </c>
      <c r="K1948" s="3">
        <f>I1948-J1948</f>
        <v>9</v>
      </c>
      <c r="L1948" s="3" t="str">
        <f t="shared" si="203"/>
        <v>EXCELENTE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50</v>
      </c>
      <c r="C1949" t="s">
        <v>20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17</v>
      </c>
      <c r="K1949" s="3">
        <f>I1949-J1949</f>
        <v>2</v>
      </c>
      <c r="L1949" s="3" t="str">
        <f t="shared" si="203"/>
        <v>BOM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51</v>
      </c>
      <c r="C1950" t="s">
        <v>23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 t="shared" si="203"/>
        <v>BOM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52</v>
      </c>
      <c r="C1951" t="s">
        <v>18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26</v>
      </c>
      <c r="K1951" s="3">
        <f>I1951-J1951</f>
        <v>-2</v>
      </c>
      <c r="L1951" s="3" t="str">
        <f t="shared" si="203"/>
        <v>ATENÇÃO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53</v>
      </c>
      <c r="C1952" t="s">
        <v>18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26</v>
      </c>
      <c r="K1952" s="3">
        <f>I1952-J1952</f>
        <v>-1</v>
      </c>
      <c r="L1952" s="3" t="str">
        <f t="shared" si="203"/>
        <v>ATENÇÃO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54</v>
      </c>
      <c r="C1953" t="s">
        <v>23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 t="shared" si="203"/>
        <v>BOM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55</v>
      </c>
      <c r="C1954" t="s">
        <v>43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03"/>
        <v>BOM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56</v>
      </c>
      <c r="C1955" t="s">
        <v>16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03"/>
        <v>BOM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57</v>
      </c>
      <c r="C1956" t="s">
        <v>43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03"/>
        <v>BOM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58</v>
      </c>
      <c r="C1957" t="s">
        <v>43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03"/>
        <v>BOM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59</v>
      </c>
      <c r="C1958" t="s">
        <v>23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 t="shared" si="203"/>
        <v>BOM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60</v>
      </c>
      <c r="C1959" t="s">
        <v>20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17</v>
      </c>
      <c r="K1959" s="3">
        <f>I1959-J1959</f>
        <v>6</v>
      </c>
      <c r="L1959" s="3" t="str">
        <f t="shared" si="203"/>
        <v>EXCELENTE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61</v>
      </c>
      <c r="C1960" t="s">
        <v>18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26</v>
      </c>
      <c r="K1960" s="3">
        <f>I1960-J1960</f>
        <v>18</v>
      </c>
      <c r="L1960" s="3" t="str">
        <f t="shared" si="203"/>
        <v>EXCELENTE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62</v>
      </c>
      <c r="C1961" t="s">
        <v>20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17</v>
      </c>
      <c r="K1961" s="3">
        <f>I1961-J1961</f>
        <v>-7</v>
      </c>
      <c r="L1961" s="3" t="str">
        <f t="shared" si="203"/>
        <v>CRÍTICO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63</v>
      </c>
      <c r="C1962" t="s">
        <v>18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26</v>
      </c>
      <c r="K1962" s="3">
        <f>I1962-J1962</f>
        <v>2</v>
      </c>
      <c r="L1962" s="3" t="str">
        <f t="shared" si="203"/>
        <v>BOM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15</v>
      </c>
      <c r="C1963" t="s">
        <v>16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23</v>
      </c>
      <c r="K1963" s="3">
        <f>I1963-J1963</f>
        <v>4</v>
      </c>
      <c r="L1963" s="3" t="str">
        <f t="shared" si="203"/>
        <v>BOM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17</v>
      </c>
      <c r="C1964" t="s">
        <v>18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 t="shared" si="203"/>
        <v>BOM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19</v>
      </c>
      <c r="C1965" t="s">
        <v>20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19</v>
      </c>
      <c r="K1965" s="3">
        <f>I1965-J1965</f>
        <v>4</v>
      </c>
      <c r="L1965" s="3" t="str">
        <f t="shared" si="203"/>
        <v>BOM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21</v>
      </c>
      <c r="C1966" t="s">
        <v>18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28</v>
      </c>
      <c r="K1966" s="3">
        <f>I1966-J1966</f>
        <v>9</v>
      </c>
      <c r="L1966" s="3" t="str">
        <f t="shared" si="203"/>
        <v>EXCELENTE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22</v>
      </c>
      <c r="C1967" t="s">
        <v>23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8</v>
      </c>
      <c r="K1967" s="3">
        <f>I1967-J1967</f>
        <v>1</v>
      </c>
      <c r="L1967" s="3" t="str">
        <f t="shared" si="203"/>
        <v>BOM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24</v>
      </c>
      <c r="C1968" t="s">
        <v>16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23</v>
      </c>
      <c r="K1968" s="3">
        <f>I1968-J1968</f>
        <v>9</v>
      </c>
      <c r="L1968" s="3" t="str">
        <f t="shared" si="203"/>
        <v>EXCELENTE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25</v>
      </c>
      <c r="C1969" t="s">
        <v>16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23</v>
      </c>
      <c r="K1969" s="3">
        <f>I1969-J1969</f>
        <v>3</v>
      </c>
      <c r="L1969" s="3" t="str">
        <f t="shared" si="203"/>
        <v>BOM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26</v>
      </c>
      <c r="C1970" t="s">
        <v>23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 t="shared" si="203"/>
        <v>BOM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27</v>
      </c>
      <c r="C1971" t="s">
        <v>20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19</v>
      </c>
      <c r="K1971" s="3">
        <f>I1971-J1971</f>
        <v>-7</v>
      </c>
      <c r="L1971" s="3" t="str">
        <f t="shared" si="203"/>
        <v>CRÍTICO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28</v>
      </c>
      <c r="C1972" t="s">
        <v>18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28</v>
      </c>
      <c r="K1972" s="3">
        <f>I1972-J1972</f>
        <v>9</v>
      </c>
      <c r="L1972" s="3" t="str">
        <f t="shared" si="203"/>
        <v>EXCELENTE</v>
      </c>
      <c r="N1972">
        <v>93.48</v>
      </c>
      <c r="O1972">
        <v>31.334622823984521</v>
      </c>
    </row>
    <row r="1973" spans="1:15" hidden="1" x14ac:dyDescent="0.25">
      <c r="A1973" s="11">
        <v>46063</v>
      </c>
      <c r="B1973" t="s">
        <v>29</v>
      </c>
      <c r="C1973" t="s">
        <v>16</v>
      </c>
      <c r="D1973">
        <v>0</v>
      </c>
      <c r="E1973">
        <v>0</v>
      </c>
      <c r="F1973">
        <v>0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 t="shared" si="203"/>
        <v>BOM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30</v>
      </c>
      <c r="C1974" t="s">
        <v>20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19</v>
      </c>
      <c r="K1974" s="3">
        <f>I1974-J1974</f>
        <v>7</v>
      </c>
      <c r="L1974" s="3" t="str">
        <f t="shared" si="203"/>
        <v>EXCELENTE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31</v>
      </c>
      <c r="C1975" t="s">
        <v>18</v>
      </c>
      <c r="D1975">
        <v>0</v>
      </c>
      <c r="E1975">
        <v>0</v>
      </c>
      <c r="F1975">
        <v>0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 t="shared" si="203"/>
        <v>BOM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32</v>
      </c>
      <c r="C1976" t="s">
        <v>23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ref="I1976:I1984" si="207">E1976+G1976+H1976</f>
        <v>18</v>
      </c>
      <c r="J1976" s="3">
        <f t="shared" ref="J1976:J1984" si="208"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8</v>
      </c>
      <c r="K1976" s="3">
        <f t="shared" ref="K1976:K1984" si="209">I1976-J1976</f>
        <v>10</v>
      </c>
      <c r="L1976" s="3" t="str">
        <f t="shared" si="203"/>
        <v>EXCELENTE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33</v>
      </c>
      <c r="C1977" t="s">
        <v>16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207"/>
        <v>14</v>
      </c>
      <c r="J1977" s="3">
        <f t="shared" si="208"/>
        <v>23</v>
      </c>
      <c r="K1977" s="3">
        <f t="shared" si="209"/>
        <v>-9</v>
      </c>
      <c r="L1977" s="3" t="str">
        <f t="shared" si="203"/>
        <v>CRÍTICO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34</v>
      </c>
      <c r="C1978" t="s">
        <v>18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207"/>
        <v>30</v>
      </c>
      <c r="J1978" s="3">
        <f t="shared" si="208"/>
        <v>28</v>
      </c>
      <c r="K1978" s="3">
        <f t="shared" si="209"/>
        <v>2</v>
      </c>
      <c r="L1978" s="3" t="str">
        <f t="shared" si="203"/>
        <v>BOM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35</v>
      </c>
      <c r="C1979" t="s">
        <v>16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207"/>
        <v>30</v>
      </c>
      <c r="J1979" s="3">
        <f t="shared" si="208"/>
        <v>23</v>
      </c>
      <c r="K1979" s="3">
        <f t="shared" si="209"/>
        <v>7</v>
      </c>
      <c r="L1979" s="3" t="str">
        <f t="shared" si="203"/>
        <v>EXCELENTE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36</v>
      </c>
      <c r="C1980" t="s">
        <v>20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207"/>
        <v>22</v>
      </c>
      <c r="J1980" s="3">
        <f t="shared" si="208"/>
        <v>14</v>
      </c>
      <c r="K1980" s="3">
        <f t="shared" si="209"/>
        <v>8</v>
      </c>
      <c r="L1980" s="3" t="str">
        <f t="shared" si="203"/>
        <v>EXCELENTE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37</v>
      </c>
      <c r="C1981" t="s">
        <v>16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207"/>
        <v>29</v>
      </c>
      <c r="J1981" s="3">
        <f t="shared" si="208"/>
        <v>23</v>
      </c>
      <c r="K1981" s="3">
        <f t="shared" si="209"/>
        <v>6</v>
      </c>
      <c r="L1981" s="3" t="str">
        <f t="shared" si="203"/>
        <v>EXCELENTE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38</v>
      </c>
      <c r="C1982" t="s">
        <v>18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207"/>
        <v>46</v>
      </c>
      <c r="J1982" s="3">
        <f t="shared" si="208"/>
        <v>28</v>
      </c>
      <c r="K1982" s="3">
        <f t="shared" si="209"/>
        <v>18</v>
      </c>
      <c r="L1982" s="3" t="str">
        <f t="shared" si="203"/>
        <v>EXCELENTE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39</v>
      </c>
      <c r="C1983" t="s">
        <v>18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207"/>
        <v>34</v>
      </c>
      <c r="J1983" s="3">
        <f t="shared" si="208"/>
        <v>28</v>
      </c>
      <c r="K1983" s="3">
        <f t="shared" si="209"/>
        <v>6</v>
      </c>
      <c r="L1983" s="3" t="str">
        <f t="shared" si="203"/>
        <v>EXCELENTE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40</v>
      </c>
      <c r="C1984" t="s">
        <v>16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207"/>
        <v>21</v>
      </c>
      <c r="J1984" s="3">
        <f t="shared" si="208"/>
        <v>23</v>
      </c>
      <c r="K1984" s="3">
        <f t="shared" si="209"/>
        <v>-2</v>
      </c>
      <c r="L1984" s="3" t="str">
        <f t="shared" si="203"/>
        <v>ATENÇÃO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41</v>
      </c>
      <c r="C1985" t="s">
        <v>18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 t="shared" si="203"/>
        <v>BOM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42</v>
      </c>
      <c r="C1986" t="s">
        <v>43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16</v>
      </c>
      <c r="K1986" s="3">
        <f>I1986-J1986</f>
        <v>-3</v>
      </c>
      <c r="L1986" s="3" t="str">
        <f t="shared" si="203"/>
        <v>ATENÇÃO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44</v>
      </c>
      <c r="C1987" t="s">
        <v>18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28</v>
      </c>
      <c r="K1987" s="3">
        <f>I1987-J1987</f>
        <v>-24</v>
      </c>
      <c r="L1987" s="3" t="str">
        <f t="shared" si="203"/>
        <v>CRÍTICO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45</v>
      </c>
      <c r="C1988" t="s">
        <v>43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 t="shared" si="203"/>
        <v>BOM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46</v>
      </c>
      <c r="C1989" t="s">
        <v>18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28</v>
      </c>
      <c r="K1989" s="3">
        <f>I1989-J1989</f>
        <v>-3</v>
      </c>
      <c r="L1989" s="3" t="str">
        <f t="shared" si="203"/>
        <v>ATENÇÃO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47</v>
      </c>
      <c r="C1990" t="s">
        <v>16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23</v>
      </c>
      <c r="K1990" s="3">
        <f>I1990-J1990</f>
        <v>7</v>
      </c>
      <c r="L1990" s="3" t="str">
        <f t="shared" si="203"/>
        <v>EXCELENTE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48</v>
      </c>
      <c r="C1991" t="s">
        <v>16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ref="L1991:L2054" si="210">IF(K1991&lt;-5,"CRÍTICO",IF(K1991&lt;0,"ATENÇÃO",IF(K1991&lt;=5,"BOM","EXCELENTE")))</f>
        <v>BOM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49</v>
      </c>
      <c r="C1992" t="s">
        <v>18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 t="shared" si="210"/>
        <v>BOM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50</v>
      </c>
      <c r="C1993" t="s">
        <v>20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19</v>
      </c>
      <c r="K1993" s="3">
        <f>I1993-J1993</f>
        <v>3</v>
      </c>
      <c r="L1993" s="3" t="str">
        <f t="shared" si="210"/>
        <v>BOM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51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 t="shared" si="210"/>
        <v>BOM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52</v>
      </c>
      <c r="C1995" t="s">
        <v>18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28</v>
      </c>
      <c r="K1995" s="3">
        <f>I1995-J1995</f>
        <v>-5</v>
      </c>
      <c r="L1995" s="3" t="str">
        <f t="shared" si="210"/>
        <v>ATENÇÃO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53</v>
      </c>
      <c r="C1996" t="s">
        <v>18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28</v>
      </c>
      <c r="K1996" s="3">
        <f>I1996-J1996</f>
        <v>12</v>
      </c>
      <c r="L1996" s="3" t="str">
        <f t="shared" si="210"/>
        <v>EXCELENTE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54</v>
      </c>
      <c r="C1997" t="s">
        <v>23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8</v>
      </c>
      <c r="K1997" s="3">
        <f>I1997-J1997</f>
        <v>7</v>
      </c>
      <c r="L1997" s="3" t="str">
        <f t="shared" si="210"/>
        <v>EXCELENTE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55</v>
      </c>
      <c r="C1998" t="s">
        <v>43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10"/>
        <v>BOM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56</v>
      </c>
      <c r="C1999" t="s">
        <v>16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10"/>
        <v>BOM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57</v>
      </c>
      <c r="C2000" t="s">
        <v>43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10"/>
        <v>BOM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58</v>
      </c>
      <c r="C2001" t="s">
        <v>43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10"/>
        <v>BOM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59</v>
      </c>
      <c r="C2002" t="s">
        <v>23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 t="shared" si="210"/>
        <v>BOM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60</v>
      </c>
      <c r="C2003" t="s">
        <v>20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19</v>
      </c>
      <c r="K2003" s="3">
        <f>I2003-J2003</f>
        <v>-6</v>
      </c>
      <c r="L2003" s="3" t="str">
        <f t="shared" si="210"/>
        <v>CRÍTICO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61</v>
      </c>
      <c r="C2004" t="s">
        <v>18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28</v>
      </c>
      <c r="K2004" s="3">
        <f>I2004-J2004</f>
        <v>10</v>
      </c>
      <c r="L2004" s="3" t="str">
        <f t="shared" si="210"/>
        <v>EXCELENTE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62</v>
      </c>
      <c r="C2005" t="s">
        <v>20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19</v>
      </c>
      <c r="K2005" s="3">
        <f>I2005-J2005</f>
        <v>-6</v>
      </c>
      <c r="L2005" s="3" t="str">
        <f t="shared" si="210"/>
        <v>CRÍTICO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63</v>
      </c>
      <c r="C2006" t="s">
        <v>18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28</v>
      </c>
      <c r="K2006" s="3">
        <f>I2006-J2006</f>
        <v>-1</v>
      </c>
      <c r="L2006" s="3" t="str">
        <f t="shared" si="210"/>
        <v>ATENÇÃO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15</v>
      </c>
      <c r="C2007" t="s">
        <v>16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21</v>
      </c>
      <c r="K2007" s="3">
        <f>I2007-J2007</f>
        <v>12</v>
      </c>
      <c r="L2007" s="3" t="str">
        <f t="shared" si="210"/>
        <v>EXCELENTE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17</v>
      </c>
      <c r="C2008" t="s">
        <v>18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 t="shared" si="210"/>
        <v>BOM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19</v>
      </c>
      <c r="C2009" t="s">
        <v>20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18</v>
      </c>
      <c r="K2009" s="3">
        <f>I2009-J2009</f>
        <v>8</v>
      </c>
      <c r="L2009" s="3" t="str">
        <f t="shared" si="210"/>
        <v>EXCELENTE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21</v>
      </c>
      <c r="C2010" t="s">
        <v>18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27</v>
      </c>
      <c r="K2010" s="3">
        <f>I2010-J2010</f>
        <v>-3</v>
      </c>
      <c r="L2010" s="3" t="str">
        <f t="shared" si="210"/>
        <v>ATENÇÃO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22</v>
      </c>
      <c r="C2011" t="s">
        <v>23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 t="shared" si="210"/>
        <v>BOM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24</v>
      </c>
      <c r="C2012" t="s">
        <v>16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21</v>
      </c>
      <c r="K2012" s="3">
        <f>I2012-J2012</f>
        <v>1</v>
      </c>
      <c r="L2012" s="3" t="str">
        <f t="shared" si="210"/>
        <v>BOM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25</v>
      </c>
      <c r="C2013" t="s">
        <v>16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21</v>
      </c>
      <c r="K2013" s="3">
        <f>I2013-J2013</f>
        <v>-2</v>
      </c>
      <c r="L2013" s="3" t="str">
        <f t="shared" si="210"/>
        <v>ATENÇÃO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26</v>
      </c>
      <c r="C2014" t="s">
        <v>23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 t="shared" si="210"/>
        <v>BOM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27</v>
      </c>
      <c r="C2015" t="s">
        <v>20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18</v>
      </c>
      <c r="K2015" s="3">
        <f>I2015-J2015</f>
        <v>-14</v>
      </c>
      <c r="L2015" s="3" t="str">
        <f t="shared" si="210"/>
        <v>CRÍTICO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28</v>
      </c>
      <c r="C2016" t="s">
        <v>18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27</v>
      </c>
      <c r="K2016" s="3">
        <f>I2016-J2016</f>
        <v>8</v>
      </c>
      <c r="L2016" s="3" t="str">
        <f t="shared" si="210"/>
        <v>EXCELENTE</v>
      </c>
      <c r="N2016">
        <v>93.48</v>
      </c>
      <c r="O2016">
        <v>31.334622823984521</v>
      </c>
    </row>
    <row r="2017" spans="1:15" hidden="1" x14ac:dyDescent="0.25">
      <c r="A2017" s="11">
        <v>46064</v>
      </c>
      <c r="B2017" t="s">
        <v>29</v>
      </c>
      <c r="C2017" t="s">
        <v>16</v>
      </c>
      <c r="D2017">
        <v>0</v>
      </c>
      <c r="E2017">
        <v>0</v>
      </c>
      <c r="F2017">
        <v>0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 t="shared" si="210"/>
        <v>BOM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30</v>
      </c>
      <c r="C2018" t="s">
        <v>20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18</v>
      </c>
      <c r="K2018" s="3">
        <f>I2018-J2018</f>
        <v>-2</v>
      </c>
      <c r="L2018" s="3" t="str">
        <f t="shared" si="210"/>
        <v>ATENÇÃO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31</v>
      </c>
      <c r="C2019" t="s">
        <v>18</v>
      </c>
      <c r="D2019">
        <v>0</v>
      </c>
      <c r="E2019">
        <v>0</v>
      </c>
      <c r="F2019">
        <v>0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 t="shared" si="210"/>
        <v>BOM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32</v>
      </c>
      <c r="C2020" t="s">
        <v>23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ref="I2020:I2028" si="211">E2020+G2020+H2020</f>
        <v>42</v>
      </c>
      <c r="J2020" s="3">
        <f t="shared" ref="J2020:J2028" si="212"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 t="shared" ref="K2020:K2028" si="213">I2020-J2020</f>
        <v>34</v>
      </c>
      <c r="L2020" s="3" t="str">
        <f t="shared" si="210"/>
        <v>EXCELENTE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33</v>
      </c>
      <c r="C2021" t="s">
        <v>16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211"/>
        <v>23</v>
      </c>
      <c r="J2021" s="3">
        <f t="shared" si="212"/>
        <v>21</v>
      </c>
      <c r="K2021" s="3">
        <f t="shared" si="213"/>
        <v>2</v>
      </c>
      <c r="L2021" s="3" t="str">
        <f t="shared" si="210"/>
        <v>BOM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34</v>
      </c>
      <c r="C2022" t="s">
        <v>18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211"/>
        <v>28</v>
      </c>
      <c r="J2022" s="3">
        <f t="shared" si="212"/>
        <v>27</v>
      </c>
      <c r="K2022" s="3">
        <f t="shared" si="213"/>
        <v>1</v>
      </c>
      <c r="L2022" s="3" t="str">
        <f t="shared" si="210"/>
        <v>BOM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35</v>
      </c>
      <c r="C2023" t="s">
        <v>16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211"/>
        <v>21</v>
      </c>
      <c r="J2023" s="3">
        <f t="shared" si="212"/>
        <v>21</v>
      </c>
      <c r="K2023" s="3">
        <f t="shared" si="213"/>
        <v>0</v>
      </c>
      <c r="L2023" s="3" t="str">
        <f t="shared" si="210"/>
        <v>BOM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36</v>
      </c>
      <c r="C2024" t="s">
        <v>20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211"/>
        <v>13</v>
      </c>
      <c r="J2024" s="3">
        <f t="shared" si="212"/>
        <v>14</v>
      </c>
      <c r="K2024" s="3">
        <f t="shared" si="213"/>
        <v>-1</v>
      </c>
      <c r="L2024" s="3" t="str">
        <f t="shared" si="210"/>
        <v>ATENÇÃO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37</v>
      </c>
      <c r="C2025" t="s">
        <v>16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211"/>
        <v>26</v>
      </c>
      <c r="J2025" s="3">
        <f t="shared" si="212"/>
        <v>21</v>
      </c>
      <c r="K2025" s="3">
        <f t="shared" si="213"/>
        <v>5</v>
      </c>
      <c r="L2025" s="3" t="str">
        <f t="shared" si="210"/>
        <v>BOM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38</v>
      </c>
      <c r="C2026" t="s">
        <v>18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211"/>
        <v>49</v>
      </c>
      <c r="J2026" s="3">
        <f t="shared" si="212"/>
        <v>27</v>
      </c>
      <c r="K2026" s="3">
        <f t="shared" si="213"/>
        <v>22</v>
      </c>
      <c r="L2026" s="3" t="str">
        <f t="shared" si="210"/>
        <v>EXCELENTE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39</v>
      </c>
      <c r="C2027" t="s">
        <v>18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211"/>
        <v>38</v>
      </c>
      <c r="J2027" s="3">
        <f t="shared" si="212"/>
        <v>27</v>
      </c>
      <c r="K2027" s="3">
        <f t="shared" si="213"/>
        <v>11</v>
      </c>
      <c r="L2027" s="3" t="str">
        <f t="shared" si="210"/>
        <v>EXCELENTE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40</v>
      </c>
      <c r="C2028" t="s">
        <v>16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211"/>
        <v>26</v>
      </c>
      <c r="J2028" s="3">
        <f t="shared" si="212"/>
        <v>21</v>
      </c>
      <c r="K2028" s="3">
        <f t="shared" si="213"/>
        <v>5</v>
      </c>
      <c r="L2028" s="3" t="str">
        <f t="shared" si="210"/>
        <v>BOM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41</v>
      </c>
      <c r="C2029" t="s">
        <v>18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 t="shared" si="210"/>
        <v>BOM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42</v>
      </c>
      <c r="C2030" t="s">
        <v>43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15</v>
      </c>
      <c r="K2030" s="3">
        <f>I2030-J2030</f>
        <v>-3</v>
      </c>
      <c r="L2030" s="3" t="str">
        <f t="shared" si="210"/>
        <v>ATENÇÃO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44</v>
      </c>
      <c r="C2031" t="s">
        <v>18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27</v>
      </c>
      <c r="K2031" s="3">
        <f>I2031-J2031</f>
        <v>-25</v>
      </c>
      <c r="L2031" s="3" t="str">
        <f t="shared" si="210"/>
        <v>CRÍTICO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45</v>
      </c>
      <c r="C2032" t="s">
        <v>43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 t="shared" si="210"/>
        <v>BOM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46</v>
      </c>
      <c r="C2033" t="s">
        <v>18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27</v>
      </c>
      <c r="K2033" s="3">
        <f>I2033-J2033</f>
        <v>-1</v>
      </c>
      <c r="L2033" s="3" t="str">
        <f t="shared" si="210"/>
        <v>ATENÇÃO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47</v>
      </c>
      <c r="C2034" t="s">
        <v>16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21</v>
      </c>
      <c r="K2034" s="3">
        <f>I2034-J2034</f>
        <v>-3</v>
      </c>
      <c r="L2034" s="3" t="str">
        <f t="shared" si="210"/>
        <v>ATENÇÃO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48</v>
      </c>
      <c r="C2035" t="s">
        <v>16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10"/>
        <v>BOM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49</v>
      </c>
      <c r="C2036" t="s">
        <v>18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 t="shared" si="210"/>
        <v>BOM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50</v>
      </c>
      <c r="C2037" t="s">
        <v>20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18</v>
      </c>
      <c r="K2037" s="3">
        <f>I2037-J2037</f>
        <v>1</v>
      </c>
      <c r="L2037" s="3" t="str">
        <f t="shared" si="210"/>
        <v>BOM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51</v>
      </c>
      <c r="C2038" t="s">
        <v>23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 t="shared" si="210"/>
        <v>EXCELENTE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52</v>
      </c>
      <c r="C2039" t="s">
        <v>18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27</v>
      </c>
      <c r="K2039" s="3">
        <f>I2039-J2039</f>
        <v>-12</v>
      </c>
      <c r="L2039" s="3" t="str">
        <f t="shared" si="210"/>
        <v>CRÍTICO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53</v>
      </c>
      <c r="C2040" t="s">
        <v>18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27</v>
      </c>
      <c r="K2040" s="3">
        <f>I2040-J2040</f>
        <v>-10</v>
      </c>
      <c r="L2040" s="3" t="str">
        <f t="shared" si="210"/>
        <v>CRÍTICO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54</v>
      </c>
      <c r="C2041" t="s">
        <v>23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 t="shared" si="210"/>
        <v>BOM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55</v>
      </c>
      <c r="C2042" t="s">
        <v>43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10"/>
        <v>BOM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56</v>
      </c>
      <c r="C2043" t="s">
        <v>16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10"/>
        <v>BOM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57</v>
      </c>
      <c r="C2044" t="s">
        <v>43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10"/>
        <v>BOM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58</v>
      </c>
      <c r="C2045" t="s">
        <v>43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10"/>
        <v>BOM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59</v>
      </c>
      <c r="C2046" t="s">
        <v>23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 t="shared" si="210"/>
        <v>BOM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60</v>
      </c>
      <c r="C2047" t="s">
        <v>20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18</v>
      </c>
      <c r="K2047" s="3">
        <f>I2047-J2047</f>
        <v>6</v>
      </c>
      <c r="L2047" s="3" t="str">
        <f t="shared" si="210"/>
        <v>EXCELENTE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61</v>
      </c>
      <c r="C2048" t="s">
        <v>18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27</v>
      </c>
      <c r="K2048" s="3">
        <f>I2048-J2048</f>
        <v>8</v>
      </c>
      <c r="L2048" s="3" t="str">
        <f t="shared" si="210"/>
        <v>EXCELENTE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62</v>
      </c>
      <c r="C2049" t="s">
        <v>20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18</v>
      </c>
      <c r="K2049" s="3">
        <f>I2049-J2049</f>
        <v>-7</v>
      </c>
      <c r="L2049" s="3" t="str">
        <f t="shared" si="210"/>
        <v>CRÍTICO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63</v>
      </c>
      <c r="C2050" t="s">
        <v>18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27</v>
      </c>
      <c r="K2050" s="3">
        <f>I2050-J2050</f>
        <v>5</v>
      </c>
      <c r="L2050" s="3" t="str">
        <f t="shared" si="210"/>
        <v>BOM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15</v>
      </c>
      <c r="C2051" t="s">
        <v>16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20</v>
      </c>
      <c r="K2051" s="3">
        <f>I2051-J2051</f>
        <v>-20</v>
      </c>
      <c r="L2051" s="3" t="str">
        <f t="shared" si="210"/>
        <v>CRÍTICO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17</v>
      </c>
      <c r="C2052" t="s">
        <v>18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 t="shared" si="210"/>
        <v>BOM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19</v>
      </c>
      <c r="C2053" t="s">
        <v>20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16</v>
      </c>
      <c r="K2053" s="3">
        <f>I2053-J2053</f>
        <v>8</v>
      </c>
      <c r="L2053" s="3" t="str">
        <f t="shared" si="210"/>
        <v>EXCELENTE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21</v>
      </c>
      <c r="C2054" t="s">
        <v>18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24</v>
      </c>
      <c r="K2054" s="3">
        <f>I2054-J2054</f>
        <v>2</v>
      </c>
      <c r="L2054" s="3" t="str">
        <f t="shared" si="210"/>
        <v>BOM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22</v>
      </c>
      <c r="C2055" t="s">
        <v>23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7</v>
      </c>
      <c r="K2055" s="3">
        <f>I2055-J2055</f>
        <v>2</v>
      </c>
      <c r="L2055" s="3" t="str">
        <f t="shared" ref="L2055:L2118" si="214">IF(K2055&lt;-5,"CRÍTICO",IF(K2055&lt;0,"ATENÇÃO",IF(K2055&lt;=5,"BOM","EXCELENTE")))</f>
        <v>BOM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24</v>
      </c>
      <c r="C2056" t="s">
        <v>16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20</v>
      </c>
      <c r="K2056" s="3">
        <f>I2056-J2056</f>
        <v>-3</v>
      </c>
      <c r="L2056" s="3" t="str">
        <f t="shared" si="214"/>
        <v>ATENÇÃO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25</v>
      </c>
      <c r="C2057" t="s">
        <v>16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20</v>
      </c>
      <c r="K2057" s="3">
        <f>I2057-J2057</f>
        <v>-7</v>
      </c>
      <c r="L2057" s="3" t="str">
        <f t="shared" si="214"/>
        <v>CRÍTICO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26</v>
      </c>
      <c r="C2058" t="s">
        <v>23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 t="shared" si="214"/>
        <v>BOM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27</v>
      </c>
      <c r="C2059" t="s">
        <v>20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16</v>
      </c>
      <c r="K2059" s="3">
        <f>I2059-J2059</f>
        <v>-10</v>
      </c>
      <c r="L2059" s="3" t="str">
        <f t="shared" si="214"/>
        <v>CRÍTICO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28</v>
      </c>
      <c r="C2060" t="s">
        <v>18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24</v>
      </c>
      <c r="K2060" s="3">
        <f>I2060-J2060</f>
        <v>12</v>
      </c>
      <c r="L2060" s="3" t="str">
        <f t="shared" si="214"/>
        <v>EXCELENTE</v>
      </c>
      <c r="N2060">
        <v>93.48</v>
      </c>
      <c r="O2060">
        <v>31.334622823984521</v>
      </c>
    </row>
    <row r="2061" spans="1:15" hidden="1" x14ac:dyDescent="0.25">
      <c r="A2061" s="11">
        <v>46065</v>
      </c>
      <c r="B2061" t="s">
        <v>29</v>
      </c>
      <c r="C2061" t="s">
        <v>16</v>
      </c>
      <c r="D2061">
        <v>0</v>
      </c>
      <c r="E2061">
        <v>0</v>
      </c>
      <c r="F2061">
        <v>0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 t="shared" si="214"/>
        <v>BOM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30</v>
      </c>
      <c r="C2062" t="s">
        <v>20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16</v>
      </c>
      <c r="K2062" s="3">
        <f>I2062-J2062</f>
        <v>-1</v>
      </c>
      <c r="L2062" s="3" t="str">
        <f t="shared" si="214"/>
        <v>ATENÇÃO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31</v>
      </c>
      <c r="C2063" t="s">
        <v>18</v>
      </c>
      <c r="D2063">
        <v>0</v>
      </c>
      <c r="E2063">
        <v>0</v>
      </c>
      <c r="F2063">
        <v>0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 t="shared" si="214"/>
        <v>BOM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32</v>
      </c>
      <c r="C2064" t="s">
        <v>23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ref="I2064:I2072" si="215">E2064+G2064+H2064</f>
        <v>13</v>
      </c>
      <c r="J2064" s="3">
        <f t="shared" ref="J2064:J2072" si="216"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7</v>
      </c>
      <c r="K2064" s="3">
        <f t="shared" ref="K2064:K2072" si="217">I2064-J2064</f>
        <v>6</v>
      </c>
      <c r="L2064" s="3" t="str">
        <f t="shared" si="214"/>
        <v>EXCELENTE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33</v>
      </c>
      <c r="C2065" t="s">
        <v>16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215"/>
        <v>20</v>
      </c>
      <c r="J2065" s="3">
        <f t="shared" si="216"/>
        <v>20</v>
      </c>
      <c r="K2065" s="3">
        <f t="shared" si="217"/>
        <v>0</v>
      </c>
      <c r="L2065" s="3" t="str">
        <f t="shared" si="214"/>
        <v>BOM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34</v>
      </c>
      <c r="C2066" t="s">
        <v>18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215"/>
        <v>29</v>
      </c>
      <c r="J2066" s="3">
        <f t="shared" si="216"/>
        <v>24</v>
      </c>
      <c r="K2066" s="3">
        <f t="shared" si="217"/>
        <v>5</v>
      </c>
      <c r="L2066" s="3" t="str">
        <f t="shared" si="214"/>
        <v>BOM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35</v>
      </c>
      <c r="C2067" t="s">
        <v>16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215"/>
        <v>29</v>
      </c>
      <c r="J2067" s="3">
        <f t="shared" si="216"/>
        <v>20</v>
      </c>
      <c r="K2067" s="3">
        <f t="shared" si="217"/>
        <v>9</v>
      </c>
      <c r="L2067" s="3" t="str">
        <f t="shared" si="214"/>
        <v>EXCELENTE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36</v>
      </c>
      <c r="C2068" t="s">
        <v>20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215"/>
        <v>25</v>
      </c>
      <c r="J2068" s="3">
        <f t="shared" si="216"/>
        <v>13</v>
      </c>
      <c r="K2068" s="3">
        <f t="shared" si="217"/>
        <v>12</v>
      </c>
      <c r="L2068" s="3" t="str">
        <f t="shared" si="214"/>
        <v>EXCELENTE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37</v>
      </c>
      <c r="C2069" t="s">
        <v>16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215"/>
        <v>33</v>
      </c>
      <c r="J2069" s="3">
        <f t="shared" si="216"/>
        <v>20</v>
      </c>
      <c r="K2069" s="3">
        <f t="shared" si="217"/>
        <v>13</v>
      </c>
      <c r="L2069" s="3" t="str">
        <f t="shared" si="214"/>
        <v>EXCELENTE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38</v>
      </c>
      <c r="C2070" t="s">
        <v>18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215"/>
        <v>37</v>
      </c>
      <c r="J2070" s="3">
        <f t="shared" si="216"/>
        <v>24</v>
      </c>
      <c r="K2070" s="3">
        <f t="shared" si="217"/>
        <v>13</v>
      </c>
      <c r="L2070" s="3" t="str">
        <f t="shared" si="214"/>
        <v>EXCELENTE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39</v>
      </c>
      <c r="C2071" t="s">
        <v>18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215"/>
        <v>20</v>
      </c>
      <c r="J2071" s="3">
        <f t="shared" si="216"/>
        <v>24</v>
      </c>
      <c r="K2071" s="3">
        <f t="shared" si="217"/>
        <v>-4</v>
      </c>
      <c r="L2071" s="3" t="str">
        <f t="shared" si="214"/>
        <v>ATENÇÃO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40</v>
      </c>
      <c r="C2072" t="s">
        <v>16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215"/>
        <v>17</v>
      </c>
      <c r="J2072" s="3">
        <f t="shared" si="216"/>
        <v>20</v>
      </c>
      <c r="K2072" s="3">
        <f t="shared" si="217"/>
        <v>-3</v>
      </c>
      <c r="L2072" s="3" t="str">
        <f t="shared" si="214"/>
        <v>ATENÇÃO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41</v>
      </c>
      <c r="C2073" t="s">
        <v>18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 t="shared" si="214"/>
        <v>BOM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42</v>
      </c>
      <c r="C2074" t="s">
        <v>43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14</v>
      </c>
      <c r="K2074" s="3">
        <f>I2074-J2074</f>
        <v>-7</v>
      </c>
      <c r="L2074" s="3" t="str">
        <f t="shared" si="214"/>
        <v>CRÍTICO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44</v>
      </c>
      <c r="C2075" t="s">
        <v>18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24</v>
      </c>
      <c r="K2075" s="3">
        <f>I2075-J2075</f>
        <v>-15</v>
      </c>
      <c r="L2075" s="3" t="str">
        <f t="shared" si="214"/>
        <v>CRÍTICO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45</v>
      </c>
      <c r="C2076" t="s">
        <v>43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 t="shared" si="214"/>
        <v>BOM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46</v>
      </c>
      <c r="C2077" t="s">
        <v>18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24</v>
      </c>
      <c r="K2077" s="3">
        <f>I2077-J2077</f>
        <v>5</v>
      </c>
      <c r="L2077" s="3" t="str">
        <f t="shared" si="214"/>
        <v>BOM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47</v>
      </c>
      <c r="C2078" t="s">
        <v>16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20</v>
      </c>
      <c r="K2078" s="3">
        <f>I2078-J2078</f>
        <v>16</v>
      </c>
      <c r="L2078" s="3" t="str">
        <f t="shared" si="214"/>
        <v>EXCELENTE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48</v>
      </c>
      <c r="C2079" t="s">
        <v>16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14"/>
        <v>BOM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49</v>
      </c>
      <c r="C2080" t="s">
        <v>18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 t="shared" si="214"/>
        <v>BOM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50</v>
      </c>
      <c r="C2081" t="s">
        <v>20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16</v>
      </c>
      <c r="K2081" s="3">
        <f>I2081-J2081</f>
        <v>12</v>
      </c>
      <c r="L2081" s="3" t="str">
        <f t="shared" si="214"/>
        <v>EXCELENTE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51</v>
      </c>
      <c r="C2082" t="s">
        <v>23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7</v>
      </c>
      <c r="K2082" s="3">
        <f>I2082-J2082</f>
        <v>9</v>
      </c>
      <c r="L2082" s="3" t="str">
        <f t="shared" si="214"/>
        <v>EXCELENTE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52</v>
      </c>
      <c r="C2083" t="s">
        <v>18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24</v>
      </c>
      <c r="K2083" s="3">
        <f>I2083-J2083</f>
        <v>10</v>
      </c>
      <c r="L2083" s="3" t="str">
        <f t="shared" si="214"/>
        <v>EXCELENTE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53</v>
      </c>
      <c r="C2084" t="s">
        <v>18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24</v>
      </c>
      <c r="K2084" s="3">
        <f>I2084-J2084</f>
        <v>-7</v>
      </c>
      <c r="L2084" s="3" t="str">
        <f t="shared" si="214"/>
        <v>CRÍTICO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54</v>
      </c>
      <c r="C2085" t="s">
        <v>23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7</v>
      </c>
      <c r="K2085" s="3">
        <f>I2085-J2085</f>
        <v>6</v>
      </c>
      <c r="L2085" s="3" t="str">
        <f t="shared" si="214"/>
        <v>EXCELENTE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55</v>
      </c>
      <c r="C2086" t="s">
        <v>43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14"/>
        <v>BOM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56</v>
      </c>
      <c r="C2087" t="s">
        <v>16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14"/>
        <v>BOM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57</v>
      </c>
      <c r="C2088" t="s">
        <v>43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14"/>
        <v>BOM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58</v>
      </c>
      <c r="C2089" t="s">
        <v>43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14"/>
        <v>BOM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59</v>
      </c>
      <c r="C2090" t="s">
        <v>23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 t="shared" si="214"/>
        <v>BOM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60</v>
      </c>
      <c r="C2091" t="s">
        <v>20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16</v>
      </c>
      <c r="K2091" s="3">
        <f>I2091-J2091</f>
        <v>8</v>
      </c>
      <c r="L2091" s="3" t="str">
        <f t="shared" si="214"/>
        <v>EXCELENTE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61</v>
      </c>
      <c r="C2092" t="s">
        <v>18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24</v>
      </c>
      <c r="K2092" s="3">
        <f>I2092-J2092</f>
        <v>22</v>
      </c>
      <c r="L2092" s="3" t="str">
        <f t="shared" si="214"/>
        <v>EXCELENTE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62</v>
      </c>
      <c r="C2093" t="s">
        <v>20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16</v>
      </c>
      <c r="K2093" s="3">
        <f>I2093-J2093</f>
        <v>-5</v>
      </c>
      <c r="L2093" s="3" t="str">
        <f t="shared" si="214"/>
        <v>ATENÇÃO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63</v>
      </c>
      <c r="C2094" t="s">
        <v>18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24</v>
      </c>
      <c r="K2094" s="3">
        <f>I2094-J2094</f>
        <v>5</v>
      </c>
      <c r="L2094" s="3" t="str">
        <f t="shared" si="214"/>
        <v>BOM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15</v>
      </c>
      <c r="C2095" t="s">
        <v>16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20</v>
      </c>
      <c r="K2095" s="3">
        <f>I2095-J2095</f>
        <v>11</v>
      </c>
      <c r="L2095" s="3" t="str">
        <f t="shared" si="214"/>
        <v>EXCELENTE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17</v>
      </c>
      <c r="C2096" t="s">
        <v>18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 t="shared" si="214"/>
        <v>BOM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19</v>
      </c>
      <c r="C2097" t="s">
        <v>20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17</v>
      </c>
      <c r="K2097" s="3">
        <f>I2097-J2097</f>
        <v>-1</v>
      </c>
      <c r="L2097" s="3" t="str">
        <f t="shared" si="214"/>
        <v>ATENÇÃO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21</v>
      </c>
      <c r="C2098" t="s">
        <v>18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25</v>
      </c>
      <c r="K2098" s="3">
        <f>I2098-J2098</f>
        <v>-8</v>
      </c>
      <c r="L2098" s="3" t="str">
        <f t="shared" si="214"/>
        <v>CRÍTICO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22</v>
      </c>
      <c r="C2099" t="s">
        <v>23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7</v>
      </c>
      <c r="K2099" s="3">
        <f>I2099-J2099</f>
        <v>1</v>
      </c>
      <c r="L2099" s="3" t="str">
        <f t="shared" si="214"/>
        <v>BOM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24</v>
      </c>
      <c r="C2100" t="s">
        <v>16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20</v>
      </c>
      <c r="K2100" s="3">
        <f>I2100-J2100</f>
        <v>10</v>
      </c>
      <c r="L2100" s="3" t="str">
        <f t="shared" si="214"/>
        <v>EXCELENTE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25</v>
      </c>
      <c r="C2101" t="s">
        <v>16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20</v>
      </c>
      <c r="K2101" s="3">
        <f>I2101-J2101</f>
        <v>-4</v>
      </c>
      <c r="L2101" s="3" t="str">
        <f t="shared" si="214"/>
        <v>ATENÇÃO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26</v>
      </c>
      <c r="C2102" t="s">
        <v>23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 t="shared" si="214"/>
        <v>BOM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27</v>
      </c>
      <c r="C2103" t="s">
        <v>20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17</v>
      </c>
      <c r="K2103" s="3">
        <f>I2103-J2103</f>
        <v>-9</v>
      </c>
      <c r="L2103" s="3" t="str">
        <f t="shared" si="214"/>
        <v>CRÍTICO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28</v>
      </c>
      <c r="C2104" t="s">
        <v>18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25</v>
      </c>
      <c r="K2104" s="3">
        <f>I2104-J2104</f>
        <v>13</v>
      </c>
      <c r="L2104" s="3" t="str">
        <f t="shared" si="214"/>
        <v>EXCELENTE</v>
      </c>
      <c r="N2104">
        <v>93.48</v>
      </c>
      <c r="O2104">
        <v>31.334622823984521</v>
      </c>
    </row>
    <row r="2105" spans="1:15" hidden="1" x14ac:dyDescent="0.25">
      <c r="A2105" s="11">
        <v>46066</v>
      </c>
      <c r="B2105" t="s">
        <v>29</v>
      </c>
      <c r="C2105" t="s">
        <v>16</v>
      </c>
      <c r="D2105">
        <v>0</v>
      </c>
      <c r="E2105">
        <v>0</v>
      </c>
      <c r="F2105">
        <v>0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 t="shared" si="214"/>
        <v>BOM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30</v>
      </c>
      <c r="C2106" t="s">
        <v>20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17</v>
      </c>
      <c r="K2106" s="3">
        <f>I2106-J2106</f>
        <v>-5</v>
      </c>
      <c r="L2106" s="3" t="str">
        <f t="shared" si="214"/>
        <v>ATENÇÃO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31</v>
      </c>
      <c r="C2107" t="s">
        <v>18</v>
      </c>
      <c r="D2107">
        <v>0</v>
      </c>
      <c r="E2107">
        <v>0</v>
      </c>
      <c r="F2107">
        <v>0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 t="shared" si="214"/>
        <v>BOM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32</v>
      </c>
      <c r="C2108" t="s">
        <v>23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ref="I2108:I2116" si="218">E2108+G2108+H2108</f>
        <v>33</v>
      </c>
      <c r="J2108" s="3">
        <f t="shared" ref="J2108:J2116" si="219"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7</v>
      </c>
      <c r="K2108" s="3">
        <f t="shared" ref="K2108:K2116" si="220">I2108-J2108</f>
        <v>26</v>
      </c>
      <c r="L2108" s="3" t="str">
        <f t="shared" si="214"/>
        <v>EXCELENTE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33</v>
      </c>
      <c r="C2109" t="s">
        <v>16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218"/>
        <v>16</v>
      </c>
      <c r="J2109" s="3">
        <f t="shared" si="219"/>
        <v>20</v>
      </c>
      <c r="K2109" s="3">
        <f t="shared" si="220"/>
        <v>-4</v>
      </c>
      <c r="L2109" s="3" t="str">
        <f t="shared" si="214"/>
        <v>ATENÇÃO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34</v>
      </c>
      <c r="C2110" t="s">
        <v>18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218"/>
        <v>25</v>
      </c>
      <c r="J2110" s="3">
        <f t="shared" si="219"/>
        <v>25</v>
      </c>
      <c r="K2110" s="3">
        <f t="shared" si="220"/>
        <v>0</v>
      </c>
      <c r="L2110" s="3" t="str">
        <f t="shared" si="214"/>
        <v>BOM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35</v>
      </c>
      <c r="C2111" t="s">
        <v>16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218"/>
        <v>36</v>
      </c>
      <c r="J2111" s="3">
        <f t="shared" si="219"/>
        <v>20</v>
      </c>
      <c r="K2111" s="3">
        <f t="shared" si="220"/>
        <v>16</v>
      </c>
      <c r="L2111" s="3" t="str">
        <f t="shared" si="214"/>
        <v>EXCELENTE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36</v>
      </c>
      <c r="C2112" t="s">
        <v>20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218"/>
        <v>12</v>
      </c>
      <c r="J2112" s="3">
        <f t="shared" si="219"/>
        <v>14</v>
      </c>
      <c r="K2112" s="3">
        <f t="shared" si="220"/>
        <v>-2</v>
      </c>
      <c r="L2112" s="3" t="str">
        <f t="shared" si="214"/>
        <v>ATENÇÃO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37</v>
      </c>
      <c r="C2113" t="s">
        <v>16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218"/>
        <v>24</v>
      </c>
      <c r="J2113" s="3">
        <f t="shared" si="219"/>
        <v>20</v>
      </c>
      <c r="K2113" s="3">
        <f t="shared" si="220"/>
        <v>4</v>
      </c>
      <c r="L2113" s="3" t="str">
        <f t="shared" si="214"/>
        <v>BOM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38</v>
      </c>
      <c r="C2114" t="s">
        <v>18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218"/>
        <v>44</v>
      </c>
      <c r="J2114" s="3">
        <f t="shared" si="219"/>
        <v>25</v>
      </c>
      <c r="K2114" s="3">
        <f t="shared" si="220"/>
        <v>19</v>
      </c>
      <c r="L2114" s="3" t="str">
        <f t="shared" si="214"/>
        <v>EXCELENTE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39</v>
      </c>
      <c r="C2115" t="s">
        <v>18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218"/>
        <v>33</v>
      </c>
      <c r="J2115" s="3">
        <f t="shared" si="219"/>
        <v>25</v>
      </c>
      <c r="K2115" s="3">
        <f t="shared" si="220"/>
        <v>8</v>
      </c>
      <c r="L2115" s="3" t="str">
        <f t="shared" si="214"/>
        <v>EXCELENTE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40</v>
      </c>
      <c r="C2116" t="s">
        <v>16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218"/>
        <v>30</v>
      </c>
      <c r="J2116" s="3">
        <f t="shared" si="219"/>
        <v>20</v>
      </c>
      <c r="K2116" s="3">
        <f t="shared" si="220"/>
        <v>10</v>
      </c>
      <c r="L2116" s="3" t="str">
        <f t="shared" si="214"/>
        <v>EXCELENTE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41</v>
      </c>
      <c r="C2117" t="s">
        <v>18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 t="shared" si="214"/>
        <v>BOM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42</v>
      </c>
      <c r="C2118" t="s">
        <v>43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 t="shared" si="214"/>
        <v>CRÍTICO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44</v>
      </c>
      <c r="C2119" t="s">
        <v>18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25</v>
      </c>
      <c r="K2119" s="3">
        <f>I2119-J2119</f>
        <v>-23</v>
      </c>
      <c r="L2119" s="3" t="str">
        <f t="shared" ref="L2119:L2182" si="221">IF(K2119&lt;-5,"CRÍTICO",IF(K2119&lt;0,"ATENÇÃO",IF(K2119&lt;=5,"BOM","EXCELENTE")))</f>
        <v>CRÍTICO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45</v>
      </c>
      <c r="C2120" t="s">
        <v>43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 t="shared" si="221"/>
        <v>BOM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46</v>
      </c>
      <c r="C2121" t="s">
        <v>18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25</v>
      </c>
      <c r="K2121" s="3">
        <f>I2121-J2121</f>
        <v>-3</v>
      </c>
      <c r="L2121" s="3" t="str">
        <f t="shared" si="221"/>
        <v>ATENÇÃO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47</v>
      </c>
      <c r="C2122" t="s">
        <v>16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20</v>
      </c>
      <c r="K2122" s="3">
        <f>I2122-J2122</f>
        <v>2</v>
      </c>
      <c r="L2122" s="3" t="str">
        <f t="shared" si="221"/>
        <v>BOM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48</v>
      </c>
      <c r="C2123" t="s">
        <v>16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21"/>
        <v>BOM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49</v>
      </c>
      <c r="C2124" t="s">
        <v>18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 t="shared" si="221"/>
        <v>BOM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50</v>
      </c>
      <c r="C2125" t="s">
        <v>20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17</v>
      </c>
      <c r="K2125" s="3">
        <f>I2125-J2125</f>
        <v>-1</v>
      </c>
      <c r="L2125" s="3" t="str">
        <f t="shared" si="221"/>
        <v>ATENÇÃO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51</v>
      </c>
      <c r="C2126" t="s">
        <v>23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7</v>
      </c>
      <c r="K2126" s="3">
        <f>I2126-J2126</f>
        <v>18</v>
      </c>
      <c r="L2126" s="3" t="str">
        <f t="shared" si="221"/>
        <v>EXCELENTE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52</v>
      </c>
      <c r="C2127" t="s">
        <v>18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25</v>
      </c>
      <c r="K2127" s="3">
        <f>I2127-J2127</f>
        <v>0</v>
      </c>
      <c r="L2127" s="3" t="str">
        <f t="shared" si="221"/>
        <v>BOM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53</v>
      </c>
      <c r="C2128" t="s">
        <v>18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25</v>
      </c>
      <c r="K2128" s="3">
        <f>I2128-J2128</f>
        <v>8</v>
      </c>
      <c r="L2128" s="3" t="str">
        <f t="shared" si="221"/>
        <v>EXCELENTE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54</v>
      </c>
      <c r="C2129" t="s">
        <v>23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7</v>
      </c>
      <c r="K2129" s="3">
        <f>I2129-J2129</f>
        <v>4</v>
      </c>
      <c r="L2129" s="3" t="str">
        <f t="shared" si="221"/>
        <v>BOM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55</v>
      </c>
      <c r="C2130" t="s">
        <v>43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21"/>
        <v>BOM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56</v>
      </c>
      <c r="C2131" t="s">
        <v>16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21"/>
        <v>BOM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57</v>
      </c>
      <c r="C2132" t="s">
        <v>43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21"/>
        <v>BOM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58</v>
      </c>
      <c r="C2133" t="s">
        <v>43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21"/>
        <v>BOM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59</v>
      </c>
      <c r="C2134" t="s">
        <v>23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 t="shared" si="221"/>
        <v>BOM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60</v>
      </c>
      <c r="C2135" t="s">
        <v>20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17</v>
      </c>
      <c r="K2135" s="3">
        <f>I2135-J2135</f>
        <v>-1</v>
      </c>
      <c r="L2135" s="3" t="str">
        <f t="shared" si="221"/>
        <v>ATENÇÃO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61</v>
      </c>
      <c r="C2136" t="s">
        <v>18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25</v>
      </c>
      <c r="K2136" s="3">
        <f>I2136-J2136</f>
        <v>7</v>
      </c>
      <c r="L2136" s="3" t="str">
        <f t="shared" si="221"/>
        <v>EXCELENTE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62</v>
      </c>
      <c r="C2137" t="s">
        <v>20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17</v>
      </c>
      <c r="K2137" s="3">
        <f>I2137-J2137</f>
        <v>-8</v>
      </c>
      <c r="L2137" s="3" t="str">
        <f t="shared" si="221"/>
        <v>CRÍTICO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63</v>
      </c>
      <c r="C2138" t="s">
        <v>18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25</v>
      </c>
      <c r="K2138" s="3">
        <f>I2138-J2138</f>
        <v>5</v>
      </c>
      <c r="L2138" s="3" t="str">
        <f t="shared" si="221"/>
        <v>BOM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15</v>
      </c>
      <c r="C2139" t="s">
        <v>16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5</v>
      </c>
      <c r="K2139" s="3">
        <f>I2139-J2139</f>
        <v>3</v>
      </c>
      <c r="L2139" s="3" t="str">
        <f t="shared" si="221"/>
        <v>BOM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17</v>
      </c>
      <c r="C2140" t="s">
        <v>18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 t="shared" si="221"/>
        <v>BOM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19</v>
      </c>
      <c r="C2141" t="s">
        <v>20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4</v>
      </c>
      <c r="K2141" s="3">
        <f>I2141-J2141</f>
        <v>4</v>
      </c>
      <c r="L2141" s="3" t="str">
        <f t="shared" si="221"/>
        <v>BOM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21</v>
      </c>
      <c r="C2142" t="s">
        <v>18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 t="shared" si="221"/>
        <v>BOM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22</v>
      </c>
      <c r="C2143" t="s">
        <v>23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 t="shared" si="221"/>
        <v>BOM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24</v>
      </c>
      <c r="C2144" t="s">
        <v>16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5</v>
      </c>
      <c r="K2144" s="3">
        <f>I2144-J2144</f>
        <v>1</v>
      </c>
      <c r="L2144" s="3" t="str">
        <f t="shared" si="221"/>
        <v>BOM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25</v>
      </c>
      <c r="C2145" t="s">
        <v>16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5</v>
      </c>
      <c r="K2145" s="3">
        <f>I2145-J2145</f>
        <v>2</v>
      </c>
      <c r="L2145" s="3" t="str">
        <f t="shared" si="221"/>
        <v>BOM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26</v>
      </c>
      <c r="C2146" t="s">
        <v>23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 t="shared" si="221"/>
        <v>BOM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27</v>
      </c>
      <c r="C2147" t="s">
        <v>20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4</v>
      </c>
      <c r="K2147" s="3">
        <f>I2147-J2147</f>
        <v>2</v>
      </c>
      <c r="L2147" s="3" t="str">
        <f t="shared" si="221"/>
        <v>BOM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28</v>
      </c>
      <c r="C2148" t="s">
        <v>18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 t="shared" si="221"/>
        <v>BOM</v>
      </c>
      <c r="N2148">
        <v>93.48</v>
      </c>
      <c r="O2148">
        <v>31.334622823984521</v>
      </c>
    </row>
    <row r="2149" spans="1:15" hidden="1" x14ac:dyDescent="0.25">
      <c r="A2149" s="11">
        <v>46069</v>
      </c>
      <c r="B2149" t="s">
        <v>29</v>
      </c>
      <c r="C2149" t="s">
        <v>16</v>
      </c>
      <c r="D2149">
        <v>0</v>
      </c>
      <c r="E2149">
        <v>0</v>
      </c>
      <c r="F2149">
        <v>0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 t="shared" si="221"/>
        <v>BOM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30</v>
      </c>
      <c r="C2150" t="s">
        <v>20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4</v>
      </c>
      <c r="K2150" s="3">
        <f>I2150-J2150</f>
        <v>4</v>
      </c>
      <c r="L2150" s="3" t="str">
        <f t="shared" si="221"/>
        <v>BOM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31</v>
      </c>
      <c r="C2151" t="s">
        <v>18</v>
      </c>
      <c r="D2151">
        <v>0</v>
      </c>
      <c r="E2151">
        <v>0</v>
      </c>
      <c r="F2151">
        <v>0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 t="shared" si="221"/>
        <v>BOM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32</v>
      </c>
      <c r="C2152" t="s">
        <v>23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ref="I2152:I2160" si="222">E2152+G2152+H2152</f>
        <v>4</v>
      </c>
      <c r="J2152" s="3">
        <f t="shared" ref="J2152:J2160" si="223"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 t="shared" ref="K2152:K2160" si="224">I2152-J2152</f>
        <v>2</v>
      </c>
      <c r="L2152" s="3" t="str">
        <f t="shared" si="221"/>
        <v>BOM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33</v>
      </c>
      <c r="C2153" t="s">
        <v>16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222"/>
        <v>10</v>
      </c>
      <c r="J2153" s="3">
        <f t="shared" si="223"/>
        <v>5</v>
      </c>
      <c r="K2153" s="3">
        <f t="shared" si="224"/>
        <v>5</v>
      </c>
      <c r="L2153" s="3" t="str">
        <f t="shared" si="221"/>
        <v>BOM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34</v>
      </c>
      <c r="C2154" t="s">
        <v>18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222"/>
        <v>8</v>
      </c>
      <c r="J2154" s="3">
        <f t="shared" si="223"/>
        <v>7</v>
      </c>
      <c r="K2154" s="3">
        <f t="shared" si="224"/>
        <v>1</v>
      </c>
      <c r="L2154" s="3" t="str">
        <f t="shared" si="221"/>
        <v>BOM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35</v>
      </c>
      <c r="C2155" t="s">
        <v>16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222"/>
        <v>7</v>
      </c>
      <c r="J2155" s="3">
        <f t="shared" si="223"/>
        <v>5</v>
      </c>
      <c r="K2155" s="3">
        <f t="shared" si="224"/>
        <v>2</v>
      </c>
      <c r="L2155" s="3" t="str">
        <f t="shared" si="221"/>
        <v>BOM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36</v>
      </c>
      <c r="C2156" t="s">
        <v>20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222"/>
        <v>17</v>
      </c>
      <c r="J2156" s="3">
        <f t="shared" si="223"/>
        <v>13</v>
      </c>
      <c r="K2156" s="3">
        <f t="shared" si="224"/>
        <v>4</v>
      </c>
      <c r="L2156" s="3" t="str">
        <f t="shared" si="221"/>
        <v>BOM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37</v>
      </c>
      <c r="C2157" t="s">
        <v>16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222"/>
        <v>5</v>
      </c>
      <c r="J2157" s="3">
        <f t="shared" si="223"/>
        <v>5</v>
      </c>
      <c r="K2157" s="3">
        <f t="shared" si="224"/>
        <v>0</v>
      </c>
      <c r="L2157" s="3" t="str">
        <f t="shared" si="221"/>
        <v>BOM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38</v>
      </c>
      <c r="C2158" t="s">
        <v>18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222"/>
        <v>6</v>
      </c>
      <c r="J2158" s="3">
        <f t="shared" si="223"/>
        <v>7</v>
      </c>
      <c r="K2158" s="3">
        <f t="shared" si="224"/>
        <v>-1</v>
      </c>
      <c r="L2158" s="3" t="str">
        <f t="shared" si="221"/>
        <v>ATENÇÃO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39</v>
      </c>
      <c r="C2159" t="s">
        <v>18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222"/>
        <v>7</v>
      </c>
      <c r="J2159" s="3">
        <f t="shared" si="223"/>
        <v>7</v>
      </c>
      <c r="K2159" s="3">
        <f t="shared" si="224"/>
        <v>0</v>
      </c>
      <c r="L2159" s="3" t="str">
        <f t="shared" si="221"/>
        <v>BOM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40</v>
      </c>
      <c r="C2160" t="s">
        <v>16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222"/>
        <v>7</v>
      </c>
      <c r="J2160" s="3">
        <f t="shared" si="223"/>
        <v>5</v>
      </c>
      <c r="K2160" s="3">
        <f t="shared" si="224"/>
        <v>2</v>
      </c>
      <c r="L2160" s="3" t="str">
        <f t="shared" si="221"/>
        <v>BOM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41</v>
      </c>
      <c r="C2161" t="s">
        <v>18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21"/>
        <v>BOM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42</v>
      </c>
      <c r="C2162" t="s">
        <v>43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 t="shared" si="221"/>
        <v>BOM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44</v>
      </c>
      <c r="C2163" t="s">
        <v>18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 t="shared" si="221"/>
        <v>ATENÇÃO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45</v>
      </c>
      <c r="C2164" t="s">
        <v>43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 t="shared" si="221"/>
        <v>BOM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46</v>
      </c>
      <c r="C2165" t="s">
        <v>18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 t="shared" si="221"/>
        <v>BOM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47</v>
      </c>
      <c r="C2166" t="s">
        <v>16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5</v>
      </c>
      <c r="K2166" s="3">
        <f>I2166-J2166</f>
        <v>1</v>
      </c>
      <c r="L2166" s="3" t="str">
        <f t="shared" si="221"/>
        <v>BOM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48</v>
      </c>
      <c r="C2167" t="s">
        <v>16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21"/>
        <v>BOM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49</v>
      </c>
      <c r="C2168" t="s">
        <v>18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 t="shared" si="221"/>
        <v>BOM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50</v>
      </c>
      <c r="C2169" t="s">
        <v>20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4</v>
      </c>
      <c r="K2169" s="3">
        <f>I2169-J2169</f>
        <v>3</v>
      </c>
      <c r="L2169" s="3" t="str">
        <f t="shared" si="221"/>
        <v>BOM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51</v>
      </c>
      <c r="C2170" t="s">
        <v>23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 t="shared" si="221"/>
        <v>BOM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52</v>
      </c>
      <c r="C2171" t="s">
        <v>18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 t="shared" si="221"/>
        <v>ATENÇÃO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53</v>
      </c>
      <c r="C2172" t="s">
        <v>18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 t="shared" si="221"/>
        <v>ATENÇÃO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54</v>
      </c>
      <c r="C2173" t="s">
        <v>23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21"/>
        <v>BOM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55</v>
      </c>
      <c r="C2174" t="s">
        <v>43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21"/>
        <v>BOM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56</v>
      </c>
      <c r="C2175" t="s">
        <v>16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21"/>
        <v>BOM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57</v>
      </c>
      <c r="C2176" t="s">
        <v>43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21"/>
        <v>BOM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58</v>
      </c>
      <c r="C2177" t="s">
        <v>43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21"/>
        <v>BOM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59</v>
      </c>
      <c r="C2178" t="s">
        <v>23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 t="shared" si="221"/>
        <v>BOM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60</v>
      </c>
      <c r="C2179" t="s">
        <v>20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4</v>
      </c>
      <c r="K2179" s="3">
        <f>I2179-J2179</f>
        <v>3</v>
      </c>
      <c r="L2179" s="3" t="str">
        <f t="shared" si="221"/>
        <v>BOM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61</v>
      </c>
      <c r="C2180" t="s">
        <v>18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 t="shared" si="221"/>
        <v>ATENÇÃO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62</v>
      </c>
      <c r="C2181" t="s">
        <v>20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4</v>
      </c>
      <c r="K2181" s="3">
        <f>I2181-J2181</f>
        <v>3</v>
      </c>
      <c r="L2181" s="3" t="str">
        <f t="shared" si="221"/>
        <v>BOM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63</v>
      </c>
      <c r="C2182" t="s">
        <v>18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 t="shared" si="221"/>
        <v>BOM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15</v>
      </c>
      <c r="C2183" t="s">
        <v>16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ref="L2183:L2246" si="225">IF(K2183&lt;-5,"CRÍTICO",IF(K2183&lt;0,"ATENÇÃO",IF(K2183&lt;=5,"BOM","EXCELENTE")))</f>
        <v>BOM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17</v>
      </c>
      <c r="C2184" t="s">
        <v>18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25"/>
        <v>BOM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19</v>
      </c>
      <c r="C2185" t="s">
        <v>20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25"/>
        <v>BOM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21</v>
      </c>
      <c r="C2186" t="s">
        <v>18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25"/>
        <v>BOM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22</v>
      </c>
      <c r="C2187" t="s">
        <v>23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25"/>
        <v>BOM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24</v>
      </c>
      <c r="C2188" t="s">
        <v>16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25"/>
        <v>BOM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25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25"/>
        <v>BOM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26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25"/>
        <v>BOM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27</v>
      </c>
      <c r="C2191" t="s">
        <v>20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25"/>
        <v>BOM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28</v>
      </c>
      <c r="C2192" t="s">
        <v>18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25"/>
        <v>BOM</v>
      </c>
      <c r="N2192">
        <v>93.48</v>
      </c>
      <c r="O2192">
        <v>31.334622823984521</v>
      </c>
    </row>
    <row r="2193" spans="1:15" hidden="1" x14ac:dyDescent="0.25">
      <c r="A2193" s="11">
        <v>46070</v>
      </c>
      <c r="B2193" t="s">
        <v>29</v>
      </c>
      <c r="C2193" t="s">
        <v>16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25"/>
        <v>BOM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30</v>
      </c>
      <c r="C2194" t="s">
        <v>20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25"/>
        <v>BOM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31</v>
      </c>
      <c r="C2195" t="s">
        <v>18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25"/>
        <v>BOM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32</v>
      </c>
      <c r="C2196" t="s">
        <v>23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25"/>
        <v>BOM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33</v>
      </c>
      <c r="C2197" t="s">
        <v>16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25"/>
        <v>BOM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34</v>
      </c>
      <c r="C2198" t="s">
        <v>18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25"/>
        <v>BOM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35</v>
      </c>
      <c r="C2199" t="s">
        <v>16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 t="shared" si="225"/>
        <v>BOM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36</v>
      </c>
      <c r="C2200" t="s">
        <v>20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13</v>
      </c>
      <c r="K2200" s="3">
        <f>I2200-J2200</f>
        <v>2</v>
      </c>
      <c r="L2200" s="3" t="str">
        <f t="shared" si="225"/>
        <v>BOM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37</v>
      </c>
      <c r="C2201" t="s">
        <v>16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25"/>
        <v>BOM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38</v>
      </c>
      <c r="C2202" t="s">
        <v>18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25"/>
        <v>BOM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39</v>
      </c>
      <c r="C2203" t="s">
        <v>18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25"/>
        <v>BOM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40</v>
      </c>
      <c r="C2204" t="s">
        <v>16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25"/>
        <v>BOM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41</v>
      </c>
      <c r="C2205" t="s">
        <v>18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25"/>
        <v>BOM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42</v>
      </c>
      <c r="C2206" t="s">
        <v>43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25"/>
        <v>BOM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44</v>
      </c>
      <c r="C2207" t="s">
        <v>18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25"/>
        <v>BOM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45</v>
      </c>
      <c r="C2208" t="s">
        <v>43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25"/>
        <v>BOM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46</v>
      </c>
      <c r="C2209" t="s">
        <v>18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25"/>
        <v>BOM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47</v>
      </c>
      <c r="C2210" t="s">
        <v>16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25"/>
        <v>BOM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48</v>
      </c>
      <c r="C2211" t="s">
        <v>16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25"/>
        <v>BOM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49</v>
      </c>
      <c r="C2212" t="s">
        <v>18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25"/>
        <v>BOM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50</v>
      </c>
      <c r="C2213" t="s">
        <v>20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25"/>
        <v>BOM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51</v>
      </c>
      <c r="C2214" t="s">
        <v>23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25"/>
        <v>BOM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52</v>
      </c>
      <c r="C2215" t="s">
        <v>18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25"/>
        <v>BOM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53</v>
      </c>
      <c r="C2216" t="s">
        <v>18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25"/>
        <v>BOM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54</v>
      </c>
      <c r="C2217" t="s">
        <v>23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25"/>
        <v>BOM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55</v>
      </c>
      <c r="C2218" t="s">
        <v>43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25"/>
        <v>BOM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56</v>
      </c>
      <c r="C2219" t="s">
        <v>16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25"/>
        <v>BOM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57</v>
      </c>
      <c r="C2220" t="s">
        <v>43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25"/>
        <v>BOM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58</v>
      </c>
      <c r="C2221" t="s">
        <v>43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25"/>
        <v>BOM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59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25"/>
        <v>BOM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60</v>
      </c>
      <c r="C2223" t="s">
        <v>20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25"/>
        <v>BOM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61</v>
      </c>
      <c r="C2224" t="s">
        <v>18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25"/>
        <v>BOM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62</v>
      </c>
      <c r="C2225" t="s">
        <v>20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25"/>
        <v>BOM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63</v>
      </c>
      <c r="C2226" t="s">
        <v>18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 t="shared" si="225"/>
        <v>BOM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15</v>
      </c>
      <c r="C2227" t="s">
        <v>16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18</v>
      </c>
      <c r="K2227" s="3">
        <f>I2227-J2227</f>
        <v>14</v>
      </c>
      <c r="L2227" s="3" t="str">
        <f t="shared" si="225"/>
        <v>EXCELENTE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17</v>
      </c>
      <c r="C2228" t="s">
        <v>18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 t="shared" si="225"/>
        <v>BOM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19</v>
      </c>
      <c r="C2229" t="s">
        <v>20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15</v>
      </c>
      <c r="K2229" s="3">
        <f>I2229-J2229</f>
        <v>6</v>
      </c>
      <c r="L2229" s="3" t="str">
        <f t="shared" si="225"/>
        <v>EXCELENTE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21</v>
      </c>
      <c r="C2230" t="s">
        <v>18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23</v>
      </c>
      <c r="K2230" s="3">
        <f>I2230-J2230</f>
        <v>5</v>
      </c>
      <c r="L2230" s="3" t="str">
        <f t="shared" si="225"/>
        <v>BOM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22</v>
      </c>
      <c r="C2231" t="s">
        <v>23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 t="shared" si="225"/>
        <v>ATENÇÃO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24</v>
      </c>
      <c r="C2232" t="s">
        <v>16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18</v>
      </c>
      <c r="K2232" s="3">
        <f>I2232-J2232</f>
        <v>-1</v>
      </c>
      <c r="L2232" s="3" t="str">
        <f t="shared" si="225"/>
        <v>ATENÇÃO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25</v>
      </c>
      <c r="C2233" t="s">
        <v>16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18</v>
      </c>
      <c r="K2233" s="3">
        <f>I2233-J2233</f>
        <v>-9</v>
      </c>
      <c r="L2233" s="3" t="str">
        <f t="shared" si="225"/>
        <v>CRÍTICO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26</v>
      </c>
      <c r="C2234" t="s">
        <v>23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 t="shared" si="225"/>
        <v>BOM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27</v>
      </c>
      <c r="C2235" t="s">
        <v>20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15</v>
      </c>
      <c r="K2235" s="3">
        <f>I2235-J2235</f>
        <v>7</v>
      </c>
      <c r="L2235" s="3" t="str">
        <f t="shared" si="225"/>
        <v>EXCELENTE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28</v>
      </c>
      <c r="C2236" t="s">
        <v>18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23</v>
      </c>
      <c r="K2236" s="3">
        <f>I2236-J2236</f>
        <v>14</v>
      </c>
      <c r="L2236" s="3" t="str">
        <f t="shared" si="225"/>
        <v>EXCELENTE</v>
      </c>
      <c r="N2236">
        <v>93.48</v>
      </c>
      <c r="O2236">
        <v>31.334622823984521</v>
      </c>
    </row>
    <row r="2237" spans="1:15" hidden="1" x14ac:dyDescent="0.25">
      <c r="A2237" s="11">
        <v>46071</v>
      </c>
      <c r="B2237" t="s">
        <v>29</v>
      </c>
      <c r="C2237" t="s">
        <v>16</v>
      </c>
      <c r="D2237">
        <v>0</v>
      </c>
      <c r="E2237">
        <v>0</v>
      </c>
      <c r="F2237">
        <v>0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 t="shared" si="225"/>
        <v>BOM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30</v>
      </c>
      <c r="C2238" t="s">
        <v>20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15</v>
      </c>
      <c r="K2238" s="3">
        <f>I2238-J2238</f>
        <v>16</v>
      </c>
      <c r="L2238" s="3" t="str">
        <f t="shared" si="225"/>
        <v>EXCELENTE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31</v>
      </c>
      <c r="C2239" t="s">
        <v>18</v>
      </c>
      <c r="D2239">
        <v>0</v>
      </c>
      <c r="E2239">
        <v>0</v>
      </c>
      <c r="F2239">
        <v>0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 t="shared" si="225"/>
        <v>BOM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32</v>
      </c>
      <c r="C2240" t="s">
        <v>23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ref="I2240:I2248" si="226">E2240+G2240+H2240</f>
        <v>3</v>
      </c>
      <c r="J2240" s="3">
        <f t="shared" ref="J2240:J2248" si="227"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 t="shared" ref="K2240:K2248" si="228">I2240-J2240</f>
        <v>-4</v>
      </c>
      <c r="L2240" s="3" t="str">
        <f t="shared" si="225"/>
        <v>ATENÇÃO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33</v>
      </c>
      <c r="C2241" t="s">
        <v>16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226"/>
        <v>28</v>
      </c>
      <c r="J2241" s="3">
        <f t="shared" si="227"/>
        <v>18</v>
      </c>
      <c r="K2241" s="3">
        <f t="shared" si="228"/>
        <v>10</v>
      </c>
      <c r="L2241" s="3" t="str">
        <f t="shared" si="225"/>
        <v>EXCELENTE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34</v>
      </c>
      <c r="C2242" t="s">
        <v>18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226"/>
        <v>15</v>
      </c>
      <c r="J2242" s="3">
        <f t="shared" si="227"/>
        <v>23</v>
      </c>
      <c r="K2242" s="3">
        <f t="shared" si="228"/>
        <v>-8</v>
      </c>
      <c r="L2242" s="3" t="str">
        <f t="shared" si="225"/>
        <v>CRÍTICO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35</v>
      </c>
      <c r="C2243" t="s">
        <v>16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226"/>
        <v>24</v>
      </c>
      <c r="J2243" s="3">
        <f t="shared" si="227"/>
        <v>18</v>
      </c>
      <c r="K2243" s="3">
        <f t="shared" si="228"/>
        <v>6</v>
      </c>
      <c r="L2243" s="3" t="str">
        <f t="shared" si="225"/>
        <v>EXCELENTE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36</v>
      </c>
      <c r="C2244" t="s">
        <v>20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226"/>
        <v>29</v>
      </c>
      <c r="J2244" s="3">
        <f t="shared" si="227"/>
        <v>17</v>
      </c>
      <c r="K2244" s="3">
        <f t="shared" si="228"/>
        <v>12</v>
      </c>
      <c r="L2244" s="3" t="str">
        <f t="shared" si="225"/>
        <v>EXCELENTE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37</v>
      </c>
      <c r="C2245" t="s">
        <v>16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226"/>
        <v>22</v>
      </c>
      <c r="J2245" s="3">
        <f t="shared" si="227"/>
        <v>18</v>
      </c>
      <c r="K2245" s="3">
        <f t="shared" si="228"/>
        <v>4</v>
      </c>
      <c r="L2245" s="3" t="str">
        <f t="shared" si="225"/>
        <v>BOM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38</v>
      </c>
      <c r="C2246" t="s">
        <v>18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226"/>
        <v>39</v>
      </c>
      <c r="J2246" s="3">
        <f t="shared" si="227"/>
        <v>23</v>
      </c>
      <c r="K2246" s="3">
        <f t="shared" si="228"/>
        <v>16</v>
      </c>
      <c r="L2246" s="3" t="str">
        <f t="shared" si="225"/>
        <v>EXCELENTE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39</v>
      </c>
      <c r="C2247" t="s">
        <v>18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226"/>
        <v>26</v>
      </c>
      <c r="J2247" s="3">
        <f t="shared" si="227"/>
        <v>23</v>
      </c>
      <c r="K2247" s="3">
        <f t="shared" si="228"/>
        <v>3</v>
      </c>
      <c r="L2247" s="3" t="str">
        <f t="shared" ref="L2247:L2310" si="229">IF(K2247&lt;-5,"CRÍTICO",IF(K2247&lt;0,"ATENÇÃO",IF(K2247&lt;=5,"BOM","EXCELENTE")))</f>
        <v>BOM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40</v>
      </c>
      <c r="C2248" t="s">
        <v>16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226"/>
        <v>20</v>
      </c>
      <c r="J2248" s="3">
        <f t="shared" si="227"/>
        <v>18</v>
      </c>
      <c r="K2248" s="3">
        <f t="shared" si="228"/>
        <v>2</v>
      </c>
      <c r="L2248" s="3" t="str">
        <f t="shared" si="229"/>
        <v>BOM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41</v>
      </c>
      <c r="C2249" t="s">
        <v>18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 t="shared" si="229"/>
        <v>BOM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42</v>
      </c>
      <c r="C2250" t="s">
        <v>43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13</v>
      </c>
      <c r="K2250" s="3">
        <f>I2250-J2250</f>
        <v>-4</v>
      </c>
      <c r="L2250" s="3" t="str">
        <f t="shared" si="229"/>
        <v>ATENÇÃO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44</v>
      </c>
      <c r="C2251" t="s">
        <v>18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23</v>
      </c>
      <c r="K2251" s="3">
        <f>I2251-J2251</f>
        <v>-7</v>
      </c>
      <c r="L2251" s="3" t="str">
        <f t="shared" si="229"/>
        <v>CRÍTICO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45</v>
      </c>
      <c r="C2252" t="s">
        <v>43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 t="shared" si="229"/>
        <v>BOM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46</v>
      </c>
      <c r="C2253" t="s">
        <v>18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23</v>
      </c>
      <c r="K2253" s="3">
        <f>I2253-J2253</f>
        <v>-5</v>
      </c>
      <c r="L2253" s="3" t="str">
        <f t="shared" si="229"/>
        <v>ATENÇÃO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47</v>
      </c>
      <c r="C2254" t="s">
        <v>16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18</v>
      </c>
      <c r="K2254" s="3">
        <f>I2254-J2254</f>
        <v>4</v>
      </c>
      <c r="L2254" s="3" t="str">
        <f t="shared" si="229"/>
        <v>BOM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48</v>
      </c>
      <c r="C2255" t="s">
        <v>16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29"/>
        <v>BOM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49</v>
      </c>
      <c r="C2256" t="s">
        <v>18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 t="shared" si="229"/>
        <v>BOM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50</v>
      </c>
      <c r="C2257" t="s">
        <v>20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15</v>
      </c>
      <c r="K2257" s="3">
        <f>I2257-J2257</f>
        <v>3</v>
      </c>
      <c r="L2257" s="3" t="str">
        <f t="shared" si="229"/>
        <v>BOM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51</v>
      </c>
      <c r="C2258" t="s">
        <v>23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 t="shared" si="229"/>
        <v>ATENÇÃO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52</v>
      </c>
      <c r="C2259" t="s">
        <v>18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23</v>
      </c>
      <c r="K2259" s="3">
        <f>I2259-J2259</f>
        <v>5</v>
      </c>
      <c r="L2259" s="3" t="str">
        <f t="shared" si="229"/>
        <v>BOM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53</v>
      </c>
      <c r="C2260" t="s">
        <v>18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23</v>
      </c>
      <c r="K2260" s="3">
        <f>I2260-J2260</f>
        <v>12</v>
      </c>
      <c r="L2260" s="3" t="str">
        <f t="shared" si="229"/>
        <v>EXCELENTE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54</v>
      </c>
      <c r="C2261" t="s">
        <v>23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 t="shared" si="229"/>
        <v>ATENÇÃO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55</v>
      </c>
      <c r="C2262" t="s">
        <v>43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29"/>
        <v>BOM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56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29"/>
        <v>BOM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57</v>
      </c>
      <c r="C2264" t="s">
        <v>43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29"/>
        <v>BOM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58</v>
      </c>
      <c r="C2265" t="s">
        <v>43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29"/>
        <v>BOM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59</v>
      </c>
      <c r="C2266" t="s">
        <v>23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 t="shared" si="229"/>
        <v>BOM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60</v>
      </c>
      <c r="C2267" t="s">
        <v>20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15</v>
      </c>
      <c r="K2267" s="3">
        <f>I2267-J2267</f>
        <v>19</v>
      </c>
      <c r="L2267" s="3" t="str">
        <f t="shared" si="229"/>
        <v>EXCELENTE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61</v>
      </c>
      <c r="C2268" t="s">
        <v>18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23</v>
      </c>
      <c r="K2268" s="3">
        <f>I2268-J2268</f>
        <v>18</v>
      </c>
      <c r="L2268" s="3" t="str">
        <f t="shared" si="229"/>
        <v>EXCELENTE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62</v>
      </c>
      <c r="C2269" t="s">
        <v>20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15</v>
      </c>
      <c r="K2269" s="3">
        <f>I2269-J2269</f>
        <v>-5</v>
      </c>
      <c r="L2269" s="3" t="str">
        <f t="shared" si="229"/>
        <v>ATENÇÃO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63</v>
      </c>
      <c r="C2270" t="s">
        <v>18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23</v>
      </c>
      <c r="K2270" s="3">
        <f>I2270-J2270</f>
        <v>3</v>
      </c>
      <c r="L2270" s="3" t="str">
        <f t="shared" si="229"/>
        <v>BOM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15</v>
      </c>
      <c r="C2271" t="s">
        <v>16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17</v>
      </c>
      <c r="K2271" s="3">
        <f>I2271-J2271</f>
        <v>-2</v>
      </c>
      <c r="L2271" s="3" t="str">
        <f t="shared" si="229"/>
        <v>ATENÇÃO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17</v>
      </c>
      <c r="C2272" t="s">
        <v>18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 t="shared" si="229"/>
        <v>BOM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19</v>
      </c>
      <c r="C2273" t="s">
        <v>20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14</v>
      </c>
      <c r="K2273" s="3">
        <f>I2273-J2273</f>
        <v>0</v>
      </c>
      <c r="L2273" s="3" t="str">
        <f t="shared" si="229"/>
        <v>BOM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21</v>
      </c>
      <c r="C2274" t="s">
        <v>18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21</v>
      </c>
      <c r="K2274" s="3">
        <f>I2274-J2274</f>
        <v>7</v>
      </c>
      <c r="L2274" s="3" t="str">
        <f t="shared" si="229"/>
        <v>EXCELENTE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22</v>
      </c>
      <c r="C2275" t="s">
        <v>23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 t="shared" si="229"/>
        <v>ATENÇÃO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24</v>
      </c>
      <c r="C2276" t="s">
        <v>16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17</v>
      </c>
      <c r="K2276" s="3">
        <f>I2276-J2276</f>
        <v>6</v>
      </c>
      <c r="L2276" s="3" t="str">
        <f t="shared" si="229"/>
        <v>EXCELENTE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25</v>
      </c>
      <c r="C2277" t="s">
        <v>16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17</v>
      </c>
      <c r="K2277" s="3">
        <f>I2277-J2277</f>
        <v>-6</v>
      </c>
      <c r="L2277" s="3" t="str">
        <f t="shared" si="229"/>
        <v>CRÍTICO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26</v>
      </c>
      <c r="C2278" t="s">
        <v>23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 t="shared" si="229"/>
        <v>BOM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27</v>
      </c>
      <c r="C2279" t="s">
        <v>20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14</v>
      </c>
      <c r="K2279" s="3">
        <f>I2279-J2279</f>
        <v>4</v>
      </c>
      <c r="L2279" s="3" t="str">
        <f t="shared" si="229"/>
        <v>BOM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28</v>
      </c>
      <c r="C2280" t="s">
        <v>18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21</v>
      </c>
      <c r="K2280" s="3">
        <f>I2280-J2280</f>
        <v>19</v>
      </c>
      <c r="L2280" s="3" t="str">
        <f t="shared" si="229"/>
        <v>EXCELENTE</v>
      </c>
      <c r="N2280">
        <v>93.48</v>
      </c>
      <c r="O2280">
        <v>31.334622823984521</v>
      </c>
    </row>
    <row r="2281" spans="1:15" hidden="1" x14ac:dyDescent="0.25">
      <c r="A2281" s="11">
        <v>46072</v>
      </c>
      <c r="B2281" t="s">
        <v>29</v>
      </c>
      <c r="C2281" t="s">
        <v>16</v>
      </c>
      <c r="D2281">
        <v>0</v>
      </c>
      <c r="E2281">
        <v>0</v>
      </c>
      <c r="F2281">
        <v>0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 t="shared" si="229"/>
        <v>BOM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30</v>
      </c>
      <c r="C2282" t="s">
        <v>20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14</v>
      </c>
      <c r="K2282" s="3">
        <f>I2282-J2282</f>
        <v>-1</v>
      </c>
      <c r="L2282" s="3" t="str">
        <f t="shared" si="229"/>
        <v>ATENÇÃO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31</v>
      </c>
      <c r="C2283" t="s">
        <v>18</v>
      </c>
      <c r="D2283">
        <v>0</v>
      </c>
      <c r="E2283">
        <v>0</v>
      </c>
      <c r="F2283">
        <v>0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 t="shared" si="229"/>
        <v>BOM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32</v>
      </c>
      <c r="C2284" t="s">
        <v>23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ref="I2284:I2292" si="230">E2284+G2284+H2284</f>
        <v>9</v>
      </c>
      <c r="J2284" s="3">
        <f t="shared" ref="J2284:J2292" si="231"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 t="shared" ref="K2284:K2292" si="232">I2284-J2284</f>
        <v>3</v>
      </c>
      <c r="L2284" s="3" t="str">
        <f t="shared" si="229"/>
        <v>BOM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33</v>
      </c>
      <c r="C2285" t="s">
        <v>16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230"/>
        <v>15</v>
      </c>
      <c r="J2285" s="3">
        <f t="shared" si="231"/>
        <v>17</v>
      </c>
      <c r="K2285" s="3">
        <f t="shared" si="232"/>
        <v>-2</v>
      </c>
      <c r="L2285" s="3" t="str">
        <f t="shared" si="229"/>
        <v>ATENÇÃO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34</v>
      </c>
      <c r="C2286" t="s">
        <v>18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230"/>
        <v>21</v>
      </c>
      <c r="J2286" s="3">
        <f t="shared" si="231"/>
        <v>21</v>
      </c>
      <c r="K2286" s="3">
        <f t="shared" si="232"/>
        <v>0</v>
      </c>
      <c r="L2286" s="3" t="str">
        <f t="shared" si="229"/>
        <v>BOM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35</v>
      </c>
      <c r="C2287" t="s">
        <v>16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230"/>
        <v>29</v>
      </c>
      <c r="J2287" s="3">
        <f t="shared" si="231"/>
        <v>17</v>
      </c>
      <c r="K2287" s="3">
        <f t="shared" si="232"/>
        <v>12</v>
      </c>
      <c r="L2287" s="3" t="str">
        <f t="shared" si="229"/>
        <v>EXCELENTE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36</v>
      </c>
      <c r="C2288" t="s">
        <v>20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230"/>
        <v>21</v>
      </c>
      <c r="J2288" s="3">
        <f t="shared" si="231"/>
        <v>15</v>
      </c>
      <c r="K2288" s="3">
        <f t="shared" si="232"/>
        <v>6</v>
      </c>
      <c r="L2288" s="3" t="str">
        <f t="shared" si="229"/>
        <v>EXCELENTE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37</v>
      </c>
      <c r="C2289" t="s">
        <v>16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230"/>
        <v>22</v>
      </c>
      <c r="J2289" s="3">
        <f t="shared" si="231"/>
        <v>17</v>
      </c>
      <c r="K2289" s="3">
        <f t="shared" si="232"/>
        <v>5</v>
      </c>
      <c r="L2289" s="3" t="str">
        <f t="shared" si="229"/>
        <v>BOM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38</v>
      </c>
      <c r="C2290" t="s">
        <v>18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230"/>
        <v>31</v>
      </c>
      <c r="J2290" s="3">
        <f t="shared" si="231"/>
        <v>21</v>
      </c>
      <c r="K2290" s="3">
        <f t="shared" si="232"/>
        <v>10</v>
      </c>
      <c r="L2290" s="3" t="str">
        <f t="shared" si="229"/>
        <v>EXCELENTE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39</v>
      </c>
      <c r="C2291" t="s">
        <v>18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230"/>
        <v>2</v>
      </c>
      <c r="J2291" s="3">
        <f t="shared" si="231"/>
        <v>21</v>
      </c>
      <c r="K2291" s="3">
        <f t="shared" si="232"/>
        <v>-19</v>
      </c>
      <c r="L2291" s="3" t="str">
        <f t="shared" si="229"/>
        <v>CRÍTICO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40</v>
      </c>
      <c r="C2292" t="s">
        <v>16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230"/>
        <v>14</v>
      </c>
      <c r="J2292" s="3">
        <f t="shared" si="231"/>
        <v>17</v>
      </c>
      <c r="K2292" s="3">
        <f t="shared" si="232"/>
        <v>-3</v>
      </c>
      <c r="L2292" s="3" t="str">
        <f t="shared" si="229"/>
        <v>ATENÇÃO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41</v>
      </c>
      <c r="C2293" t="s">
        <v>18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 t="shared" si="229"/>
        <v>BOM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42</v>
      </c>
      <c r="C2294" t="s">
        <v>43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12</v>
      </c>
      <c r="K2294" s="3">
        <f>I2294-J2294</f>
        <v>3</v>
      </c>
      <c r="L2294" s="3" t="str">
        <f t="shared" si="229"/>
        <v>BOM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44</v>
      </c>
      <c r="C2295" t="s">
        <v>18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21</v>
      </c>
      <c r="K2295" s="3">
        <f>I2295-J2295</f>
        <v>-4</v>
      </c>
      <c r="L2295" s="3" t="str">
        <f t="shared" si="229"/>
        <v>ATENÇÃO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45</v>
      </c>
      <c r="C2296" t="s">
        <v>43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 t="shared" si="229"/>
        <v>BOM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46</v>
      </c>
      <c r="C2297" t="s">
        <v>18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21</v>
      </c>
      <c r="K2297" s="3">
        <f>I2297-J2297</f>
        <v>6</v>
      </c>
      <c r="L2297" s="3" t="str">
        <f t="shared" si="229"/>
        <v>EXCELENTE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47</v>
      </c>
      <c r="C2298" t="s">
        <v>16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17</v>
      </c>
      <c r="K2298" s="3">
        <f>I2298-J2298</f>
        <v>8</v>
      </c>
      <c r="L2298" s="3" t="str">
        <f t="shared" si="229"/>
        <v>EXCELENTE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48</v>
      </c>
      <c r="C2299" t="s">
        <v>16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29"/>
        <v>BOM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49</v>
      </c>
      <c r="C2300" t="s">
        <v>18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 t="shared" si="229"/>
        <v>BOM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50</v>
      </c>
      <c r="C2301" t="s">
        <v>20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14</v>
      </c>
      <c r="K2301" s="3">
        <f>I2301-J2301</f>
        <v>1</v>
      </c>
      <c r="L2301" s="3" t="str">
        <f t="shared" si="229"/>
        <v>BOM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51</v>
      </c>
      <c r="C2302" t="s">
        <v>23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 t="shared" si="229"/>
        <v>BOM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52</v>
      </c>
      <c r="C2303" t="s">
        <v>18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21</v>
      </c>
      <c r="K2303" s="3">
        <f>I2303-J2303</f>
        <v>14</v>
      </c>
      <c r="L2303" s="3" t="str">
        <f t="shared" si="229"/>
        <v>EXCELENTE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53</v>
      </c>
      <c r="C2304" t="s">
        <v>18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21</v>
      </c>
      <c r="K2304" s="3">
        <f>I2304-J2304</f>
        <v>7</v>
      </c>
      <c r="L2304" s="3" t="str">
        <f t="shared" si="229"/>
        <v>EXCELENTE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54</v>
      </c>
      <c r="C2305" t="s">
        <v>23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 t="shared" si="229"/>
        <v>BOM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55</v>
      </c>
      <c r="C2306" t="s">
        <v>43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29"/>
        <v>BOM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56</v>
      </c>
      <c r="C2307" t="s">
        <v>16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29"/>
        <v>BOM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57</v>
      </c>
      <c r="C2308" t="s">
        <v>43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29"/>
        <v>BOM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58</v>
      </c>
      <c r="C2309" t="s">
        <v>43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29"/>
        <v>BOM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59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 t="shared" si="229"/>
        <v>BOM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60</v>
      </c>
      <c r="C2311" t="s">
        <v>20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14</v>
      </c>
      <c r="K2311" s="3">
        <f>I2311-J2311</f>
        <v>7</v>
      </c>
      <c r="L2311" s="3" t="str">
        <f t="shared" ref="L2311:L2374" si="233">IF(K2311&lt;-5,"CRÍTICO",IF(K2311&lt;0,"ATENÇÃO",IF(K2311&lt;=5,"BOM","EXCELENTE")))</f>
        <v>EXCELENTE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61</v>
      </c>
      <c r="C2312" t="s">
        <v>18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21</v>
      </c>
      <c r="K2312" s="3">
        <f>I2312-J2312</f>
        <v>5</v>
      </c>
      <c r="L2312" s="3" t="str">
        <f t="shared" si="233"/>
        <v>BOM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62</v>
      </c>
      <c r="C2313" t="s">
        <v>20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14</v>
      </c>
      <c r="K2313" s="3">
        <f>I2313-J2313</f>
        <v>-2</v>
      </c>
      <c r="L2313" s="3" t="str">
        <f t="shared" si="233"/>
        <v>ATENÇÃO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63</v>
      </c>
      <c r="C2314" t="s">
        <v>18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21</v>
      </c>
      <c r="K2314" s="3">
        <f>I2314-J2314</f>
        <v>12</v>
      </c>
      <c r="L2314" s="3" t="str">
        <f t="shared" si="233"/>
        <v>EXCELENTE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15</v>
      </c>
      <c r="C2315" t="s">
        <v>16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18</v>
      </c>
      <c r="K2315" s="3">
        <f>I2315-J2315</f>
        <v>0</v>
      </c>
      <c r="L2315" s="3" t="str">
        <f t="shared" si="233"/>
        <v>BOM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17</v>
      </c>
      <c r="C2316" t="s">
        <v>18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 t="shared" si="233"/>
        <v>BOM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19</v>
      </c>
      <c r="C2317" t="s">
        <v>20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14</v>
      </c>
      <c r="K2317" s="3">
        <f>I2317-J2317</f>
        <v>5</v>
      </c>
      <c r="L2317" s="3" t="str">
        <f t="shared" si="233"/>
        <v>BOM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21</v>
      </c>
      <c r="C2318" t="s">
        <v>18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22</v>
      </c>
      <c r="K2318" s="3">
        <f>I2318-J2318</f>
        <v>9</v>
      </c>
      <c r="L2318" s="3" t="str">
        <f t="shared" si="233"/>
        <v>EXCELENTE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22</v>
      </c>
      <c r="C2319" t="s">
        <v>23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6</v>
      </c>
      <c r="K2319" s="3">
        <f>I2319-J2319</f>
        <v>5</v>
      </c>
      <c r="L2319" s="3" t="str">
        <f t="shared" si="233"/>
        <v>BOM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24</v>
      </c>
      <c r="C2320" t="s">
        <v>16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18</v>
      </c>
      <c r="K2320" s="3">
        <f>I2320-J2320</f>
        <v>11</v>
      </c>
      <c r="L2320" s="3" t="str">
        <f t="shared" si="233"/>
        <v>EXCELENTE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25</v>
      </c>
      <c r="C2321" t="s">
        <v>16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18</v>
      </c>
      <c r="K2321" s="3">
        <f>I2321-J2321</f>
        <v>-2</v>
      </c>
      <c r="L2321" s="3" t="str">
        <f t="shared" si="233"/>
        <v>ATENÇÃO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26</v>
      </c>
      <c r="C2322" t="s">
        <v>23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 t="shared" si="233"/>
        <v>BOM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27</v>
      </c>
      <c r="C2323" t="s">
        <v>20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14</v>
      </c>
      <c r="K2323" s="3">
        <f>I2323-J2323</f>
        <v>4</v>
      </c>
      <c r="L2323" s="3" t="str">
        <f t="shared" si="233"/>
        <v>BOM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28</v>
      </c>
      <c r="C2324" t="s">
        <v>18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22</v>
      </c>
      <c r="K2324" s="3">
        <f>I2324-J2324</f>
        <v>12</v>
      </c>
      <c r="L2324" s="3" t="str">
        <f t="shared" si="233"/>
        <v>EXCELENTE</v>
      </c>
      <c r="N2324">
        <v>93.48</v>
      </c>
      <c r="O2324">
        <v>31.334622823984521</v>
      </c>
    </row>
    <row r="2325" spans="1:15" hidden="1" x14ac:dyDescent="0.25">
      <c r="A2325" s="11">
        <v>46073</v>
      </c>
      <c r="B2325" t="s">
        <v>29</v>
      </c>
      <c r="C2325" t="s">
        <v>16</v>
      </c>
      <c r="D2325">
        <v>0</v>
      </c>
      <c r="E2325">
        <v>0</v>
      </c>
      <c r="F2325">
        <v>0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 t="shared" si="233"/>
        <v>BOM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30</v>
      </c>
      <c r="C2326" t="s">
        <v>20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14</v>
      </c>
      <c r="K2326" s="3">
        <f>I2326-J2326</f>
        <v>7</v>
      </c>
      <c r="L2326" s="3" t="str">
        <f t="shared" si="233"/>
        <v>EXCELENTE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31</v>
      </c>
      <c r="C2327" t="s">
        <v>18</v>
      </c>
      <c r="D2327">
        <v>0</v>
      </c>
      <c r="E2327">
        <v>0</v>
      </c>
      <c r="F2327">
        <v>0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 t="shared" si="233"/>
        <v>BOM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32</v>
      </c>
      <c r="C2328" t="s">
        <v>23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ref="I2328:I2336" si="234">E2328+G2328+H2328</f>
        <v>7</v>
      </c>
      <c r="J2328" s="3">
        <f t="shared" ref="J2328:J2336" si="235"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6</v>
      </c>
      <c r="K2328" s="3">
        <f t="shared" ref="K2328:K2336" si="236">I2328-J2328</f>
        <v>1</v>
      </c>
      <c r="L2328" s="3" t="str">
        <f t="shared" si="233"/>
        <v>BOM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33</v>
      </c>
      <c r="C2329" t="s">
        <v>16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234"/>
        <v>19</v>
      </c>
      <c r="J2329" s="3">
        <f t="shared" si="235"/>
        <v>18</v>
      </c>
      <c r="K2329" s="3">
        <f t="shared" si="236"/>
        <v>1</v>
      </c>
      <c r="L2329" s="3" t="str">
        <f t="shared" si="233"/>
        <v>BOM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34</v>
      </c>
      <c r="C2330" t="s">
        <v>18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234"/>
        <v>22</v>
      </c>
      <c r="J2330" s="3">
        <f t="shared" si="235"/>
        <v>22</v>
      </c>
      <c r="K2330" s="3">
        <f t="shared" si="236"/>
        <v>0</v>
      </c>
      <c r="L2330" s="3" t="str">
        <f t="shared" si="233"/>
        <v>BOM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35</v>
      </c>
      <c r="C2331" t="s">
        <v>16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234"/>
        <v>29</v>
      </c>
      <c r="J2331" s="3">
        <f t="shared" si="235"/>
        <v>18</v>
      </c>
      <c r="K2331" s="3">
        <f t="shared" si="236"/>
        <v>11</v>
      </c>
      <c r="L2331" s="3" t="str">
        <f t="shared" si="233"/>
        <v>EXCELENTE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36</v>
      </c>
      <c r="C2332" t="s">
        <v>20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234"/>
        <v>27</v>
      </c>
      <c r="J2332" s="3">
        <f t="shared" si="235"/>
        <v>17</v>
      </c>
      <c r="K2332" s="3">
        <f t="shared" si="236"/>
        <v>10</v>
      </c>
      <c r="L2332" s="3" t="str">
        <f t="shared" si="233"/>
        <v>EXCELENTE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37</v>
      </c>
      <c r="C2333" t="s">
        <v>16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234"/>
        <v>28</v>
      </c>
      <c r="J2333" s="3">
        <f t="shared" si="235"/>
        <v>18</v>
      </c>
      <c r="K2333" s="3">
        <f t="shared" si="236"/>
        <v>10</v>
      </c>
      <c r="L2333" s="3" t="str">
        <f t="shared" si="233"/>
        <v>EXCELENTE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38</v>
      </c>
      <c r="C2334" t="s">
        <v>18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234"/>
        <v>30</v>
      </c>
      <c r="J2334" s="3">
        <f t="shared" si="235"/>
        <v>22</v>
      </c>
      <c r="K2334" s="3">
        <f t="shared" si="236"/>
        <v>8</v>
      </c>
      <c r="L2334" s="3" t="str">
        <f t="shared" si="233"/>
        <v>EXCELENTE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39</v>
      </c>
      <c r="C2335" t="s">
        <v>18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234"/>
        <v>24</v>
      </c>
      <c r="J2335" s="3">
        <f t="shared" si="235"/>
        <v>22</v>
      </c>
      <c r="K2335" s="3">
        <f t="shared" si="236"/>
        <v>2</v>
      </c>
      <c r="L2335" s="3" t="str">
        <f t="shared" si="233"/>
        <v>BOM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40</v>
      </c>
      <c r="C2336" t="s">
        <v>16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234"/>
        <v>20</v>
      </c>
      <c r="J2336" s="3">
        <f t="shared" si="235"/>
        <v>18</v>
      </c>
      <c r="K2336" s="3">
        <f t="shared" si="236"/>
        <v>2</v>
      </c>
      <c r="L2336" s="3" t="str">
        <f t="shared" si="233"/>
        <v>BOM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41</v>
      </c>
      <c r="C2337" t="s">
        <v>18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 t="shared" si="233"/>
        <v>BOM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42</v>
      </c>
      <c r="C2338" t="s">
        <v>43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 t="shared" si="233"/>
        <v>BOM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44</v>
      </c>
      <c r="C2339" t="s">
        <v>18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22</v>
      </c>
      <c r="K2339" s="3">
        <f>I2339-J2339</f>
        <v>-3</v>
      </c>
      <c r="L2339" s="3" t="str">
        <f t="shared" si="233"/>
        <v>ATENÇÃO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45</v>
      </c>
      <c r="C2340" t="s">
        <v>43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 t="shared" si="233"/>
        <v>BOM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46</v>
      </c>
      <c r="C2341" t="s">
        <v>18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22</v>
      </c>
      <c r="K2341" s="3">
        <f>I2341-J2341</f>
        <v>6</v>
      </c>
      <c r="L2341" s="3" t="str">
        <f t="shared" si="233"/>
        <v>EXCELENTE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47</v>
      </c>
      <c r="C2342" t="s">
        <v>16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18</v>
      </c>
      <c r="K2342" s="3">
        <f>I2342-J2342</f>
        <v>9</v>
      </c>
      <c r="L2342" s="3" t="str">
        <f t="shared" si="233"/>
        <v>EXCELENTE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48</v>
      </c>
      <c r="C2343" t="s">
        <v>16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33"/>
        <v>BOM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49</v>
      </c>
      <c r="C2344" t="s">
        <v>18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 t="shared" si="233"/>
        <v>BOM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50</v>
      </c>
      <c r="C2345" t="s">
        <v>20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14</v>
      </c>
      <c r="K2345" s="3">
        <f>I2345-J2345</f>
        <v>-5</v>
      </c>
      <c r="L2345" s="3" t="str">
        <f t="shared" si="233"/>
        <v>ATENÇÃO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51</v>
      </c>
      <c r="C2346" t="s">
        <v>23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6</v>
      </c>
      <c r="K2346" s="3">
        <f>I2346-J2346</f>
        <v>-2</v>
      </c>
      <c r="L2346" s="3" t="str">
        <f t="shared" si="233"/>
        <v>ATENÇÃO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52</v>
      </c>
      <c r="C2347" t="s">
        <v>18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22</v>
      </c>
      <c r="K2347" s="3">
        <f>I2347-J2347</f>
        <v>0</v>
      </c>
      <c r="L2347" s="3" t="str">
        <f t="shared" si="233"/>
        <v>BOM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53</v>
      </c>
      <c r="C2348" t="s">
        <v>18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22</v>
      </c>
      <c r="K2348" s="3">
        <f>I2348-J2348</f>
        <v>1</v>
      </c>
      <c r="L2348" s="3" t="str">
        <f t="shared" si="233"/>
        <v>BOM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54</v>
      </c>
      <c r="C2349" t="s">
        <v>23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6</v>
      </c>
      <c r="K2349" s="3">
        <f>I2349-J2349</f>
        <v>1</v>
      </c>
      <c r="L2349" s="3" t="str">
        <f t="shared" si="233"/>
        <v>BOM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55</v>
      </c>
      <c r="C2350" t="s">
        <v>43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33"/>
        <v>BOM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56</v>
      </c>
      <c r="C2351" t="s">
        <v>16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33"/>
        <v>BOM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57</v>
      </c>
      <c r="C2352" t="s">
        <v>43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33"/>
        <v>BOM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58</v>
      </c>
      <c r="C2353" t="s">
        <v>43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33"/>
        <v>BOM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59</v>
      </c>
      <c r="C2354" t="s">
        <v>23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 t="shared" si="233"/>
        <v>BOM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60</v>
      </c>
      <c r="C2355" t="s">
        <v>20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14</v>
      </c>
      <c r="K2355" s="3">
        <f>I2355-J2355</f>
        <v>5</v>
      </c>
      <c r="L2355" s="3" t="str">
        <f t="shared" si="233"/>
        <v>BOM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61</v>
      </c>
      <c r="C2356" t="s">
        <v>18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22</v>
      </c>
      <c r="K2356" s="3">
        <f>I2356-J2356</f>
        <v>10</v>
      </c>
      <c r="L2356" s="3" t="str">
        <f t="shared" si="233"/>
        <v>EXCELENTE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62</v>
      </c>
      <c r="C2357" t="s">
        <v>20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14</v>
      </c>
      <c r="K2357" s="3">
        <f>I2357-J2357</f>
        <v>-3</v>
      </c>
      <c r="L2357" s="3" t="str">
        <f t="shared" si="233"/>
        <v>ATENÇÃO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63</v>
      </c>
      <c r="C2358" t="s">
        <v>18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22</v>
      </c>
      <c r="K2358" s="3">
        <f>I2358-J2358</f>
        <v>-6</v>
      </c>
      <c r="L2358" s="3" t="str">
        <f t="shared" si="233"/>
        <v>CRÍTICO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15</v>
      </c>
      <c r="C2359" t="s">
        <v>16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17</v>
      </c>
      <c r="K2359" s="3">
        <f>I2359-J2359</f>
        <v>15</v>
      </c>
      <c r="L2359" s="3" t="str">
        <f t="shared" si="233"/>
        <v>EXCELENTE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17</v>
      </c>
      <c r="C2360" t="s">
        <v>18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 t="shared" si="233"/>
        <v>BOM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19</v>
      </c>
      <c r="C2361" t="s">
        <v>20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14</v>
      </c>
      <c r="K2361" s="3">
        <f>I2361-J2361</f>
        <v>13</v>
      </c>
      <c r="L2361" s="3" t="str">
        <f t="shared" si="233"/>
        <v>EXCELENTE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21</v>
      </c>
      <c r="C2362" t="s">
        <v>18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21</v>
      </c>
      <c r="K2362" s="3">
        <f>I2362-J2362</f>
        <v>1</v>
      </c>
      <c r="L2362" s="3" t="str">
        <f t="shared" si="233"/>
        <v>BOM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22</v>
      </c>
      <c r="C2363" t="s">
        <v>23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 t="shared" si="233"/>
        <v>BOM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24</v>
      </c>
      <c r="C2364" t="s">
        <v>16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17</v>
      </c>
      <c r="K2364" s="3">
        <f>I2364-J2364</f>
        <v>10</v>
      </c>
      <c r="L2364" s="3" t="str">
        <f t="shared" si="233"/>
        <v>EXCELENTE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25</v>
      </c>
      <c r="C2365" t="s">
        <v>16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17</v>
      </c>
      <c r="K2365" s="3">
        <f>I2365-J2365</f>
        <v>-3</v>
      </c>
      <c r="L2365" s="3" t="str">
        <f t="shared" si="233"/>
        <v>ATENÇÃO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26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33"/>
        <v>BOM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27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33"/>
        <v>BOM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28</v>
      </c>
      <c r="C2368" t="s">
        <v>18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33"/>
        <v>BOM</v>
      </c>
      <c r="N2368">
        <v>93.48</v>
      </c>
      <c r="O2368">
        <v>31.334622823984521</v>
      </c>
    </row>
    <row r="2369" spans="1:15" hidden="1" x14ac:dyDescent="0.25">
      <c r="A2369" s="11">
        <v>46076</v>
      </c>
      <c r="B2369" t="s">
        <v>29</v>
      </c>
      <c r="C2369" t="s">
        <v>16</v>
      </c>
      <c r="D2369">
        <v>0</v>
      </c>
      <c r="E2369">
        <v>0</v>
      </c>
      <c r="F2369">
        <v>0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 t="shared" si="233"/>
        <v>BOM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30</v>
      </c>
      <c r="C2370" t="s">
        <v>20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14</v>
      </c>
      <c r="K2370" s="3">
        <f>I2370-J2370</f>
        <v>5</v>
      </c>
      <c r="L2370" s="3" t="str">
        <f t="shared" si="233"/>
        <v>BOM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31</v>
      </c>
      <c r="C2371" t="s">
        <v>18</v>
      </c>
      <c r="D2371">
        <v>0</v>
      </c>
      <c r="E2371">
        <v>0</v>
      </c>
      <c r="F2371">
        <v>0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 t="shared" si="233"/>
        <v>BOM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32</v>
      </c>
      <c r="C2372" t="s">
        <v>23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ref="I2372:I2380" si="237">E2372+G2372+H2372</f>
        <v>8</v>
      </c>
      <c r="J2372" s="3">
        <f t="shared" ref="J2372:J2380" si="238"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 t="shared" ref="K2372:K2380" si="239">I2372-J2372</f>
        <v>2</v>
      </c>
      <c r="L2372" s="3" t="str">
        <f t="shared" si="233"/>
        <v>BOM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33</v>
      </c>
      <c r="C2373" t="s">
        <v>16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237"/>
        <v>20</v>
      </c>
      <c r="J2373" s="3">
        <f t="shared" si="238"/>
        <v>17</v>
      </c>
      <c r="K2373" s="3">
        <f t="shared" si="239"/>
        <v>3</v>
      </c>
      <c r="L2373" s="3" t="str">
        <f t="shared" si="233"/>
        <v>BOM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34</v>
      </c>
      <c r="C2374" t="s">
        <v>18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237"/>
        <v>30</v>
      </c>
      <c r="J2374" s="3">
        <f t="shared" si="238"/>
        <v>21</v>
      </c>
      <c r="K2374" s="3">
        <f t="shared" si="239"/>
        <v>9</v>
      </c>
      <c r="L2374" s="3" t="str">
        <f t="shared" si="233"/>
        <v>EXCELENTE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35</v>
      </c>
      <c r="C2375" t="s">
        <v>16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237"/>
        <v>25</v>
      </c>
      <c r="J2375" s="3">
        <f t="shared" si="238"/>
        <v>17</v>
      </c>
      <c r="K2375" s="3">
        <f t="shared" si="239"/>
        <v>8</v>
      </c>
      <c r="L2375" s="3" t="str">
        <f t="shared" ref="L2375:L2438" si="240">IF(K2375&lt;-5,"CRÍTICO",IF(K2375&lt;0,"ATENÇÃO",IF(K2375&lt;=5,"BOM","EXCELENTE")))</f>
        <v>EXCELENTE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36</v>
      </c>
      <c r="C2376" t="s">
        <v>20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237"/>
        <v>28</v>
      </c>
      <c r="J2376" s="3">
        <f t="shared" si="238"/>
        <v>16</v>
      </c>
      <c r="K2376" s="3">
        <f t="shared" si="239"/>
        <v>12</v>
      </c>
      <c r="L2376" s="3" t="str">
        <f t="shared" si="240"/>
        <v>EXCELENTE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37</v>
      </c>
      <c r="C2377" t="s">
        <v>16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237"/>
        <v>33</v>
      </c>
      <c r="J2377" s="3">
        <f t="shared" si="238"/>
        <v>17</v>
      </c>
      <c r="K2377" s="3">
        <f t="shared" si="239"/>
        <v>16</v>
      </c>
      <c r="L2377" s="3" t="str">
        <f t="shared" si="240"/>
        <v>EXCELENTE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38</v>
      </c>
      <c r="C2378" t="s">
        <v>18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237"/>
        <v>36</v>
      </c>
      <c r="J2378" s="3">
        <f t="shared" si="238"/>
        <v>21</v>
      </c>
      <c r="K2378" s="3">
        <f t="shared" si="239"/>
        <v>15</v>
      </c>
      <c r="L2378" s="3" t="str">
        <f t="shared" si="240"/>
        <v>EXCELENTE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39</v>
      </c>
      <c r="C2379" t="s">
        <v>18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237"/>
        <v>20</v>
      </c>
      <c r="J2379" s="3">
        <f t="shared" si="238"/>
        <v>21</v>
      </c>
      <c r="K2379" s="3">
        <f t="shared" si="239"/>
        <v>-1</v>
      </c>
      <c r="L2379" s="3" t="str">
        <f t="shared" si="240"/>
        <v>ATENÇÃO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40</v>
      </c>
      <c r="C2380" t="s">
        <v>16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237"/>
        <v>28</v>
      </c>
      <c r="J2380" s="3">
        <f t="shared" si="238"/>
        <v>17</v>
      </c>
      <c r="K2380" s="3">
        <f t="shared" si="239"/>
        <v>11</v>
      </c>
      <c r="L2380" s="3" t="str">
        <f t="shared" si="240"/>
        <v>EXCELENTE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41</v>
      </c>
      <c r="C2381" t="s">
        <v>18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 t="shared" si="240"/>
        <v>BOM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42</v>
      </c>
      <c r="C2382" t="s">
        <v>43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12</v>
      </c>
      <c r="K2382" s="3">
        <f>I2382-J2382</f>
        <v>-1</v>
      </c>
      <c r="L2382" s="3" t="str">
        <f t="shared" si="240"/>
        <v>ATENÇÃO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44</v>
      </c>
      <c r="C2383" t="s">
        <v>18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21</v>
      </c>
      <c r="K2383" s="3">
        <f>I2383-J2383</f>
        <v>-3</v>
      </c>
      <c r="L2383" s="3" t="str">
        <f t="shared" si="240"/>
        <v>ATENÇÃO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45</v>
      </c>
      <c r="C2384" t="s">
        <v>43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 t="shared" si="240"/>
        <v>BOM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46</v>
      </c>
      <c r="C2385" t="s">
        <v>18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21</v>
      </c>
      <c r="K2385" s="3">
        <f>I2385-J2385</f>
        <v>-2</v>
      </c>
      <c r="L2385" s="3" t="str">
        <f t="shared" si="240"/>
        <v>ATENÇÃO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47</v>
      </c>
      <c r="C2386" t="s">
        <v>16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17</v>
      </c>
      <c r="K2386" s="3">
        <f>I2386-J2386</f>
        <v>10</v>
      </c>
      <c r="L2386" s="3" t="str">
        <f t="shared" si="240"/>
        <v>EXCELENTE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48</v>
      </c>
      <c r="C2387" t="s">
        <v>16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40"/>
        <v>BOM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49</v>
      </c>
      <c r="C2388" t="s">
        <v>18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 t="shared" si="240"/>
        <v>BOM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50</v>
      </c>
      <c r="C2389" t="s">
        <v>20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14</v>
      </c>
      <c r="K2389" s="3">
        <f>I2389-J2389</f>
        <v>-5</v>
      </c>
      <c r="L2389" s="3" t="str">
        <f t="shared" si="240"/>
        <v>ATENÇÃO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51</v>
      </c>
      <c r="C2390" t="s">
        <v>23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 t="shared" si="240"/>
        <v>BOM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52</v>
      </c>
      <c r="C2391" t="s">
        <v>18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21</v>
      </c>
      <c r="K2391" s="3">
        <f>I2391-J2391</f>
        <v>2</v>
      </c>
      <c r="L2391" s="3" t="str">
        <f t="shared" si="240"/>
        <v>BOM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53</v>
      </c>
      <c r="C2392" t="s">
        <v>18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21</v>
      </c>
      <c r="K2392" s="3">
        <f>I2392-J2392</f>
        <v>8</v>
      </c>
      <c r="L2392" s="3" t="str">
        <f t="shared" si="240"/>
        <v>EXCELENTE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54</v>
      </c>
      <c r="C2393" t="s">
        <v>23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 t="shared" si="240"/>
        <v>BOM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55</v>
      </c>
      <c r="C2394" t="s">
        <v>43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40"/>
        <v>BOM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56</v>
      </c>
      <c r="C2395" t="s">
        <v>16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40"/>
        <v>BOM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57</v>
      </c>
      <c r="C2396" t="s">
        <v>43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40"/>
        <v>BOM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58</v>
      </c>
      <c r="C2397" t="s">
        <v>43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40"/>
        <v>BOM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59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40"/>
        <v>BOM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60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 t="shared" si="240"/>
        <v>BOM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61</v>
      </c>
      <c r="C2400" t="s">
        <v>18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21</v>
      </c>
      <c r="K2400" s="3">
        <f>I2400-J2400</f>
        <v>7</v>
      </c>
      <c r="L2400" s="3" t="str">
        <f t="shared" si="240"/>
        <v>EXCELENTE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62</v>
      </c>
      <c r="C2401" t="s">
        <v>20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14</v>
      </c>
      <c r="K2401" s="3">
        <f>I2401-J2401</f>
        <v>-3</v>
      </c>
      <c r="L2401" s="3" t="str">
        <f t="shared" si="240"/>
        <v>ATENÇÃO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63</v>
      </c>
      <c r="C2402" t="s">
        <v>18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21</v>
      </c>
      <c r="K2402" s="3">
        <f>I2402-J2402</f>
        <v>7</v>
      </c>
      <c r="L2402" s="3" t="str">
        <f t="shared" si="240"/>
        <v>EXCELENTE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15</v>
      </c>
      <c r="C2403" t="s">
        <v>16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15</v>
      </c>
      <c r="K2403" s="3">
        <f>I2403-J2403</f>
        <v>4</v>
      </c>
      <c r="L2403" s="3" t="str">
        <f t="shared" si="240"/>
        <v>BOM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17</v>
      </c>
      <c r="C2404" t="s">
        <v>18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 t="shared" si="240"/>
        <v>BOM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19</v>
      </c>
      <c r="C2405" t="s">
        <v>20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12</v>
      </c>
      <c r="K2405" s="3">
        <f>I2405-J2405</f>
        <v>5</v>
      </c>
      <c r="L2405" s="3" t="str">
        <f t="shared" si="240"/>
        <v>BOM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21</v>
      </c>
      <c r="C2406" t="s">
        <v>18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19</v>
      </c>
      <c r="K2406" s="3">
        <f>I2406-J2406</f>
        <v>-2</v>
      </c>
      <c r="L2406" s="3" t="str">
        <f t="shared" si="240"/>
        <v>ATENÇÃO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22</v>
      </c>
      <c r="C2407" t="s">
        <v>23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5</v>
      </c>
      <c r="K2407" s="3">
        <f>I2407-J2407</f>
        <v>10</v>
      </c>
      <c r="L2407" s="3" t="str">
        <f t="shared" si="240"/>
        <v>EXCELENTE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24</v>
      </c>
      <c r="C2408" t="s">
        <v>16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15</v>
      </c>
      <c r="K2408" s="3">
        <f>I2408-J2408</f>
        <v>2</v>
      </c>
      <c r="L2408" s="3" t="str">
        <f t="shared" si="240"/>
        <v>BOM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25</v>
      </c>
      <c r="C2409" t="s">
        <v>16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15</v>
      </c>
      <c r="K2409" s="3">
        <f>I2409-J2409</f>
        <v>-10</v>
      </c>
      <c r="L2409" s="3" t="str">
        <f t="shared" si="240"/>
        <v>CRÍTICO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26</v>
      </c>
      <c r="C2410" t="s">
        <v>23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 t="shared" si="240"/>
        <v>BOM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27</v>
      </c>
      <c r="C2411" t="s">
        <v>20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12</v>
      </c>
      <c r="K2411" s="3">
        <f>I2411-J2411</f>
        <v>11</v>
      </c>
      <c r="L2411" s="3" t="str">
        <f t="shared" si="240"/>
        <v>EXCELENTE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28</v>
      </c>
      <c r="C2412" t="s">
        <v>18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40"/>
        <v>BOM</v>
      </c>
      <c r="N2412">
        <v>93.48</v>
      </c>
      <c r="O2412">
        <v>31.334622823984521</v>
      </c>
    </row>
    <row r="2413" spans="1:15" hidden="1" x14ac:dyDescent="0.25">
      <c r="A2413" s="11">
        <v>46077</v>
      </c>
      <c r="B2413" t="s">
        <v>29</v>
      </c>
      <c r="C2413" t="s">
        <v>16</v>
      </c>
      <c r="D2413">
        <v>0</v>
      </c>
      <c r="E2413">
        <v>0</v>
      </c>
      <c r="F2413">
        <v>0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 t="shared" si="240"/>
        <v>BOM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30</v>
      </c>
      <c r="C2414" t="s">
        <v>20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12</v>
      </c>
      <c r="K2414" s="3">
        <f>I2414-J2414</f>
        <v>5</v>
      </c>
      <c r="L2414" s="3" t="str">
        <f t="shared" si="240"/>
        <v>BOM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31</v>
      </c>
      <c r="C2415" t="s">
        <v>18</v>
      </c>
      <c r="D2415">
        <v>0</v>
      </c>
      <c r="E2415">
        <v>0</v>
      </c>
      <c r="F2415">
        <v>0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 t="shared" si="240"/>
        <v>BOM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32</v>
      </c>
      <c r="C2416" t="s">
        <v>23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ref="I2416:I2424" si="241">E2416+G2416+H2416</f>
        <v>8</v>
      </c>
      <c r="J2416" s="3">
        <f t="shared" ref="J2416:J2424" si="242"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5</v>
      </c>
      <c r="K2416" s="3">
        <f t="shared" ref="K2416:K2424" si="243">I2416-J2416</f>
        <v>3</v>
      </c>
      <c r="L2416" s="3" t="str">
        <f t="shared" si="240"/>
        <v>BOM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33</v>
      </c>
      <c r="C2417" t="s">
        <v>16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241"/>
        <v>12</v>
      </c>
      <c r="J2417" s="3">
        <f t="shared" si="242"/>
        <v>15</v>
      </c>
      <c r="K2417" s="3">
        <f t="shared" si="243"/>
        <v>-3</v>
      </c>
      <c r="L2417" s="3" t="str">
        <f t="shared" si="240"/>
        <v>ATENÇÃO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34</v>
      </c>
      <c r="C2418" t="s">
        <v>18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241"/>
        <v>26</v>
      </c>
      <c r="J2418" s="3">
        <f t="shared" si="242"/>
        <v>19</v>
      </c>
      <c r="K2418" s="3">
        <f t="shared" si="243"/>
        <v>7</v>
      </c>
      <c r="L2418" s="3" t="str">
        <f t="shared" si="240"/>
        <v>EXCELENTE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35</v>
      </c>
      <c r="C2419" t="s">
        <v>16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241"/>
        <v>30</v>
      </c>
      <c r="J2419" s="3">
        <f t="shared" si="242"/>
        <v>15</v>
      </c>
      <c r="K2419" s="3">
        <f t="shared" si="243"/>
        <v>15</v>
      </c>
      <c r="L2419" s="3" t="str">
        <f t="shared" si="240"/>
        <v>EXCELENTE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36</v>
      </c>
      <c r="C2420" t="s">
        <v>20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241"/>
        <v>25</v>
      </c>
      <c r="J2420" s="3">
        <f t="shared" si="242"/>
        <v>16</v>
      </c>
      <c r="K2420" s="3">
        <f t="shared" si="243"/>
        <v>9</v>
      </c>
      <c r="L2420" s="3" t="str">
        <f t="shared" si="240"/>
        <v>EXCELENTE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37</v>
      </c>
      <c r="C2421" t="s">
        <v>16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241"/>
        <v>19</v>
      </c>
      <c r="J2421" s="3">
        <f t="shared" si="242"/>
        <v>15</v>
      </c>
      <c r="K2421" s="3">
        <f t="shared" si="243"/>
        <v>4</v>
      </c>
      <c r="L2421" s="3" t="str">
        <f t="shared" si="240"/>
        <v>BOM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38</v>
      </c>
      <c r="C2422" t="s">
        <v>18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241"/>
        <v>35</v>
      </c>
      <c r="J2422" s="3">
        <f t="shared" si="242"/>
        <v>19</v>
      </c>
      <c r="K2422" s="3">
        <f t="shared" si="243"/>
        <v>16</v>
      </c>
      <c r="L2422" s="3" t="str">
        <f t="shared" si="240"/>
        <v>EXCELENTE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39</v>
      </c>
      <c r="C2423" t="s">
        <v>18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241"/>
        <v>24</v>
      </c>
      <c r="J2423" s="3">
        <f t="shared" si="242"/>
        <v>19</v>
      </c>
      <c r="K2423" s="3">
        <f t="shared" si="243"/>
        <v>5</v>
      </c>
      <c r="L2423" s="3" t="str">
        <f t="shared" si="240"/>
        <v>BOM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40</v>
      </c>
      <c r="C2424" t="s">
        <v>16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241"/>
        <v>8</v>
      </c>
      <c r="J2424" s="3">
        <f t="shared" si="242"/>
        <v>15</v>
      </c>
      <c r="K2424" s="3">
        <f t="shared" si="243"/>
        <v>-7</v>
      </c>
      <c r="L2424" s="3" t="str">
        <f t="shared" si="240"/>
        <v>CRÍTICO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41</v>
      </c>
      <c r="C2425" t="s">
        <v>18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 t="shared" si="240"/>
        <v>BOM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42</v>
      </c>
      <c r="C2426" t="s">
        <v>43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11</v>
      </c>
      <c r="K2426" s="3">
        <f>I2426-J2426</f>
        <v>4</v>
      </c>
      <c r="L2426" s="3" t="str">
        <f t="shared" si="240"/>
        <v>BOM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44</v>
      </c>
      <c r="C2427" t="s">
        <v>18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19</v>
      </c>
      <c r="K2427" s="3">
        <f>I2427-J2427</f>
        <v>-16</v>
      </c>
      <c r="L2427" s="3" t="str">
        <f t="shared" si="240"/>
        <v>CRÍTICO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45</v>
      </c>
      <c r="C2428" t="s">
        <v>43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 t="shared" si="240"/>
        <v>BOM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46</v>
      </c>
      <c r="C2429" t="s">
        <v>18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19</v>
      </c>
      <c r="K2429" s="3">
        <f>I2429-J2429</f>
        <v>1</v>
      </c>
      <c r="L2429" s="3" t="str">
        <f t="shared" si="240"/>
        <v>BOM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47</v>
      </c>
      <c r="C2430" t="s">
        <v>16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15</v>
      </c>
      <c r="K2430" s="3">
        <f>I2430-J2430</f>
        <v>12</v>
      </c>
      <c r="L2430" s="3" t="str">
        <f t="shared" si="240"/>
        <v>EXCELENTE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48</v>
      </c>
      <c r="C2431" t="s">
        <v>16</v>
      </c>
      <c r="D2431">
        <v>0</v>
      </c>
      <c r="E2431">
        <v>0</v>
      </c>
      <c r="F2431">
        <v>0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 t="shared" si="240"/>
        <v>BOM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49</v>
      </c>
      <c r="C2432" t="s">
        <v>18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ref="I2432:I2437" si="244">E2432+G2432+H2432</f>
        <v>37</v>
      </c>
      <c r="J2432" s="3">
        <f t="shared" ref="J2432:J2437" si="245"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19</v>
      </c>
      <c r="K2432" s="3">
        <f t="shared" ref="K2432:K2437" si="246">I2432-J2432</f>
        <v>18</v>
      </c>
      <c r="L2432" s="3" t="str">
        <f t="shared" si="240"/>
        <v>EXCELENTE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50</v>
      </c>
      <c r="C2433" t="s">
        <v>20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244"/>
        <v>15</v>
      </c>
      <c r="J2433" s="3">
        <f t="shared" si="245"/>
        <v>12</v>
      </c>
      <c r="K2433" s="3">
        <f t="shared" si="246"/>
        <v>3</v>
      </c>
      <c r="L2433" s="3" t="str">
        <f t="shared" si="240"/>
        <v>BOM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51</v>
      </c>
      <c r="C2434" t="s">
        <v>23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244"/>
        <v>5</v>
      </c>
      <c r="J2434" s="3">
        <f t="shared" si="245"/>
        <v>5</v>
      </c>
      <c r="K2434" s="3">
        <f t="shared" si="246"/>
        <v>0</v>
      </c>
      <c r="L2434" s="3" t="str">
        <f t="shared" si="240"/>
        <v>BOM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52</v>
      </c>
      <c r="C2435" t="s">
        <v>18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244"/>
        <v>22</v>
      </c>
      <c r="J2435" s="3">
        <f t="shared" si="245"/>
        <v>19</v>
      </c>
      <c r="K2435" s="3">
        <f t="shared" si="246"/>
        <v>3</v>
      </c>
      <c r="L2435" s="3" t="str">
        <f t="shared" si="240"/>
        <v>BOM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53</v>
      </c>
      <c r="C2436" t="s">
        <v>18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244"/>
        <v>33</v>
      </c>
      <c r="J2436" s="3">
        <f t="shared" si="245"/>
        <v>19</v>
      </c>
      <c r="K2436" s="3">
        <f t="shared" si="246"/>
        <v>14</v>
      </c>
      <c r="L2436" s="3" t="str">
        <f t="shared" si="240"/>
        <v>EXCELENTE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54</v>
      </c>
      <c r="C2437" t="s">
        <v>23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244"/>
        <v>14</v>
      </c>
      <c r="J2437" s="3">
        <f t="shared" si="245"/>
        <v>5</v>
      </c>
      <c r="K2437" s="3">
        <f t="shared" si="246"/>
        <v>9</v>
      </c>
      <c r="L2437" s="3" t="str">
        <f t="shared" si="240"/>
        <v>EXCELENTE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55</v>
      </c>
      <c r="C2438" t="s">
        <v>43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si="240"/>
        <v>BOM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56</v>
      </c>
      <c r="C2439" t="s">
        <v>16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ref="L2439:L2502" si="247">IF(K2439&lt;-5,"CRÍTICO",IF(K2439&lt;0,"ATENÇÃO",IF(K2439&lt;=5,"BOM","EXCELENTE")))</f>
        <v>BOM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57</v>
      </c>
      <c r="C2440" t="s">
        <v>43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47"/>
        <v>BOM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58</v>
      </c>
      <c r="C2441" t="s">
        <v>43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47"/>
        <v>BOM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59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47"/>
        <v>BOM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60</v>
      </c>
      <c r="C2443" t="s">
        <v>20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 t="shared" si="247"/>
        <v>BOM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61</v>
      </c>
      <c r="C2444" t="s">
        <v>18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19</v>
      </c>
      <c r="K2444" s="3">
        <f>I2444-J2444</f>
        <v>13</v>
      </c>
      <c r="L2444" s="3" t="str">
        <f t="shared" si="247"/>
        <v>EXCELENTE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62</v>
      </c>
      <c r="C2445" t="s">
        <v>20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12</v>
      </c>
      <c r="K2445" s="3">
        <f>I2445-J2445</f>
        <v>-5</v>
      </c>
      <c r="L2445" s="3" t="str">
        <f t="shared" si="247"/>
        <v>ATENÇÃO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63</v>
      </c>
      <c r="C2446" t="s">
        <v>18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19</v>
      </c>
      <c r="K2446" s="3">
        <f>I2446-J2446</f>
        <v>1</v>
      </c>
      <c r="L2446" s="3" t="str">
        <f t="shared" si="247"/>
        <v>BOM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15</v>
      </c>
      <c r="C2447" t="s">
        <v>16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15</v>
      </c>
      <c r="K2447" s="3">
        <f>I2447-J2447</f>
        <v>-9</v>
      </c>
      <c r="L2447" s="3" t="str">
        <f t="shared" si="247"/>
        <v>CRÍTICO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17</v>
      </c>
      <c r="C2448" t="s">
        <v>18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 t="shared" si="247"/>
        <v>BOM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19</v>
      </c>
      <c r="C2449" t="s">
        <v>20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12</v>
      </c>
      <c r="K2449" s="3">
        <f>I2449-J2449</f>
        <v>15</v>
      </c>
      <c r="L2449" s="3" t="str">
        <f t="shared" si="247"/>
        <v>EXCELENTE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21</v>
      </c>
      <c r="C2450" t="s">
        <v>18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18</v>
      </c>
      <c r="K2450" s="3">
        <f>I2450-J2450</f>
        <v>-1</v>
      </c>
      <c r="L2450" s="3" t="str">
        <f t="shared" si="247"/>
        <v>ATENÇÃO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22</v>
      </c>
      <c r="C2451" t="s">
        <v>23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5</v>
      </c>
      <c r="K2451" s="3">
        <f>I2451-J2451</f>
        <v>7</v>
      </c>
      <c r="L2451" s="3" t="str">
        <f t="shared" si="247"/>
        <v>EXCELENTE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24</v>
      </c>
      <c r="C2452" t="s">
        <v>16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15</v>
      </c>
      <c r="K2452" s="3">
        <f>I2452-J2452</f>
        <v>14</v>
      </c>
      <c r="L2452" s="3" t="str">
        <f t="shared" si="247"/>
        <v>EXCELENTE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25</v>
      </c>
      <c r="C2453" t="s">
        <v>16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15</v>
      </c>
      <c r="K2453" s="3">
        <f>I2453-J2453</f>
        <v>-5</v>
      </c>
      <c r="L2453" s="3" t="str">
        <f t="shared" si="247"/>
        <v>ATENÇÃO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26</v>
      </c>
      <c r="C2454" t="s">
        <v>23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 t="shared" si="247"/>
        <v>BOM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27</v>
      </c>
      <c r="C2455" t="s">
        <v>20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12</v>
      </c>
      <c r="K2455" s="3">
        <f>I2455-J2455</f>
        <v>2</v>
      </c>
      <c r="L2455" s="3" t="str">
        <f t="shared" si="247"/>
        <v>BOM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28</v>
      </c>
      <c r="C2456" t="s">
        <v>18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18</v>
      </c>
      <c r="K2456" s="3">
        <f>I2456-J2456</f>
        <v>3</v>
      </c>
      <c r="L2456" s="3" t="str">
        <f t="shared" si="247"/>
        <v>BOM</v>
      </c>
      <c r="N2456">
        <v>93.48</v>
      </c>
      <c r="O2456">
        <v>31.334622823984521</v>
      </c>
    </row>
    <row r="2457" spans="1:15" hidden="1" x14ac:dyDescent="0.25">
      <c r="A2457" s="11">
        <v>46078</v>
      </c>
      <c r="B2457" t="s">
        <v>29</v>
      </c>
      <c r="C2457" t="s">
        <v>16</v>
      </c>
      <c r="D2457">
        <v>0</v>
      </c>
      <c r="E2457">
        <v>0</v>
      </c>
      <c r="F2457">
        <v>0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 t="shared" si="247"/>
        <v>BOM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30</v>
      </c>
      <c r="C2458" t="s">
        <v>20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12</v>
      </c>
      <c r="K2458" s="3">
        <f>I2458-J2458</f>
        <v>2</v>
      </c>
      <c r="L2458" s="3" t="str">
        <f t="shared" si="247"/>
        <v>BOM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31</v>
      </c>
      <c r="C2459" t="s">
        <v>18</v>
      </c>
      <c r="D2459">
        <v>0</v>
      </c>
      <c r="E2459">
        <v>0</v>
      </c>
      <c r="F2459">
        <v>0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 t="shared" si="247"/>
        <v>BOM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32</v>
      </c>
      <c r="C2460" t="s">
        <v>23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ref="I2460:I2467" si="248">E2460+G2460+H2460</f>
        <v>10</v>
      </c>
      <c r="J2460" s="3">
        <f t="shared" ref="J2460:J2467" si="249"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5</v>
      </c>
      <c r="K2460" s="3">
        <f t="shared" ref="K2460:K2467" si="250">I2460-J2460</f>
        <v>5</v>
      </c>
      <c r="L2460" s="3" t="str">
        <f t="shared" si="247"/>
        <v>BOM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33</v>
      </c>
      <c r="C2461" t="s">
        <v>16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248"/>
        <v>17</v>
      </c>
      <c r="J2461" s="3">
        <f t="shared" si="249"/>
        <v>15</v>
      </c>
      <c r="K2461" s="3">
        <f t="shared" si="250"/>
        <v>2</v>
      </c>
      <c r="L2461" s="3" t="str">
        <f t="shared" si="247"/>
        <v>BOM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34</v>
      </c>
      <c r="C2462" t="s">
        <v>18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248"/>
        <v>18</v>
      </c>
      <c r="J2462" s="3">
        <f t="shared" si="249"/>
        <v>18</v>
      </c>
      <c r="K2462" s="3">
        <f t="shared" si="250"/>
        <v>0</v>
      </c>
      <c r="L2462" s="3" t="str">
        <f t="shared" si="247"/>
        <v>BOM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35</v>
      </c>
      <c r="C2463" t="s">
        <v>16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248"/>
        <v>21</v>
      </c>
      <c r="J2463" s="3">
        <f t="shared" si="249"/>
        <v>15</v>
      </c>
      <c r="K2463" s="3">
        <f t="shared" si="250"/>
        <v>6</v>
      </c>
      <c r="L2463" s="3" t="str">
        <f t="shared" si="247"/>
        <v>EXCELENTE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36</v>
      </c>
      <c r="C2464" t="s">
        <v>20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248"/>
        <v>27</v>
      </c>
      <c r="J2464" s="3">
        <f t="shared" si="249"/>
        <v>18</v>
      </c>
      <c r="K2464" s="3">
        <f t="shared" si="250"/>
        <v>9</v>
      </c>
      <c r="L2464" s="3" t="str">
        <f t="shared" si="247"/>
        <v>EXCELENTE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37</v>
      </c>
      <c r="C2465" t="s">
        <v>16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248"/>
        <v>19</v>
      </c>
      <c r="J2465" s="3">
        <f t="shared" si="249"/>
        <v>15</v>
      </c>
      <c r="K2465" s="3">
        <f t="shared" si="250"/>
        <v>4</v>
      </c>
      <c r="L2465" s="3" t="str">
        <f t="shared" si="247"/>
        <v>BOM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38</v>
      </c>
      <c r="C2466" t="s">
        <v>18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248"/>
        <v>35</v>
      </c>
      <c r="J2466" s="3">
        <f t="shared" si="249"/>
        <v>18</v>
      </c>
      <c r="K2466" s="3">
        <f t="shared" si="250"/>
        <v>17</v>
      </c>
      <c r="L2466" s="3" t="str">
        <f t="shared" si="247"/>
        <v>EXCELENTE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39</v>
      </c>
      <c r="C2467" t="s">
        <v>18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si="248"/>
        <v>17</v>
      </c>
      <c r="J2467" s="3">
        <f t="shared" si="249"/>
        <v>18</v>
      </c>
      <c r="K2467" s="3">
        <f t="shared" si="250"/>
        <v>-1</v>
      </c>
      <c r="L2467" s="3" t="str">
        <f t="shared" si="247"/>
        <v>ATENÇÃO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40</v>
      </c>
      <c r="C2468" t="s">
        <v>16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47"/>
        <v>BOM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41</v>
      </c>
      <c r="C2469" t="s">
        <v>18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 t="shared" si="247"/>
        <v>BOM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42</v>
      </c>
      <c r="C2470" t="s">
        <v>43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 t="shared" si="247"/>
        <v>ATENÇÃO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44</v>
      </c>
      <c r="C2471" t="s">
        <v>18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47"/>
        <v>BOM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45</v>
      </c>
      <c r="C2472" t="s">
        <v>43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 t="shared" si="247"/>
        <v>BOM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46</v>
      </c>
      <c r="C2473" t="s">
        <v>18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18</v>
      </c>
      <c r="K2473" s="3">
        <f>I2473-J2473</f>
        <v>-1</v>
      </c>
      <c r="L2473" s="3" t="str">
        <f t="shared" si="247"/>
        <v>ATENÇÃO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47</v>
      </c>
      <c r="C2474" t="s">
        <v>16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15</v>
      </c>
      <c r="K2474" s="3">
        <f>I2474-J2474</f>
        <v>12</v>
      </c>
      <c r="L2474" s="3" t="str">
        <f t="shared" si="247"/>
        <v>EXCELENTE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48</v>
      </c>
      <c r="C2475" t="s">
        <v>16</v>
      </c>
      <c r="D2475">
        <v>0</v>
      </c>
      <c r="E2475">
        <v>0</v>
      </c>
      <c r="F2475">
        <v>0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 t="shared" si="247"/>
        <v>BOM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49</v>
      </c>
      <c r="C2476" t="s">
        <v>18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ref="I2476:I2481" si="251">E2476+G2476+H2476</f>
        <v>44</v>
      </c>
      <c r="J2476" s="3">
        <f t="shared" ref="J2476:J2481" si="252"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18</v>
      </c>
      <c r="K2476" s="3">
        <f t="shared" ref="K2476:K2481" si="253">I2476-J2476</f>
        <v>26</v>
      </c>
      <c r="L2476" s="3" t="str">
        <f t="shared" si="247"/>
        <v>EXCELENTE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50</v>
      </c>
      <c r="C2477" t="s">
        <v>20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251"/>
        <v>15</v>
      </c>
      <c r="J2477" s="3">
        <f t="shared" si="252"/>
        <v>12</v>
      </c>
      <c r="K2477" s="3">
        <f t="shared" si="253"/>
        <v>3</v>
      </c>
      <c r="L2477" s="3" t="str">
        <f t="shared" si="247"/>
        <v>BOM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51</v>
      </c>
      <c r="C2478" t="s">
        <v>23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251"/>
        <v>7</v>
      </c>
      <c r="J2478" s="3">
        <f t="shared" si="252"/>
        <v>5</v>
      </c>
      <c r="K2478" s="3">
        <f t="shared" si="253"/>
        <v>2</v>
      </c>
      <c r="L2478" s="3" t="str">
        <f t="shared" si="247"/>
        <v>BOM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52</v>
      </c>
      <c r="C2479" t="s">
        <v>18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251"/>
        <v>23</v>
      </c>
      <c r="J2479" s="3">
        <f t="shared" si="252"/>
        <v>18</v>
      </c>
      <c r="K2479" s="3">
        <f t="shared" si="253"/>
        <v>5</v>
      </c>
      <c r="L2479" s="3" t="str">
        <f t="shared" si="247"/>
        <v>BOM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53</v>
      </c>
      <c r="C2480" t="s">
        <v>18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251"/>
        <v>18</v>
      </c>
      <c r="J2480" s="3">
        <f t="shared" si="252"/>
        <v>18</v>
      </c>
      <c r="K2480" s="3">
        <f t="shared" si="253"/>
        <v>0</v>
      </c>
      <c r="L2480" s="3" t="str">
        <f t="shared" si="247"/>
        <v>BOM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54</v>
      </c>
      <c r="C2481" t="s">
        <v>23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251"/>
        <v>13</v>
      </c>
      <c r="J2481" s="3">
        <f t="shared" si="252"/>
        <v>5</v>
      </c>
      <c r="K2481" s="3">
        <f t="shared" si="253"/>
        <v>8</v>
      </c>
      <c r="L2481" s="3" t="str">
        <f t="shared" si="247"/>
        <v>EXCELENTE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55</v>
      </c>
      <c r="C2482" t="s">
        <v>43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47"/>
        <v>BOM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56</v>
      </c>
      <c r="C2483" t="s">
        <v>16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47"/>
        <v>BOM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57</v>
      </c>
      <c r="C2484" t="s">
        <v>43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47"/>
        <v>BOM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58</v>
      </c>
      <c r="C2485" t="s">
        <v>43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47"/>
        <v>BOM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59</v>
      </c>
      <c r="C2486" t="s">
        <v>23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 t="shared" si="247"/>
        <v>BOM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60</v>
      </c>
      <c r="C2487" t="s">
        <v>20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12</v>
      </c>
      <c r="K2487" s="3">
        <f>I2487-J2487</f>
        <v>9</v>
      </c>
      <c r="L2487" s="3" t="str">
        <f t="shared" si="247"/>
        <v>EXCELENTE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61</v>
      </c>
      <c r="C2488" t="s">
        <v>18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18</v>
      </c>
      <c r="K2488" s="3">
        <f>I2488-J2488</f>
        <v>15</v>
      </c>
      <c r="L2488" s="3" t="str">
        <f t="shared" si="247"/>
        <v>EXCELENTE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62</v>
      </c>
      <c r="C2489" t="s">
        <v>20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12</v>
      </c>
      <c r="K2489" s="3">
        <f>I2489-J2489</f>
        <v>-7</v>
      </c>
      <c r="L2489" s="3" t="str">
        <f t="shared" si="247"/>
        <v>CRÍTICO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63</v>
      </c>
      <c r="C2490" t="s">
        <v>18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18</v>
      </c>
      <c r="K2490" s="3">
        <f>I2490-J2490</f>
        <v>8</v>
      </c>
      <c r="L2490" s="3" t="str">
        <f t="shared" si="247"/>
        <v>EXCELENTE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15</v>
      </c>
      <c r="C2491" t="s">
        <v>16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15</v>
      </c>
      <c r="K2491" s="3">
        <f>I2491-J2491</f>
        <v>4</v>
      </c>
      <c r="L2491" s="3" t="str">
        <f t="shared" si="247"/>
        <v>BOM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17</v>
      </c>
      <c r="C2492" t="s">
        <v>18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 t="shared" si="247"/>
        <v>BOM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19</v>
      </c>
      <c r="C2493" t="s">
        <v>20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 t="shared" si="247"/>
        <v>EXCELENTE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21</v>
      </c>
      <c r="C2494" t="s">
        <v>18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19</v>
      </c>
      <c r="K2494" s="3">
        <f>I2494-J2494</f>
        <v>1</v>
      </c>
      <c r="L2494" s="3" t="str">
        <f t="shared" si="247"/>
        <v>BOM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22</v>
      </c>
      <c r="C2495" t="s">
        <v>23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5</v>
      </c>
      <c r="K2495" s="3">
        <f>I2495-J2495</f>
        <v>4</v>
      </c>
      <c r="L2495" s="3" t="str">
        <f t="shared" si="247"/>
        <v>BOM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24</v>
      </c>
      <c r="C2496" t="s">
        <v>16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15</v>
      </c>
      <c r="K2496" s="3">
        <f>I2496-J2496</f>
        <v>11</v>
      </c>
      <c r="L2496" s="3" t="str">
        <f t="shared" si="247"/>
        <v>EXCELENTE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25</v>
      </c>
      <c r="C2497" t="s">
        <v>16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15</v>
      </c>
      <c r="K2497" s="3">
        <f>I2497-J2497</f>
        <v>-4</v>
      </c>
      <c r="L2497" s="3" t="str">
        <f t="shared" si="247"/>
        <v>ATENÇÃO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26</v>
      </c>
      <c r="C2498" t="s">
        <v>23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 t="shared" si="247"/>
        <v>BOM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27</v>
      </c>
      <c r="C2499" t="s">
        <v>20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 t="shared" si="247"/>
        <v>BOM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28</v>
      </c>
      <c r="C2500" t="s">
        <v>18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19</v>
      </c>
      <c r="K2500" s="3">
        <f>I2500-J2500</f>
        <v>2</v>
      </c>
      <c r="L2500" s="3" t="str">
        <f t="shared" si="247"/>
        <v>BOM</v>
      </c>
      <c r="N2500">
        <v>93.48</v>
      </c>
      <c r="O2500">
        <v>31.334622823984521</v>
      </c>
    </row>
    <row r="2501" spans="1:15" hidden="1" x14ac:dyDescent="0.25">
      <c r="A2501" s="11">
        <v>46079</v>
      </c>
      <c r="B2501" t="s">
        <v>29</v>
      </c>
      <c r="C2501" t="s">
        <v>16</v>
      </c>
      <c r="D2501">
        <v>0</v>
      </c>
      <c r="E2501">
        <v>0</v>
      </c>
      <c r="F2501">
        <v>0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 t="shared" si="247"/>
        <v>BOM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30</v>
      </c>
      <c r="C2502" t="s">
        <v>20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 t="shared" si="247"/>
        <v>BOM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31</v>
      </c>
      <c r="C2503" t="s">
        <v>18</v>
      </c>
      <c r="D2503">
        <v>0</v>
      </c>
      <c r="E2503">
        <v>0</v>
      </c>
      <c r="F2503">
        <v>0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 t="shared" ref="L2503:L2566" si="254">IF(K2503&lt;-5,"CRÍTICO",IF(K2503&lt;0,"ATENÇÃO",IF(K2503&lt;=5,"BOM","EXCELENTE")))</f>
        <v>BOM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32</v>
      </c>
      <c r="C2504" t="s">
        <v>23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ref="I2504:I2512" si="255">E2504+G2504+H2504</f>
        <v>8</v>
      </c>
      <c r="J2504" s="3">
        <f t="shared" ref="J2504:J2512" si="256"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5</v>
      </c>
      <c r="K2504" s="3">
        <f t="shared" ref="K2504:K2512" si="257">I2504-J2504</f>
        <v>3</v>
      </c>
      <c r="L2504" s="3" t="str">
        <f t="shared" si="254"/>
        <v>BOM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33</v>
      </c>
      <c r="C2505" t="s">
        <v>16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255"/>
        <v>22</v>
      </c>
      <c r="J2505" s="3">
        <f t="shared" si="256"/>
        <v>15</v>
      </c>
      <c r="K2505" s="3">
        <f t="shared" si="257"/>
        <v>7</v>
      </c>
      <c r="L2505" s="3" t="str">
        <f t="shared" si="254"/>
        <v>EXCELENTE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34</v>
      </c>
      <c r="C2506" t="s">
        <v>18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255"/>
        <v>21</v>
      </c>
      <c r="J2506" s="3">
        <f t="shared" si="256"/>
        <v>19</v>
      </c>
      <c r="K2506" s="3">
        <f t="shared" si="257"/>
        <v>2</v>
      </c>
      <c r="L2506" s="3" t="str">
        <f t="shared" si="254"/>
        <v>BOM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35</v>
      </c>
      <c r="C2507" t="s">
        <v>16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255"/>
        <v>22</v>
      </c>
      <c r="J2507" s="3">
        <f t="shared" si="256"/>
        <v>15</v>
      </c>
      <c r="K2507" s="3">
        <f t="shared" si="257"/>
        <v>7</v>
      </c>
      <c r="L2507" s="3" t="str">
        <f t="shared" si="254"/>
        <v>EXCELENTE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36</v>
      </c>
      <c r="C2508" t="s">
        <v>20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 t="shared" si="255"/>
        <v>25</v>
      </c>
      <c r="J2508" s="3">
        <f t="shared" si="256"/>
        <v>19</v>
      </c>
      <c r="K2508" s="3">
        <f t="shared" si="257"/>
        <v>6</v>
      </c>
      <c r="L2508" s="3" t="str">
        <f>IF(K2508&lt;-5,"CRÍTICO",IF(K2508&lt;0,"ATENÇÃO",IF(K2508&lt;=5,"OPORTUNO","MUITO BOM")))</f>
        <v>MUITO BOM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37</v>
      </c>
      <c r="C2509" t="s">
        <v>16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si="255"/>
        <v>26</v>
      </c>
      <c r="J2509" s="3">
        <f t="shared" si="256"/>
        <v>15</v>
      </c>
      <c r="K2509" s="3">
        <f t="shared" si="257"/>
        <v>11</v>
      </c>
      <c r="L2509" s="3" t="str">
        <f t="shared" ref="L2509:L2551" si="258">IF(K2509&lt;-5,"CRÍTICO",IF(K2509&lt;0,"ATENÇÃO",IF(K2509&lt;=5,"BOM","EXCELENTE")))</f>
        <v>EXCELENTE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38</v>
      </c>
      <c r="C2510" t="s">
        <v>18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255"/>
        <v>43</v>
      </c>
      <c r="J2510" s="3">
        <f t="shared" si="256"/>
        <v>19</v>
      </c>
      <c r="K2510" s="3">
        <f t="shared" si="257"/>
        <v>24</v>
      </c>
      <c r="L2510" s="3" t="str">
        <f t="shared" si="258"/>
        <v>EXCELENTE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39</v>
      </c>
      <c r="C2511" t="s">
        <v>18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255"/>
        <v>18</v>
      </c>
      <c r="J2511" s="3">
        <f t="shared" si="256"/>
        <v>19</v>
      </c>
      <c r="K2511" s="3">
        <f t="shared" si="257"/>
        <v>-1</v>
      </c>
      <c r="L2511" s="3" t="str">
        <f t="shared" si="258"/>
        <v>ATENÇÃO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40</v>
      </c>
      <c r="C2512" t="s">
        <v>16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255"/>
        <v>12</v>
      </c>
      <c r="J2512" s="3">
        <f t="shared" si="256"/>
        <v>15</v>
      </c>
      <c r="K2512" s="3">
        <f t="shared" si="257"/>
        <v>-3</v>
      </c>
      <c r="L2512" s="3" t="str">
        <f t="shared" si="258"/>
        <v>ATENÇÃO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41</v>
      </c>
      <c r="C2513" t="s">
        <v>18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 t="shared" si="258"/>
        <v>BOM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42</v>
      </c>
      <c r="C2514" t="s">
        <v>43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11</v>
      </c>
      <c r="K2514" s="3">
        <f>I2514-J2514</f>
        <v>6</v>
      </c>
      <c r="L2514" s="3" t="str">
        <f t="shared" si="258"/>
        <v>EXCELENTE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44</v>
      </c>
      <c r="C2515" t="s">
        <v>18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58"/>
        <v>BOM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45</v>
      </c>
      <c r="C2516" t="s">
        <v>43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 t="shared" si="258"/>
        <v>BOM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46</v>
      </c>
      <c r="C2517" t="s">
        <v>18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19</v>
      </c>
      <c r="K2517" s="3">
        <f>I2517-J2517</f>
        <v>5</v>
      </c>
      <c r="L2517" s="3" t="str">
        <f t="shared" si="258"/>
        <v>BOM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47</v>
      </c>
      <c r="C2518" t="s">
        <v>16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15</v>
      </c>
      <c r="K2518" s="3">
        <f>I2518-J2518</f>
        <v>7</v>
      </c>
      <c r="L2518" s="3" t="str">
        <f t="shared" si="258"/>
        <v>EXCELENTE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48</v>
      </c>
      <c r="C2519" t="s">
        <v>16</v>
      </c>
      <c r="D2519">
        <v>0</v>
      </c>
      <c r="E2519">
        <v>0</v>
      </c>
      <c r="F2519">
        <v>0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 t="shared" si="258"/>
        <v>BOM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49</v>
      </c>
      <c r="C2520" t="s">
        <v>18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ref="I2520:I2525" si="259">E2520+G2520+H2520</f>
        <v>35</v>
      </c>
      <c r="J2520" s="3">
        <f t="shared" ref="J2520:J2525" si="260"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19</v>
      </c>
      <c r="K2520" s="3">
        <f t="shared" ref="K2520:K2525" si="261">I2520-J2520</f>
        <v>16</v>
      </c>
      <c r="L2520" s="3" t="str">
        <f t="shared" si="258"/>
        <v>EXCELENTE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50</v>
      </c>
      <c r="C2521" t="s">
        <v>20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259"/>
        <v>14</v>
      </c>
      <c r="J2521" s="3">
        <f t="shared" si="260"/>
        <v>13</v>
      </c>
      <c r="K2521" s="3">
        <f t="shared" si="261"/>
        <v>1</v>
      </c>
      <c r="L2521" s="3" t="str">
        <f t="shared" si="258"/>
        <v>BOM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51</v>
      </c>
      <c r="C2522" t="s">
        <v>23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259"/>
        <v>2</v>
      </c>
      <c r="J2522" s="3">
        <f t="shared" si="260"/>
        <v>5</v>
      </c>
      <c r="K2522" s="3">
        <f t="shared" si="261"/>
        <v>-3</v>
      </c>
      <c r="L2522" s="3" t="str">
        <f t="shared" si="258"/>
        <v>ATENÇÃO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52</v>
      </c>
      <c r="C2523" t="s">
        <v>18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259"/>
        <v>26</v>
      </c>
      <c r="J2523" s="3">
        <f t="shared" si="260"/>
        <v>19</v>
      </c>
      <c r="K2523" s="3">
        <f t="shared" si="261"/>
        <v>7</v>
      </c>
      <c r="L2523" s="3" t="str">
        <f t="shared" si="258"/>
        <v>EXCELENTE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53</v>
      </c>
      <c r="C2524" t="s">
        <v>18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259"/>
        <v>28</v>
      </c>
      <c r="J2524" s="3">
        <f t="shared" si="260"/>
        <v>19</v>
      </c>
      <c r="K2524" s="3">
        <f t="shared" si="261"/>
        <v>9</v>
      </c>
      <c r="L2524" s="3" t="str">
        <f t="shared" si="258"/>
        <v>EXCELENTE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54</v>
      </c>
      <c r="C2525" t="s">
        <v>23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259"/>
        <v>7</v>
      </c>
      <c r="J2525" s="3">
        <f t="shared" si="260"/>
        <v>5</v>
      </c>
      <c r="K2525" s="3">
        <f t="shared" si="261"/>
        <v>2</v>
      </c>
      <c r="L2525" s="3" t="str">
        <f t="shared" si="258"/>
        <v>BOM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55</v>
      </c>
      <c r="C2526" t="s">
        <v>43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58"/>
        <v>BOM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56</v>
      </c>
      <c r="C2527" t="s">
        <v>16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58"/>
        <v>BOM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57</v>
      </c>
      <c r="C2528" t="s">
        <v>43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58"/>
        <v>BOM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58</v>
      </c>
      <c r="C2529" t="s">
        <v>43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58"/>
        <v>BOM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59</v>
      </c>
      <c r="C2530" t="s">
        <v>23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 t="shared" si="258"/>
        <v>BOM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60</v>
      </c>
      <c r="C2531" t="s">
        <v>20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 t="shared" si="258"/>
        <v>BOM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61</v>
      </c>
      <c r="C2532" t="s">
        <v>18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19</v>
      </c>
      <c r="K2532" s="3">
        <f>I2532-J2532</f>
        <v>10</v>
      </c>
      <c r="L2532" s="3" t="str">
        <f t="shared" si="258"/>
        <v>EXCELENTE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62</v>
      </c>
      <c r="C2533" t="s">
        <v>20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 t="shared" si="258"/>
        <v>ATENÇÃO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63</v>
      </c>
      <c r="C2534" t="s">
        <v>18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19</v>
      </c>
      <c r="K2534" s="3">
        <f>I2534-J2534</f>
        <v>1</v>
      </c>
      <c r="L2534" s="3" t="str">
        <f t="shared" si="258"/>
        <v>BOM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15</v>
      </c>
      <c r="C2535" t="s">
        <v>16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14</v>
      </c>
      <c r="K2535" s="3">
        <f>I2535-J2535</f>
        <v>12</v>
      </c>
      <c r="L2535" s="3" t="str">
        <f t="shared" si="258"/>
        <v>EXCELENTE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17</v>
      </c>
      <c r="C2536" t="s">
        <v>18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 t="shared" si="258"/>
        <v>BOM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19</v>
      </c>
      <c r="C2537" t="s">
        <v>20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12</v>
      </c>
      <c r="K2537" s="3">
        <f>I2537-J2537</f>
        <v>8</v>
      </c>
      <c r="L2537" s="3" t="str">
        <f t="shared" si="258"/>
        <v>EXCELENTE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21</v>
      </c>
      <c r="C2538" t="s">
        <v>18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18</v>
      </c>
      <c r="K2538" s="3">
        <f>I2538-J2538</f>
        <v>1</v>
      </c>
      <c r="L2538" s="3" t="str">
        <f t="shared" si="258"/>
        <v>BOM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22</v>
      </c>
      <c r="C2539" t="s">
        <v>23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5</v>
      </c>
      <c r="K2539" s="3">
        <f>I2539-J2539</f>
        <v>6</v>
      </c>
      <c r="L2539" s="3" t="str">
        <f t="shared" si="258"/>
        <v>EXCELENTE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24</v>
      </c>
      <c r="C2540" t="s">
        <v>16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14</v>
      </c>
      <c r="K2540" s="3">
        <f>I2540-J2540</f>
        <v>18</v>
      </c>
      <c r="L2540" s="3" t="str">
        <f t="shared" si="258"/>
        <v>EXCELENTE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25</v>
      </c>
      <c r="C2541" t="s">
        <v>16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14</v>
      </c>
      <c r="K2541" s="3">
        <f>I2541-J2541</f>
        <v>-7</v>
      </c>
      <c r="L2541" s="3" t="str">
        <f t="shared" si="258"/>
        <v>CRÍTICO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26</v>
      </c>
      <c r="C2542" t="s">
        <v>23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 t="shared" si="258"/>
        <v>BOM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27</v>
      </c>
      <c r="C2543" t="s">
        <v>20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12</v>
      </c>
      <c r="K2543" s="3">
        <f>I2543-J2543</f>
        <v>1</v>
      </c>
      <c r="L2543" s="3" t="str">
        <f t="shared" si="258"/>
        <v>BOM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28</v>
      </c>
      <c r="C2544" t="s">
        <v>18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18</v>
      </c>
      <c r="K2544" s="3">
        <f>I2544-J2544</f>
        <v>9</v>
      </c>
      <c r="L2544" s="3" t="str">
        <f t="shared" si="258"/>
        <v>EXCELENTE</v>
      </c>
      <c r="N2544">
        <v>93.48</v>
      </c>
      <c r="O2544">
        <v>31.334622823984521</v>
      </c>
    </row>
    <row r="2545" spans="1:15" hidden="1" x14ac:dyDescent="0.25">
      <c r="A2545" s="11">
        <v>46080</v>
      </c>
      <c r="B2545" t="s">
        <v>29</v>
      </c>
      <c r="C2545" t="s">
        <v>16</v>
      </c>
      <c r="D2545">
        <v>0</v>
      </c>
      <c r="E2545">
        <v>0</v>
      </c>
      <c r="F2545">
        <v>0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 t="shared" si="258"/>
        <v>BOM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30</v>
      </c>
      <c r="C2546" t="s">
        <v>20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12</v>
      </c>
      <c r="K2546" s="3">
        <f>I2546-J2546</f>
        <v>-5</v>
      </c>
      <c r="L2546" s="3" t="str">
        <f t="shared" si="258"/>
        <v>ATENÇÃO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31</v>
      </c>
      <c r="C2547" t="s">
        <v>18</v>
      </c>
      <c r="D2547">
        <v>0</v>
      </c>
      <c r="E2547">
        <v>0</v>
      </c>
      <c r="F2547">
        <v>0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 t="shared" si="258"/>
        <v>BOM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32</v>
      </c>
      <c r="C2548" t="s">
        <v>23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ref="I2548:I2556" si="262">E2548+G2548+H2548</f>
        <v>8</v>
      </c>
      <c r="J2548" s="3">
        <f t="shared" ref="J2548:J2556" si="263"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5</v>
      </c>
      <c r="K2548" s="3">
        <f t="shared" ref="K2548:K2556" si="264">I2548-J2548</f>
        <v>3</v>
      </c>
      <c r="L2548" s="3" t="str">
        <f t="shared" si="258"/>
        <v>BOM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33</v>
      </c>
      <c r="C2549" t="s">
        <v>16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262"/>
        <v>13</v>
      </c>
      <c r="J2549" s="3">
        <f t="shared" si="263"/>
        <v>14</v>
      </c>
      <c r="K2549" s="3">
        <f t="shared" si="264"/>
        <v>-1</v>
      </c>
      <c r="L2549" s="3" t="str">
        <f t="shared" si="258"/>
        <v>ATENÇÃO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34</v>
      </c>
      <c r="C2550" t="s">
        <v>18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262"/>
        <v>24</v>
      </c>
      <c r="J2550" s="3">
        <f t="shared" si="263"/>
        <v>18</v>
      </c>
      <c r="K2550" s="3">
        <f t="shared" si="264"/>
        <v>6</v>
      </c>
      <c r="L2550" s="3" t="str">
        <f t="shared" si="258"/>
        <v>EXCELENTE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35</v>
      </c>
      <c r="C2551" t="s">
        <v>16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262"/>
        <v>19</v>
      </c>
      <c r="J2551" s="3">
        <f t="shared" si="263"/>
        <v>14</v>
      </c>
      <c r="K2551" s="3">
        <f t="shared" si="264"/>
        <v>5</v>
      </c>
      <c r="L2551" s="3" t="str">
        <f t="shared" si="258"/>
        <v>BOM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36</v>
      </c>
      <c r="C2552" t="s">
        <v>20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 t="shared" si="262"/>
        <v>31</v>
      </c>
      <c r="J2552" s="3">
        <f t="shared" si="263"/>
        <v>21</v>
      </c>
      <c r="K2552" s="3">
        <f t="shared" si="264"/>
        <v>10</v>
      </c>
      <c r="L2552" s="3" t="str">
        <f>IF(K2552&lt;-5,"CRÍTICO",IF(K2552&lt;0,"ATENÇÃO",IF(K2552&lt;=5,"OPORTUNO","MUITO BOM")))</f>
        <v>MUITO BOM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37</v>
      </c>
      <c r="C2553" t="s">
        <v>16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si="262"/>
        <v>21</v>
      </c>
      <c r="J2553" s="3">
        <f t="shared" si="263"/>
        <v>14</v>
      </c>
      <c r="K2553" s="3">
        <f t="shared" si="264"/>
        <v>7</v>
      </c>
      <c r="L2553" s="3" t="str">
        <f t="shared" ref="L2553:L2595" si="265">IF(K2553&lt;-5,"CRÍTICO",IF(K2553&lt;0,"ATENÇÃO",IF(K2553&lt;=5,"BOM","EXCELENTE")))</f>
        <v>EXCELENTE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38</v>
      </c>
      <c r="C2554" t="s">
        <v>18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262"/>
        <v>23</v>
      </c>
      <c r="J2554" s="3">
        <f t="shared" si="263"/>
        <v>18</v>
      </c>
      <c r="K2554" s="3">
        <f t="shared" si="264"/>
        <v>5</v>
      </c>
      <c r="L2554" s="3" t="str">
        <f t="shared" si="265"/>
        <v>BOM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39</v>
      </c>
      <c r="C2555" t="s">
        <v>18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262"/>
        <v>3</v>
      </c>
      <c r="J2555" s="3">
        <f t="shared" si="263"/>
        <v>18</v>
      </c>
      <c r="K2555" s="3">
        <f t="shared" si="264"/>
        <v>-15</v>
      </c>
      <c r="L2555" s="3" t="str">
        <f t="shared" si="265"/>
        <v>CRÍTICO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40</v>
      </c>
      <c r="C2556" t="s">
        <v>16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262"/>
        <v>15</v>
      </c>
      <c r="J2556" s="3">
        <f t="shared" si="263"/>
        <v>14</v>
      </c>
      <c r="K2556" s="3">
        <f t="shared" si="264"/>
        <v>1</v>
      </c>
      <c r="L2556" s="3" t="str">
        <f t="shared" si="265"/>
        <v>BOM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41</v>
      </c>
      <c r="C2557" t="s">
        <v>18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 t="shared" si="265"/>
        <v>BOM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42</v>
      </c>
      <c r="C2558" t="s">
        <v>43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10</v>
      </c>
      <c r="K2558" s="3">
        <f>I2558-J2558</f>
        <v>-2</v>
      </c>
      <c r="L2558" s="3" t="str">
        <f t="shared" si="265"/>
        <v>ATENÇÃO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44</v>
      </c>
      <c r="C2559" t="s">
        <v>18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65"/>
        <v>BOM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45</v>
      </c>
      <c r="C2560" t="s">
        <v>43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 t="shared" si="265"/>
        <v>BOM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46</v>
      </c>
      <c r="C2561" t="s">
        <v>18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18</v>
      </c>
      <c r="K2561" s="3">
        <f>I2561-J2561</f>
        <v>-2</v>
      </c>
      <c r="L2561" s="3" t="str">
        <f t="shared" si="265"/>
        <v>ATENÇÃO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47</v>
      </c>
      <c r="C2562" t="s">
        <v>16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14</v>
      </c>
      <c r="K2562" s="3">
        <f>I2562-J2562</f>
        <v>16</v>
      </c>
      <c r="L2562" s="3" t="str">
        <f t="shared" si="265"/>
        <v>EXCELENTE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48</v>
      </c>
      <c r="C2563" t="s">
        <v>16</v>
      </c>
      <c r="D2563">
        <v>0</v>
      </c>
      <c r="E2563">
        <v>0</v>
      </c>
      <c r="F2563">
        <v>0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 t="shared" si="265"/>
        <v>BOM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49</v>
      </c>
      <c r="C2564" t="s">
        <v>18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ref="I2564:I2569" si="266">E2564+G2564+H2564</f>
        <v>21</v>
      </c>
      <c r="J2564" s="3">
        <f t="shared" ref="J2564:J2569" si="267"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18</v>
      </c>
      <c r="K2564" s="3">
        <f t="shared" ref="K2564:K2569" si="268">I2564-J2564</f>
        <v>3</v>
      </c>
      <c r="L2564" s="3" t="str">
        <f t="shared" si="265"/>
        <v>BOM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50</v>
      </c>
      <c r="C2565" t="s">
        <v>20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266"/>
        <v>13</v>
      </c>
      <c r="J2565" s="3">
        <f t="shared" si="267"/>
        <v>12</v>
      </c>
      <c r="K2565" s="3">
        <f t="shared" si="268"/>
        <v>1</v>
      </c>
      <c r="L2565" s="3" t="str">
        <f t="shared" si="265"/>
        <v>BOM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51</v>
      </c>
      <c r="C2566" t="s">
        <v>23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266"/>
        <v>14</v>
      </c>
      <c r="J2566" s="3">
        <f t="shared" si="267"/>
        <v>5</v>
      </c>
      <c r="K2566" s="3">
        <f t="shared" si="268"/>
        <v>9</v>
      </c>
      <c r="L2566" s="3" t="str">
        <f t="shared" si="265"/>
        <v>EXCELENTE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52</v>
      </c>
      <c r="C2567" t="s">
        <v>18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266"/>
        <v>20</v>
      </c>
      <c r="J2567" s="3">
        <f t="shared" si="267"/>
        <v>18</v>
      </c>
      <c r="K2567" s="3">
        <f t="shared" si="268"/>
        <v>2</v>
      </c>
      <c r="L2567" s="3" t="str">
        <f t="shared" si="265"/>
        <v>BOM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53</v>
      </c>
      <c r="C2568" t="s">
        <v>18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266"/>
        <v>23</v>
      </c>
      <c r="J2568" s="3">
        <f t="shared" si="267"/>
        <v>18</v>
      </c>
      <c r="K2568" s="3">
        <f t="shared" si="268"/>
        <v>5</v>
      </c>
      <c r="L2568" s="3" t="str">
        <f t="shared" si="265"/>
        <v>BOM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54</v>
      </c>
      <c r="C2569" t="s">
        <v>23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266"/>
        <v>14</v>
      </c>
      <c r="J2569" s="3">
        <f t="shared" si="267"/>
        <v>5</v>
      </c>
      <c r="K2569" s="3">
        <f t="shared" si="268"/>
        <v>9</v>
      </c>
      <c r="L2569" s="3" t="str">
        <f t="shared" si="265"/>
        <v>EXCELENTE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55</v>
      </c>
      <c r="C2570" t="s">
        <v>43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65"/>
        <v>BOM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56</v>
      </c>
      <c r="C2571" t="s">
        <v>16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65"/>
        <v>BOM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57</v>
      </c>
      <c r="C2572" t="s">
        <v>43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65"/>
        <v>BOM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58</v>
      </c>
      <c r="C2573" t="s">
        <v>43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65"/>
        <v>BOM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59</v>
      </c>
      <c r="C2574" t="s">
        <v>23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 t="shared" si="265"/>
        <v>BOM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60</v>
      </c>
      <c r="C2575" t="s">
        <v>20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12</v>
      </c>
      <c r="K2575" s="3">
        <f>I2575-J2575</f>
        <v>10</v>
      </c>
      <c r="L2575" s="3" t="str">
        <f t="shared" si="265"/>
        <v>EXCELENTE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61</v>
      </c>
      <c r="C2576" t="s">
        <v>18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18</v>
      </c>
      <c r="K2576" s="3">
        <f>I2576-J2576</f>
        <v>10</v>
      </c>
      <c r="L2576" s="3" t="str">
        <f t="shared" si="265"/>
        <v>EXCELENTE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62</v>
      </c>
      <c r="C2577" t="s">
        <v>20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12</v>
      </c>
      <c r="K2577" s="3">
        <f>I2577-J2577</f>
        <v>-2</v>
      </c>
      <c r="L2577" s="3" t="str">
        <f t="shared" si="265"/>
        <v>ATENÇÃO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63</v>
      </c>
      <c r="C2578" t="s">
        <v>18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18</v>
      </c>
      <c r="K2578" s="3">
        <f>I2578-J2578</f>
        <v>-1</v>
      </c>
      <c r="L2578" s="3" t="str">
        <f t="shared" si="265"/>
        <v>ATENÇÃO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15</v>
      </c>
      <c r="C2579" t="s">
        <v>16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20</v>
      </c>
      <c r="K2579" s="3">
        <f>I2579-J2579</f>
        <v>10</v>
      </c>
      <c r="L2579" s="3" t="str">
        <f t="shared" si="265"/>
        <v>EXCELENTE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17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 t="shared" si="265"/>
        <v>BOM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19</v>
      </c>
      <c r="C2581" t="s">
        <v>20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16</v>
      </c>
      <c r="K2581" s="3">
        <f>I2581-J2581</f>
        <v>4</v>
      </c>
      <c r="L2581" s="3" t="str">
        <f t="shared" si="265"/>
        <v>BOM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21</v>
      </c>
      <c r="C2582" t="s">
        <v>18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25</v>
      </c>
      <c r="K2582" s="3">
        <f>I2582-J2582</f>
        <v>-1</v>
      </c>
      <c r="L2582" s="3" t="str">
        <f t="shared" si="265"/>
        <v>ATENÇÃO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22</v>
      </c>
      <c r="C2583" t="s">
        <v>23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 t="shared" si="265"/>
        <v>BOM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24</v>
      </c>
      <c r="C2584" t="s">
        <v>16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20</v>
      </c>
      <c r="K2584" s="3">
        <f>I2584-J2584</f>
        <v>28</v>
      </c>
      <c r="L2584" s="3" t="str">
        <f t="shared" si="265"/>
        <v>EXCELENTE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25</v>
      </c>
      <c r="C2585" t="s">
        <v>16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20</v>
      </c>
      <c r="K2585" s="3">
        <f>I2585-J2585</f>
        <v>0</v>
      </c>
      <c r="L2585" s="3" t="str">
        <f t="shared" si="265"/>
        <v>BOM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26</v>
      </c>
      <c r="C2586" t="s">
        <v>23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 t="shared" si="265"/>
        <v>BOM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27</v>
      </c>
      <c r="C2587" t="s">
        <v>20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16</v>
      </c>
      <c r="K2587" s="3">
        <f>I2587-J2587</f>
        <v>5</v>
      </c>
      <c r="L2587" s="3" t="str">
        <f t="shared" si="265"/>
        <v>BOM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28</v>
      </c>
      <c r="C2588" t="s">
        <v>18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25</v>
      </c>
      <c r="K2588" s="3">
        <f>I2588-J2588</f>
        <v>12</v>
      </c>
      <c r="L2588" s="3" t="str">
        <f t="shared" si="265"/>
        <v>EXCELENTE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29</v>
      </c>
      <c r="C2589" t="s">
        <v>16</v>
      </c>
      <c r="D2589">
        <v>0</v>
      </c>
      <c r="E2589">
        <v>0</v>
      </c>
      <c r="F2589">
        <v>0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 t="shared" si="265"/>
        <v>BOM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30</v>
      </c>
      <c r="C2590" t="s">
        <v>20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16</v>
      </c>
      <c r="K2590" s="3">
        <f>I2590-J2590</f>
        <v>-10</v>
      </c>
      <c r="L2590" s="3" t="str">
        <f t="shared" si="265"/>
        <v>CRÍTICO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31</v>
      </c>
      <c r="C2591" t="s">
        <v>18</v>
      </c>
      <c r="D2591">
        <v>0</v>
      </c>
      <c r="E2591">
        <v>0</v>
      </c>
      <c r="F2591">
        <v>0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 t="shared" si="265"/>
        <v>BOM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32</v>
      </c>
      <c r="C2592" t="s">
        <v>23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7</v>
      </c>
      <c r="K2592" s="3">
        <f>I2592-J2592</f>
        <v>1</v>
      </c>
      <c r="L2592" s="3" t="str">
        <f t="shared" si="265"/>
        <v>BOM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33</v>
      </c>
      <c r="C2593" t="s">
        <v>16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20</v>
      </c>
      <c r="K2593" s="3">
        <f>I2593-J2593</f>
        <v>18</v>
      </c>
      <c r="L2593" s="3" t="str">
        <f t="shared" si="265"/>
        <v>EXCELENTE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34</v>
      </c>
      <c r="C2594" t="s">
        <v>18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25</v>
      </c>
      <c r="K2594" s="3">
        <f>I2594-J2594</f>
        <v>4</v>
      </c>
      <c r="L2594" s="3" t="str">
        <f t="shared" si="265"/>
        <v>BOM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35</v>
      </c>
      <c r="C2595" t="s">
        <v>16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20</v>
      </c>
      <c r="K2595" s="3">
        <f>I2595-J2595</f>
        <v>5</v>
      </c>
      <c r="L2595" s="3" t="str">
        <f t="shared" si="265"/>
        <v>BOM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36</v>
      </c>
      <c r="C2596" t="s">
        <v>20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37</v>
      </c>
      <c r="C2597" t="s">
        <v>16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20</v>
      </c>
      <c r="K2597" s="3">
        <f>I2597-J2597</f>
        <v>0</v>
      </c>
      <c r="L2597" s="3" t="str">
        <f t="shared" ref="L2597:L2639" si="269">IF(K2597&lt;-5,"CRÍTICO",IF(K2597&lt;0,"ATENÇÃO",IF(K2597&lt;=5,"BOM","EXCELENTE")))</f>
        <v>BOM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38</v>
      </c>
      <c r="C2598" t="s">
        <v>18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25</v>
      </c>
      <c r="K2598" s="3">
        <f>I2598-J2598</f>
        <v>10</v>
      </c>
      <c r="L2598" s="3" t="str">
        <f t="shared" si="269"/>
        <v>EXCELENTE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39</v>
      </c>
      <c r="C2599" t="s">
        <v>18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25</v>
      </c>
      <c r="K2599" s="3">
        <f>I2599-J2599</f>
        <v>-13</v>
      </c>
      <c r="L2599" s="3" t="str">
        <f t="shared" si="269"/>
        <v>CRÍTICO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40</v>
      </c>
      <c r="C2600" t="s">
        <v>16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20</v>
      </c>
      <c r="K2600" s="3">
        <f>I2600-J2600</f>
        <v>-1</v>
      </c>
      <c r="L2600" s="3" t="str">
        <f t="shared" si="269"/>
        <v>ATENÇÃO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41</v>
      </c>
      <c r="C2601" t="s">
        <v>18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 t="shared" si="269"/>
        <v>BOM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42</v>
      </c>
      <c r="C2602" t="s">
        <v>43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14</v>
      </c>
      <c r="K2602" s="3">
        <f>I2602-J2602</f>
        <v>3</v>
      </c>
      <c r="L2602" s="3" t="str">
        <f t="shared" si="269"/>
        <v>BOM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44</v>
      </c>
      <c r="C2603" t="s">
        <v>18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25</v>
      </c>
      <c r="K2603" s="3">
        <f>I2603-J2603</f>
        <v>-5</v>
      </c>
      <c r="L2603" s="3" t="str">
        <f t="shared" si="269"/>
        <v>ATENÇÃO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45</v>
      </c>
      <c r="C2604" t="s">
        <v>43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 t="shared" si="269"/>
        <v>BOM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46</v>
      </c>
      <c r="C2605" t="s">
        <v>18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25</v>
      </c>
      <c r="K2605" s="3">
        <f>I2605-J2605</f>
        <v>-3</v>
      </c>
      <c r="L2605" s="3" t="str">
        <f t="shared" si="269"/>
        <v>ATENÇÃO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47</v>
      </c>
      <c r="C2606" t="s">
        <v>16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20</v>
      </c>
      <c r="K2606" s="3">
        <f>I2606-J2606</f>
        <v>5</v>
      </c>
      <c r="L2606" s="3" t="str">
        <f t="shared" si="269"/>
        <v>BOM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48</v>
      </c>
      <c r="C2607" t="s">
        <v>16</v>
      </c>
      <c r="D2607">
        <v>0</v>
      </c>
      <c r="E2607">
        <v>0</v>
      </c>
      <c r="F2607">
        <v>0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 t="shared" si="269"/>
        <v>BOM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49</v>
      </c>
      <c r="C2608" t="s">
        <v>18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ref="I2608:I2613" si="270">E2608+G2608+H2608</f>
        <v>28</v>
      </c>
      <c r="J2608" s="3">
        <f t="shared" ref="J2608:J2613" si="271"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25</v>
      </c>
      <c r="K2608" s="3">
        <f t="shared" ref="K2608:K2613" si="272">I2608-J2608</f>
        <v>3</v>
      </c>
      <c r="L2608" s="3" t="str">
        <f t="shared" si="269"/>
        <v>BOM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50</v>
      </c>
      <c r="C2609" t="s">
        <v>20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270"/>
        <v>28</v>
      </c>
      <c r="J2609" s="3">
        <f t="shared" si="271"/>
        <v>16</v>
      </c>
      <c r="K2609" s="3">
        <f t="shared" si="272"/>
        <v>12</v>
      </c>
      <c r="L2609" s="3" t="str">
        <f t="shared" si="269"/>
        <v>EXCELENTE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51</v>
      </c>
      <c r="C2610" t="s">
        <v>23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270"/>
        <v>14</v>
      </c>
      <c r="J2610" s="3">
        <f t="shared" si="271"/>
        <v>7</v>
      </c>
      <c r="K2610" s="3">
        <f t="shared" si="272"/>
        <v>7</v>
      </c>
      <c r="L2610" s="3" t="str">
        <f t="shared" si="269"/>
        <v>EXCELENTE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52</v>
      </c>
      <c r="C2611" t="s">
        <v>18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270"/>
        <v>38</v>
      </c>
      <c r="J2611" s="3">
        <f t="shared" si="271"/>
        <v>25</v>
      </c>
      <c r="K2611" s="3">
        <f t="shared" si="272"/>
        <v>13</v>
      </c>
      <c r="L2611" s="3" t="str">
        <f t="shared" si="269"/>
        <v>EXCELENTE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53</v>
      </c>
      <c r="C2612" t="s">
        <v>18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270"/>
        <v>32</v>
      </c>
      <c r="J2612" s="3">
        <f t="shared" si="271"/>
        <v>25</v>
      </c>
      <c r="K2612" s="3">
        <f t="shared" si="272"/>
        <v>7</v>
      </c>
      <c r="L2612" s="3" t="str">
        <f t="shared" si="269"/>
        <v>EXCELENTE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54</v>
      </c>
      <c r="C2613" t="s">
        <v>23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270"/>
        <v>6</v>
      </c>
      <c r="J2613" s="3">
        <f t="shared" si="271"/>
        <v>7</v>
      </c>
      <c r="K2613" s="3">
        <f t="shared" si="272"/>
        <v>-1</v>
      </c>
      <c r="L2613" s="3" t="str">
        <f t="shared" si="269"/>
        <v>ATENÇÃO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55</v>
      </c>
      <c r="C2614" t="s">
        <v>43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 t="shared" si="269"/>
        <v>BOM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56</v>
      </c>
      <c r="C2615" t="s">
        <v>16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20</v>
      </c>
      <c r="K2615" s="3">
        <f>I2615-J2615</f>
        <v>-2</v>
      </c>
      <c r="L2615" s="3" t="str">
        <f t="shared" si="269"/>
        <v>ATENÇÃO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57</v>
      </c>
      <c r="C2616" t="s">
        <v>43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 t="shared" si="269"/>
        <v>BOM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58</v>
      </c>
      <c r="C2617" t="s">
        <v>43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 t="shared" si="269"/>
        <v>BOM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59</v>
      </c>
      <c r="C2618" t="s">
        <v>23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 t="shared" si="269"/>
        <v>BOM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60</v>
      </c>
      <c r="C2619" t="s">
        <v>20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16</v>
      </c>
      <c r="K2619" s="3">
        <f>I2619-J2619</f>
        <v>9</v>
      </c>
      <c r="L2619" s="3" t="str">
        <f t="shared" si="269"/>
        <v>EXCELENTE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61</v>
      </c>
      <c r="C2620" t="s">
        <v>18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25</v>
      </c>
      <c r="K2620" s="3">
        <f>I2620-J2620</f>
        <v>19</v>
      </c>
      <c r="L2620" s="3" t="str">
        <f t="shared" si="269"/>
        <v>EXCELENTE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62</v>
      </c>
      <c r="C2621" t="s">
        <v>20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16</v>
      </c>
      <c r="K2621" s="3">
        <f>I2621-J2621</f>
        <v>-7</v>
      </c>
      <c r="L2621" s="3" t="str">
        <f t="shared" si="269"/>
        <v>CRÍTICO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63</v>
      </c>
      <c r="C2622" t="s">
        <v>18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25</v>
      </c>
      <c r="K2622" s="3">
        <f>I2622-J2622</f>
        <v>10</v>
      </c>
      <c r="L2622" s="3" t="str">
        <f t="shared" si="269"/>
        <v>EXCELENTE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15</v>
      </c>
      <c r="C2623" t="s">
        <v>16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20</v>
      </c>
      <c r="K2623" s="3">
        <f>I2623-J2623</f>
        <v>10</v>
      </c>
      <c r="L2623" s="3" t="str">
        <f t="shared" si="269"/>
        <v>EXCELENTE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17</v>
      </c>
      <c r="C2624" t="s">
        <v>18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 t="shared" si="269"/>
        <v>BOM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19</v>
      </c>
      <c r="C2625" t="s">
        <v>20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16</v>
      </c>
      <c r="K2625" s="3">
        <f>I2625-J2625</f>
        <v>14</v>
      </c>
      <c r="L2625" s="3" t="str">
        <f t="shared" si="269"/>
        <v>EXCELENTE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21</v>
      </c>
      <c r="C2626" t="s">
        <v>18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25</v>
      </c>
      <c r="K2626" s="3">
        <f>I2626-J2626</f>
        <v>-1</v>
      </c>
      <c r="L2626" s="3" t="str">
        <f t="shared" si="269"/>
        <v>ATENÇÃO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22</v>
      </c>
      <c r="C2627" t="s">
        <v>23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7</v>
      </c>
      <c r="K2627" s="3">
        <f>I2627-J2627</f>
        <v>1</v>
      </c>
      <c r="L2627" s="3" t="str">
        <f t="shared" si="269"/>
        <v>BOM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24</v>
      </c>
      <c r="C2628" t="s">
        <v>16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20</v>
      </c>
      <c r="K2628" s="3">
        <f>I2628-J2628</f>
        <v>5</v>
      </c>
      <c r="L2628" s="3" t="str">
        <f t="shared" si="269"/>
        <v>BOM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25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269"/>
        <v>BOM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26</v>
      </c>
      <c r="C2630" t="s">
        <v>23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 t="shared" si="269"/>
        <v>BOM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27</v>
      </c>
      <c r="C2631" t="s">
        <v>20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16</v>
      </c>
      <c r="K2631" s="3">
        <f>I2631-J2631</f>
        <v>6</v>
      </c>
      <c r="L2631" s="3" t="str">
        <f t="shared" si="269"/>
        <v>EXCELENTE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28</v>
      </c>
      <c r="C2632" t="s">
        <v>18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25</v>
      </c>
      <c r="K2632" s="3">
        <f>I2632-J2632</f>
        <v>9</v>
      </c>
      <c r="L2632" s="3" t="str">
        <f t="shared" si="269"/>
        <v>EXCELENTE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29</v>
      </c>
      <c r="C2633" t="s">
        <v>16</v>
      </c>
      <c r="D2633">
        <v>0</v>
      </c>
      <c r="E2633">
        <v>0</v>
      </c>
      <c r="F2633">
        <v>0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 t="shared" si="269"/>
        <v>BOM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30</v>
      </c>
      <c r="C2634" t="s">
        <v>20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16</v>
      </c>
      <c r="K2634" s="3">
        <f>I2634-J2634</f>
        <v>18</v>
      </c>
      <c r="L2634" s="3" t="str">
        <f t="shared" si="269"/>
        <v>EXCELENTE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31</v>
      </c>
      <c r="C2635" t="s">
        <v>18</v>
      </c>
      <c r="D2635">
        <v>0</v>
      </c>
      <c r="E2635">
        <v>0</v>
      </c>
      <c r="F2635">
        <v>0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 t="shared" si="269"/>
        <v>BOM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32</v>
      </c>
      <c r="C2636" t="s">
        <v>23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ref="I2636:I2644" si="273">E2636+G2636+H2636</f>
        <v>5</v>
      </c>
      <c r="J2636" s="3">
        <f t="shared" ref="J2636:J2644" si="274"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7</v>
      </c>
      <c r="K2636" s="3">
        <f t="shared" ref="K2636:K2644" si="275">I2636-J2636</f>
        <v>-2</v>
      </c>
      <c r="L2636" s="3" t="str">
        <f t="shared" si="269"/>
        <v>ATENÇÃO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33</v>
      </c>
      <c r="C2637" t="s">
        <v>16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273"/>
        <v>43</v>
      </c>
      <c r="J2637" s="3">
        <f t="shared" si="274"/>
        <v>20</v>
      </c>
      <c r="K2637" s="3">
        <f t="shared" si="275"/>
        <v>23</v>
      </c>
      <c r="L2637" s="3" t="str">
        <f t="shared" si="269"/>
        <v>EXCELENTE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34</v>
      </c>
      <c r="C2638" t="s">
        <v>18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273"/>
        <v>18</v>
      </c>
      <c r="J2638" s="3">
        <f t="shared" si="274"/>
        <v>25</v>
      </c>
      <c r="K2638" s="3">
        <f t="shared" si="275"/>
        <v>-7</v>
      </c>
      <c r="L2638" s="3" t="str">
        <f t="shared" si="269"/>
        <v>CRÍTICO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35</v>
      </c>
      <c r="C2639" t="s">
        <v>16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273"/>
        <v>34</v>
      </c>
      <c r="J2639" s="3">
        <f t="shared" si="274"/>
        <v>20</v>
      </c>
      <c r="K2639" s="3">
        <f t="shared" si="275"/>
        <v>14</v>
      </c>
      <c r="L2639" s="3" t="str">
        <f t="shared" si="269"/>
        <v>EXCELENTE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36</v>
      </c>
      <c r="C2640" t="s">
        <v>20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273"/>
        <v>26</v>
      </c>
      <c r="J2640" s="3">
        <f t="shared" si="274"/>
        <v>19</v>
      </c>
      <c r="K2640" s="3">
        <f t="shared" si="275"/>
        <v>7</v>
      </c>
      <c r="L2640" s="3" t="str">
        <f>IF(K2640&lt;-5,"CRÍTICO",IF(K2640&lt;0,"ATENÇÃO",IF(K2640&lt;=5,"OPORTUNO","MUITO BOM")))</f>
        <v>MUITO BOM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37</v>
      </c>
      <c r="C2641" t="s">
        <v>16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273"/>
        <v>31</v>
      </c>
      <c r="J2641" s="3">
        <f t="shared" si="274"/>
        <v>20</v>
      </c>
      <c r="K2641" s="3">
        <f t="shared" si="275"/>
        <v>11</v>
      </c>
      <c r="L2641" s="3" t="str">
        <f t="shared" ref="L2641:L2683" si="276">IF(K2641&lt;-5,"CRÍTICO",IF(K2641&lt;0,"ATENÇÃO",IF(K2641&lt;=5,"BOM","EXCELENTE")))</f>
        <v>EXCELENTE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38</v>
      </c>
      <c r="C2642" t="s">
        <v>18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273"/>
        <v>42</v>
      </c>
      <c r="J2642" s="3">
        <f t="shared" si="274"/>
        <v>25</v>
      </c>
      <c r="K2642" s="3">
        <f t="shared" si="275"/>
        <v>17</v>
      </c>
      <c r="L2642" s="3" t="str">
        <f t="shared" si="276"/>
        <v>EXCELENTE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39</v>
      </c>
      <c r="C2643" t="s">
        <v>18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si="273"/>
        <v>3</v>
      </c>
      <c r="J2643" s="3">
        <f t="shared" si="274"/>
        <v>25</v>
      </c>
      <c r="K2643" s="3">
        <f t="shared" si="275"/>
        <v>-22</v>
      </c>
      <c r="L2643" s="3" t="str">
        <f t="shared" si="276"/>
        <v>CRÍTICO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40</v>
      </c>
      <c r="C2644" t="s">
        <v>16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273"/>
        <v>31</v>
      </c>
      <c r="J2644" s="3">
        <f t="shared" si="274"/>
        <v>20</v>
      </c>
      <c r="K2644" s="3">
        <f t="shared" si="275"/>
        <v>11</v>
      </c>
      <c r="L2644" s="3" t="str">
        <f t="shared" si="276"/>
        <v>EXCELENTE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41</v>
      </c>
      <c r="C2645" t="s">
        <v>18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 t="shared" si="276"/>
        <v>BOM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42</v>
      </c>
      <c r="C2646" t="s">
        <v>43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14</v>
      </c>
      <c r="K2646" s="3">
        <f>I2646-J2646</f>
        <v>0</v>
      </c>
      <c r="L2646" s="3" t="str">
        <f t="shared" si="276"/>
        <v>BOM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44</v>
      </c>
      <c r="C2647" t="s">
        <v>18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25</v>
      </c>
      <c r="K2647" s="3">
        <f>I2647-J2647</f>
        <v>-23</v>
      </c>
      <c r="L2647" s="3" t="str">
        <f t="shared" si="276"/>
        <v>CRÍTICO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45</v>
      </c>
      <c r="C2648" t="s">
        <v>43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 t="shared" si="276"/>
        <v>BOM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46</v>
      </c>
      <c r="C2649" t="s">
        <v>18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25</v>
      </c>
      <c r="K2649" s="3">
        <f>I2649-J2649</f>
        <v>-21</v>
      </c>
      <c r="L2649" s="3" t="str">
        <f t="shared" si="276"/>
        <v>CRÍTICO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47</v>
      </c>
      <c r="C2650" t="s">
        <v>16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20</v>
      </c>
      <c r="K2650" s="3">
        <f>I2650-J2650</f>
        <v>5</v>
      </c>
      <c r="L2650" s="3" t="str">
        <f t="shared" si="276"/>
        <v>BOM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48</v>
      </c>
      <c r="C2651" t="s">
        <v>16</v>
      </c>
      <c r="D2651">
        <v>0</v>
      </c>
      <c r="E2651">
        <v>0</v>
      </c>
      <c r="F2651">
        <v>0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 t="shared" si="276"/>
        <v>BOM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49</v>
      </c>
      <c r="C2652" t="s">
        <v>18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ref="I2652:I2657" si="277">E2652+G2652+H2652</f>
        <v>38</v>
      </c>
      <c r="J2652" s="3">
        <f t="shared" ref="J2652:J2657" si="278"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25</v>
      </c>
      <c r="K2652" s="3">
        <f t="shared" ref="K2652:K2657" si="279">I2652-J2652</f>
        <v>13</v>
      </c>
      <c r="L2652" s="3" t="str">
        <f t="shared" si="276"/>
        <v>EXCELENTE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50</v>
      </c>
      <c r="C2653" t="s">
        <v>20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277"/>
        <v>23</v>
      </c>
      <c r="J2653" s="3">
        <f t="shared" si="278"/>
        <v>16</v>
      </c>
      <c r="K2653" s="3">
        <f t="shared" si="279"/>
        <v>7</v>
      </c>
      <c r="L2653" s="3" t="str">
        <f t="shared" si="276"/>
        <v>EXCELENTE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51</v>
      </c>
      <c r="C2654" t="s">
        <v>23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277"/>
        <v>7</v>
      </c>
      <c r="J2654" s="3">
        <f t="shared" si="278"/>
        <v>7</v>
      </c>
      <c r="K2654" s="3">
        <f t="shared" si="279"/>
        <v>0</v>
      </c>
      <c r="L2654" s="3" t="str">
        <f t="shared" si="276"/>
        <v>BOM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52</v>
      </c>
      <c r="C2655" t="s">
        <v>18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277"/>
        <v>30</v>
      </c>
      <c r="J2655" s="3">
        <f t="shared" si="278"/>
        <v>25</v>
      </c>
      <c r="K2655" s="3">
        <f t="shared" si="279"/>
        <v>5</v>
      </c>
      <c r="L2655" s="3" t="str">
        <f t="shared" si="276"/>
        <v>BOM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53</v>
      </c>
      <c r="C2656" t="s">
        <v>18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277"/>
        <v>38</v>
      </c>
      <c r="J2656" s="3">
        <f t="shared" si="278"/>
        <v>25</v>
      </c>
      <c r="K2656" s="3">
        <f t="shared" si="279"/>
        <v>13</v>
      </c>
      <c r="L2656" s="3" t="str">
        <f t="shared" si="276"/>
        <v>EXCELENTE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54</v>
      </c>
      <c r="C2657" t="s">
        <v>23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277"/>
        <v>13</v>
      </c>
      <c r="J2657" s="3">
        <f t="shared" si="278"/>
        <v>7</v>
      </c>
      <c r="K2657" s="3">
        <f t="shared" si="279"/>
        <v>6</v>
      </c>
      <c r="L2657" s="3" t="str">
        <f t="shared" si="276"/>
        <v>EXCELENTE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55</v>
      </c>
      <c r="C2658" t="s">
        <v>43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 t="shared" si="276"/>
        <v>BOM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56</v>
      </c>
      <c r="C2659" t="s">
        <v>16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20</v>
      </c>
      <c r="K2659" s="3">
        <f>I2659-J2659</f>
        <v>4</v>
      </c>
      <c r="L2659" s="3" t="str">
        <f t="shared" si="276"/>
        <v>BOM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57</v>
      </c>
      <c r="C2660" t="s">
        <v>43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 t="shared" si="276"/>
        <v>BOM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58</v>
      </c>
      <c r="C2661" t="s">
        <v>43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 t="shared" si="276"/>
        <v>BOM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59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 t="shared" si="276"/>
        <v>BOM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60</v>
      </c>
      <c r="C2663" t="s">
        <v>20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16</v>
      </c>
      <c r="K2663" s="3">
        <f>I2663-J2663</f>
        <v>22</v>
      </c>
      <c r="L2663" s="3" t="str">
        <f t="shared" si="276"/>
        <v>EXCELENTE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61</v>
      </c>
      <c r="C2664" t="s">
        <v>18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25</v>
      </c>
      <c r="K2664" s="3">
        <f>I2664-J2664</f>
        <v>11</v>
      </c>
      <c r="L2664" s="3" t="str">
        <f t="shared" si="276"/>
        <v>EXCELENTE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62</v>
      </c>
      <c r="C2665" t="s">
        <v>20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16</v>
      </c>
      <c r="K2665" s="3">
        <f>I2665-J2665</f>
        <v>4</v>
      </c>
      <c r="L2665" s="3" t="str">
        <f t="shared" si="276"/>
        <v>BOM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63</v>
      </c>
      <c r="C2666" t="s">
        <v>18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25</v>
      </c>
      <c r="K2666" s="3">
        <f>I2666-J2666</f>
        <v>5</v>
      </c>
      <c r="L2666" s="3" t="str">
        <f t="shared" si="276"/>
        <v>BOM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15</v>
      </c>
      <c r="C2667" t="s">
        <v>16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19</v>
      </c>
      <c r="K2667" s="3">
        <f>I2667-J2667</f>
        <v>3</v>
      </c>
      <c r="L2667" s="3" t="str">
        <f t="shared" si="276"/>
        <v>BOM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17</v>
      </c>
      <c r="C2668" t="s">
        <v>18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 t="shared" si="276"/>
        <v>BOM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19</v>
      </c>
      <c r="C2669" t="s">
        <v>20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16</v>
      </c>
      <c r="K2669" s="3">
        <f>I2669-J2669</f>
        <v>4</v>
      </c>
      <c r="L2669" s="3" t="str">
        <f t="shared" si="276"/>
        <v>BOM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21</v>
      </c>
      <c r="C2670" t="s">
        <v>18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24</v>
      </c>
      <c r="K2670" s="3">
        <f>I2670-J2670</f>
        <v>6</v>
      </c>
      <c r="L2670" s="3" t="str">
        <f t="shared" si="276"/>
        <v>EXCELENTE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22</v>
      </c>
      <c r="C2671" t="s">
        <v>23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7</v>
      </c>
      <c r="K2671" s="3">
        <f>I2671-J2671</f>
        <v>-1</v>
      </c>
      <c r="L2671" s="3" t="str">
        <f t="shared" si="276"/>
        <v>ATENÇÃO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24</v>
      </c>
      <c r="C2672" t="s">
        <v>16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19</v>
      </c>
      <c r="K2672" s="3">
        <f>I2672-J2672</f>
        <v>13</v>
      </c>
      <c r="L2672" s="3" t="str">
        <f t="shared" si="276"/>
        <v>EXCELENTE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25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276"/>
        <v>BOM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26</v>
      </c>
      <c r="C2674" t="s">
        <v>23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 t="shared" si="276"/>
        <v>BOM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27</v>
      </c>
      <c r="C2675" t="s">
        <v>20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16</v>
      </c>
      <c r="K2675" s="3">
        <f>I2675-J2675</f>
        <v>2</v>
      </c>
      <c r="L2675" s="3" t="str">
        <f t="shared" si="276"/>
        <v>BOM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28</v>
      </c>
      <c r="C2676" t="s">
        <v>18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24</v>
      </c>
      <c r="K2676" s="3">
        <f>I2676-J2676</f>
        <v>14</v>
      </c>
      <c r="L2676" s="3" t="str">
        <f t="shared" si="276"/>
        <v>EXCELENTE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29</v>
      </c>
      <c r="C2677" t="s">
        <v>16</v>
      </c>
      <c r="D2677">
        <v>0</v>
      </c>
      <c r="E2677">
        <v>0</v>
      </c>
      <c r="F2677">
        <v>0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 t="shared" si="276"/>
        <v>BOM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30</v>
      </c>
      <c r="C2678" t="s">
        <v>20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16</v>
      </c>
      <c r="K2678" s="3">
        <f>I2678-J2678</f>
        <v>9</v>
      </c>
      <c r="L2678" s="3" t="str">
        <f t="shared" si="276"/>
        <v>EXCELENTE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31</v>
      </c>
      <c r="C2679" t="s">
        <v>18</v>
      </c>
      <c r="D2679">
        <v>0</v>
      </c>
      <c r="E2679">
        <v>0</v>
      </c>
      <c r="F2679">
        <v>0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 t="shared" si="276"/>
        <v>BOM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32</v>
      </c>
      <c r="C2680" t="s">
        <v>23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ref="I2680:I2688" si="280">E2680+G2680+H2680</f>
        <v>10</v>
      </c>
      <c r="J2680" s="3">
        <f t="shared" ref="J2680:J2688" si="281"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7</v>
      </c>
      <c r="K2680" s="3">
        <f t="shared" ref="K2680:K2688" si="282">I2680-J2680</f>
        <v>3</v>
      </c>
      <c r="L2680" s="3" t="str">
        <f t="shared" si="276"/>
        <v>BOM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33</v>
      </c>
      <c r="C2681" t="s">
        <v>16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280"/>
        <v>21</v>
      </c>
      <c r="J2681" s="3">
        <f t="shared" si="281"/>
        <v>19</v>
      </c>
      <c r="K2681" s="3">
        <f t="shared" si="282"/>
        <v>2</v>
      </c>
      <c r="L2681" s="3" t="str">
        <f t="shared" si="276"/>
        <v>BOM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34</v>
      </c>
      <c r="C2682" t="s">
        <v>18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280"/>
        <v>29</v>
      </c>
      <c r="J2682" s="3">
        <f t="shared" si="281"/>
        <v>24</v>
      </c>
      <c r="K2682" s="3">
        <f t="shared" si="282"/>
        <v>5</v>
      </c>
      <c r="L2682" s="3" t="str">
        <f t="shared" si="276"/>
        <v>BOM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35</v>
      </c>
      <c r="C2683" t="s">
        <v>16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280"/>
        <v>35</v>
      </c>
      <c r="J2683" s="3">
        <f t="shared" si="281"/>
        <v>19</v>
      </c>
      <c r="K2683" s="3">
        <f t="shared" si="282"/>
        <v>16</v>
      </c>
      <c r="L2683" s="3" t="str">
        <f t="shared" si="276"/>
        <v>EXCELENTE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36</v>
      </c>
      <c r="C2684" t="s">
        <v>20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si="280"/>
        <v>25</v>
      </c>
      <c r="J2684" s="3">
        <f t="shared" si="281"/>
        <v>19</v>
      </c>
      <c r="K2684" s="3">
        <f t="shared" si="282"/>
        <v>6</v>
      </c>
      <c r="L2684" s="3" t="str">
        <f>IF(K2684&lt;-5,"CRÍTICO",IF(K2684&lt;0,"ATENÇÃO",IF(K2684&lt;=5,"OPORTUNO","MUITO BOM")))</f>
        <v>MUITO BOM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37</v>
      </c>
      <c r="C2685" t="s">
        <v>16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280"/>
        <v>30</v>
      </c>
      <c r="J2685" s="3">
        <f t="shared" si="281"/>
        <v>19</v>
      </c>
      <c r="K2685" s="3">
        <f t="shared" si="282"/>
        <v>11</v>
      </c>
      <c r="L2685" s="3" t="str">
        <f t="shared" ref="L2685:L2727" si="283">IF(K2685&lt;-5,"CRÍTICO",IF(K2685&lt;0,"ATENÇÃO",IF(K2685&lt;=5,"BOM","EXCELENTE")))</f>
        <v>EXCELENTE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38</v>
      </c>
      <c r="C2686" t="s">
        <v>18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280"/>
        <v>40</v>
      </c>
      <c r="J2686" s="3">
        <f t="shared" si="281"/>
        <v>24</v>
      </c>
      <c r="K2686" s="3">
        <f t="shared" si="282"/>
        <v>16</v>
      </c>
      <c r="L2686" s="3" t="str">
        <f t="shared" si="283"/>
        <v>EXCELENTE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39</v>
      </c>
      <c r="C2687" t="s">
        <v>18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280"/>
        <v>15</v>
      </c>
      <c r="J2687" s="3">
        <f t="shared" si="281"/>
        <v>24</v>
      </c>
      <c r="K2687" s="3">
        <f t="shared" si="282"/>
        <v>-9</v>
      </c>
      <c r="L2687" s="3" t="str">
        <f t="shared" si="283"/>
        <v>CRÍTICO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40</v>
      </c>
      <c r="C2688" t="s">
        <v>16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280"/>
        <v>26</v>
      </c>
      <c r="J2688" s="3">
        <f t="shared" si="281"/>
        <v>19</v>
      </c>
      <c r="K2688" s="3">
        <f t="shared" si="282"/>
        <v>7</v>
      </c>
      <c r="L2688" s="3" t="str">
        <f t="shared" si="283"/>
        <v>EXCELENTE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41</v>
      </c>
      <c r="C2689" t="s">
        <v>18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 t="shared" si="283"/>
        <v>BOM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42</v>
      </c>
      <c r="C2690" t="s">
        <v>43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14</v>
      </c>
      <c r="K2690" s="3">
        <f>I2690-J2690</f>
        <v>4</v>
      </c>
      <c r="L2690" s="3" t="str">
        <f t="shared" si="283"/>
        <v>BOM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44</v>
      </c>
      <c r="C2691" t="s">
        <v>18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283"/>
        <v>BOM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45</v>
      </c>
      <c r="C2692" t="s">
        <v>43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283"/>
        <v>BOM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46</v>
      </c>
      <c r="C2693" t="s">
        <v>18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 t="shared" si="283"/>
        <v>BOM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47</v>
      </c>
      <c r="C2694" t="s">
        <v>16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19</v>
      </c>
      <c r="K2694" s="3">
        <f>I2694-J2694</f>
        <v>0</v>
      </c>
      <c r="L2694" s="3" t="str">
        <f t="shared" si="283"/>
        <v>BOM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48</v>
      </c>
      <c r="C2695" t="s">
        <v>16</v>
      </c>
      <c r="D2695">
        <v>0</v>
      </c>
      <c r="E2695">
        <v>0</v>
      </c>
      <c r="F2695">
        <v>0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 t="shared" si="283"/>
        <v>BOM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49</v>
      </c>
      <c r="C2696" t="s">
        <v>18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ref="I2696:I2701" si="284">E2696+G2696+H2696</f>
        <v>43</v>
      </c>
      <c r="J2696" s="3">
        <f t="shared" ref="J2696:J2701" si="285"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24</v>
      </c>
      <c r="K2696" s="3">
        <f t="shared" ref="K2696:K2701" si="286">I2696-J2696</f>
        <v>19</v>
      </c>
      <c r="L2696" s="3" t="str">
        <f t="shared" si="283"/>
        <v>EXCELENTE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50</v>
      </c>
      <c r="C2697" t="s">
        <v>20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284"/>
        <v>23</v>
      </c>
      <c r="J2697" s="3">
        <f t="shared" si="285"/>
        <v>16</v>
      </c>
      <c r="K2697" s="3">
        <f t="shared" si="286"/>
        <v>7</v>
      </c>
      <c r="L2697" s="3" t="str">
        <f t="shared" si="283"/>
        <v>EXCELENTE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51</v>
      </c>
      <c r="C2698" t="s">
        <v>23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284"/>
        <v>37</v>
      </c>
      <c r="J2698" s="3">
        <f t="shared" si="285"/>
        <v>7</v>
      </c>
      <c r="K2698" s="3">
        <f t="shared" si="286"/>
        <v>30</v>
      </c>
      <c r="L2698" s="3" t="str">
        <f t="shared" si="283"/>
        <v>EXCELENTE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52</v>
      </c>
      <c r="C2699" t="s">
        <v>18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284"/>
        <v>11</v>
      </c>
      <c r="J2699" s="3">
        <f t="shared" si="285"/>
        <v>24</v>
      </c>
      <c r="K2699" s="3">
        <f t="shared" si="286"/>
        <v>-13</v>
      </c>
      <c r="L2699" s="3" t="str">
        <f t="shared" si="283"/>
        <v>CRÍTICO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53</v>
      </c>
      <c r="C2700" t="s">
        <v>18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284"/>
        <v>35</v>
      </c>
      <c r="J2700" s="3">
        <f t="shared" si="285"/>
        <v>24</v>
      </c>
      <c r="K2700" s="3">
        <f t="shared" si="286"/>
        <v>11</v>
      </c>
      <c r="L2700" s="3" t="str">
        <f t="shared" si="283"/>
        <v>EXCELENTE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54</v>
      </c>
      <c r="C2701" t="s">
        <v>23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284"/>
        <v>7</v>
      </c>
      <c r="J2701" s="3">
        <f t="shared" si="285"/>
        <v>7</v>
      </c>
      <c r="K2701" s="3">
        <f t="shared" si="286"/>
        <v>0</v>
      </c>
      <c r="L2701" s="3" t="str">
        <f t="shared" si="283"/>
        <v>BOM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55</v>
      </c>
      <c r="C2702" t="s">
        <v>43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 t="shared" si="283"/>
        <v>BOM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56</v>
      </c>
      <c r="C2703" t="s">
        <v>16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19</v>
      </c>
      <c r="K2703" s="3">
        <f>I2703-J2703</f>
        <v>1</v>
      </c>
      <c r="L2703" s="3" t="str">
        <f t="shared" si="283"/>
        <v>BOM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57</v>
      </c>
      <c r="C2704" t="s">
        <v>43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 t="shared" si="283"/>
        <v>BOM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58</v>
      </c>
      <c r="C2705" t="s">
        <v>43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 t="shared" si="283"/>
        <v>BOM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59</v>
      </c>
      <c r="C2706" t="s">
        <v>23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 t="shared" si="283"/>
        <v>BOM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60</v>
      </c>
      <c r="C2707" t="s">
        <v>20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16</v>
      </c>
      <c r="K2707" s="3">
        <f>I2707-J2707</f>
        <v>7</v>
      </c>
      <c r="L2707" s="3" t="str">
        <f t="shared" si="283"/>
        <v>EXCELENTE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61</v>
      </c>
      <c r="C2708" t="s">
        <v>18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24</v>
      </c>
      <c r="K2708" s="3">
        <f>I2708-J2708</f>
        <v>15</v>
      </c>
      <c r="L2708" s="3" t="str">
        <f t="shared" si="283"/>
        <v>EXCELENTE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62</v>
      </c>
      <c r="C2709" t="s">
        <v>20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16</v>
      </c>
      <c r="K2709" s="3">
        <f>I2709-J2709</f>
        <v>-1</v>
      </c>
      <c r="L2709" s="3" t="str">
        <f t="shared" si="283"/>
        <v>ATENÇÃO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63</v>
      </c>
      <c r="C2710" t="s">
        <v>18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24</v>
      </c>
      <c r="K2710" s="3">
        <f>I2710-J2710</f>
        <v>-2</v>
      </c>
      <c r="L2710" s="3" t="str">
        <f t="shared" si="283"/>
        <v>ATENÇÃO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15</v>
      </c>
      <c r="C2711" t="s">
        <v>16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21</v>
      </c>
      <c r="K2711" s="3">
        <f>I2711-J2711</f>
        <v>3</v>
      </c>
      <c r="L2711" s="3" t="str">
        <f t="shared" si="283"/>
        <v>BOM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17</v>
      </c>
      <c r="C2712" t="s">
        <v>18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 t="shared" si="283"/>
        <v>BOM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19</v>
      </c>
      <c r="C2713" t="s">
        <v>20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17</v>
      </c>
      <c r="K2713" s="3">
        <f>I2713-J2713</f>
        <v>6</v>
      </c>
      <c r="L2713" s="3" t="str">
        <f t="shared" si="283"/>
        <v>EXCELENTE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21</v>
      </c>
      <c r="C2714" t="s">
        <v>18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27</v>
      </c>
      <c r="K2714" s="3">
        <f>I2714-J2714</f>
        <v>-1</v>
      </c>
      <c r="L2714" s="3" t="str">
        <f t="shared" si="283"/>
        <v>ATENÇÃO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22</v>
      </c>
      <c r="C2715" t="s">
        <v>23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 t="shared" si="283"/>
        <v>BOM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24</v>
      </c>
      <c r="C2716" t="s">
        <v>16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21</v>
      </c>
      <c r="K2716" s="3">
        <f>I2716-J2716</f>
        <v>3</v>
      </c>
      <c r="L2716" s="3" t="str">
        <f t="shared" si="283"/>
        <v>BOM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25</v>
      </c>
      <c r="C2717" t="s">
        <v>16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21</v>
      </c>
      <c r="K2717" s="3">
        <f>I2717-J2717</f>
        <v>-5</v>
      </c>
      <c r="L2717" s="3" t="str">
        <f t="shared" si="283"/>
        <v>ATENÇÃO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26</v>
      </c>
      <c r="C2718" t="s">
        <v>23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 t="shared" si="283"/>
        <v>BOM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27</v>
      </c>
      <c r="C2719" t="s">
        <v>20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17</v>
      </c>
      <c r="K2719" s="3">
        <f>I2719-J2719</f>
        <v>2</v>
      </c>
      <c r="L2719" s="3" t="str">
        <f t="shared" si="283"/>
        <v>BOM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28</v>
      </c>
      <c r="C2720" t="s">
        <v>18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27</v>
      </c>
      <c r="K2720" s="3">
        <f>I2720-J2720</f>
        <v>11</v>
      </c>
      <c r="L2720" s="3" t="str">
        <f t="shared" si="283"/>
        <v>EXCELENTE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29</v>
      </c>
      <c r="C2721" t="s">
        <v>16</v>
      </c>
      <c r="D2721">
        <v>0</v>
      </c>
      <c r="E2721">
        <v>0</v>
      </c>
      <c r="F2721">
        <v>0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 t="shared" si="283"/>
        <v>BOM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30</v>
      </c>
      <c r="C2722" t="s">
        <v>20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17</v>
      </c>
      <c r="K2722" s="3">
        <f>I2722-J2722</f>
        <v>5</v>
      </c>
      <c r="L2722" s="3" t="str">
        <f t="shared" si="283"/>
        <v>BOM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31</v>
      </c>
      <c r="C2723" t="s">
        <v>18</v>
      </c>
      <c r="D2723">
        <v>0</v>
      </c>
      <c r="E2723">
        <v>0</v>
      </c>
      <c r="F2723">
        <v>0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 t="shared" si="283"/>
        <v>BOM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32</v>
      </c>
      <c r="C2724" t="s">
        <v>23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ref="I2724:I2730" si="287">E2724+G2724+H2724</f>
        <v>45</v>
      </c>
      <c r="J2724" s="3">
        <f t="shared" ref="J2724:J2730" si="288"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 t="shared" ref="K2724:K2730" si="289">I2724-J2724</f>
        <v>37</v>
      </c>
      <c r="L2724" s="3" t="str">
        <f t="shared" si="283"/>
        <v>EXCELENTE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33</v>
      </c>
      <c r="C2725" t="s">
        <v>16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287"/>
        <v>31</v>
      </c>
      <c r="J2725" s="3">
        <f t="shared" si="288"/>
        <v>21</v>
      </c>
      <c r="K2725" s="3">
        <f t="shared" si="289"/>
        <v>10</v>
      </c>
      <c r="L2725" s="3" t="str">
        <f t="shared" si="283"/>
        <v>EXCELENTE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34</v>
      </c>
      <c r="C2726" t="s">
        <v>18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287"/>
        <v>36</v>
      </c>
      <c r="J2726" s="3">
        <f t="shared" si="288"/>
        <v>27</v>
      </c>
      <c r="K2726" s="3">
        <f t="shared" si="289"/>
        <v>9</v>
      </c>
      <c r="L2726" s="3" t="str">
        <f t="shared" si="283"/>
        <v>EXCELENTE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35</v>
      </c>
      <c r="C2727" t="s">
        <v>16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287"/>
        <v>17</v>
      </c>
      <c r="J2727" s="3">
        <f t="shared" si="288"/>
        <v>21</v>
      </c>
      <c r="K2727" s="3">
        <f t="shared" si="289"/>
        <v>-4</v>
      </c>
      <c r="L2727" s="3" t="str">
        <f t="shared" si="283"/>
        <v>ATENÇÃO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36</v>
      </c>
      <c r="C2728" t="s">
        <v>20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si="287"/>
        <v>28</v>
      </c>
      <c r="J2728" s="3">
        <f t="shared" si="288"/>
        <v>18</v>
      </c>
      <c r="K2728" s="3">
        <f t="shared" si="289"/>
        <v>10</v>
      </c>
      <c r="L2728" s="3" t="str">
        <f>IF(K2728&lt;-5,"CRÍTICO",IF(K2728&lt;0,"ATENÇÃO",IF(K2728&lt;=5,"OPORTUNO","MUITO BOM")))</f>
        <v>MUITO BOM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37</v>
      </c>
      <c r="C2729" t="s">
        <v>16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287"/>
        <v>28</v>
      </c>
      <c r="J2729" s="3">
        <f t="shared" si="288"/>
        <v>21</v>
      </c>
      <c r="K2729" s="3">
        <f t="shared" si="289"/>
        <v>7</v>
      </c>
      <c r="L2729" s="3" t="str">
        <f t="shared" ref="L2729:L2746" si="290">IF(K2729&lt;-5,"CRÍTICO",IF(K2729&lt;0,"ATENÇÃO",IF(K2729&lt;=5,"BOM","EXCELENTE")))</f>
        <v>EXCELENTE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38</v>
      </c>
      <c r="C2730" t="s">
        <v>18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287"/>
        <v>47</v>
      </c>
      <c r="J2730" s="3">
        <f t="shared" si="288"/>
        <v>27</v>
      </c>
      <c r="K2730" s="3">
        <f t="shared" si="289"/>
        <v>20</v>
      </c>
      <c r="L2730" s="3" t="str">
        <f t="shared" si="290"/>
        <v>EXCELENTE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39</v>
      </c>
      <c r="C2731" t="s">
        <v>18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 t="shared" si="290"/>
        <v>BOM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40</v>
      </c>
      <c r="C2732" t="s">
        <v>16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21</v>
      </c>
      <c r="K2732" s="3">
        <f>I2732-J2732</f>
        <v>8</v>
      </c>
      <c r="L2732" s="3" t="str">
        <f t="shared" si="290"/>
        <v>EXCELENTE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41</v>
      </c>
      <c r="C2733" t="s">
        <v>18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 t="shared" si="290"/>
        <v>BOM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42</v>
      </c>
      <c r="C2734" t="s">
        <v>43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15</v>
      </c>
      <c r="K2734" s="3">
        <f>I2734-J2734</f>
        <v>2</v>
      </c>
      <c r="L2734" s="3" t="str">
        <f t="shared" si="290"/>
        <v>BOM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44</v>
      </c>
      <c r="C2735" t="s">
        <v>18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 t="shared" si="290"/>
        <v>BOM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45</v>
      </c>
      <c r="C2736" t="s">
        <v>43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15</v>
      </c>
      <c r="K2736" s="3">
        <f>I2736-J2736</f>
        <v>-9</v>
      </c>
      <c r="L2736" s="3" t="str">
        <f t="shared" si="290"/>
        <v>CRÍTICO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46</v>
      </c>
      <c r="C2737" t="s">
        <v>18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 t="shared" si="290"/>
        <v>BOM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47</v>
      </c>
      <c r="C2738" t="s">
        <v>16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21</v>
      </c>
      <c r="K2738" s="3">
        <f>I2738-J2738</f>
        <v>5</v>
      </c>
      <c r="L2738" s="3" t="str">
        <f t="shared" si="290"/>
        <v>BOM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48</v>
      </c>
      <c r="C2739" t="s">
        <v>16</v>
      </c>
      <c r="D2739">
        <v>0</v>
      </c>
      <c r="E2739">
        <v>0</v>
      </c>
      <c r="F2739">
        <v>0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 t="shared" si="290"/>
        <v>BOM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49</v>
      </c>
      <c r="C2740" t="s">
        <v>18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ref="I2740:I2745" si="291">E2740+G2740+H2740</f>
        <v>29</v>
      </c>
      <c r="J2740" s="3">
        <f t="shared" ref="J2740:J2745" si="292"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27</v>
      </c>
      <c r="K2740" s="3">
        <f t="shared" ref="K2740:K2745" si="293">I2740-J2740</f>
        <v>2</v>
      </c>
      <c r="L2740" s="3" t="str">
        <f t="shared" si="290"/>
        <v>BOM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50</v>
      </c>
      <c r="C2741" t="s">
        <v>20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291"/>
        <v>25</v>
      </c>
      <c r="J2741" s="3">
        <f t="shared" si="292"/>
        <v>17</v>
      </c>
      <c r="K2741" s="3">
        <f t="shared" si="293"/>
        <v>8</v>
      </c>
      <c r="L2741" s="3" t="str">
        <f t="shared" si="290"/>
        <v>EXCELENTE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51</v>
      </c>
      <c r="C2742" t="s">
        <v>23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291"/>
        <v>31</v>
      </c>
      <c r="J2742" s="3">
        <f t="shared" si="292"/>
        <v>8</v>
      </c>
      <c r="K2742" s="3">
        <f t="shared" si="293"/>
        <v>23</v>
      </c>
      <c r="L2742" s="3" t="str">
        <f t="shared" si="290"/>
        <v>EXCELENTE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52</v>
      </c>
      <c r="C2743" t="s">
        <v>18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291"/>
        <v>7</v>
      </c>
      <c r="J2743" s="3">
        <f t="shared" si="292"/>
        <v>27</v>
      </c>
      <c r="K2743" s="3">
        <f t="shared" si="293"/>
        <v>-20</v>
      </c>
      <c r="L2743" s="3" t="str">
        <f t="shared" si="290"/>
        <v>CRÍTICO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53</v>
      </c>
      <c r="C2744" t="s">
        <v>18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291"/>
        <v>29</v>
      </c>
      <c r="J2744" s="3">
        <f t="shared" si="292"/>
        <v>27</v>
      </c>
      <c r="K2744" s="3">
        <f t="shared" si="293"/>
        <v>2</v>
      </c>
      <c r="L2744" s="3" t="str">
        <f t="shared" si="290"/>
        <v>BOM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54</v>
      </c>
      <c r="C2745" t="s">
        <v>23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291"/>
        <v>14</v>
      </c>
      <c r="J2745" s="3">
        <f t="shared" si="292"/>
        <v>8</v>
      </c>
      <c r="K2745" s="3">
        <f t="shared" si="293"/>
        <v>6</v>
      </c>
      <c r="L2745" s="3" t="str">
        <f t="shared" si="290"/>
        <v>EXCELENTE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55</v>
      </c>
      <c r="C2746" t="s">
        <v>43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 t="shared" si="290"/>
        <v>BOM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56</v>
      </c>
      <c r="C2747" t="s">
        <v>16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21</v>
      </c>
      <c r="K2747" s="3">
        <f>I2747-J2747</f>
        <v>4</v>
      </c>
      <c r="L2747" s="3" t="str">
        <f t="shared" ref="L2747:L2810" si="294">IF(K2747&lt;-5,"CRÍTICO",IF(K2747&lt;0,"ATENÇÃO",IF(K2747&lt;=5,"OPORTUNO","MUITO BOM")))</f>
        <v>OPORTUNO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57</v>
      </c>
      <c r="C2748" t="s">
        <v>43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15</v>
      </c>
      <c r="K2748" s="3">
        <f>I2748-J2748</f>
        <v>-9</v>
      </c>
      <c r="L2748" s="3" t="str">
        <f t="shared" si="294"/>
        <v>CRÍTICO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58</v>
      </c>
      <c r="C2749" t="s">
        <v>43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15</v>
      </c>
      <c r="K2749" s="3">
        <f>I2749-J2749</f>
        <v>-10</v>
      </c>
      <c r="L2749" s="3" t="str">
        <f t="shared" si="294"/>
        <v>CRÍTICO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59</v>
      </c>
      <c r="C2750" t="s">
        <v>23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 t="shared" si="294"/>
        <v>OPORTUNO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60</v>
      </c>
      <c r="C2751" t="s">
        <v>20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17</v>
      </c>
      <c r="K2751" s="3">
        <f>I2751-J2751</f>
        <v>6</v>
      </c>
      <c r="L2751" s="3" t="str">
        <f t="shared" si="294"/>
        <v>MUITO BOM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61</v>
      </c>
      <c r="C2752" t="s">
        <v>18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27</v>
      </c>
      <c r="K2752" s="3">
        <f>I2752-J2752</f>
        <v>9</v>
      </c>
      <c r="L2752" s="3" t="str">
        <f t="shared" si="294"/>
        <v>MUITO BOM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62</v>
      </c>
      <c r="C2753" t="s">
        <v>20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17</v>
      </c>
      <c r="K2753" s="3">
        <f>I2753-J2753</f>
        <v>4</v>
      </c>
      <c r="L2753" s="3" t="str">
        <f t="shared" si="294"/>
        <v>OPORTUNO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63</v>
      </c>
      <c r="C2754" t="s">
        <v>18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27</v>
      </c>
      <c r="K2754" s="3">
        <f>I2754-J2754</f>
        <v>0</v>
      </c>
      <c r="L2754" s="3" t="str">
        <f t="shared" si="294"/>
        <v>OPORTUNO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15</v>
      </c>
      <c r="C2755" t="s">
        <v>16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20</v>
      </c>
      <c r="K2755" s="3">
        <f>I2755-J2755</f>
        <v>13</v>
      </c>
      <c r="L2755" s="3" t="str">
        <f t="shared" si="294"/>
        <v>MUITO BOM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17</v>
      </c>
      <c r="C2756" t="s">
        <v>18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 t="shared" si="294"/>
        <v>OPORTUNO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19</v>
      </c>
      <c r="C2757" t="s">
        <v>20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17</v>
      </c>
      <c r="K2757" s="3">
        <f>I2757-J2757</f>
        <v>4</v>
      </c>
      <c r="L2757" s="3" t="str">
        <f t="shared" si="294"/>
        <v>OPORTUNO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21</v>
      </c>
      <c r="C2758" t="s">
        <v>18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25</v>
      </c>
      <c r="K2758" s="3">
        <f>I2758-J2758</f>
        <v>0</v>
      </c>
      <c r="L2758" s="3" t="str">
        <f t="shared" si="294"/>
        <v>OPORTUNO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22</v>
      </c>
      <c r="C2759" t="s">
        <v>23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7</v>
      </c>
      <c r="K2759" s="3">
        <f>I2759-J2759</f>
        <v>-1</v>
      </c>
      <c r="L2759" s="3" t="str">
        <f t="shared" si="294"/>
        <v>ATENÇÃO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24</v>
      </c>
      <c r="C2760" t="s">
        <v>16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20</v>
      </c>
      <c r="K2760" s="3">
        <f>I2760-J2760</f>
        <v>23</v>
      </c>
      <c r="L2760" s="3" t="str">
        <f t="shared" si="294"/>
        <v>MUITO BOM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25</v>
      </c>
      <c r="C2761" t="s">
        <v>16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20</v>
      </c>
      <c r="K2761" s="3">
        <f>I2761-J2761</f>
        <v>3</v>
      </c>
      <c r="L2761" s="3" t="str">
        <f t="shared" si="294"/>
        <v>OPORTUNO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26</v>
      </c>
      <c r="C2762" t="s">
        <v>23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 t="shared" si="294"/>
        <v>OPORTUNO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27</v>
      </c>
      <c r="C2763" t="s">
        <v>20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17</v>
      </c>
      <c r="K2763" s="3">
        <f>I2763-J2763</f>
        <v>1</v>
      </c>
      <c r="L2763" s="3" t="str">
        <f t="shared" si="294"/>
        <v>OPORTUNO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28</v>
      </c>
      <c r="C2764" t="s">
        <v>18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294"/>
        <v>OPORTUNO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29</v>
      </c>
      <c r="C2765" t="s">
        <v>16</v>
      </c>
      <c r="D2765">
        <v>0</v>
      </c>
      <c r="E2765">
        <v>0</v>
      </c>
      <c r="F2765">
        <v>0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 t="shared" si="294"/>
        <v>OPORTUNO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30</v>
      </c>
      <c r="C2766" t="s">
        <v>20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17</v>
      </c>
      <c r="K2766" s="3">
        <f>I2766-J2766</f>
        <v>4</v>
      </c>
      <c r="L2766" s="3" t="str">
        <f t="shared" si="294"/>
        <v>OPORTUNO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31</v>
      </c>
      <c r="C2767" t="s">
        <v>18</v>
      </c>
      <c r="D2767">
        <v>0</v>
      </c>
      <c r="E2767">
        <v>0</v>
      </c>
      <c r="F2767">
        <v>0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 t="shared" si="294"/>
        <v>OPORTUNO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32</v>
      </c>
      <c r="C2768" t="s">
        <v>23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ref="I2768:I2774" si="295">E2768+G2768+H2768</f>
        <v>35</v>
      </c>
      <c r="J2768" s="3">
        <f t="shared" ref="J2768:J2774" si="296"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7</v>
      </c>
      <c r="K2768" s="3">
        <f t="shared" ref="K2768:K2774" si="297">I2768-J2768</f>
        <v>28</v>
      </c>
      <c r="L2768" s="3" t="str">
        <f t="shared" si="294"/>
        <v>MUITO BOM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33</v>
      </c>
      <c r="C2769" t="s">
        <v>16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295"/>
        <v>26</v>
      </c>
      <c r="J2769" s="3">
        <f t="shared" si="296"/>
        <v>20</v>
      </c>
      <c r="K2769" s="3">
        <f t="shared" si="297"/>
        <v>6</v>
      </c>
      <c r="L2769" s="3" t="str">
        <f t="shared" si="294"/>
        <v>MUITO BOM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34</v>
      </c>
      <c r="C2770" t="s">
        <v>18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295"/>
        <v>19</v>
      </c>
      <c r="J2770" s="3">
        <f t="shared" si="296"/>
        <v>25</v>
      </c>
      <c r="K2770" s="3">
        <f t="shared" si="297"/>
        <v>-6</v>
      </c>
      <c r="L2770" s="3" t="str">
        <f t="shared" si="294"/>
        <v>CRÍTICO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35</v>
      </c>
      <c r="C2771" t="s">
        <v>16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si="295"/>
        <v>26</v>
      </c>
      <c r="J2771" s="3">
        <f t="shared" si="296"/>
        <v>20</v>
      </c>
      <c r="K2771" s="3">
        <f t="shared" si="297"/>
        <v>6</v>
      </c>
      <c r="L2771" s="3" t="str">
        <f t="shared" si="294"/>
        <v>MUITO BOM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36</v>
      </c>
      <c r="C2772" t="s">
        <v>20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295"/>
        <v>25</v>
      </c>
      <c r="J2772" s="3">
        <f t="shared" si="296"/>
        <v>16</v>
      </c>
      <c r="K2772" s="3">
        <f t="shared" si="297"/>
        <v>9</v>
      </c>
      <c r="L2772" s="3" t="str">
        <f t="shared" si="294"/>
        <v>MUITO BOM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37</v>
      </c>
      <c r="C2773" t="s">
        <v>16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295"/>
        <v>29</v>
      </c>
      <c r="J2773" s="3">
        <f t="shared" si="296"/>
        <v>20</v>
      </c>
      <c r="K2773" s="3">
        <f t="shared" si="297"/>
        <v>9</v>
      </c>
      <c r="L2773" s="3" t="str">
        <f t="shared" si="294"/>
        <v>MUITO BOM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38</v>
      </c>
      <c r="C2774" t="s">
        <v>18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295"/>
        <v>46</v>
      </c>
      <c r="J2774" s="3">
        <f t="shared" si="296"/>
        <v>25</v>
      </c>
      <c r="K2774" s="3">
        <f t="shared" si="297"/>
        <v>21</v>
      </c>
      <c r="L2774" s="3" t="str">
        <f t="shared" si="294"/>
        <v>MUITO BOM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39</v>
      </c>
      <c r="C2775" t="s">
        <v>18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 t="shared" si="294"/>
        <v>OPORTUNO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40</v>
      </c>
      <c r="C2776" t="s">
        <v>16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20</v>
      </c>
      <c r="K2776" s="3">
        <f>I2776-J2776</f>
        <v>14</v>
      </c>
      <c r="L2776" s="3" t="str">
        <f t="shared" si="294"/>
        <v>MUITO BOM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41</v>
      </c>
      <c r="C2777" t="s">
        <v>18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 t="shared" si="294"/>
        <v>OPORTUNO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42</v>
      </c>
      <c r="C2778" t="s">
        <v>43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15</v>
      </c>
      <c r="K2778" s="3">
        <f>I2778-J2778</f>
        <v>8</v>
      </c>
      <c r="L2778" s="3" t="str">
        <f t="shared" si="294"/>
        <v>MUITO BOM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44</v>
      </c>
      <c r="C2779" t="s">
        <v>18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 t="shared" si="294"/>
        <v>OPORTUNO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45</v>
      </c>
      <c r="C2780" t="s">
        <v>43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15</v>
      </c>
      <c r="K2780" s="3">
        <f>I2780-J2780</f>
        <v>-6</v>
      </c>
      <c r="L2780" s="3" t="str">
        <f t="shared" si="294"/>
        <v>CRÍTICO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46</v>
      </c>
      <c r="C2781" t="s">
        <v>18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 t="shared" si="294"/>
        <v>OPORTUNO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47</v>
      </c>
      <c r="C2782" t="s">
        <v>16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20</v>
      </c>
      <c r="K2782" s="3">
        <f>I2782-J2782</f>
        <v>9</v>
      </c>
      <c r="L2782" s="3" t="str">
        <f t="shared" si="294"/>
        <v>MUITO BOM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48</v>
      </c>
      <c r="C2783" t="s">
        <v>16</v>
      </c>
      <c r="D2783">
        <v>0</v>
      </c>
      <c r="E2783">
        <v>0</v>
      </c>
      <c r="F2783">
        <v>0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 t="shared" si="294"/>
        <v>OPORTUNO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49</v>
      </c>
      <c r="C2784" t="s">
        <v>18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ref="I2784:I2789" si="298">E2784+G2784+H2784</f>
        <v>32</v>
      </c>
      <c r="J2784" s="3">
        <f t="shared" ref="J2784:J2789" si="299"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25</v>
      </c>
      <c r="K2784" s="3">
        <f t="shared" ref="K2784:K2789" si="300">I2784-J2784</f>
        <v>7</v>
      </c>
      <c r="L2784" s="3" t="str">
        <f t="shared" si="294"/>
        <v>MUITO BOM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50</v>
      </c>
      <c r="C2785" t="s">
        <v>20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298"/>
        <v>20</v>
      </c>
      <c r="J2785" s="3">
        <f t="shared" si="299"/>
        <v>17</v>
      </c>
      <c r="K2785" s="3">
        <f t="shared" si="300"/>
        <v>3</v>
      </c>
      <c r="L2785" s="3" t="str">
        <f t="shared" si="294"/>
        <v>OPORTUNO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51</v>
      </c>
      <c r="C2786" t="s">
        <v>23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298"/>
        <v>28</v>
      </c>
      <c r="J2786" s="3">
        <f t="shared" si="299"/>
        <v>7</v>
      </c>
      <c r="K2786" s="3">
        <f t="shared" si="300"/>
        <v>21</v>
      </c>
      <c r="L2786" s="3" t="str">
        <f t="shared" si="294"/>
        <v>MUITO BOM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52</v>
      </c>
      <c r="C2787" t="s">
        <v>18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298"/>
        <v>10</v>
      </c>
      <c r="J2787" s="3">
        <f t="shared" si="299"/>
        <v>25</v>
      </c>
      <c r="K2787" s="3">
        <f t="shared" si="300"/>
        <v>-15</v>
      </c>
      <c r="L2787" s="3" t="str">
        <f t="shared" si="294"/>
        <v>CRÍTICO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53</v>
      </c>
      <c r="C2788" t="s">
        <v>18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298"/>
        <v>29</v>
      </c>
      <c r="J2788" s="3">
        <f t="shared" si="299"/>
        <v>25</v>
      </c>
      <c r="K2788" s="3">
        <f t="shared" si="300"/>
        <v>4</v>
      </c>
      <c r="L2788" s="3" t="str">
        <f t="shared" si="294"/>
        <v>OPORTUNO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54</v>
      </c>
      <c r="C2789" t="s">
        <v>23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298"/>
        <v>4</v>
      </c>
      <c r="J2789" s="3">
        <f t="shared" si="299"/>
        <v>7</v>
      </c>
      <c r="K2789" s="3">
        <f t="shared" si="300"/>
        <v>-3</v>
      </c>
      <c r="L2789" s="3" t="str">
        <f t="shared" si="294"/>
        <v>ATENÇÃO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55</v>
      </c>
      <c r="C2790" t="s">
        <v>43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 t="shared" si="294"/>
        <v>OPORTUNO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56</v>
      </c>
      <c r="C2791" t="s">
        <v>16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20</v>
      </c>
      <c r="K2791" s="3">
        <f>I2791-J2791</f>
        <v>10</v>
      </c>
      <c r="L2791" s="3" t="str">
        <f t="shared" si="294"/>
        <v>MUITO BOM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57</v>
      </c>
      <c r="C2792" t="s">
        <v>43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15</v>
      </c>
      <c r="K2792" s="3">
        <f>I2792-J2792</f>
        <v>0</v>
      </c>
      <c r="L2792" s="3" t="str">
        <f t="shared" si="294"/>
        <v>OPORTUNO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58</v>
      </c>
      <c r="C2793" t="s">
        <v>43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15</v>
      </c>
      <c r="K2793" s="3">
        <f>I2793-J2793</f>
        <v>-7</v>
      </c>
      <c r="L2793" s="3" t="str">
        <f t="shared" si="294"/>
        <v>CRÍTICO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59</v>
      </c>
      <c r="C2794" t="s">
        <v>23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 t="shared" si="294"/>
        <v>OPORTUNO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60</v>
      </c>
      <c r="C2795" t="s">
        <v>20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17</v>
      </c>
      <c r="K2795" s="3">
        <f>I2795-J2795</f>
        <v>1</v>
      </c>
      <c r="L2795" s="3" t="str">
        <f t="shared" si="294"/>
        <v>OPORTUNO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61</v>
      </c>
      <c r="C2796" t="s">
        <v>18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25</v>
      </c>
      <c r="K2796" s="3">
        <f>I2796-J2796</f>
        <v>17</v>
      </c>
      <c r="L2796" s="3" t="str">
        <f t="shared" si="294"/>
        <v>MUITO BOM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62</v>
      </c>
      <c r="C2797" t="s">
        <v>20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17</v>
      </c>
      <c r="K2797" s="3">
        <f>I2797-J2797</f>
        <v>-3</v>
      </c>
      <c r="L2797" s="3" t="str">
        <f t="shared" si="294"/>
        <v>ATENÇÃO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63</v>
      </c>
      <c r="C2798" t="s">
        <v>18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25</v>
      </c>
      <c r="K2798" s="3">
        <f>I2798-J2798</f>
        <v>12</v>
      </c>
      <c r="L2798" s="3" t="str">
        <f t="shared" si="294"/>
        <v>MUITO BOM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15</v>
      </c>
      <c r="C2799" t="s">
        <v>16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16</v>
      </c>
      <c r="K2799" s="3">
        <f>I2799-J2799</f>
        <v>4</v>
      </c>
      <c r="L2799" s="3" t="str">
        <f t="shared" si="294"/>
        <v>OPORTUNO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17</v>
      </c>
      <c r="C2800" t="s">
        <v>18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 t="shared" si="294"/>
        <v>OPORTUNO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19</v>
      </c>
      <c r="C2801" t="s">
        <v>20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13</v>
      </c>
      <c r="K2801" s="3">
        <f>I2801-J2801</f>
        <v>6</v>
      </c>
      <c r="L2801" s="3" t="str">
        <f t="shared" si="294"/>
        <v>MUITO BOM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21</v>
      </c>
      <c r="C2802" t="s">
        <v>18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19</v>
      </c>
      <c r="K2802" s="3">
        <f>I2802-J2802</f>
        <v>4</v>
      </c>
      <c r="L2802" s="3" t="str">
        <f t="shared" si="294"/>
        <v>OPORTUNO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22</v>
      </c>
      <c r="C2803" t="s">
        <v>23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 t="shared" si="294"/>
        <v>OPORTUNO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24</v>
      </c>
      <c r="C2804" t="s">
        <v>16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16</v>
      </c>
      <c r="K2804" s="3">
        <f>I2804-J2804</f>
        <v>20</v>
      </c>
      <c r="L2804" s="3" t="str">
        <f t="shared" si="294"/>
        <v>MUITO BOM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25</v>
      </c>
      <c r="C2805" t="s">
        <v>16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16</v>
      </c>
      <c r="K2805" s="3">
        <f>I2805-J2805</f>
        <v>-9</v>
      </c>
      <c r="L2805" s="3" t="str">
        <f t="shared" si="294"/>
        <v>CRÍTICO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26</v>
      </c>
      <c r="C2806" t="s">
        <v>23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 t="shared" si="294"/>
        <v>OPORTUNO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27</v>
      </c>
      <c r="C2807" t="s">
        <v>20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13</v>
      </c>
      <c r="K2807" s="3">
        <f>I2807-J2807</f>
        <v>6</v>
      </c>
      <c r="L2807" s="3" t="str">
        <f t="shared" si="294"/>
        <v>MUITO BOM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28</v>
      </c>
      <c r="C2808" t="s">
        <v>18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19</v>
      </c>
      <c r="K2808" s="3">
        <f>I2808-J2808</f>
        <v>14</v>
      </c>
      <c r="L2808" s="3" t="str">
        <f t="shared" si="294"/>
        <v>MUITO BOM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29</v>
      </c>
      <c r="C2809" t="s">
        <v>16</v>
      </c>
      <c r="D2809">
        <v>0</v>
      </c>
      <c r="E2809">
        <v>0</v>
      </c>
      <c r="F2809">
        <v>0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 t="shared" si="294"/>
        <v>OPORTUNO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30</v>
      </c>
      <c r="C2810" t="s">
        <v>20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13</v>
      </c>
      <c r="K2810" s="3">
        <f>I2810-J2810</f>
        <v>6</v>
      </c>
      <c r="L2810" s="3" t="str">
        <f t="shared" si="294"/>
        <v>MUITO BOM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31</v>
      </c>
      <c r="C2811" t="s">
        <v>18</v>
      </c>
      <c r="D2811">
        <v>0</v>
      </c>
      <c r="E2811">
        <v>0</v>
      </c>
      <c r="F2811">
        <v>0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 t="shared" ref="L2811:L2874" si="301">IF(K2811&lt;-5,"CRÍTICO",IF(K2811&lt;0,"ATENÇÃO",IF(K2811&lt;=5,"OPORTUNO","MUITO BOM")))</f>
        <v>OPORTUNO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32</v>
      </c>
      <c r="C2812" t="s">
        <v>23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 t="shared" si="301"/>
        <v>OPORTUNO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33</v>
      </c>
      <c r="C2813" t="s">
        <v>16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16</v>
      </c>
      <c r="K2813" s="3">
        <f>I2813-J2813</f>
        <v>9</v>
      </c>
      <c r="L2813" s="3" t="str">
        <f t="shared" si="301"/>
        <v>MUITO BOM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34</v>
      </c>
      <c r="C2814" t="s">
        <v>18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19</v>
      </c>
      <c r="K2814" s="3">
        <f>I2814-J2814</f>
        <v>7</v>
      </c>
      <c r="L2814" s="3" t="str">
        <f t="shared" si="301"/>
        <v>MUITO BOM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35</v>
      </c>
      <c r="C2815" t="s">
        <v>16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 t="shared" si="301"/>
        <v>OPORTUNO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36</v>
      </c>
      <c r="C2816" t="s">
        <v>20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16</v>
      </c>
      <c r="K2816" s="3">
        <f>I2816-J2816</f>
        <v>5</v>
      </c>
      <c r="L2816" s="3" t="str">
        <f t="shared" si="301"/>
        <v>OPORTUNO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37</v>
      </c>
      <c r="C2817" t="s">
        <v>16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16</v>
      </c>
      <c r="K2817" s="3">
        <f>I2817-J2817</f>
        <v>1</v>
      </c>
      <c r="L2817" s="3" t="str">
        <f t="shared" si="301"/>
        <v>OPORTUNO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38</v>
      </c>
      <c r="C2818" t="s">
        <v>18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19</v>
      </c>
      <c r="K2818" s="3">
        <f>I2818-J2818</f>
        <v>20</v>
      </c>
      <c r="L2818" s="3" t="str">
        <f t="shared" si="301"/>
        <v>MUITO BOM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39</v>
      </c>
      <c r="C2819" t="s">
        <v>18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19</v>
      </c>
      <c r="K2819" s="3">
        <f>I2819-J2819</f>
        <v>-16</v>
      </c>
      <c r="L2819" s="3" t="str">
        <f t="shared" si="301"/>
        <v>CRÍTICO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40</v>
      </c>
      <c r="C2820" t="s">
        <v>16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16</v>
      </c>
      <c r="K2820" s="3">
        <f>I2820-J2820</f>
        <v>10</v>
      </c>
      <c r="L2820" s="3" t="str">
        <f t="shared" si="301"/>
        <v>MUITO BOM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41</v>
      </c>
      <c r="C2821" t="s">
        <v>18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 t="shared" si="301"/>
        <v>OPORTUNO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42</v>
      </c>
      <c r="C2822" t="s">
        <v>43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11</v>
      </c>
      <c r="K2822" s="3">
        <f>I2822-J2822</f>
        <v>-3</v>
      </c>
      <c r="L2822" s="3" t="str">
        <f t="shared" si="301"/>
        <v>ATENÇÃO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44</v>
      </c>
      <c r="C2823" t="s">
        <v>18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19</v>
      </c>
      <c r="K2823" s="3">
        <f>I2823-J2823</f>
        <v>-5</v>
      </c>
      <c r="L2823" s="3" t="str">
        <f t="shared" si="301"/>
        <v>ATENÇÃO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45</v>
      </c>
      <c r="C2824" t="s">
        <v>43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11</v>
      </c>
      <c r="K2824" s="3">
        <f>I2824-J2824</f>
        <v>-6</v>
      </c>
      <c r="L2824" s="3" t="str">
        <f t="shared" si="301"/>
        <v>CRÍTICO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46</v>
      </c>
      <c r="C2825" t="s">
        <v>18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19</v>
      </c>
      <c r="K2825" s="3">
        <f>I2825-J2825</f>
        <v>-12</v>
      </c>
      <c r="L2825" s="3" t="str">
        <f t="shared" si="301"/>
        <v>CRÍTICO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47</v>
      </c>
      <c r="C2826" t="s">
        <v>16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16</v>
      </c>
      <c r="K2826" s="3">
        <f>I2826-J2826</f>
        <v>5</v>
      </c>
      <c r="L2826" s="3" t="str">
        <f t="shared" si="301"/>
        <v>OPORTUNO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48</v>
      </c>
      <c r="C2827" t="s">
        <v>16</v>
      </c>
      <c r="D2827">
        <v>0</v>
      </c>
      <c r="E2827">
        <v>0</v>
      </c>
      <c r="F2827">
        <v>0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 t="shared" si="301"/>
        <v>OPORTUNO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49</v>
      </c>
      <c r="C2828" t="s">
        <v>18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19</v>
      </c>
      <c r="K2828" s="3">
        <f>I2828-J2828</f>
        <v>5</v>
      </c>
      <c r="L2828" s="3" t="str">
        <f t="shared" si="301"/>
        <v>OPORTUNO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50</v>
      </c>
      <c r="C2829" t="s">
        <v>20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13</v>
      </c>
      <c r="K2829" s="3">
        <f>I2829-J2829</f>
        <v>10</v>
      </c>
      <c r="L2829" s="3" t="str">
        <f t="shared" si="301"/>
        <v>MUITO BOM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51</v>
      </c>
      <c r="C2830" t="s">
        <v>23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 t="shared" si="301"/>
        <v>OPORTUNO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52</v>
      </c>
      <c r="C2831" t="s">
        <v>18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19</v>
      </c>
      <c r="K2831" s="3">
        <f>I2831-J2831</f>
        <v>16</v>
      </c>
      <c r="L2831" s="3" t="str">
        <f t="shared" si="301"/>
        <v>MUITO BOM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53</v>
      </c>
      <c r="C2832" t="s">
        <v>18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19</v>
      </c>
      <c r="K2832" s="3">
        <f>I2832-J2832</f>
        <v>4</v>
      </c>
      <c r="L2832" s="3" t="str">
        <f t="shared" si="301"/>
        <v>OPORTUNO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54</v>
      </c>
      <c r="C2833" t="s">
        <v>23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 t="shared" si="301"/>
        <v>ATENÇÃO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55</v>
      </c>
      <c r="C2834" t="s">
        <v>43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 t="shared" si="301"/>
        <v>OPORTUNO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56</v>
      </c>
      <c r="C2835" t="s">
        <v>16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16</v>
      </c>
      <c r="K2835" s="3">
        <f>I2835-J2835</f>
        <v>-2</v>
      </c>
      <c r="L2835" s="3" t="str">
        <f t="shared" si="301"/>
        <v>ATENÇÃO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57</v>
      </c>
      <c r="C2836" t="s">
        <v>43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11</v>
      </c>
      <c r="K2836" s="3">
        <f>I2836-J2836</f>
        <v>-7</v>
      </c>
      <c r="L2836" s="3" t="str">
        <f t="shared" si="301"/>
        <v>CRÍTICO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58</v>
      </c>
      <c r="C2837" t="s">
        <v>43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11</v>
      </c>
      <c r="K2837" s="3">
        <f>I2837-J2837</f>
        <v>-4</v>
      </c>
      <c r="L2837" s="3" t="str">
        <f t="shared" si="301"/>
        <v>ATENÇÃO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59</v>
      </c>
      <c r="C2838" t="s">
        <v>23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 t="shared" si="301"/>
        <v>OPORTUNO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60</v>
      </c>
      <c r="C2839" t="s">
        <v>20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13</v>
      </c>
      <c r="K2839" s="3">
        <f>I2839-J2839</f>
        <v>-12</v>
      </c>
      <c r="L2839" s="3" t="str">
        <f t="shared" si="301"/>
        <v>CRÍTICO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61</v>
      </c>
      <c r="C2840" t="s">
        <v>18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19</v>
      </c>
      <c r="K2840" s="3">
        <f>I2840-J2840</f>
        <v>13</v>
      </c>
      <c r="L2840" s="3" t="str">
        <f t="shared" si="301"/>
        <v>MUITO BOM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62</v>
      </c>
      <c r="C2841" t="s">
        <v>20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13</v>
      </c>
      <c r="K2841" s="3">
        <f>I2841-J2841</f>
        <v>-4</v>
      </c>
      <c r="L2841" s="3" t="str">
        <f t="shared" si="301"/>
        <v>ATENÇÃO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63</v>
      </c>
      <c r="C2842" t="s">
        <v>18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19</v>
      </c>
      <c r="K2842" s="3">
        <f>I2842-J2842</f>
        <v>3</v>
      </c>
      <c r="L2842" s="3" t="str">
        <f t="shared" si="301"/>
        <v>OPORTUNO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15</v>
      </c>
      <c r="C2843" t="s">
        <v>16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16</v>
      </c>
      <c r="K2843" s="3">
        <f>I2843-J2843</f>
        <v>16</v>
      </c>
      <c r="L2843" s="3" t="str">
        <f t="shared" si="301"/>
        <v>MUITO BOM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17</v>
      </c>
      <c r="C2844" t="s">
        <v>18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 t="shared" si="301"/>
        <v>OPORTUNO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19</v>
      </c>
      <c r="C2845" t="s">
        <v>20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13</v>
      </c>
      <c r="K2845" s="3">
        <f>I2845-J2845</f>
        <v>5</v>
      </c>
      <c r="L2845" s="3" t="str">
        <f t="shared" si="301"/>
        <v>OPORTUNO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21</v>
      </c>
      <c r="C2846" t="s">
        <v>18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20</v>
      </c>
      <c r="K2846" s="3">
        <f>I2846-J2846</f>
        <v>-1</v>
      </c>
      <c r="L2846" s="3" t="str">
        <f t="shared" si="301"/>
        <v>ATENÇÃO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22</v>
      </c>
      <c r="C2847" t="s">
        <v>23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 t="shared" si="301"/>
        <v>OPORTUNO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24</v>
      </c>
      <c r="C2848" t="s">
        <v>16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16</v>
      </c>
      <c r="K2848" s="3">
        <f>I2848-J2848</f>
        <v>18</v>
      </c>
      <c r="L2848" s="3" t="str">
        <f t="shared" si="301"/>
        <v>MUITO BOM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25</v>
      </c>
      <c r="C2849" t="s">
        <v>16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16</v>
      </c>
      <c r="K2849" s="3">
        <f>I2849-J2849</f>
        <v>-1</v>
      </c>
      <c r="L2849" s="3" t="str">
        <f t="shared" si="301"/>
        <v>ATENÇÃO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26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 t="shared" si="301"/>
        <v>OPORTUNO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27</v>
      </c>
      <c r="C2851" t="s">
        <v>20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13</v>
      </c>
      <c r="K2851" s="3">
        <f>I2851-J2851</f>
        <v>11</v>
      </c>
      <c r="L2851" s="3" t="str">
        <f t="shared" si="301"/>
        <v>MUITO BOM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28</v>
      </c>
      <c r="C2852" t="s">
        <v>18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20</v>
      </c>
      <c r="K2852" s="3">
        <f>I2852-J2852</f>
        <v>-5</v>
      </c>
      <c r="L2852" s="3" t="str">
        <f t="shared" si="301"/>
        <v>ATENÇÃO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29</v>
      </c>
      <c r="C2853" t="s">
        <v>16</v>
      </c>
      <c r="D2853">
        <v>0</v>
      </c>
      <c r="E2853">
        <v>0</v>
      </c>
      <c r="F2853">
        <v>0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 t="shared" si="301"/>
        <v>OPORTUNO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30</v>
      </c>
      <c r="C2854" t="s">
        <v>20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13</v>
      </c>
      <c r="K2854" s="3">
        <f>I2854-J2854</f>
        <v>9</v>
      </c>
      <c r="L2854" s="3" t="str">
        <f t="shared" si="301"/>
        <v>MUITO BOM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31</v>
      </c>
      <c r="C2855" t="s">
        <v>18</v>
      </c>
      <c r="D2855">
        <v>0</v>
      </c>
      <c r="E2855">
        <v>0</v>
      </c>
      <c r="F2855">
        <v>0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 t="shared" si="301"/>
        <v>OPORTUNO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32</v>
      </c>
      <c r="C2856" t="s">
        <v>23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ref="I2856:I2864" si="302">E2856+G2856+H2856</f>
        <v>6</v>
      </c>
      <c r="J2856" s="3">
        <f t="shared" ref="J2856:J2864" si="303"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 t="shared" ref="K2856:K2864" si="304">I2856-J2856</f>
        <v>0</v>
      </c>
      <c r="L2856" s="3" t="str">
        <f t="shared" si="301"/>
        <v>OPORTUNO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33</v>
      </c>
      <c r="C2857" t="s">
        <v>16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302"/>
        <v>15</v>
      </c>
      <c r="J2857" s="3">
        <f t="shared" si="303"/>
        <v>16</v>
      </c>
      <c r="K2857" s="3">
        <f t="shared" si="304"/>
        <v>-1</v>
      </c>
      <c r="L2857" s="3" t="str">
        <f t="shared" si="301"/>
        <v>ATENÇÃO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34</v>
      </c>
      <c r="C2858" t="s">
        <v>18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302"/>
        <v>12</v>
      </c>
      <c r="J2858" s="3">
        <f t="shared" si="303"/>
        <v>20</v>
      </c>
      <c r="K2858" s="3">
        <f t="shared" si="304"/>
        <v>-8</v>
      </c>
      <c r="L2858" s="3" t="str">
        <f t="shared" si="301"/>
        <v>CRÍTICO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35</v>
      </c>
      <c r="C2859" t="s">
        <v>16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302"/>
        <v>15</v>
      </c>
      <c r="J2859" s="3">
        <f t="shared" si="303"/>
        <v>16</v>
      </c>
      <c r="K2859" s="3">
        <f t="shared" si="304"/>
        <v>-1</v>
      </c>
      <c r="L2859" s="3" t="str">
        <f t="shared" si="301"/>
        <v>ATENÇÃO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36</v>
      </c>
      <c r="C2860" t="s">
        <v>20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302"/>
        <v>24</v>
      </c>
      <c r="J2860" s="3">
        <f t="shared" si="303"/>
        <v>16</v>
      </c>
      <c r="K2860" s="3">
        <f t="shared" si="304"/>
        <v>8</v>
      </c>
      <c r="L2860" s="3" t="str">
        <f t="shared" si="301"/>
        <v>MUITO BOM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37</v>
      </c>
      <c r="C2861" t="s">
        <v>16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302"/>
        <v>24</v>
      </c>
      <c r="J2861" s="3">
        <f t="shared" si="303"/>
        <v>16</v>
      </c>
      <c r="K2861" s="3">
        <f t="shared" si="304"/>
        <v>8</v>
      </c>
      <c r="L2861" s="3" t="str">
        <f t="shared" si="301"/>
        <v>MUITO BOM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38</v>
      </c>
      <c r="C2862" t="s">
        <v>18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302"/>
        <v>36</v>
      </c>
      <c r="J2862" s="3">
        <f t="shared" si="303"/>
        <v>20</v>
      </c>
      <c r="K2862" s="3">
        <f t="shared" si="304"/>
        <v>16</v>
      </c>
      <c r="L2862" s="3" t="str">
        <f t="shared" si="301"/>
        <v>MUITO BOM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39</v>
      </c>
      <c r="C2863" t="s">
        <v>18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302"/>
        <v>9</v>
      </c>
      <c r="J2863" s="3">
        <f t="shared" si="303"/>
        <v>20</v>
      </c>
      <c r="K2863" s="3">
        <f t="shared" si="304"/>
        <v>-11</v>
      </c>
      <c r="L2863" s="3" t="str">
        <f t="shared" si="301"/>
        <v>CRÍTICO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40</v>
      </c>
      <c r="C2864" t="s">
        <v>16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302"/>
        <v>19</v>
      </c>
      <c r="J2864" s="3">
        <f t="shared" si="303"/>
        <v>16</v>
      </c>
      <c r="K2864" s="3">
        <f t="shared" si="304"/>
        <v>3</v>
      </c>
      <c r="L2864" s="3" t="str">
        <f t="shared" si="301"/>
        <v>OPORTUNO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41</v>
      </c>
      <c r="C2865" t="s">
        <v>18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 t="shared" si="301"/>
        <v>OPORTUNO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42</v>
      </c>
      <c r="C2866" t="s">
        <v>43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11</v>
      </c>
      <c r="K2866" s="3">
        <f>I2866-J2866</f>
        <v>-3</v>
      </c>
      <c r="L2866" s="3" t="str">
        <f t="shared" si="301"/>
        <v>ATENÇÃO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44</v>
      </c>
      <c r="C2867" t="s">
        <v>18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20</v>
      </c>
      <c r="K2867" s="3">
        <f>I2867-J2867</f>
        <v>-19</v>
      </c>
      <c r="L2867" s="3" t="str">
        <f t="shared" si="301"/>
        <v>CRÍTICO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45</v>
      </c>
      <c r="C2868" t="s">
        <v>43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11</v>
      </c>
      <c r="K2868" s="3">
        <f>I2868-J2868</f>
        <v>1</v>
      </c>
      <c r="L2868" s="3" t="str">
        <f t="shared" si="301"/>
        <v>OPORTUNO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46</v>
      </c>
      <c r="C2869" t="s">
        <v>18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20</v>
      </c>
      <c r="K2869" s="3">
        <f>I2869-J2869</f>
        <v>-7</v>
      </c>
      <c r="L2869" s="3" t="str">
        <f t="shared" si="301"/>
        <v>CRÍTICO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47</v>
      </c>
      <c r="C2870" t="s">
        <v>16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16</v>
      </c>
      <c r="K2870" s="3">
        <f>I2870-J2870</f>
        <v>6</v>
      </c>
      <c r="L2870" s="3" t="str">
        <f t="shared" si="301"/>
        <v>MUITO BOM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48</v>
      </c>
      <c r="C2871" t="s">
        <v>16</v>
      </c>
      <c r="D2871">
        <v>0</v>
      </c>
      <c r="E2871">
        <v>0</v>
      </c>
      <c r="F2871">
        <v>0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 t="shared" si="301"/>
        <v>OPORTUNO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49</v>
      </c>
      <c r="C2872" t="s">
        <v>18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ref="I2872:I2877" si="305">E2872+G2872+H2872</f>
        <v>30</v>
      </c>
      <c r="J2872" s="3">
        <f t="shared" ref="J2872:J2877" si="306"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20</v>
      </c>
      <c r="K2872" s="3">
        <f t="shared" ref="K2872:K2877" si="307">I2872-J2872</f>
        <v>10</v>
      </c>
      <c r="L2872" s="3" t="str">
        <f t="shared" si="301"/>
        <v>MUITO BOM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50</v>
      </c>
      <c r="C2873" t="s">
        <v>20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305"/>
        <v>19</v>
      </c>
      <c r="J2873" s="3">
        <f t="shared" si="306"/>
        <v>13</v>
      </c>
      <c r="K2873" s="3">
        <f t="shared" si="307"/>
        <v>6</v>
      </c>
      <c r="L2873" s="3" t="str">
        <f t="shared" si="301"/>
        <v>MUITO BOM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51</v>
      </c>
      <c r="C2874" t="s">
        <v>23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305"/>
        <v>8</v>
      </c>
      <c r="J2874" s="3">
        <f t="shared" si="306"/>
        <v>6</v>
      </c>
      <c r="K2874" s="3">
        <f t="shared" si="307"/>
        <v>2</v>
      </c>
      <c r="L2874" s="3" t="str">
        <f t="shared" si="301"/>
        <v>OPORTUNO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52</v>
      </c>
      <c r="C2875" t="s">
        <v>18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305"/>
        <v>24</v>
      </c>
      <c r="J2875" s="3">
        <f t="shared" si="306"/>
        <v>20</v>
      </c>
      <c r="K2875" s="3">
        <f t="shared" si="307"/>
        <v>4</v>
      </c>
      <c r="L2875" s="3" t="str">
        <f t="shared" ref="L2875:L2938" si="308">IF(K2875&lt;-5,"CRÍTICO",IF(K2875&lt;0,"ATENÇÃO",IF(K2875&lt;=5,"OPORTUNO","MUITO BOM")))</f>
        <v>OPORTUNO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53</v>
      </c>
      <c r="C2876" t="s">
        <v>18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305"/>
        <v>30</v>
      </c>
      <c r="J2876" s="3">
        <f t="shared" si="306"/>
        <v>20</v>
      </c>
      <c r="K2876" s="3">
        <f t="shared" si="307"/>
        <v>10</v>
      </c>
      <c r="L2876" s="3" t="str">
        <f t="shared" si="308"/>
        <v>MUITO BOM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54</v>
      </c>
      <c r="C2877" t="s">
        <v>23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305"/>
        <v>4</v>
      </c>
      <c r="J2877" s="3">
        <f t="shared" si="306"/>
        <v>6</v>
      </c>
      <c r="K2877" s="3">
        <f t="shared" si="307"/>
        <v>-2</v>
      </c>
      <c r="L2877" s="3" t="str">
        <f t="shared" si="308"/>
        <v>ATENÇÃO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55</v>
      </c>
      <c r="C2878" t="s">
        <v>43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 t="shared" si="308"/>
        <v>OPORTUNO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56</v>
      </c>
      <c r="C2879" t="s">
        <v>16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16</v>
      </c>
      <c r="K2879" s="3">
        <f>I2879-J2879</f>
        <v>6</v>
      </c>
      <c r="L2879" s="3" t="str">
        <f t="shared" si="308"/>
        <v>MUITO BOM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57</v>
      </c>
      <c r="C2880" t="s">
        <v>43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11</v>
      </c>
      <c r="K2880" s="3">
        <f>I2880-J2880</f>
        <v>-5</v>
      </c>
      <c r="L2880" s="3" t="str">
        <f t="shared" si="308"/>
        <v>ATENÇÃO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58</v>
      </c>
      <c r="C2881" t="s">
        <v>43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11</v>
      </c>
      <c r="K2881" s="3">
        <f>I2881-J2881</f>
        <v>-3</v>
      </c>
      <c r="L2881" s="3" t="str">
        <f t="shared" si="308"/>
        <v>ATENÇÃO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59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08"/>
        <v>OPORTUNO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60</v>
      </c>
      <c r="C2883" t="s">
        <v>20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 t="shared" si="308"/>
        <v>OPORTUNO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61</v>
      </c>
      <c r="C2884" t="s">
        <v>18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20</v>
      </c>
      <c r="K2884" s="3">
        <f>I2884-J2884</f>
        <v>19</v>
      </c>
      <c r="L2884" s="3" t="str">
        <f t="shared" si="308"/>
        <v>MUITO BOM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62</v>
      </c>
      <c r="C2885" t="s">
        <v>20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13</v>
      </c>
      <c r="K2885" s="3">
        <f>I2885-J2885</f>
        <v>1</v>
      </c>
      <c r="L2885" s="3" t="str">
        <f t="shared" si="308"/>
        <v>OPORTUNO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63</v>
      </c>
      <c r="C2886" t="s">
        <v>18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2</v>
      </c>
      <c r="L2886" s="3" t="str">
        <f t="shared" si="308"/>
        <v>OPORTUNO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15</v>
      </c>
      <c r="C2887" t="s">
        <v>16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18</v>
      </c>
      <c r="K2887" s="3">
        <f>I2887-J2887</f>
        <v>15</v>
      </c>
      <c r="L2887" s="3" t="str">
        <f t="shared" si="308"/>
        <v>MUITO BOM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17</v>
      </c>
      <c r="C2888" t="s">
        <v>18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 t="shared" si="308"/>
        <v>OPORTUNO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19</v>
      </c>
      <c r="C2889" t="s">
        <v>20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15</v>
      </c>
      <c r="K2889" s="3">
        <f>I2889-J2889</f>
        <v>2</v>
      </c>
      <c r="L2889" s="3" t="str">
        <f t="shared" si="308"/>
        <v>OPORTUNO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21</v>
      </c>
      <c r="C2890" t="s">
        <v>18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23</v>
      </c>
      <c r="K2890" s="3">
        <f>I2890-J2890</f>
        <v>6</v>
      </c>
      <c r="L2890" s="3" t="str">
        <f t="shared" si="308"/>
        <v>MUITO BOM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22</v>
      </c>
      <c r="C2891" t="s">
        <v>23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 t="shared" si="308"/>
        <v>OPORTUNO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24</v>
      </c>
      <c r="C2892" t="s">
        <v>16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18</v>
      </c>
      <c r="K2892" s="3">
        <f>I2892-J2892</f>
        <v>15</v>
      </c>
      <c r="L2892" s="3" t="str">
        <f t="shared" si="308"/>
        <v>MUITO BOM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25</v>
      </c>
      <c r="C2893" t="s">
        <v>16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18</v>
      </c>
      <c r="K2893" s="3">
        <f>I2893-J2893</f>
        <v>-7</v>
      </c>
      <c r="L2893" s="3" t="str">
        <f t="shared" si="308"/>
        <v>CRÍTICO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26</v>
      </c>
      <c r="C2894" t="s">
        <v>23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 t="shared" si="308"/>
        <v>OPORTUNO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27</v>
      </c>
      <c r="C2895" t="s">
        <v>20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15</v>
      </c>
      <c r="K2895" s="3">
        <f>I2895-J2895</f>
        <v>3</v>
      </c>
      <c r="L2895" s="3" t="str">
        <f t="shared" si="308"/>
        <v>OPORTUNO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28</v>
      </c>
      <c r="C2896" t="s">
        <v>18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08"/>
        <v>OPORTUNO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29</v>
      </c>
      <c r="C2897" t="s">
        <v>16</v>
      </c>
      <c r="D2897">
        <v>0</v>
      </c>
      <c r="E2897">
        <v>0</v>
      </c>
      <c r="F2897">
        <v>0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 t="shared" si="308"/>
        <v>OPORTUNO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30</v>
      </c>
      <c r="C2898" t="s">
        <v>20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15</v>
      </c>
      <c r="K2898" s="3">
        <f>I2898-J2898</f>
        <v>0</v>
      </c>
      <c r="L2898" s="3" t="str">
        <f t="shared" si="308"/>
        <v>OPORTUNO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31</v>
      </c>
      <c r="C2899" t="s">
        <v>18</v>
      </c>
      <c r="D2899">
        <v>0</v>
      </c>
      <c r="E2899">
        <v>0</v>
      </c>
      <c r="F2899">
        <v>0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 t="shared" si="308"/>
        <v>OPORTUNO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32</v>
      </c>
      <c r="C2900" t="s">
        <v>23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ref="I2900:I2906" si="309">E2900+G2900+H2900</f>
        <v>6</v>
      </c>
      <c r="J2900" s="3">
        <f t="shared" ref="J2900:J2906" si="310"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 t="shared" ref="K2900:K2906" si="311">I2900-J2900</f>
        <v>-1</v>
      </c>
      <c r="L2900" s="3" t="str">
        <f t="shared" si="308"/>
        <v>ATENÇÃO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33</v>
      </c>
      <c r="C2901" t="s">
        <v>16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309"/>
        <v>16</v>
      </c>
      <c r="J2901" s="3">
        <f t="shared" si="310"/>
        <v>18</v>
      </c>
      <c r="K2901" s="3">
        <f t="shared" si="311"/>
        <v>-2</v>
      </c>
      <c r="L2901" s="3" t="str">
        <f t="shared" si="308"/>
        <v>ATENÇÃO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34</v>
      </c>
      <c r="C2902" t="s">
        <v>18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309"/>
        <v>28</v>
      </c>
      <c r="J2902" s="3">
        <f t="shared" si="310"/>
        <v>23</v>
      </c>
      <c r="K2902" s="3">
        <f t="shared" si="311"/>
        <v>5</v>
      </c>
      <c r="L2902" s="3" t="str">
        <f t="shared" si="308"/>
        <v>OPORTUNO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35</v>
      </c>
      <c r="C2903" t="s">
        <v>16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309"/>
        <v>33</v>
      </c>
      <c r="J2903" s="3">
        <f t="shared" si="310"/>
        <v>18</v>
      </c>
      <c r="K2903" s="3">
        <f t="shared" si="311"/>
        <v>15</v>
      </c>
      <c r="L2903" s="3" t="str">
        <f t="shared" si="308"/>
        <v>MUITO BOM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36</v>
      </c>
      <c r="C2904" t="s">
        <v>20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309"/>
        <v>29</v>
      </c>
      <c r="J2904" s="3">
        <f t="shared" si="310"/>
        <v>19</v>
      </c>
      <c r="K2904" s="3">
        <f t="shared" si="311"/>
        <v>10</v>
      </c>
      <c r="L2904" s="3" t="str">
        <f t="shared" si="308"/>
        <v>MUITO BOM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37</v>
      </c>
      <c r="C2905" t="s">
        <v>16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309"/>
        <v>24</v>
      </c>
      <c r="J2905" s="3">
        <f t="shared" si="310"/>
        <v>18</v>
      </c>
      <c r="K2905" s="3">
        <f t="shared" si="311"/>
        <v>6</v>
      </c>
      <c r="L2905" s="3" t="str">
        <f t="shared" si="308"/>
        <v>MUITO BOM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38</v>
      </c>
      <c r="C2906" t="s">
        <v>18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309"/>
        <v>39</v>
      </c>
      <c r="J2906" s="3">
        <f t="shared" si="310"/>
        <v>23</v>
      </c>
      <c r="K2906" s="3">
        <f t="shared" si="311"/>
        <v>16</v>
      </c>
      <c r="L2906" s="3" t="str">
        <f t="shared" si="308"/>
        <v>MUITO BOM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39</v>
      </c>
      <c r="C2907" t="s">
        <v>18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 t="shared" si="308"/>
        <v>OPORTUNO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40</v>
      </c>
      <c r="C2908" t="s">
        <v>16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18</v>
      </c>
      <c r="K2908" s="3">
        <f>I2908-J2908</f>
        <v>6</v>
      </c>
      <c r="L2908" s="3" t="str">
        <f t="shared" si="308"/>
        <v>MUITO BOM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41</v>
      </c>
      <c r="C2909" t="s">
        <v>18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 t="shared" si="308"/>
        <v>OPORTUNO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42</v>
      </c>
      <c r="C2910" t="s">
        <v>43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13</v>
      </c>
      <c r="K2910" s="3">
        <f>I2910-J2910</f>
        <v>-7</v>
      </c>
      <c r="L2910" s="3" t="str">
        <f t="shared" si="308"/>
        <v>CRÍTICO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44</v>
      </c>
      <c r="C2911" t="s">
        <v>18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 t="shared" si="308"/>
        <v>OPORTUNO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45</v>
      </c>
      <c r="C2912" t="s">
        <v>43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13</v>
      </c>
      <c r="K2912" s="3">
        <f>I2912-J2912</f>
        <v>-2</v>
      </c>
      <c r="L2912" s="3" t="str">
        <f t="shared" si="308"/>
        <v>ATENÇÃO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46</v>
      </c>
      <c r="C2913" t="s">
        <v>18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 t="shared" si="308"/>
        <v>OPORTUNO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47</v>
      </c>
      <c r="C2914" t="s">
        <v>16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18</v>
      </c>
      <c r="K2914" s="3">
        <f>I2914-J2914</f>
        <v>16</v>
      </c>
      <c r="L2914" s="3" t="str">
        <f t="shared" si="308"/>
        <v>MUITO BOM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48</v>
      </c>
      <c r="C2915" t="s">
        <v>16</v>
      </c>
      <c r="D2915">
        <v>0</v>
      </c>
      <c r="E2915">
        <v>0</v>
      </c>
      <c r="F2915">
        <v>0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 t="shared" si="308"/>
        <v>OPORTUNO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49</v>
      </c>
      <c r="C2916" t="s">
        <v>18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23</v>
      </c>
      <c r="K2916" s="3">
        <f>I2916-J2916</f>
        <v>27</v>
      </c>
      <c r="L2916" s="3" t="str">
        <f t="shared" si="308"/>
        <v>MUITO BOM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50</v>
      </c>
      <c r="C2917" t="s">
        <v>20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15</v>
      </c>
      <c r="K2917" s="3">
        <f>I2917-J2917</f>
        <v>-1</v>
      </c>
      <c r="L2917" s="3" t="str">
        <f t="shared" si="308"/>
        <v>ATENÇÃO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51</v>
      </c>
      <c r="C2918" t="s">
        <v>23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 t="shared" si="308"/>
        <v>OPORTUNO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52</v>
      </c>
      <c r="C2919" t="s">
        <v>18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23</v>
      </c>
      <c r="K2919" s="3">
        <f>I2919-J2919</f>
        <v>13</v>
      </c>
      <c r="L2919" s="3" t="str">
        <f t="shared" si="308"/>
        <v>MUITO BOM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53</v>
      </c>
      <c r="C2920" t="s">
        <v>18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23</v>
      </c>
      <c r="K2920" s="3">
        <f>I2920-J2920</f>
        <v>6</v>
      </c>
      <c r="L2920" s="3" t="str">
        <f t="shared" si="308"/>
        <v>MUITO BOM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54</v>
      </c>
      <c r="C2921" t="s">
        <v>23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 t="shared" si="308"/>
        <v>ATENÇÃO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55</v>
      </c>
      <c r="C2922" t="s">
        <v>43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 t="shared" si="308"/>
        <v>OPORTUNO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56</v>
      </c>
      <c r="C2923" t="s">
        <v>16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18</v>
      </c>
      <c r="K2923" s="3">
        <f>I2923-J2923</f>
        <v>-7</v>
      </c>
      <c r="L2923" s="3" t="str">
        <f t="shared" si="308"/>
        <v>CRÍTICO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57</v>
      </c>
      <c r="C2924" t="s">
        <v>43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13</v>
      </c>
      <c r="K2924" s="3">
        <f>I2924-J2924</f>
        <v>-5</v>
      </c>
      <c r="L2924" s="3" t="str">
        <f t="shared" si="308"/>
        <v>ATENÇÃO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58</v>
      </c>
      <c r="C2925" t="s">
        <v>43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13</v>
      </c>
      <c r="K2925" s="3">
        <f>I2925-J2925</f>
        <v>0</v>
      </c>
      <c r="L2925" s="3" t="str">
        <f t="shared" si="308"/>
        <v>OPORTUNO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59</v>
      </c>
      <c r="C2926" t="s">
        <v>23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 t="shared" si="308"/>
        <v>OPORTUNO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60</v>
      </c>
      <c r="C2927" t="s">
        <v>20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15</v>
      </c>
      <c r="K2927" s="3">
        <f>I2927-J2927</f>
        <v>12</v>
      </c>
      <c r="L2927" s="3" t="str">
        <f t="shared" si="308"/>
        <v>MUITO BOM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61</v>
      </c>
      <c r="C2928" t="s">
        <v>18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23</v>
      </c>
      <c r="K2928" s="3">
        <f>I2928-J2928</f>
        <v>21</v>
      </c>
      <c r="L2928" s="3" t="str">
        <f t="shared" si="308"/>
        <v>MUITO BOM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62</v>
      </c>
      <c r="C2929" t="s">
        <v>20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15</v>
      </c>
      <c r="K2929" s="3">
        <f>I2929-J2929</f>
        <v>2</v>
      </c>
      <c r="L2929" s="3" t="str">
        <f t="shared" si="308"/>
        <v>OPORTUNO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63</v>
      </c>
      <c r="C2930" t="s">
        <v>18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23</v>
      </c>
      <c r="K2930" s="3">
        <f>I2930-J2930</f>
        <v>9</v>
      </c>
      <c r="L2930" s="3" t="str">
        <f t="shared" si="308"/>
        <v>MUITO BOM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15</v>
      </c>
      <c r="C2931" t="s">
        <v>16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16</v>
      </c>
      <c r="K2931" s="3">
        <f>I2931-J2931</f>
        <v>-5</v>
      </c>
      <c r="L2931" s="3" t="str">
        <f t="shared" si="308"/>
        <v>ATENÇÃO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17</v>
      </c>
      <c r="C2932" t="s">
        <v>18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 t="shared" si="308"/>
        <v>OPORTUNO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19</v>
      </c>
      <c r="C2933" t="s">
        <v>20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13</v>
      </c>
      <c r="K2933" s="3">
        <f>I2933-J2933</f>
        <v>4</v>
      </c>
      <c r="L2933" s="3" t="str">
        <f t="shared" si="308"/>
        <v>OPORTUNO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21</v>
      </c>
      <c r="C2934" t="s">
        <v>18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20</v>
      </c>
      <c r="K2934" s="3">
        <f>I2934-J2934</f>
        <v>4</v>
      </c>
      <c r="L2934" s="3" t="str">
        <f t="shared" si="308"/>
        <v>OPORTUNO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22</v>
      </c>
      <c r="C2935" t="s">
        <v>23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 t="shared" si="308"/>
        <v>OPORTUNO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24</v>
      </c>
      <c r="C2936" t="s">
        <v>16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16</v>
      </c>
      <c r="K2936" s="3">
        <f>I2936-J2936</f>
        <v>19</v>
      </c>
      <c r="L2936" s="3" t="str">
        <f t="shared" si="308"/>
        <v>MUITO BOM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25</v>
      </c>
      <c r="C2937" t="s">
        <v>16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16</v>
      </c>
      <c r="K2937" s="3">
        <f>I2937-J2937</f>
        <v>-7</v>
      </c>
      <c r="L2937" s="3" t="str">
        <f t="shared" si="308"/>
        <v>CRÍTICO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26</v>
      </c>
      <c r="C2938" t="s">
        <v>23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 t="shared" si="308"/>
        <v>OPORTUNO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27</v>
      </c>
      <c r="C2939" t="s">
        <v>20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13</v>
      </c>
      <c r="K2939" s="3">
        <f>I2939-J2939</f>
        <v>1</v>
      </c>
      <c r="L2939" s="3" t="str">
        <f t="shared" ref="L2939:L3002" si="312">IF(K2939&lt;-5,"CRÍTICO",IF(K2939&lt;0,"ATENÇÃO",IF(K2939&lt;=5,"OPORTUNO","MUITO BOM")))</f>
        <v>OPORTUNO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28</v>
      </c>
      <c r="C2940" t="s">
        <v>18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12"/>
        <v>OPORTUNO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29</v>
      </c>
      <c r="C2941" t="s">
        <v>16</v>
      </c>
      <c r="D2941">
        <v>0</v>
      </c>
      <c r="E2941">
        <v>0</v>
      </c>
      <c r="F2941">
        <v>0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 t="shared" si="312"/>
        <v>OPORTUNO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30</v>
      </c>
      <c r="C2942" t="s">
        <v>20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13</v>
      </c>
      <c r="K2942" s="3">
        <f>I2942-J2942</f>
        <v>13</v>
      </c>
      <c r="L2942" s="3" t="str">
        <f t="shared" si="312"/>
        <v>MUITO BOM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31</v>
      </c>
      <c r="C2943" t="s">
        <v>18</v>
      </c>
      <c r="D2943">
        <v>0</v>
      </c>
      <c r="E2943">
        <v>0</v>
      </c>
      <c r="F2943">
        <v>0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 t="shared" si="312"/>
        <v>OPORTUNO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32</v>
      </c>
      <c r="C2944" t="s">
        <v>23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ref="I2944:I2950" si="313">E2944+G2944+H2944</f>
        <v>9</v>
      </c>
      <c r="J2944" s="3">
        <f t="shared" ref="J2944:J2950" si="314"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 t="shared" ref="K2944:K2950" si="315">I2944-J2944</f>
        <v>3</v>
      </c>
      <c r="L2944" s="3" t="str">
        <f t="shared" si="312"/>
        <v>OPORTUNO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33</v>
      </c>
      <c r="C2945" t="s">
        <v>16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313"/>
        <v>24</v>
      </c>
      <c r="J2945" s="3">
        <f t="shared" si="314"/>
        <v>16</v>
      </c>
      <c r="K2945" s="3">
        <f t="shared" si="315"/>
        <v>8</v>
      </c>
      <c r="L2945" s="3" t="str">
        <f t="shared" si="312"/>
        <v>MUITO BOM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34</v>
      </c>
      <c r="C2946" t="s">
        <v>18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313"/>
        <v>27</v>
      </c>
      <c r="J2946" s="3">
        <f t="shared" si="314"/>
        <v>20</v>
      </c>
      <c r="K2946" s="3">
        <f t="shared" si="315"/>
        <v>7</v>
      </c>
      <c r="L2946" s="3" t="str">
        <f t="shared" si="312"/>
        <v>MUITO BOM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35</v>
      </c>
      <c r="C2947" t="s">
        <v>16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313"/>
        <v>25</v>
      </c>
      <c r="J2947" s="3">
        <f t="shared" si="314"/>
        <v>16</v>
      </c>
      <c r="K2947" s="3">
        <f t="shared" si="315"/>
        <v>9</v>
      </c>
      <c r="L2947" s="3" t="str">
        <f t="shared" si="312"/>
        <v>MUITO BOM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36</v>
      </c>
      <c r="C2948" t="s">
        <v>20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313"/>
        <v>38</v>
      </c>
      <c r="J2948" s="3">
        <f t="shared" si="314"/>
        <v>20</v>
      </c>
      <c r="K2948" s="3">
        <f t="shared" si="315"/>
        <v>18</v>
      </c>
      <c r="L2948" s="3" t="str">
        <f t="shared" si="312"/>
        <v>MUITO BOM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37</v>
      </c>
      <c r="C2949" t="s">
        <v>16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313"/>
        <v>21</v>
      </c>
      <c r="J2949" s="3">
        <f t="shared" si="314"/>
        <v>16</v>
      </c>
      <c r="K2949" s="3">
        <f t="shared" si="315"/>
        <v>5</v>
      </c>
      <c r="L2949" s="3" t="str">
        <f t="shared" si="312"/>
        <v>OPORTUNO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38</v>
      </c>
      <c r="C2950" t="s">
        <v>18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313"/>
        <v>42</v>
      </c>
      <c r="J2950" s="3">
        <f t="shared" si="314"/>
        <v>20</v>
      </c>
      <c r="K2950" s="3">
        <f t="shared" si="315"/>
        <v>22</v>
      </c>
      <c r="L2950" s="3" t="str">
        <f t="shared" si="312"/>
        <v>MUITO BOM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39</v>
      </c>
      <c r="C2951" t="s">
        <v>18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 t="shared" si="312"/>
        <v>OPORTUNO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40</v>
      </c>
      <c r="C2952" t="s">
        <v>16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16</v>
      </c>
      <c r="K2952" s="3">
        <f>I2952-J2952</f>
        <v>7</v>
      </c>
      <c r="L2952" s="3" t="str">
        <f t="shared" si="312"/>
        <v>MUITO BOM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41</v>
      </c>
      <c r="C2953" t="s">
        <v>18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 t="shared" si="312"/>
        <v>OPORTUNO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42</v>
      </c>
      <c r="C2954" t="s">
        <v>43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12</v>
      </c>
      <c r="K2954" s="3">
        <f>I2954-J2954</f>
        <v>-1</v>
      </c>
      <c r="L2954" s="3" t="str">
        <f t="shared" si="312"/>
        <v>ATENÇÃO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44</v>
      </c>
      <c r="C2955" t="s">
        <v>18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 t="shared" si="312"/>
        <v>OPORTUNO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45</v>
      </c>
      <c r="C2956" t="s">
        <v>43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12</v>
      </c>
      <c r="K2956" s="3">
        <f>I2956-J2956</f>
        <v>0</v>
      </c>
      <c r="L2956" s="3" t="str">
        <f t="shared" si="312"/>
        <v>OPORTUNO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46</v>
      </c>
      <c r="C2957" t="s">
        <v>18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 t="shared" si="312"/>
        <v>OPORTUNO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47</v>
      </c>
      <c r="C2958" t="s">
        <v>16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16</v>
      </c>
      <c r="K2958" s="3">
        <f>I2958-J2958</f>
        <v>-2</v>
      </c>
      <c r="L2958" s="3" t="str">
        <f t="shared" si="312"/>
        <v>ATENÇÃO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48</v>
      </c>
      <c r="C2959" t="s">
        <v>16</v>
      </c>
      <c r="D2959">
        <v>0</v>
      </c>
      <c r="E2959">
        <v>0</v>
      </c>
      <c r="F2959">
        <v>0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 t="shared" si="312"/>
        <v>OPORTUNO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49</v>
      </c>
      <c r="C2960" t="s">
        <v>18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ref="I2960:I2965" si="316">E2960+G2960+H2960</f>
        <v>21</v>
      </c>
      <c r="J2960" s="3">
        <f t="shared" ref="J2960:J2965" si="317"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20</v>
      </c>
      <c r="K2960" s="3">
        <f t="shared" ref="K2960:K2965" si="318">I2960-J2960</f>
        <v>1</v>
      </c>
      <c r="L2960" s="3" t="str">
        <f t="shared" si="312"/>
        <v>OPORTUNO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50</v>
      </c>
      <c r="C2961" t="s">
        <v>20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316"/>
        <v>21</v>
      </c>
      <c r="J2961" s="3">
        <f t="shared" si="317"/>
        <v>13</v>
      </c>
      <c r="K2961" s="3">
        <f t="shared" si="318"/>
        <v>8</v>
      </c>
      <c r="L2961" s="3" t="str">
        <f t="shared" si="312"/>
        <v>MUITO BOM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51</v>
      </c>
      <c r="C2962" t="s">
        <v>23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316"/>
        <v>4</v>
      </c>
      <c r="J2962" s="3">
        <f t="shared" si="317"/>
        <v>6</v>
      </c>
      <c r="K2962" s="3">
        <f t="shared" si="318"/>
        <v>-2</v>
      </c>
      <c r="L2962" s="3" t="str">
        <f t="shared" si="312"/>
        <v>ATENÇÃO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52</v>
      </c>
      <c r="C2963" t="s">
        <v>18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si="316"/>
        <v>25</v>
      </c>
      <c r="J2963" s="3">
        <f t="shared" si="317"/>
        <v>20</v>
      </c>
      <c r="K2963" s="3">
        <f t="shared" si="318"/>
        <v>5</v>
      </c>
      <c r="L2963" s="3" t="str">
        <f t="shared" si="312"/>
        <v>OPORTUNO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53</v>
      </c>
      <c r="C2964" t="s">
        <v>18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316"/>
        <v>26</v>
      </c>
      <c r="J2964" s="3">
        <f t="shared" si="317"/>
        <v>20</v>
      </c>
      <c r="K2964" s="3">
        <f t="shared" si="318"/>
        <v>6</v>
      </c>
      <c r="L2964" s="3" t="str">
        <f t="shared" si="312"/>
        <v>MUITO BOM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54</v>
      </c>
      <c r="C2965" t="s">
        <v>23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316"/>
        <v>6</v>
      </c>
      <c r="J2965" s="3">
        <f t="shared" si="317"/>
        <v>6</v>
      </c>
      <c r="K2965" s="3">
        <f t="shared" si="318"/>
        <v>0</v>
      </c>
      <c r="L2965" s="3" t="str">
        <f t="shared" si="312"/>
        <v>OPORTUNO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55</v>
      </c>
      <c r="C2966" t="s">
        <v>43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 t="shared" si="312"/>
        <v>OPORTUNO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56</v>
      </c>
      <c r="C2967" t="s">
        <v>16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16</v>
      </c>
      <c r="K2967" s="3">
        <f>I2967-J2967</f>
        <v>-4</v>
      </c>
      <c r="L2967" s="3" t="str">
        <f t="shared" si="312"/>
        <v>ATENÇÃO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57</v>
      </c>
      <c r="C2968" t="s">
        <v>43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12</v>
      </c>
      <c r="K2968" s="3">
        <f>I2968-J2968</f>
        <v>-1</v>
      </c>
      <c r="L2968" s="3" t="str">
        <f t="shared" si="312"/>
        <v>ATENÇÃO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58</v>
      </c>
      <c r="C2969" t="s">
        <v>43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12</v>
      </c>
      <c r="K2969" s="3">
        <f>I2969-J2969</f>
        <v>-1</v>
      </c>
      <c r="L2969" s="3" t="str">
        <f t="shared" si="312"/>
        <v>ATENÇÃO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59</v>
      </c>
      <c r="C2970" t="s">
        <v>23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 t="shared" si="312"/>
        <v>OPORTUNO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60</v>
      </c>
      <c r="C2971" t="s">
        <v>20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13</v>
      </c>
      <c r="K2971" s="3">
        <f>I2971-J2971</f>
        <v>12</v>
      </c>
      <c r="L2971" s="3" t="str">
        <f t="shared" si="312"/>
        <v>MUITO BOM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61</v>
      </c>
      <c r="C2972" t="s">
        <v>18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20</v>
      </c>
      <c r="K2972" s="3">
        <f>I2972-J2972</f>
        <v>22</v>
      </c>
      <c r="L2972" s="3" t="str">
        <f t="shared" si="312"/>
        <v>MUITO BOM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62</v>
      </c>
      <c r="C2973" t="s">
        <v>20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13</v>
      </c>
      <c r="K2973" s="3">
        <f>I2973-J2973</f>
        <v>3</v>
      </c>
      <c r="L2973" s="3" t="str">
        <f t="shared" si="312"/>
        <v>OPORTUNO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63</v>
      </c>
      <c r="C2974" t="s">
        <v>18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20</v>
      </c>
      <c r="K2974" s="3">
        <f>I2974-J2974</f>
        <v>15</v>
      </c>
      <c r="L2974" s="3" t="str">
        <f t="shared" si="312"/>
        <v>MUITO BOM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15</v>
      </c>
      <c r="C2975" t="s">
        <v>16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15</v>
      </c>
      <c r="K2975" s="3">
        <f>I2975-J2975</f>
        <v>17</v>
      </c>
      <c r="L2975" s="3" t="str">
        <f t="shared" si="312"/>
        <v>MUITO BOM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17</v>
      </c>
      <c r="C2976" t="s">
        <v>18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 t="shared" si="312"/>
        <v>OPORTUNO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19</v>
      </c>
      <c r="C2977" t="s">
        <v>20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 t="shared" si="312"/>
        <v>OPORTUNO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21</v>
      </c>
      <c r="C2978" t="s">
        <v>18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19</v>
      </c>
      <c r="K2978" s="3">
        <f>I2978-J2978</f>
        <v>2</v>
      </c>
      <c r="L2978" s="3" t="str">
        <f t="shared" si="312"/>
        <v>OPORTUNO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22</v>
      </c>
      <c r="C2979" t="s">
        <v>23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 t="shared" si="312"/>
        <v>OPORTUNO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24</v>
      </c>
      <c r="C2980" t="s">
        <v>16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15</v>
      </c>
      <c r="K2980" s="3">
        <f>I2980-J2980</f>
        <v>22</v>
      </c>
      <c r="L2980" s="3" t="str">
        <f t="shared" si="312"/>
        <v>MUITO BOM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25</v>
      </c>
      <c r="C2981" t="s">
        <v>16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15</v>
      </c>
      <c r="K2981" s="3">
        <f>I2981-J2981</f>
        <v>1</v>
      </c>
      <c r="L2981" s="3" t="str">
        <f t="shared" si="312"/>
        <v>OPORTUNO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26</v>
      </c>
      <c r="C2982" t="s">
        <v>23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 t="shared" si="312"/>
        <v>OPORTUNO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27</v>
      </c>
      <c r="C2983" t="s">
        <v>20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 t="shared" si="312"/>
        <v>MUITO BOM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28</v>
      </c>
      <c r="C2984" t="s">
        <v>18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12"/>
        <v>OPORTUNO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29</v>
      </c>
      <c r="C2985" t="s">
        <v>16</v>
      </c>
      <c r="D2985">
        <v>0</v>
      </c>
      <c r="E2985">
        <v>0</v>
      </c>
      <c r="F2985">
        <v>0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 t="shared" si="312"/>
        <v>OPORTUNO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30</v>
      </c>
      <c r="C2986" t="s">
        <v>20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 t="shared" si="312"/>
        <v>OPORTUNO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31</v>
      </c>
      <c r="C2987" t="s">
        <v>18</v>
      </c>
      <c r="D2987">
        <v>0</v>
      </c>
      <c r="E2987">
        <v>0</v>
      </c>
      <c r="F2987">
        <v>0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 t="shared" si="312"/>
        <v>OPORTUNO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32</v>
      </c>
      <c r="C2988" t="s">
        <v>23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ref="I2988:I2994" si="319">E2988+G2988+H2988</f>
        <v>8</v>
      </c>
      <c r="J2988" s="3">
        <f t="shared" ref="J2988:J2994" si="320"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5</v>
      </c>
      <c r="K2988" s="3">
        <f t="shared" ref="K2988:K2994" si="321">I2988-J2988</f>
        <v>3</v>
      </c>
      <c r="L2988" s="3" t="str">
        <f t="shared" si="312"/>
        <v>OPORTUNO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33</v>
      </c>
      <c r="C2989" t="s">
        <v>16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319"/>
        <v>13</v>
      </c>
      <c r="J2989" s="3">
        <f t="shared" si="320"/>
        <v>15</v>
      </c>
      <c r="K2989" s="3">
        <f t="shared" si="321"/>
        <v>-2</v>
      </c>
      <c r="L2989" s="3" t="str">
        <f t="shared" si="312"/>
        <v>ATENÇÃO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34</v>
      </c>
      <c r="C2990" t="s">
        <v>18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319"/>
        <v>22</v>
      </c>
      <c r="J2990" s="3">
        <f t="shared" si="320"/>
        <v>19</v>
      </c>
      <c r="K2990" s="3">
        <f t="shared" si="321"/>
        <v>3</v>
      </c>
      <c r="L2990" s="3" t="str">
        <f t="shared" si="312"/>
        <v>OPORTUNO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35</v>
      </c>
      <c r="C2991" t="s">
        <v>16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319"/>
        <v>14</v>
      </c>
      <c r="J2991" s="3">
        <f t="shared" si="320"/>
        <v>15</v>
      </c>
      <c r="K2991" s="3">
        <f t="shared" si="321"/>
        <v>-1</v>
      </c>
      <c r="L2991" s="3" t="str">
        <f t="shared" si="312"/>
        <v>ATENÇÃO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36</v>
      </c>
      <c r="C2992" t="s">
        <v>20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319"/>
        <v>30</v>
      </c>
      <c r="J2992" s="3">
        <f t="shared" si="320"/>
        <v>18</v>
      </c>
      <c r="K2992" s="3">
        <f t="shared" si="321"/>
        <v>12</v>
      </c>
      <c r="L2992" s="3" t="str">
        <f t="shared" si="312"/>
        <v>MUITO BOM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37</v>
      </c>
      <c r="C2993" t="s">
        <v>16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319"/>
        <v>23</v>
      </c>
      <c r="J2993" s="3">
        <f t="shared" si="320"/>
        <v>15</v>
      </c>
      <c r="K2993" s="3">
        <f t="shared" si="321"/>
        <v>8</v>
      </c>
      <c r="L2993" s="3" t="str">
        <f t="shared" si="312"/>
        <v>MUITO BOM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38</v>
      </c>
      <c r="C2994" t="s">
        <v>18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319"/>
        <v>35</v>
      </c>
      <c r="J2994" s="3">
        <f t="shared" si="320"/>
        <v>19</v>
      </c>
      <c r="K2994" s="3">
        <f t="shared" si="321"/>
        <v>16</v>
      </c>
      <c r="L2994" s="3" t="str">
        <f t="shared" si="312"/>
        <v>MUITO BOM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39</v>
      </c>
      <c r="C2995" t="s">
        <v>18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 t="shared" si="312"/>
        <v>OPORTUNO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40</v>
      </c>
      <c r="C2996" t="s">
        <v>16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15</v>
      </c>
      <c r="K2996" s="3">
        <f>I2996-J2996</f>
        <v>3</v>
      </c>
      <c r="L2996" s="3" t="str">
        <f t="shared" si="312"/>
        <v>OPORTUNO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41</v>
      </c>
      <c r="C2997" t="s">
        <v>18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 t="shared" si="312"/>
        <v>OPORTUNO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42</v>
      </c>
      <c r="C2998" t="s">
        <v>43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11</v>
      </c>
      <c r="K2998" s="3">
        <f>I2998-J2998</f>
        <v>-6</v>
      </c>
      <c r="L2998" s="3" t="str">
        <f t="shared" si="312"/>
        <v>CRÍTICO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44</v>
      </c>
      <c r="C2999" t="s">
        <v>18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 t="shared" si="312"/>
        <v>OPORTUNO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45</v>
      </c>
      <c r="C3000" t="s">
        <v>43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11</v>
      </c>
      <c r="K3000" s="3">
        <f>I3000-J3000</f>
        <v>3</v>
      </c>
      <c r="L3000" s="3" t="str">
        <f t="shared" si="312"/>
        <v>OPORTUNO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46</v>
      </c>
      <c r="C3001" t="s">
        <v>18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 t="shared" si="312"/>
        <v>OPORTUNO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47</v>
      </c>
      <c r="C3002" t="s">
        <v>16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15</v>
      </c>
      <c r="K3002" s="3">
        <f>I3002-J3002</f>
        <v>15</v>
      </c>
      <c r="L3002" s="3" t="str">
        <f t="shared" si="312"/>
        <v>MUITO BOM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48</v>
      </c>
      <c r="C3003" t="s">
        <v>16</v>
      </c>
      <c r="D3003">
        <v>0</v>
      </c>
      <c r="E3003">
        <v>0</v>
      </c>
      <c r="F3003">
        <v>0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 t="shared" ref="L3003:L3066" si="322">IF(K3003&lt;-5,"CRÍTICO",IF(K3003&lt;0,"ATENÇÃO",IF(K3003&lt;=5,"OPORTUNO","MUITO BOM")))</f>
        <v>OPORTUNO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49</v>
      </c>
      <c r="C3004" t="s">
        <v>18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ref="I3004:I3009" si="323">E3004+G3004+H3004</f>
        <v>22</v>
      </c>
      <c r="J3004" s="3">
        <f t="shared" ref="J3004:J3009" si="324"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19</v>
      </c>
      <c r="K3004" s="3">
        <f t="shared" ref="K3004:K3009" si="325">I3004-J3004</f>
        <v>3</v>
      </c>
      <c r="L3004" s="3" t="str">
        <f t="shared" si="322"/>
        <v>OPORTUNO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50</v>
      </c>
      <c r="C3005" t="s">
        <v>20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323"/>
        <v>12</v>
      </c>
      <c r="J3005" s="3">
        <f t="shared" si="324"/>
        <v>13</v>
      </c>
      <c r="K3005" s="3">
        <f t="shared" si="325"/>
        <v>-1</v>
      </c>
      <c r="L3005" s="3" t="str">
        <f t="shared" si="322"/>
        <v>ATENÇÃO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51</v>
      </c>
      <c r="C3006" t="s">
        <v>23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323"/>
        <v>4</v>
      </c>
      <c r="J3006" s="3">
        <f t="shared" si="324"/>
        <v>5</v>
      </c>
      <c r="K3006" s="3">
        <f t="shared" si="325"/>
        <v>-1</v>
      </c>
      <c r="L3006" s="3" t="str">
        <f t="shared" si="322"/>
        <v>ATENÇÃO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52</v>
      </c>
      <c r="C3007" t="s">
        <v>18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323"/>
        <v>17</v>
      </c>
      <c r="J3007" s="3">
        <f t="shared" si="324"/>
        <v>19</v>
      </c>
      <c r="K3007" s="3">
        <f t="shared" si="325"/>
        <v>-2</v>
      </c>
      <c r="L3007" s="3" t="str">
        <f t="shared" si="322"/>
        <v>ATENÇÃO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53</v>
      </c>
      <c r="C3008" t="s">
        <v>18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323"/>
        <v>28</v>
      </c>
      <c r="J3008" s="3">
        <f t="shared" si="324"/>
        <v>19</v>
      </c>
      <c r="K3008" s="3">
        <f t="shared" si="325"/>
        <v>9</v>
      </c>
      <c r="L3008" s="3" t="str">
        <f t="shared" si="322"/>
        <v>MUITO BOM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54</v>
      </c>
      <c r="C3009" t="s">
        <v>23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323"/>
        <v>6</v>
      </c>
      <c r="J3009" s="3">
        <f t="shared" si="324"/>
        <v>5</v>
      </c>
      <c r="K3009" s="3">
        <f t="shared" si="325"/>
        <v>1</v>
      </c>
      <c r="L3009" s="3" t="str">
        <f t="shared" si="322"/>
        <v>OPORTUNO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55</v>
      </c>
      <c r="C3010" t="s">
        <v>43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 t="shared" si="322"/>
        <v>OPORTUNO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56</v>
      </c>
      <c r="C3011" t="s">
        <v>16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15</v>
      </c>
      <c r="K3011" s="3">
        <f>I3011-J3011</f>
        <v>11</v>
      </c>
      <c r="L3011" s="3" t="str">
        <f t="shared" si="322"/>
        <v>MUITO BOM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57</v>
      </c>
      <c r="C3012" t="s">
        <v>43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11</v>
      </c>
      <c r="K3012" s="3">
        <f>I3012-J3012</f>
        <v>1</v>
      </c>
      <c r="L3012" s="3" t="str">
        <f t="shared" si="322"/>
        <v>OPORTUNO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58</v>
      </c>
      <c r="C3013" t="s">
        <v>43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11</v>
      </c>
      <c r="K3013" s="3">
        <f>I3013-J3013</f>
        <v>3</v>
      </c>
      <c r="L3013" s="3" t="str">
        <f t="shared" si="322"/>
        <v>OPORTUNO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59</v>
      </c>
      <c r="C3014" t="s">
        <v>23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 t="shared" si="322"/>
        <v>OPORTUNO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60</v>
      </c>
      <c r="C3015" t="s">
        <v>20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 t="shared" si="322"/>
        <v>MUITO BOM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61</v>
      </c>
      <c r="C3016" t="s">
        <v>18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19</v>
      </c>
      <c r="K3016" s="3">
        <f>I3016-J3016</f>
        <v>17</v>
      </c>
      <c r="L3016" s="3" t="str">
        <f t="shared" si="322"/>
        <v>MUITO BOM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62</v>
      </c>
      <c r="C3017" t="s">
        <v>20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 t="shared" si="322"/>
        <v>OPORTUNO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63</v>
      </c>
      <c r="C3018" t="s">
        <v>18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19</v>
      </c>
      <c r="K3018" s="3">
        <f>I3018-J3018</f>
        <v>9</v>
      </c>
      <c r="L3018" s="3" t="str">
        <f t="shared" si="322"/>
        <v>MUITO BOM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15</v>
      </c>
      <c r="C3019" t="s">
        <v>16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17</v>
      </c>
      <c r="K3019" s="3">
        <f>I3019-J3019</f>
        <v>10</v>
      </c>
      <c r="L3019" s="3" t="str">
        <f t="shared" si="322"/>
        <v>MUITO BOM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17</v>
      </c>
      <c r="C3020" t="s">
        <v>18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 t="shared" si="322"/>
        <v>OPORTUNO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19</v>
      </c>
      <c r="C3021" t="s">
        <v>20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14</v>
      </c>
      <c r="K3021" s="3">
        <f>I3021-J3021</f>
        <v>15</v>
      </c>
      <c r="L3021" s="3" t="str">
        <f t="shared" si="322"/>
        <v>MUITO BOM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21</v>
      </c>
      <c r="C3022" t="s">
        <v>18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21</v>
      </c>
      <c r="K3022" s="3">
        <f>I3022-J3022</f>
        <v>10</v>
      </c>
      <c r="L3022" s="3" t="str">
        <f t="shared" si="322"/>
        <v>MUITO BOM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22</v>
      </c>
      <c r="C3023" t="s">
        <v>23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 t="shared" si="322"/>
        <v>OPORTUNO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24</v>
      </c>
      <c r="C3024" t="s">
        <v>16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17</v>
      </c>
      <c r="K3024" s="3">
        <f>I3024-J3024</f>
        <v>1</v>
      </c>
      <c r="L3024" s="3" t="str">
        <f t="shared" si="322"/>
        <v>OPORTUNO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25</v>
      </c>
      <c r="C3025" t="s">
        <v>16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17</v>
      </c>
      <c r="K3025" s="3">
        <f>I3025-J3025</f>
        <v>2</v>
      </c>
      <c r="L3025" s="3" t="str">
        <f t="shared" si="322"/>
        <v>OPORTUNO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26</v>
      </c>
      <c r="C3026" t="s">
        <v>23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 t="shared" si="322"/>
        <v>OPORTUNO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27</v>
      </c>
      <c r="C3027" t="s">
        <v>20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14</v>
      </c>
      <c r="K3027" s="3">
        <f>I3027-J3027</f>
        <v>5</v>
      </c>
      <c r="L3027" s="3" t="str">
        <f t="shared" si="322"/>
        <v>OPORTUNO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28</v>
      </c>
      <c r="C3028" t="s">
        <v>18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21</v>
      </c>
      <c r="K3028" s="3">
        <f>I3028-J3028</f>
        <v>6</v>
      </c>
      <c r="L3028" s="3" t="str">
        <f t="shared" si="322"/>
        <v>MUITO BOM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29</v>
      </c>
      <c r="C3029" t="s">
        <v>16</v>
      </c>
      <c r="D3029">
        <v>0</v>
      </c>
      <c r="E3029">
        <v>0</v>
      </c>
      <c r="F3029">
        <v>0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 t="shared" si="322"/>
        <v>OPORTUNO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30</v>
      </c>
      <c r="C3030" t="s">
        <v>20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14</v>
      </c>
      <c r="K3030" s="3">
        <f>I3030-J3030</f>
        <v>5</v>
      </c>
      <c r="L3030" s="3" t="str">
        <f t="shared" si="322"/>
        <v>OPORTUNO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31</v>
      </c>
      <c r="C3031" t="s">
        <v>18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22"/>
        <v>OPORTUNO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32</v>
      </c>
      <c r="C3032" t="s">
        <v>23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 t="shared" si="322"/>
        <v>OPORTUNO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33</v>
      </c>
      <c r="C3033" t="s">
        <v>16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ref="I3033:I3040" si="326">E3033+G3033+H3033</f>
        <v>24</v>
      </c>
      <c r="J3033" s="3">
        <f t="shared" ref="J3033:J3040" si="327"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17</v>
      </c>
      <c r="K3033" s="3">
        <f t="shared" ref="K3033:K3040" si="328">I3033-J3033</f>
        <v>7</v>
      </c>
      <c r="L3033" s="3" t="str">
        <f t="shared" si="322"/>
        <v>MUITO BOM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34</v>
      </c>
      <c r="C3034" t="s">
        <v>18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326"/>
        <v>24</v>
      </c>
      <c r="J3034" s="3">
        <f t="shared" si="327"/>
        <v>21</v>
      </c>
      <c r="K3034" s="3">
        <f t="shared" si="328"/>
        <v>3</v>
      </c>
      <c r="L3034" s="3" t="str">
        <f t="shared" si="322"/>
        <v>OPORTUNO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35</v>
      </c>
      <c r="C3035" t="s">
        <v>16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326"/>
        <v>11</v>
      </c>
      <c r="J3035" s="3">
        <f t="shared" si="327"/>
        <v>17</v>
      </c>
      <c r="K3035" s="3">
        <f t="shared" si="328"/>
        <v>-6</v>
      </c>
      <c r="L3035" s="3" t="str">
        <f t="shared" si="322"/>
        <v>CRÍTICO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36</v>
      </c>
      <c r="C3036" t="s">
        <v>20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326"/>
        <v>21</v>
      </c>
      <c r="J3036" s="3">
        <f t="shared" si="327"/>
        <v>17</v>
      </c>
      <c r="K3036" s="3">
        <f t="shared" si="328"/>
        <v>4</v>
      </c>
      <c r="L3036" s="3" t="str">
        <f t="shared" si="322"/>
        <v>OPORTUNO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37</v>
      </c>
      <c r="C3037" t="s">
        <v>16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326"/>
        <v>22</v>
      </c>
      <c r="J3037" s="3">
        <f t="shared" si="327"/>
        <v>17</v>
      </c>
      <c r="K3037" s="3">
        <f t="shared" si="328"/>
        <v>5</v>
      </c>
      <c r="L3037" s="3" t="str">
        <f t="shared" si="322"/>
        <v>OPORTUNO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38</v>
      </c>
      <c r="C3038" t="s">
        <v>18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326"/>
        <v>44</v>
      </c>
      <c r="J3038" s="3">
        <f t="shared" si="327"/>
        <v>21</v>
      </c>
      <c r="K3038" s="3">
        <f t="shared" si="328"/>
        <v>23</v>
      </c>
      <c r="L3038" s="3" t="str">
        <f t="shared" si="322"/>
        <v>MUITO BOM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39</v>
      </c>
      <c r="C3039" t="s">
        <v>18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326"/>
        <v>19</v>
      </c>
      <c r="J3039" s="3">
        <f t="shared" si="327"/>
        <v>21</v>
      </c>
      <c r="K3039" s="3">
        <f t="shared" si="328"/>
        <v>-2</v>
      </c>
      <c r="L3039" s="3" t="str">
        <f t="shared" si="322"/>
        <v>ATENÇÃO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40</v>
      </c>
      <c r="C3040" t="s">
        <v>16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326"/>
        <v>7</v>
      </c>
      <c r="J3040" s="3">
        <f t="shared" si="327"/>
        <v>17</v>
      </c>
      <c r="K3040" s="3">
        <f t="shared" si="328"/>
        <v>-10</v>
      </c>
      <c r="L3040" s="3" t="str">
        <f t="shared" si="322"/>
        <v>CRÍTICO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41</v>
      </c>
      <c r="C3041" t="s">
        <v>18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 t="shared" si="322"/>
        <v>OPORTUNO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42</v>
      </c>
      <c r="C3042" t="s">
        <v>43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12</v>
      </c>
      <c r="K3042" s="3">
        <f>I3042-J3042</f>
        <v>-6</v>
      </c>
      <c r="L3042" s="3" t="str">
        <f t="shared" si="322"/>
        <v>CRÍTICO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44</v>
      </c>
      <c r="C3043" t="s">
        <v>18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21</v>
      </c>
      <c r="K3043" s="3">
        <f>I3043-J3043</f>
        <v>-18</v>
      </c>
      <c r="L3043" s="3" t="str">
        <f t="shared" si="322"/>
        <v>CRÍTICO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45</v>
      </c>
      <c r="C3044" t="s">
        <v>43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12</v>
      </c>
      <c r="K3044" s="3">
        <f>I3044-J3044</f>
        <v>-4</v>
      </c>
      <c r="L3044" s="3" t="str">
        <f t="shared" si="322"/>
        <v>ATENÇÃO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46</v>
      </c>
      <c r="C3045" t="s">
        <v>18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21</v>
      </c>
      <c r="K3045" s="3">
        <f>I3045-J3045</f>
        <v>-4</v>
      </c>
      <c r="L3045" s="3" t="str">
        <f t="shared" si="322"/>
        <v>ATENÇÃO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47</v>
      </c>
      <c r="C3046" t="s">
        <v>16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17</v>
      </c>
      <c r="K3046" s="3">
        <f>I3046-J3046</f>
        <v>10</v>
      </c>
      <c r="L3046" s="3" t="str">
        <f t="shared" si="322"/>
        <v>MUITO BOM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48</v>
      </c>
      <c r="C3047" t="s">
        <v>16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22"/>
        <v>OPORTUNO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49</v>
      </c>
      <c r="C3048" t="s">
        <v>18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 t="shared" si="322"/>
        <v>OPORTUNO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50</v>
      </c>
      <c r="C3049" t="s">
        <v>20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14</v>
      </c>
      <c r="K3049" s="3">
        <f>I3049-J3049</f>
        <v>-3</v>
      </c>
      <c r="L3049" s="3" t="str">
        <f t="shared" si="322"/>
        <v>ATENÇÃO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51</v>
      </c>
      <c r="C3050" t="s">
        <v>23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 t="shared" si="322"/>
        <v>OPORTUNO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52</v>
      </c>
      <c r="C3051" t="s">
        <v>18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21</v>
      </c>
      <c r="K3051" s="3">
        <f>I3051-J3051</f>
        <v>8</v>
      </c>
      <c r="L3051" s="3" t="str">
        <f t="shared" si="322"/>
        <v>MUITO BOM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53</v>
      </c>
      <c r="C3052" t="s">
        <v>18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21</v>
      </c>
      <c r="K3052" s="3">
        <f>I3052-J3052</f>
        <v>9</v>
      </c>
      <c r="L3052" s="3" t="str">
        <f t="shared" si="322"/>
        <v>MUITO BOM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54</v>
      </c>
      <c r="C3053" t="s">
        <v>23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 t="shared" si="322"/>
        <v>ATENÇÃO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55</v>
      </c>
      <c r="C3054" t="s">
        <v>43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 t="shared" si="322"/>
        <v>OPORTUNO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56</v>
      </c>
      <c r="C3055" t="s">
        <v>16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17</v>
      </c>
      <c r="K3055" s="3">
        <f>I3055-J3055</f>
        <v>-14</v>
      </c>
      <c r="L3055" s="3" t="str">
        <f t="shared" si="322"/>
        <v>CRÍTICO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57</v>
      </c>
      <c r="C3056" t="s">
        <v>43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12</v>
      </c>
      <c r="K3056" s="3">
        <f>I3056-J3056</f>
        <v>-9</v>
      </c>
      <c r="L3056" s="3" t="str">
        <f t="shared" si="322"/>
        <v>CRÍTICO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58</v>
      </c>
      <c r="C3057" t="s">
        <v>43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12</v>
      </c>
      <c r="K3057" s="3">
        <f>I3057-J3057</f>
        <v>-6</v>
      </c>
      <c r="L3057" s="3" t="str">
        <f t="shared" si="322"/>
        <v>CRÍTICO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59</v>
      </c>
      <c r="C3058" t="s">
        <v>23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 t="shared" si="322"/>
        <v>OPORTUNO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60</v>
      </c>
      <c r="C3059" t="s">
        <v>20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14</v>
      </c>
      <c r="K3059" s="3">
        <f>I3059-J3059</f>
        <v>0</v>
      </c>
      <c r="L3059" s="3" t="str">
        <f t="shared" si="322"/>
        <v>OPORTUNO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61</v>
      </c>
      <c r="C3060" t="s">
        <v>18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21</v>
      </c>
      <c r="K3060" s="3">
        <f>I3060-J3060</f>
        <v>11</v>
      </c>
      <c r="L3060" s="3" t="str">
        <f t="shared" si="322"/>
        <v>MUITO BOM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62</v>
      </c>
      <c r="C3061" t="s">
        <v>20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14</v>
      </c>
      <c r="K3061" s="3">
        <f>I3061-J3061</f>
        <v>1</v>
      </c>
      <c r="L3061" s="3" t="str">
        <f t="shared" si="322"/>
        <v>OPORTUNO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63</v>
      </c>
      <c r="C3062" t="s">
        <v>18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21</v>
      </c>
      <c r="K3062" s="3">
        <f>I3062-J3062</f>
        <v>7</v>
      </c>
      <c r="L3062" s="3" t="str">
        <f t="shared" si="322"/>
        <v>MUITO BOM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15</v>
      </c>
      <c r="C3063" t="s">
        <v>16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17</v>
      </c>
      <c r="K3063" s="3">
        <f>I3063-J3063</f>
        <v>10</v>
      </c>
      <c r="L3063" s="3" t="str">
        <f t="shared" si="322"/>
        <v>MUITO BOM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17</v>
      </c>
      <c r="C3064" t="s">
        <v>18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 t="shared" si="322"/>
        <v>OPORTUNO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19</v>
      </c>
      <c r="C3065" t="s">
        <v>20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14</v>
      </c>
      <c r="K3065" s="3">
        <f>I3065-J3065</f>
        <v>-2</v>
      </c>
      <c r="L3065" s="3" t="str">
        <f t="shared" si="322"/>
        <v>ATENÇÃO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21</v>
      </c>
      <c r="C3066" t="s">
        <v>18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21</v>
      </c>
      <c r="K3066" s="3">
        <f>I3066-J3066</f>
        <v>6</v>
      </c>
      <c r="L3066" s="3" t="str">
        <f t="shared" si="322"/>
        <v>MUITO BOM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22</v>
      </c>
      <c r="C3067" t="s">
        <v>23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6</v>
      </c>
      <c r="K3067" s="3">
        <f>I3067-J3067</f>
        <v>9</v>
      </c>
      <c r="L3067" s="3" t="str">
        <f t="shared" ref="L3067:L3130" si="329">IF(K3067&lt;-5,"CRÍTICO",IF(K3067&lt;0,"ATENÇÃO",IF(K3067&lt;=5,"OPORTUNO","MUITO BOM")))</f>
        <v>MUITO BOM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24</v>
      </c>
      <c r="C3068" t="s">
        <v>16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17</v>
      </c>
      <c r="K3068" s="3">
        <f>I3068-J3068</f>
        <v>18</v>
      </c>
      <c r="L3068" s="3" t="str">
        <f t="shared" si="329"/>
        <v>MUITO BOM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25</v>
      </c>
      <c r="C3069" t="s">
        <v>16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17</v>
      </c>
      <c r="K3069" s="3">
        <f>I3069-J3069</f>
        <v>-13</v>
      </c>
      <c r="L3069" s="3" t="str">
        <f t="shared" si="329"/>
        <v>CRÍTICO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26</v>
      </c>
      <c r="C3070" t="s">
        <v>23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 t="shared" si="329"/>
        <v>OPORTUNO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27</v>
      </c>
      <c r="C3071" t="s">
        <v>20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14</v>
      </c>
      <c r="K3071" s="3">
        <f>I3071-J3071</f>
        <v>10</v>
      </c>
      <c r="L3071" s="3" t="str">
        <f t="shared" si="329"/>
        <v>MUITO BOM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28</v>
      </c>
      <c r="C3072" t="s">
        <v>18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29"/>
        <v>OPORTUNO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29</v>
      </c>
      <c r="C3073" t="s">
        <v>16</v>
      </c>
      <c r="D3073">
        <v>0</v>
      </c>
      <c r="E3073">
        <v>0</v>
      </c>
      <c r="F3073">
        <v>0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 t="shared" si="329"/>
        <v>OPORTUNO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30</v>
      </c>
      <c r="C3074" t="s">
        <v>20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14</v>
      </c>
      <c r="K3074" s="3">
        <f>I3074-J3074</f>
        <v>8</v>
      </c>
      <c r="L3074" s="3" t="str">
        <f t="shared" si="329"/>
        <v>MUITO BOM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31</v>
      </c>
      <c r="C3075" t="s">
        <v>18</v>
      </c>
      <c r="D3075">
        <v>0</v>
      </c>
      <c r="E3075">
        <v>0</v>
      </c>
      <c r="F3075">
        <v>0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 t="shared" si="329"/>
        <v>OPORTUNO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32</v>
      </c>
      <c r="C3076" t="s">
        <v>23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ref="I3076:I3084" si="330">E3076+G3076+H3076</f>
        <v>8</v>
      </c>
      <c r="J3076" s="3">
        <f t="shared" ref="J3076:J3084" si="331"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6</v>
      </c>
      <c r="K3076" s="3">
        <f t="shared" ref="K3076:K3084" si="332">I3076-J3076</f>
        <v>2</v>
      </c>
      <c r="L3076" s="3" t="str">
        <f t="shared" si="329"/>
        <v>OPORTUNO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33</v>
      </c>
      <c r="C3077" t="s">
        <v>16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330"/>
        <v>25</v>
      </c>
      <c r="J3077" s="3">
        <f t="shared" si="331"/>
        <v>17</v>
      </c>
      <c r="K3077" s="3">
        <f t="shared" si="332"/>
        <v>8</v>
      </c>
      <c r="L3077" s="3" t="str">
        <f t="shared" si="329"/>
        <v>MUITO BOM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34</v>
      </c>
      <c r="C3078" t="s">
        <v>18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330"/>
        <v>29</v>
      </c>
      <c r="J3078" s="3">
        <f t="shared" si="331"/>
        <v>21</v>
      </c>
      <c r="K3078" s="3">
        <f t="shared" si="332"/>
        <v>8</v>
      </c>
      <c r="L3078" s="3" t="str">
        <f t="shared" si="329"/>
        <v>MUITO BOM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35</v>
      </c>
      <c r="C3079" t="s">
        <v>16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330"/>
        <v>20</v>
      </c>
      <c r="J3079" s="3">
        <f t="shared" si="331"/>
        <v>17</v>
      </c>
      <c r="K3079" s="3">
        <f t="shared" si="332"/>
        <v>3</v>
      </c>
      <c r="L3079" s="3" t="str">
        <f t="shared" si="329"/>
        <v>OPORTUNO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36</v>
      </c>
      <c r="C3080" t="s">
        <v>20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330"/>
        <v>9</v>
      </c>
      <c r="J3080" s="3">
        <f t="shared" si="331"/>
        <v>12</v>
      </c>
      <c r="K3080" s="3">
        <f t="shared" si="332"/>
        <v>-3</v>
      </c>
      <c r="L3080" s="3" t="str">
        <f t="shared" si="329"/>
        <v>ATENÇÃO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37</v>
      </c>
      <c r="C3081" t="s">
        <v>16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330"/>
        <v>31</v>
      </c>
      <c r="J3081" s="3">
        <f t="shared" si="331"/>
        <v>17</v>
      </c>
      <c r="K3081" s="3">
        <f t="shared" si="332"/>
        <v>14</v>
      </c>
      <c r="L3081" s="3" t="str">
        <f t="shared" si="329"/>
        <v>MUITO BOM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38</v>
      </c>
      <c r="C3082" t="s">
        <v>18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330"/>
        <v>39</v>
      </c>
      <c r="J3082" s="3">
        <f t="shared" si="331"/>
        <v>21</v>
      </c>
      <c r="K3082" s="3">
        <f t="shared" si="332"/>
        <v>18</v>
      </c>
      <c r="L3082" s="3" t="str">
        <f t="shared" si="329"/>
        <v>MUITO BOM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39</v>
      </c>
      <c r="C3083" t="s">
        <v>18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330"/>
        <v>8</v>
      </c>
      <c r="J3083" s="3">
        <f t="shared" si="331"/>
        <v>21</v>
      </c>
      <c r="K3083" s="3">
        <f t="shared" si="332"/>
        <v>-13</v>
      </c>
      <c r="L3083" s="3" t="str">
        <f t="shared" si="329"/>
        <v>CRÍTICO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40</v>
      </c>
      <c r="C3084" t="s">
        <v>16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330"/>
        <v>26</v>
      </c>
      <c r="J3084" s="3">
        <f t="shared" si="331"/>
        <v>17</v>
      </c>
      <c r="K3084" s="3">
        <f t="shared" si="332"/>
        <v>9</v>
      </c>
      <c r="L3084" s="3" t="str">
        <f t="shared" si="329"/>
        <v>MUITO BOM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41</v>
      </c>
      <c r="C3085" t="s">
        <v>18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 t="shared" si="329"/>
        <v>OPORTUNO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42</v>
      </c>
      <c r="C3086" t="s">
        <v>43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12</v>
      </c>
      <c r="K3086" s="3">
        <f>I3086-J3086</f>
        <v>-6</v>
      </c>
      <c r="L3086" s="3" t="str">
        <f t="shared" si="329"/>
        <v>CRÍTICO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44</v>
      </c>
      <c r="C3087" t="s">
        <v>18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21</v>
      </c>
      <c r="K3087" s="3">
        <f>I3087-J3087</f>
        <v>-20</v>
      </c>
      <c r="L3087" s="3" t="str">
        <f t="shared" si="329"/>
        <v>CRÍTICO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45</v>
      </c>
      <c r="C3088" t="s">
        <v>43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12</v>
      </c>
      <c r="K3088" s="3">
        <f>I3088-J3088</f>
        <v>-3</v>
      </c>
      <c r="L3088" s="3" t="str">
        <f t="shared" si="329"/>
        <v>ATENÇÃO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46</v>
      </c>
      <c r="C3089" t="s">
        <v>18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21</v>
      </c>
      <c r="K3089" s="3">
        <f>I3089-J3089</f>
        <v>-3</v>
      </c>
      <c r="L3089" s="3" t="str">
        <f t="shared" si="329"/>
        <v>ATENÇÃO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47</v>
      </c>
      <c r="C3090" t="s">
        <v>16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17</v>
      </c>
      <c r="K3090" s="3">
        <f>I3090-J3090</f>
        <v>19</v>
      </c>
      <c r="L3090" s="3" t="str">
        <f t="shared" si="329"/>
        <v>MUITO BOM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48</v>
      </c>
      <c r="C3091" t="s">
        <v>16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29"/>
        <v>OPORTUNO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49</v>
      </c>
      <c r="C3092" t="s">
        <v>18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 t="shared" si="329"/>
        <v>OPORTUNO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50</v>
      </c>
      <c r="C3093" t="s">
        <v>20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14</v>
      </c>
      <c r="K3093" s="3">
        <f>I3093-J3093</f>
        <v>2</v>
      </c>
      <c r="L3093" s="3" t="str">
        <f t="shared" si="329"/>
        <v>OPORTUNO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51</v>
      </c>
      <c r="C3094" t="s">
        <v>23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6</v>
      </c>
      <c r="K3094" s="3">
        <f>I3094-J3094</f>
        <v>2</v>
      </c>
      <c r="L3094" s="3" t="str">
        <f t="shared" si="329"/>
        <v>OPORTUNO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52</v>
      </c>
      <c r="C3095" t="s">
        <v>18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21</v>
      </c>
      <c r="K3095" s="3">
        <f>I3095-J3095</f>
        <v>11</v>
      </c>
      <c r="L3095" s="3" t="str">
        <f t="shared" si="329"/>
        <v>MUITO BOM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53</v>
      </c>
      <c r="C3096" t="s">
        <v>18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21</v>
      </c>
      <c r="K3096" s="3">
        <f>I3096-J3096</f>
        <v>-19</v>
      </c>
      <c r="L3096" s="3" t="str">
        <f t="shared" si="329"/>
        <v>CRÍTICO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54</v>
      </c>
      <c r="C3097" t="s">
        <v>23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29"/>
        <v>OPORTUNO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55</v>
      </c>
      <c r="C3098" t="s">
        <v>43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 t="shared" si="329"/>
        <v>OPORTUNO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56</v>
      </c>
      <c r="C3099" t="s">
        <v>16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17</v>
      </c>
      <c r="K3099" s="3">
        <f>I3099-J3099</f>
        <v>16</v>
      </c>
      <c r="L3099" s="3" t="str">
        <f t="shared" si="329"/>
        <v>MUITO BOM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57</v>
      </c>
      <c r="C3100" t="s">
        <v>43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12</v>
      </c>
      <c r="K3100" s="3">
        <f>I3100-J3100</f>
        <v>2</v>
      </c>
      <c r="L3100" s="3" t="str">
        <f t="shared" si="329"/>
        <v>OPORTUNO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58</v>
      </c>
      <c r="C3101" t="s">
        <v>43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12</v>
      </c>
      <c r="K3101" s="3">
        <f>I3101-J3101</f>
        <v>3</v>
      </c>
      <c r="L3101" s="3" t="str">
        <f t="shared" si="329"/>
        <v>OPORTUNO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59</v>
      </c>
      <c r="C3102" t="s">
        <v>23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 t="shared" si="329"/>
        <v>OPORTUNO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60</v>
      </c>
      <c r="C3103" t="s">
        <v>20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14</v>
      </c>
      <c r="K3103" s="3">
        <f>I3103-J3103</f>
        <v>5</v>
      </c>
      <c r="L3103" s="3" t="str">
        <f t="shared" si="329"/>
        <v>OPORTUNO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61</v>
      </c>
      <c r="C3104" t="s">
        <v>18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21</v>
      </c>
      <c r="K3104" s="3">
        <f>I3104-J3104</f>
        <v>16</v>
      </c>
      <c r="L3104" s="3" t="str">
        <f t="shared" si="329"/>
        <v>MUITO BOM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62</v>
      </c>
      <c r="C3105" t="s">
        <v>20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14</v>
      </c>
      <c r="K3105" s="3">
        <f>I3105-J3105</f>
        <v>-4</v>
      </c>
      <c r="L3105" s="3" t="str">
        <f t="shared" si="329"/>
        <v>ATENÇÃO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63</v>
      </c>
      <c r="C3106" t="s">
        <v>18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21</v>
      </c>
      <c r="K3106" s="3">
        <f>I3106-J3106</f>
        <v>5</v>
      </c>
      <c r="L3106" s="3" t="str">
        <f t="shared" si="329"/>
        <v>OPORTUNO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15</v>
      </c>
      <c r="C3107" t="s">
        <v>16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16</v>
      </c>
      <c r="K3107" s="3">
        <f>I3107-J3107</f>
        <v>8</v>
      </c>
      <c r="L3107" s="3" t="str">
        <f t="shared" si="329"/>
        <v>MUITO BOM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17</v>
      </c>
      <c r="C3108" t="s">
        <v>18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 t="shared" si="329"/>
        <v>OPORTUNO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19</v>
      </c>
      <c r="C3109" t="s">
        <v>20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13</v>
      </c>
      <c r="K3109" s="3">
        <f>I3109-J3109</f>
        <v>-6</v>
      </c>
      <c r="L3109" s="3" t="str">
        <f t="shared" si="329"/>
        <v>CRÍTICO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21</v>
      </c>
      <c r="C3110" t="s">
        <v>18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20</v>
      </c>
      <c r="K3110" s="3">
        <f>I3110-J3110</f>
        <v>8</v>
      </c>
      <c r="L3110" s="3" t="str">
        <f t="shared" si="329"/>
        <v>MUITO BOM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22</v>
      </c>
      <c r="C3111" t="s">
        <v>23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 t="shared" si="329"/>
        <v>OPORTUNO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24</v>
      </c>
      <c r="C3112" t="s">
        <v>16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16</v>
      </c>
      <c r="K3112" s="3">
        <f>I3112-J3112</f>
        <v>10</v>
      </c>
      <c r="L3112" s="3" t="str">
        <f t="shared" si="329"/>
        <v>MUITO BOM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25</v>
      </c>
      <c r="C3113" t="s">
        <v>16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16</v>
      </c>
      <c r="K3113" s="3">
        <f>I3113-J3113</f>
        <v>0</v>
      </c>
      <c r="L3113" s="3" t="str">
        <f t="shared" si="329"/>
        <v>OPORTUNO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26</v>
      </c>
      <c r="C3114" t="s">
        <v>23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 t="shared" si="329"/>
        <v>OPORTUNO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27</v>
      </c>
      <c r="C3115" t="s">
        <v>20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13</v>
      </c>
      <c r="K3115" s="3">
        <f>I3115-J3115</f>
        <v>6</v>
      </c>
      <c r="L3115" s="3" t="str">
        <f t="shared" si="329"/>
        <v>MUITO BOM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28</v>
      </c>
      <c r="C3116" t="s">
        <v>18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29"/>
        <v>OPORTUNO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29</v>
      </c>
      <c r="C3117" t="s">
        <v>16</v>
      </c>
      <c r="D3117">
        <v>0</v>
      </c>
      <c r="E3117">
        <v>0</v>
      </c>
      <c r="F3117">
        <v>0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 t="shared" si="329"/>
        <v>OPORTUNO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30</v>
      </c>
      <c r="C3118" t="s">
        <v>20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13</v>
      </c>
      <c r="K3118" s="3">
        <f>I3118-J3118</f>
        <v>-1</v>
      </c>
      <c r="L3118" s="3" t="str">
        <f t="shared" si="329"/>
        <v>ATENÇÃO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31</v>
      </c>
      <c r="C3119" t="s">
        <v>18</v>
      </c>
      <c r="D3119">
        <v>0</v>
      </c>
      <c r="E3119">
        <v>0</v>
      </c>
      <c r="F3119">
        <v>0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 t="shared" si="329"/>
        <v>OPORTUNO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32</v>
      </c>
      <c r="C3120" t="s">
        <v>23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ref="I3120:I3126" si="333">E3120+G3120+H3120</f>
        <v>6</v>
      </c>
      <c r="J3120" s="3">
        <f t="shared" ref="J3120:J3126" si="334"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 t="shared" ref="K3120:K3126" si="335">I3120-J3120</f>
        <v>0</v>
      </c>
      <c r="L3120" s="3" t="str">
        <f t="shared" si="329"/>
        <v>OPORTUNO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33</v>
      </c>
      <c r="C3121" t="s">
        <v>16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333"/>
        <v>25</v>
      </c>
      <c r="J3121" s="3">
        <f t="shared" si="334"/>
        <v>16</v>
      </c>
      <c r="K3121" s="3">
        <f t="shared" si="335"/>
        <v>9</v>
      </c>
      <c r="L3121" s="3" t="str">
        <f t="shared" si="329"/>
        <v>MUITO BOM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34</v>
      </c>
      <c r="C3122" t="s">
        <v>18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333"/>
        <v>30</v>
      </c>
      <c r="J3122" s="3">
        <f t="shared" si="334"/>
        <v>20</v>
      </c>
      <c r="K3122" s="3">
        <f t="shared" si="335"/>
        <v>10</v>
      </c>
      <c r="L3122" s="3" t="str">
        <f t="shared" si="329"/>
        <v>MUITO BOM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35</v>
      </c>
      <c r="C3123" t="s">
        <v>16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333"/>
        <v>24</v>
      </c>
      <c r="J3123" s="3">
        <f t="shared" si="334"/>
        <v>16</v>
      </c>
      <c r="K3123" s="3">
        <f t="shared" si="335"/>
        <v>8</v>
      </c>
      <c r="L3123" s="3" t="str">
        <f t="shared" si="329"/>
        <v>MUITO BOM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36</v>
      </c>
      <c r="C3124" t="s">
        <v>20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333"/>
        <v>18</v>
      </c>
      <c r="J3124" s="3">
        <f t="shared" si="334"/>
        <v>14</v>
      </c>
      <c r="K3124" s="3">
        <f t="shared" si="335"/>
        <v>4</v>
      </c>
      <c r="L3124" s="3" t="str">
        <f t="shared" si="329"/>
        <v>OPORTUNO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37</v>
      </c>
      <c r="C3125" t="s">
        <v>16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333"/>
        <v>27</v>
      </c>
      <c r="J3125" s="3">
        <f t="shared" si="334"/>
        <v>16</v>
      </c>
      <c r="K3125" s="3">
        <f t="shared" si="335"/>
        <v>11</v>
      </c>
      <c r="L3125" s="3" t="str">
        <f t="shared" si="329"/>
        <v>MUITO BOM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38</v>
      </c>
      <c r="C3126" t="s">
        <v>18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333"/>
        <v>40</v>
      </c>
      <c r="J3126" s="3">
        <f t="shared" si="334"/>
        <v>20</v>
      </c>
      <c r="K3126" s="3">
        <f t="shared" si="335"/>
        <v>20</v>
      </c>
      <c r="L3126" s="3" t="str">
        <f t="shared" si="329"/>
        <v>MUITO BOM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39</v>
      </c>
      <c r="C3127" t="s">
        <v>18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 t="shared" si="329"/>
        <v>OPORTUNO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40</v>
      </c>
      <c r="C3128" t="s">
        <v>16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16</v>
      </c>
      <c r="K3128" s="3">
        <f>I3128-J3128</f>
        <v>0</v>
      </c>
      <c r="L3128" s="3" t="str">
        <f t="shared" si="329"/>
        <v>OPORTUNO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41</v>
      </c>
      <c r="C3129" t="s">
        <v>18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 t="shared" si="329"/>
        <v>OPORTUNO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42</v>
      </c>
      <c r="C3130" t="s">
        <v>43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 t="shared" si="329"/>
        <v>MUITO BOM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44</v>
      </c>
      <c r="C3131" t="s">
        <v>18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20</v>
      </c>
      <c r="K3131" s="3">
        <f>I3131-J3131</f>
        <v>-13</v>
      </c>
      <c r="L3131" s="3" t="str">
        <f t="shared" ref="L3131:L3194" si="336">IF(K3131&lt;-5,"CRÍTICO",IF(K3131&lt;0,"ATENÇÃO",IF(K3131&lt;=5,"OPORTUNO","MUITO BOM")))</f>
        <v>CRÍTICO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45</v>
      </c>
      <c r="C3132" t="s">
        <v>43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 t="shared" si="336"/>
        <v>OPORTUNO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46</v>
      </c>
      <c r="C3133" t="s">
        <v>18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20</v>
      </c>
      <c r="K3133" s="3">
        <f>I3133-J3133</f>
        <v>-2</v>
      </c>
      <c r="L3133" s="3" t="str">
        <f t="shared" si="336"/>
        <v>ATENÇÃO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47</v>
      </c>
      <c r="C3134" t="s">
        <v>16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16</v>
      </c>
      <c r="K3134" s="3">
        <f>I3134-J3134</f>
        <v>13</v>
      </c>
      <c r="L3134" s="3" t="str">
        <f t="shared" si="336"/>
        <v>MUITO BOM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48</v>
      </c>
      <c r="C3135" t="s">
        <v>16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36"/>
        <v>OPORTUNO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49</v>
      </c>
      <c r="C3136" t="s">
        <v>18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 t="shared" si="336"/>
        <v>OPORTUNO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50</v>
      </c>
      <c r="C3137" t="s">
        <v>20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13</v>
      </c>
      <c r="K3137" s="3">
        <f>I3137-J3137</f>
        <v>6</v>
      </c>
      <c r="L3137" s="3" t="str">
        <f t="shared" si="336"/>
        <v>MUITO BOM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51</v>
      </c>
      <c r="C3138" t="s">
        <v>23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 t="shared" si="336"/>
        <v>ATENÇÃO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52</v>
      </c>
      <c r="C3139" t="s">
        <v>18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20</v>
      </c>
      <c r="K3139" s="3">
        <f>I3139-J3139</f>
        <v>11</v>
      </c>
      <c r="L3139" s="3" t="str">
        <f t="shared" si="336"/>
        <v>MUITO BOM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53</v>
      </c>
      <c r="C3140" t="s">
        <v>18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20</v>
      </c>
      <c r="K3140" s="3">
        <f>I3140-J3140</f>
        <v>-17</v>
      </c>
      <c r="L3140" s="3" t="str">
        <f t="shared" si="336"/>
        <v>CRÍTICO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54</v>
      </c>
      <c r="C3141" t="s">
        <v>23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 t="shared" si="336"/>
        <v>OPORTUNO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55</v>
      </c>
      <c r="C3142" t="s">
        <v>43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 t="shared" si="336"/>
        <v>OPORTUNO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56</v>
      </c>
      <c r="C3143" t="s">
        <v>16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16</v>
      </c>
      <c r="K3143" s="3">
        <f>I3143-J3143</f>
        <v>-4</v>
      </c>
      <c r="L3143" s="3" t="str">
        <f t="shared" si="336"/>
        <v>ATENÇÃO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57</v>
      </c>
      <c r="C3144" t="s">
        <v>43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 t="shared" si="336"/>
        <v>OPORTUNO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58</v>
      </c>
      <c r="C3145" t="s">
        <v>43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 t="shared" si="336"/>
        <v>ATENÇÃO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59</v>
      </c>
      <c r="C3146" t="s">
        <v>23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 t="shared" si="336"/>
        <v>OPORTUNO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60</v>
      </c>
      <c r="C3147" t="s">
        <v>20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13</v>
      </c>
      <c r="K3147" s="3">
        <f>I3147-J3147</f>
        <v>5</v>
      </c>
      <c r="L3147" s="3" t="str">
        <f t="shared" si="336"/>
        <v>OPORTUNO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61</v>
      </c>
      <c r="C3148" t="s">
        <v>18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20</v>
      </c>
      <c r="K3148" s="3">
        <f>I3148-J3148</f>
        <v>14</v>
      </c>
      <c r="L3148" s="3" t="str">
        <f t="shared" si="336"/>
        <v>MUITO BOM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62</v>
      </c>
      <c r="C3149" t="s">
        <v>20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13</v>
      </c>
      <c r="K3149" s="3">
        <f>I3149-J3149</f>
        <v>-1</v>
      </c>
      <c r="L3149" s="3" t="str">
        <f t="shared" si="336"/>
        <v>ATENÇÃO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63</v>
      </c>
      <c r="C3150" t="s">
        <v>18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20</v>
      </c>
      <c r="K3150" s="3">
        <f>I3150-J3150</f>
        <v>7</v>
      </c>
      <c r="L3150" s="3" t="str">
        <f t="shared" si="336"/>
        <v>MUITO BOM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15</v>
      </c>
      <c r="C3151" t="s">
        <v>16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16</v>
      </c>
      <c r="K3151" s="3">
        <f>I3151-J3151</f>
        <v>4</v>
      </c>
      <c r="L3151" s="3" t="str">
        <f t="shared" si="336"/>
        <v>OPORTUNO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17</v>
      </c>
      <c r="C3152" t="s">
        <v>18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 t="shared" si="336"/>
        <v>OPORTUNO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19</v>
      </c>
      <c r="C3153" t="s">
        <v>20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 t="shared" si="336"/>
        <v>MUITO BOM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21</v>
      </c>
      <c r="C3154" t="s">
        <v>18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21</v>
      </c>
      <c r="K3154" s="3">
        <f>I3154-J3154</f>
        <v>-13</v>
      </c>
      <c r="L3154" s="3" t="str">
        <f t="shared" si="336"/>
        <v>CRÍTICO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22</v>
      </c>
      <c r="C3155" t="s">
        <v>23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 t="shared" si="336"/>
        <v>MUITO BOM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24</v>
      </c>
      <c r="C3156" t="s">
        <v>16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16</v>
      </c>
      <c r="K3156" s="3">
        <f>I3156-J3156</f>
        <v>6</v>
      </c>
      <c r="L3156" s="3" t="str">
        <f t="shared" si="336"/>
        <v>MUITO BOM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25</v>
      </c>
      <c r="C3157" t="s">
        <v>16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16</v>
      </c>
      <c r="K3157" s="3">
        <f>I3157-J3157</f>
        <v>8</v>
      </c>
      <c r="L3157" s="3" t="str">
        <f t="shared" si="336"/>
        <v>MUITO BOM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26</v>
      </c>
      <c r="C3158" t="s">
        <v>23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 t="shared" si="336"/>
        <v>OPORTUNO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27</v>
      </c>
      <c r="C3159" t="s">
        <v>20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 t="shared" si="336"/>
        <v>MUITO BOM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28</v>
      </c>
      <c r="C3160" t="s">
        <v>18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36"/>
        <v>OPORTUNO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29</v>
      </c>
      <c r="C3161" t="s">
        <v>16</v>
      </c>
      <c r="D3161">
        <v>0</v>
      </c>
      <c r="E3161">
        <v>0</v>
      </c>
      <c r="F3161">
        <v>0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 t="shared" si="336"/>
        <v>OPORTUNO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30</v>
      </c>
      <c r="C3162" t="s">
        <v>20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 t="shared" si="336"/>
        <v>MUITO BOM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31</v>
      </c>
      <c r="C3163" t="s">
        <v>18</v>
      </c>
      <c r="D3163">
        <v>0</v>
      </c>
      <c r="E3163">
        <v>0</v>
      </c>
      <c r="F3163">
        <v>0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 t="shared" si="336"/>
        <v>OPORTUNO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32</v>
      </c>
      <c r="C3164" t="s">
        <v>23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ref="I3164:I3172" si="337">E3164+G3164+H3164</f>
        <v>8</v>
      </c>
      <c r="J3164" s="3">
        <f t="shared" ref="J3164:J3172" si="338"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 t="shared" ref="K3164:K3172" si="339">I3164-J3164</f>
        <v>2</v>
      </c>
      <c r="L3164" s="3" t="str">
        <f t="shared" si="336"/>
        <v>OPORTUNO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33</v>
      </c>
      <c r="C3165" t="s">
        <v>16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337"/>
        <v>19</v>
      </c>
      <c r="J3165" s="3">
        <f t="shared" si="338"/>
        <v>16</v>
      </c>
      <c r="K3165" s="3">
        <f t="shared" si="339"/>
        <v>3</v>
      </c>
      <c r="L3165" s="3" t="str">
        <f t="shared" si="336"/>
        <v>OPORTUNO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34</v>
      </c>
      <c r="C3166" t="s">
        <v>18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337"/>
        <v>27</v>
      </c>
      <c r="J3166" s="3">
        <f t="shared" si="338"/>
        <v>21</v>
      </c>
      <c r="K3166" s="3">
        <f t="shared" si="339"/>
        <v>6</v>
      </c>
      <c r="L3166" s="3" t="str">
        <f t="shared" si="336"/>
        <v>MUITO BOM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35</v>
      </c>
      <c r="C3167" t="s">
        <v>16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337"/>
        <v>15</v>
      </c>
      <c r="J3167" s="3">
        <f t="shared" si="338"/>
        <v>16</v>
      </c>
      <c r="K3167" s="3">
        <f t="shared" si="339"/>
        <v>-1</v>
      </c>
      <c r="L3167" s="3" t="str">
        <f t="shared" si="336"/>
        <v>ATENÇÃO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36</v>
      </c>
      <c r="C3168" t="s">
        <v>20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337"/>
        <v>21</v>
      </c>
      <c r="J3168" s="3">
        <f t="shared" si="338"/>
        <v>15</v>
      </c>
      <c r="K3168" s="3">
        <f t="shared" si="339"/>
        <v>6</v>
      </c>
      <c r="L3168" s="3" t="str">
        <f t="shared" si="336"/>
        <v>MUITO BOM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37</v>
      </c>
      <c r="C3169" t="s">
        <v>16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337"/>
        <v>22</v>
      </c>
      <c r="J3169" s="3">
        <f t="shared" si="338"/>
        <v>16</v>
      </c>
      <c r="K3169" s="3">
        <f t="shared" si="339"/>
        <v>6</v>
      </c>
      <c r="L3169" s="3" t="str">
        <f t="shared" si="336"/>
        <v>MUITO BOM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38</v>
      </c>
      <c r="C3170" t="s">
        <v>18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337"/>
        <v>41</v>
      </c>
      <c r="J3170" s="3">
        <f t="shared" si="338"/>
        <v>21</v>
      </c>
      <c r="K3170" s="3">
        <f t="shared" si="339"/>
        <v>20</v>
      </c>
      <c r="L3170" s="3" t="str">
        <f t="shared" si="336"/>
        <v>MUITO BOM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39</v>
      </c>
      <c r="C3171" t="s">
        <v>18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337"/>
        <v>1</v>
      </c>
      <c r="J3171" s="3">
        <f t="shared" si="338"/>
        <v>21</v>
      </c>
      <c r="K3171" s="3">
        <f t="shared" si="339"/>
        <v>-20</v>
      </c>
      <c r="L3171" s="3" t="str">
        <f t="shared" si="336"/>
        <v>CRÍTICO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40</v>
      </c>
      <c r="C3172" t="s">
        <v>16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337"/>
        <v>2</v>
      </c>
      <c r="J3172" s="3">
        <f t="shared" si="338"/>
        <v>16</v>
      </c>
      <c r="K3172" s="3">
        <f t="shared" si="339"/>
        <v>-14</v>
      </c>
      <c r="L3172" s="3" t="str">
        <f t="shared" si="336"/>
        <v>CRÍTICO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41</v>
      </c>
      <c r="C3173" t="s">
        <v>18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 t="shared" si="336"/>
        <v>OPORTUNO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42</v>
      </c>
      <c r="C3174" t="s">
        <v>43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12</v>
      </c>
      <c r="K3174" s="3">
        <f>I3174-J3174</f>
        <v>7</v>
      </c>
      <c r="L3174" s="3" t="str">
        <f t="shared" si="336"/>
        <v>MUITO BOM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44</v>
      </c>
      <c r="C3175" t="s">
        <v>18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21</v>
      </c>
      <c r="K3175" s="3">
        <f>I3175-J3175</f>
        <v>-3</v>
      </c>
      <c r="L3175" s="3" t="str">
        <f t="shared" si="336"/>
        <v>ATENÇÃO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45</v>
      </c>
      <c r="C3176" t="s">
        <v>43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12</v>
      </c>
      <c r="K3176" s="3">
        <f>I3176-J3176</f>
        <v>1</v>
      </c>
      <c r="L3176" s="3" t="str">
        <f t="shared" si="336"/>
        <v>OPORTUNO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46</v>
      </c>
      <c r="C3177" t="s">
        <v>18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21</v>
      </c>
      <c r="K3177" s="3">
        <f>I3177-J3177</f>
        <v>-7</v>
      </c>
      <c r="L3177" s="3" t="str">
        <f t="shared" si="336"/>
        <v>CRÍTICO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47</v>
      </c>
      <c r="C3178" t="s">
        <v>16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16</v>
      </c>
      <c r="K3178" s="3">
        <f>I3178-J3178</f>
        <v>2</v>
      </c>
      <c r="L3178" s="3" t="str">
        <f t="shared" si="336"/>
        <v>OPORTUNO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48</v>
      </c>
      <c r="C3179" t="s">
        <v>16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36"/>
        <v>OPORTUNO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49</v>
      </c>
      <c r="C3180" t="s">
        <v>18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 t="shared" si="336"/>
        <v>OPORTUNO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50</v>
      </c>
      <c r="C3181" t="s">
        <v>20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 t="shared" si="336"/>
        <v>OPORTUNO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51</v>
      </c>
      <c r="C3182" t="s">
        <v>23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 t="shared" si="336"/>
        <v>OPORTUNO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52</v>
      </c>
      <c r="C3183" t="s">
        <v>18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21</v>
      </c>
      <c r="K3183" s="3">
        <f>I3183-J3183</f>
        <v>9</v>
      </c>
      <c r="L3183" s="3" t="str">
        <f t="shared" si="336"/>
        <v>MUITO BOM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53</v>
      </c>
      <c r="C3184" t="s">
        <v>18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 t="shared" si="336"/>
        <v>OPORTUNO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54</v>
      </c>
      <c r="C3185" t="s">
        <v>23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 t="shared" si="336"/>
        <v>OPORTUNO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55</v>
      </c>
      <c r="C3186" t="s">
        <v>43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36"/>
        <v>OPORTUNO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56</v>
      </c>
      <c r="C3187" t="s">
        <v>16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 t="shared" si="336"/>
        <v>OPORTUNO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57</v>
      </c>
      <c r="C3188" t="s">
        <v>43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12</v>
      </c>
      <c r="K3188" s="3">
        <f>I3188-J3188</f>
        <v>0</v>
      </c>
      <c r="L3188" s="3" t="str">
        <f t="shared" si="336"/>
        <v>OPORTUNO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58</v>
      </c>
      <c r="C3189" t="s">
        <v>43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12</v>
      </c>
      <c r="K3189" s="3">
        <f>I3189-J3189</f>
        <v>-4</v>
      </c>
      <c r="L3189" s="3" t="str">
        <f t="shared" si="336"/>
        <v>ATENÇÃO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59</v>
      </c>
      <c r="C3190" t="s">
        <v>23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 t="shared" si="336"/>
        <v>OPORTUNO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60</v>
      </c>
      <c r="C3191" t="s">
        <v>20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 t="shared" si="336"/>
        <v>MUITO BOM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61</v>
      </c>
      <c r="C3192" t="s">
        <v>18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21</v>
      </c>
      <c r="K3192" s="3">
        <f>I3192-J3192</f>
        <v>17</v>
      </c>
      <c r="L3192" s="3" t="str">
        <f t="shared" si="336"/>
        <v>MUITO BOM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62</v>
      </c>
      <c r="C3193" t="s">
        <v>20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 t="shared" si="336"/>
        <v>OPORTUNO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63</v>
      </c>
      <c r="C3194" t="s">
        <v>18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21</v>
      </c>
      <c r="K3194" s="3">
        <f>I3194-J3194</f>
        <v>6</v>
      </c>
      <c r="L3194" s="3" t="str">
        <f t="shared" si="336"/>
        <v>MUITO BOM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15</v>
      </c>
      <c r="C3195" t="s">
        <v>16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16</v>
      </c>
      <c r="K3195" s="3">
        <f>I3195-J3195</f>
        <v>-4</v>
      </c>
      <c r="L3195" s="3" t="str">
        <f t="shared" ref="L3195:L3258" si="340">IF(K3195&lt;-5,"CRÍTICO",IF(K3195&lt;0,"ATENÇÃO",IF(K3195&lt;=5,"OPORTUNO","MUITO BOM")))</f>
        <v>ATENÇÃO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17</v>
      </c>
      <c r="C3196" t="s">
        <v>18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 t="shared" si="340"/>
        <v>OPORTUNO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19</v>
      </c>
      <c r="C3197" t="s">
        <v>20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13</v>
      </c>
      <c r="K3197" s="3">
        <f>I3197-J3197</f>
        <v>5</v>
      </c>
      <c r="L3197" s="3" t="str">
        <f t="shared" si="340"/>
        <v>OPORTUNO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21</v>
      </c>
      <c r="C3198" t="s">
        <v>18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20</v>
      </c>
      <c r="K3198" s="3">
        <f>I3198-J3198</f>
        <v>1</v>
      </c>
      <c r="L3198" s="3" t="str">
        <f t="shared" si="340"/>
        <v>OPORTUNO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22</v>
      </c>
      <c r="C3199" t="s">
        <v>23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 t="shared" si="340"/>
        <v>OPORTUNO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24</v>
      </c>
      <c r="C3200" t="s">
        <v>16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16</v>
      </c>
      <c r="K3200" s="3">
        <f>I3200-J3200</f>
        <v>-4</v>
      </c>
      <c r="L3200" s="3" t="str">
        <f t="shared" si="340"/>
        <v>ATENÇÃO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25</v>
      </c>
      <c r="C3201" t="s">
        <v>16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16</v>
      </c>
      <c r="K3201" s="3">
        <f>I3201-J3201</f>
        <v>8</v>
      </c>
      <c r="L3201" s="3" t="str">
        <f t="shared" si="340"/>
        <v>MUITO BOM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26</v>
      </c>
      <c r="C3202" t="s">
        <v>23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 t="shared" si="340"/>
        <v>OPORTUNO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27</v>
      </c>
      <c r="C3203" t="s">
        <v>20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13</v>
      </c>
      <c r="K3203" s="3">
        <f>I3203-J3203</f>
        <v>10</v>
      </c>
      <c r="L3203" s="3" t="str">
        <f t="shared" si="340"/>
        <v>MUITO BOM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28</v>
      </c>
      <c r="C3204" t="s">
        <v>18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340"/>
        <v>OPORTUNO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29</v>
      </c>
      <c r="C3205" t="s">
        <v>16</v>
      </c>
      <c r="D3205">
        <v>0</v>
      </c>
      <c r="E3205">
        <v>0</v>
      </c>
      <c r="F3205">
        <v>0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 t="shared" si="340"/>
        <v>OPORTUNO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30</v>
      </c>
      <c r="C3206" t="s">
        <v>20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13</v>
      </c>
      <c r="K3206" s="3">
        <f>I3206-J3206</f>
        <v>9</v>
      </c>
      <c r="L3206" s="3" t="str">
        <f t="shared" si="340"/>
        <v>MUITO BOM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31</v>
      </c>
      <c r="C3207" t="s">
        <v>18</v>
      </c>
      <c r="D3207">
        <v>0</v>
      </c>
      <c r="E3207">
        <v>0</v>
      </c>
      <c r="F3207">
        <v>0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 t="shared" si="340"/>
        <v>OPORTUNO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32</v>
      </c>
      <c r="C3208" t="s">
        <v>23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ref="I3208:I3215" si="341">E3208+G3208+H3208</f>
        <v>8</v>
      </c>
      <c r="J3208" s="3">
        <f t="shared" ref="J3208:J3215" si="342"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 t="shared" ref="K3208:K3215" si="343">I3208-J3208</f>
        <v>2</v>
      </c>
      <c r="L3208" s="3" t="str">
        <f t="shared" si="340"/>
        <v>OPORTUNO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33</v>
      </c>
      <c r="C3209" t="s">
        <v>16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341"/>
        <v>15</v>
      </c>
      <c r="J3209" s="3">
        <f t="shared" si="342"/>
        <v>16</v>
      </c>
      <c r="K3209" s="3">
        <f t="shared" si="343"/>
        <v>-1</v>
      </c>
      <c r="L3209" s="3" t="str">
        <f t="shared" si="340"/>
        <v>ATENÇÃO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34</v>
      </c>
      <c r="C3210" t="s">
        <v>18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341"/>
        <v>27</v>
      </c>
      <c r="J3210" s="3">
        <f t="shared" si="342"/>
        <v>20</v>
      </c>
      <c r="K3210" s="3">
        <f t="shared" si="343"/>
        <v>7</v>
      </c>
      <c r="L3210" s="3" t="str">
        <f t="shared" si="340"/>
        <v>MUITO BOM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35</v>
      </c>
      <c r="C3211" t="s">
        <v>16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341"/>
        <v>10</v>
      </c>
      <c r="J3211" s="3">
        <f t="shared" si="342"/>
        <v>16</v>
      </c>
      <c r="K3211" s="3">
        <f t="shared" si="343"/>
        <v>-6</v>
      </c>
      <c r="L3211" s="3" t="str">
        <f t="shared" si="340"/>
        <v>CRÍTICO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36</v>
      </c>
      <c r="C3212" t="s">
        <v>20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341"/>
        <v>15</v>
      </c>
      <c r="J3212" s="3">
        <f t="shared" si="342"/>
        <v>14</v>
      </c>
      <c r="K3212" s="3">
        <f t="shared" si="343"/>
        <v>1</v>
      </c>
      <c r="L3212" s="3" t="str">
        <f t="shared" si="340"/>
        <v>OPORTUNO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37</v>
      </c>
      <c r="C3213" t="s">
        <v>16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341"/>
        <v>28</v>
      </c>
      <c r="J3213" s="3">
        <f t="shared" si="342"/>
        <v>16</v>
      </c>
      <c r="K3213" s="3">
        <f t="shared" si="343"/>
        <v>12</v>
      </c>
      <c r="L3213" s="3" t="str">
        <f t="shared" si="340"/>
        <v>MUITO BOM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38</v>
      </c>
      <c r="C3214" t="s">
        <v>18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341"/>
        <v>38</v>
      </c>
      <c r="J3214" s="3">
        <f t="shared" si="342"/>
        <v>20</v>
      </c>
      <c r="K3214" s="3">
        <f t="shared" si="343"/>
        <v>18</v>
      </c>
      <c r="L3214" s="3" t="str">
        <f t="shared" si="340"/>
        <v>MUITO BOM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39</v>
      </c>
      <c r="C3215" t="s">
        <v>18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341"/>
        <v>3</v>
      </c>
      <c r="J3215" s="3">
        <f t="shared" si="342"/>
        <v>20</v>
      </c>
      <c r="K3215" s="3">
        <f t="shared" si="343"/>
        <v>-17</v>
      </c>
      <c r="L3215" s="3" t="str">
        <f t="shared" si="340"/>
        <v>CRÍTICO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40</v>
      </c>
      <c r="C3216" t="s">
        <v>16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340"/>
        <v>OPORTUNO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41</v>
      </c>
      <c r="C3217" t="s">
        <v>18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 t="shared" si="340"/>
        <v>OPORTUNO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42</v>
      </c>
      <c r="C3218" t="s">
        <v>43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11</v>
      </c>
      <c r="K3218" s="3">
        <f>I3218-J3218</f>
        <v>11</v>
      </c>
      <c r="L3218" s="3" t="str">
        <f t="shared" si="340"/>
        <v>MUITO BOM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44</v>
      </c>
      <c r="C3219" t="s">
        <v>18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20</v>
      </c>
      <c r="K3219" s="3">
        <f>I3219-J3219</f>
        <v>-15</v>
      </c>
      <c r="L3219" s="3" t="str">
        <f t="shared" si="340"/>
        <v>CRÍTICO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45</v>
      </c>
      <c r="C3220" t="s">
        <v>43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11</v>
      </c>
      <c r="K3220" s="3">
        <f>I3220-J3220</f>
        <v>1</v>
      </c>
      <c r="L3220" s="3" t="str">
        <f t="shared" si="340"/>
        <v>OPORTUNO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46</v>
      </c>
      <c r="C3221" t="s">
        <v>18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20</v>
      </c>
      <c r="K3221" s="3">
        <f>I3221-J3221</f>
        <v>-1</v>
      </c>
      <c r="L3221" s="3" t="str">
        <f t="shared" si="340"/>
        <v>ATENÇÃO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47</v>
      </c>
      <c r="C3222" t="s">
        <v>16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16</v>
      </c>
      <c r="K3222" s="3">
        <f>I3222-J3222</f>
        <v>7</v>
      </c>
      <c r="L3222" s="3" t="str">
        <f t="shared" si="340"/>
        <v>MUITO BOM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48</v>
      </c>
      <c r="C3223" t="s">
        <v>16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340"/>
        <v>OPORTUNO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49</v>
      </c>
      <c r="C3224" t="s">
        <v>18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 t="shared" si="340"/>
        <v>OPORTUNO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50</v>
      </c>
      <c r="C3225" t="s">
        <v>20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13</v>
      </c>
      <c r="K3225" s="3">
        <f>I3225-J3225</f>
        <v>12</v>
      </c>
      <c r="L3225" s="3" t="str">
        <f t="shared" si="340"/>
        <v>MUITO BOM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51</v>
      </c>
      <c r="C3226" t="s">
        <v>23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 t="shared" si="340"/>
        <v>OPORTUNO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52</v>
      </c>
      <c r="C3227" t="s">
        <v>18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20</v>
      </c>
      <c r="K3227" s="3">
        <f>I3227-J3227</f>
        <v>20</v>
      </c>
      <c r="L3227" s="3" t="str">
        <f t="shared" si="340"/>
        <v>MUITO BOM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53</v>
      </c>
      <c r="C3228" t="s">
        <v>18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 t="shared" si="340"/>
        <v>OPORTUNO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54</v>
      </c>
      <c r="C3229" t="s">
        <v>23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 t="shared" si="340"/>
        <v>ATENÇÃO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55</v>
      </c>
      <c r="C3230" t="s">
        <v>43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 t="shared" si="340"/>
        <v>OPORTUNO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56</v>
      </c>
      <c r="C3231" t="s">
        <v>16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16</v>
      </c>
      <c r="K3231" s="3">
        <f>I3231-J3231</f>
        <v>18</v>
      </c>
      <c r="L3231" s="3" t="str">
        <f t="shared" si="340"/>
        <v>MUITO BOM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57</v>
      </c>
      <c r="C3232" t="s">
        <v>43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11</v>
      </c>
      <c r="K3232" s="3">
        <f>I3232-J3232</f>
        <v>2</v>
      </c>
      <c r="L3232" s="3" t="str">
        <f t="shared" si="340"/>
        <v>OPORTUNO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58</v>
      </c>
      <c r="C3233" t="s">
        <v>43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11</v>
      </c>
      <c r="K3233" s="3">
        <f>I3233-J3233</f>
        <v>5</v>
      </c>
      <c r="L3233" s="3" t="str">
        <f t="shared" si="340"/>
        <v>OPORTUNO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59</v>
      </c>
      <c r="C3234" t="s">
        <v>23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 t="shared" si="340"/>
        <v>OPORTUNO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60</v>
      </c>
      <c r="C3235" t="s">
        <v>20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13</v>
      </c>
      <c r="K3235" s="3">
        <f>I3235-J3235</f>
        <v>7</v>
      </c>
      <c r="L3235" s="3" t="str">
        <f t="shared" si="340"/>
        <v>MUITO BOM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61</v>
      </c>
      <c r="C3236" t="s">
        <v>18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20</v>
      </c>
      <c r="K3236" s="3">
        <f>I3236-J3236</f>
        <v>14</v>
      </c>
      <c r="L3236" s="3" t="str">
        <f t="shared" si="340"/>
        <v>MUITO BOM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62</v>
      </c>
      <c r="C3237" t="s">
        <v>20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13</v>
      </c>
      <c r="K3237" s="3">
        <f>I3237-J3237</f>
        <v>5</v>
      </c>
      <c r="L3237" s="3" t="str">
        <f t="shared" si="340"/>
        <v>OPORTUNO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63</v>
      </c>
      <c r="C3238" t="s">
        <v>18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20</v>
      </c>
      <c r="K3238" s="3">
        <f>I3238-J3238</f>
        <v>12</v>
      </c>
      <c r="L3238" s="3" t="str">
        <f t="shared" si="340"/>
        <v>MUITO BOM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15</v>
      </c>
      <c r="C3239" t="s">
        <v>16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16</v>
      </c>
      <c r="K3239" s="3">
        <f>I3239-J3239</f>
        <v>9</v>
      </c>
      <c r="L3239" s="3" t="str">
        <f t="shared" si="340"/>
        <v>MUITO BOM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17</v>
      </c>
      <c r="C3240" t="s">
        <v>18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 t="shared" si="340"/>
        <v>OPORTUNO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19</v>
      </c>
      <c r="C3241" t="s">
        <v>20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13</v>
      </c>
      <c r="K3241" s="3">
        <f>I3241-J3241</f>
        <v>9</v>
      </c>
      <c r="L3241" s="3" t="str">
        <f t="shared" si="340"/>
        <v>MUITO BOM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21</v>
      </c>
      <c r="C3242" t="s">
        <v>18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20</v>
      </c>
      <c r="K3242" s="3">
        <f>I3242-J3242</f>
        <v>-2</v>
      </c>
      <c r="L3242" s="3" t="str">
        <f t="shared" si="340"/>
        <v>ATENÇÃO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22</v>
      </c>
      <c r="C3243" t="s">
        <v>23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 t="shared" si="340"/>
        <v>OPORTUNO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24</v>
      </c>
      <c r="C3244" t="s">
        <v>16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16</v>
      </c>
      <c r="K3244" s="3">
        <f>I3244-J3244</f>
        <v>5</v>
      </c>
      <c r="L3244" s="3" t="str">
        <f t="shared" si="340"/>
        <v>OPORTUNO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25</v>
      </c>
      <c r="C3245" t="s">
        <v>16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16</v>
      </c>
      <c r="K3245" s="3">
        <f>I3245-J3245</f>
        <v>1</v>
      </c>
      <c r="L3245" s="3" t="str">
        <f t="shared" si="340"/>
        <v>OPORTUNO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26</v>
      </c>
      <c r="C3246" t="s">
        <v>23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 t="shared" si="340"/>
        <v>OPORTUNO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27</v>
      </c>
      <c r="C3247" t="s">
        <v>20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13</v>
      </c>
      <c r="K3247" s="3">
        <f>I3247-J3247</f>
        <v>9</v>
      </c>
      <c r="L3247" s="3" t="str">
        <f t="shared" si="340"/>
        <v>MUITO BOM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28</v>
      </c>
      <c r="C3248" t="s">
        <v>18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20</v>
      </c>
      <c r="K3248" s="3">
        <f>I3248-J3248</f>
        <v>-14</v>
      </c>
      <c r="L3248" s="3" t="str">
        <f t="shared" si="340"/>
        <v>CRÍTICO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29</v>
      </c>
      <c r="C3249" t="s">
        <v>16</v>
      </c>
      <c r="D3249">
        <v>0</v>
      </c>
      <c r="E3249">
        <v>0</v>
      </c>
      <c r="F3249">
        <v>0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 t="shared" si="340"/>
        <v>OPORTUNO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30</v>
      </c>
      <c r="C3250" t="s">
        <v>20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13</v>
      </c>
      <c r="K3250" s="3">
        <f>I3250-J3250</f>
        <v>5</v>
      </c>
      <c r="L3250" s="3" t="str">
        <f t="shared" si="340"/>
        <v>OPORTUNO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31</v>
      </c>
      <c r="C3251" t="s">
        <v>18</v>
      </c>
      <c r="D3251">
        <v>0</v>
      </c>
      <c r="E3251">
        <v>0</v>
      </c>
      <c r="F3251">
        <v>0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 t="shared" si="340"/>
        <v>OPORTUNO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32</v>
      </c>
      <c r="C3252" t="s">
        <v>23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ref="I3252:I3259" si="344">E3252+G3252+H3252</f>
        <v>6</v>
      </c>
      <c r="J3252" s="3">
        <f t="shared" ref="J3252:J3259" si="345"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 t="shared" ref="K3252:K3259" si="346">I3252-J3252</f>
        <v>0</v>
      </c>
      <c r="L3252" s="3" t="str">
        <f t="shared" si="340"/>
        <v>OPORTUNO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33</v>
      </c>
      <c r="C3253" t="s">
        <v>16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344"/>
        <v>25</v>
      </c>
      <c r="J3253" s="3">
        <f t="shared" si="345"/>
        <v>16</v>
      </c>
      <c r="K3253" s="3">
        <f t="shared" si="346"/>
        <v>9</v>
      </c>
      <c r="L3253" s="3" t="str">
        <f t="shared" si="340"/>
        <v>MUITO BOM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34</v>
      </c>
      <c r="C3254" t="s">
        <v>18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344"/>
        <v>27</v>
      </c>
      <c r="J3254" s="3">
        <f t="shared" si="345"/>
        <v>20</v>
      </c>
      <c r="K3254" s="3">
        <f t="shared" si="346"/>
        <v>7</v>
      </c>
      <c r="L3254" s="3" t="str">
        <f t="shared" si="340"/>
        <v>MUITO BOM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35</v>
      </c>
      <c r="C3255" t="s">
        <v>16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344"/>
        <v>26</v>
      </c>
      <c r="J3255" s="3">
        <f t="shared" si="345"/>
        <v>16</v>
      </c>
      <c r="K3255" s="3">
        <f t="shared" si="346"/>
        <v>10</v>
      </c>
      <c r="L3255" s="3" t="str">
        <f t="shared" si="340"/>
        <v>MUITO BOM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36</v>
      </c>
      <c r="C3256" t="s">
        <v>20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344"/>
        <v>12</v>
      </c>
      <c r="J3256" s="3">
        <f t="shared" si="345"/>
        <v>9</v>
      </c>
      <c r="K3256" s="3">
        <f t="shared" si="346"/>
        <v>3</v>
      </c>
      <c r="L3256" s="3" t="str">
        <f t="shared" si="340"/>
        <v>OPORTUNO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37</v>
      </c>
      <c r="C3257" t="s">
        <v>16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344"/>
        <v>29</v>
      </c>
      <c r="J3257" s="3">
        <f t="shared" si="345"/>
        <v>16</v>
      </c>
      <c r="K3257" s="3">
        <f t="shared" si="346"/>
        <v>13</v>
      </c>
      <c r="L3257" s="3" t="str">
        <f t="shared" si="340"/>
        <v>MUITO BOM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38</v>
      </c>
      <c r="C3258" t="s">
        <v>18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344"/>
        <v>30</v>
      </c>
      <c r="J3258" s="3">
        <f t="shared" si="345"/>
        <v>20</v>
      </c>
      <c r="K3258" s="3">
        <f t="shared" si="346"/>
        <v>10</v>
      </c>
      <c r="L3258" s="3" t="str">
        <f t="shared" si="340"/>
        <v>MUITO BOM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39</v>
      </c>
      <c r="C3259" t="s">
        <v>18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344"/>
        <v>6</v>
      </c>
      <c r="J3259" s="3">
        <f t="shared" si="345"/>
        <v>20</v>
      </c>
      <c r="K3259" s="3">
        <f t="shared" si="346"/>
        <v>-14</v>
      </c>
      <c r="L3259" s="3" t="str">
        <f t="shared" ref="L3259:L3322" si="347">IF(K3259&lt;-5,"CRÍTICO",IF(K3259&lt;0,"ATENÇÃO",IF(K3259&lt;=5,"OPORTUNO","MUITO BOM")))</f>
        <v>CRÍTICO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40</v>
      </c>
      <c r="C3260" t="s">
        <v>16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347"/>
        <v>OPORTUNO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41</v>
      </c>
      <c r="C3261" t="s">
        <v>18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 t="shared" si="347"/>
        <v>OPORTUNO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42</v>
      </c>
      <c r="C3262" t="s">
        <v>43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12</v>
      </c>
      <c r="K3262" s="3">
        <f>I3262-J3262</f>
        <v>-3</v>
      </c>
      <c r="L3262" s="3" t="str">
        <f t="shared" si="347"/>
        <v>ATENÇÃO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44</v>
      </c>
      <c r="C3263" t="s">
        <v>18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20</v>
      </c>
      <c r="K3263" s="3">
        <f>I3263-J3263</f>
        <v>-7</v>
      </c>
      <c r="L3263" s="3" t="str">
        <f t="shared" si="347"/>
        <v>CRÍTICO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45</v>
      </c>
      <c r="C3264" t="s">
        <v>43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12</v>
      </c>
      <c r="K3264" s="3">
        <f>I3264-J3264</f>
        <v>4</v>
      </c>
      <c r="L3264" s="3" t="str">
        <f t="shared" si="347"/>
        <v>OPORTUNO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46</v>
      </c>
      <c r="C3265" t="s">
        <v>18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20</v>
      </c>
      <c r="K3265" s="3">
        <f>I3265-J3265</f>
        <v>-5</v>
      </c>
      <c r="L3265" s="3" t="str">
        <f t="shared" si="347"/>
        <v>ATENÇÃO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47</v>
      </c>
      <c r="C3266" t="s">
        <v>16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16</v>
      </c>
      <c r="K3266" s="3">
        <f>I3266-J3266</f>
        <v>3</v>
      </c>
      <c r="L3266" s="3" t="str">
        <f t="shared" si="347"/>
        <v>OPORTUNO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48</v>
      </c>
      <c r="C3267" t="s">
        <v>16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347"/>
        <v>OPORTUNO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49</v>
      </c>
      <c r="C3268" t="s">
        <v>18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 t="shared" si="347"/>
        <v>OPORTUNO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50</v>
      </c>
      <c r="C3269" t="s">
        <v>20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13</v>
      </c>
      <c r="K3269" s="3">
        <f>I3269-J3269</f>
        <v>8</v>
      </c>
      <c r="L3269" s="3" t="str">
        <f t="shared" si="347"/>
        <v>MUITO BOM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51</v>
      </c>
      <c r="C3270" t="s">
        <v>23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 t="shared" si="347"/>
        <v>OPORTUNO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52</v>
      </c>
      <c r="C3271" t="s">
        <v>18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20</v>
      </c>
      <c r="K3271" s="3">
        <f>I3271-J3271</f>
        <v>0</v>
      </c>
      <c r="L3271" s="3" t="str">
        <f t="shared" si="347"/>
        <v>OPORTUNO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53</v>
      </c>
      <c r="C3272" t="s">
        <v>18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20</v>
      </c>
      <c r="K3272" s="3">
        <f>I3272-J3272</f>
        <v>10</v>
      </c>
      <c r="L3272" s="3" t="str">
        <f t="shared" si="347"/>
        <v>MUITO BOM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54</v>
      </c>
      <c r="C3273" t="s">
        <v>23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 t="shared" si="347"/>
        <v>ATENÇÃO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55</v>
      </c>
      <c r="C3274" t="s">
        <v>43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 t="shared" si="347"/>
        <v>OPORTUNO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56</v>
      </c>
      <c r="C3275" t="s">
        <v>16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16</v>
      </c>
      <c r="K3275" s="3">
        <f>I3275-J3275</f>
        <v>4</v>
      </c>
      <c r="L3275" s="3" t="str">
        <f t="shared" si="347"/>
        <v>OPORTUNO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57</v>
      </c>
      <c r="C3276" t="s">
        <v>43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12</v>
      </c>
      <c r="K3276" s="3">
        <f>I3276-J3276</f>
        <v>4</v>
      </c>
      <c r="L3276" s="3" t="str">
        <f t="shared" si="347"/>
        <v>OPORTUNO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58</v>
      </c>
      <c r="C3277" t="s">
        <v>43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12</v>
      </c>
      <c r="K3277" s="3">
        <f>I3277-J3277</f>
        <v>4</v>
      </c>
      <c r="L3277" s="3" t="str">
        <f t="shared" si="347"/>
        <v>OPORTUNO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59</v>
      </c>
      <c r="C3278" t="s">
        <v>23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 t="shared" si="347"/>
        <v>OPORTUNO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60</v>
      </c>
      <c r="C3279" t="s">
        <v>20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13</v>
      </c>
      <c r="K3279" s="3">
        <f>I3279-J3279</f>
        <v>6</v>
      </c>
      <c r="L3279" s="3" t="str">
        <f t="shared" si="347"/>
        <v>MUITO BOM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61</v>
      </c>
      <c r="C3280" t="s">
        <v>18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20</v>
      </c>
      <c r="K3280" s="3">
        <f>I3280-J3280</f>
        <v>5</v>
      </c>
      <c r="L3280" s="3" t="str">
        <f t="shared" si="347"/>
        <v>OPORTUNO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62</v>
      </c>
      <c r="C3281" t="s">
        <v>20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13</v>
      </c>
      <c r="K3281" s="3">
        <f>I3281-J3281</f>
        <v>-3</v>
      </c>
      <c r="L3281" s="3" t="str">
        <f t="shared" si="347"/>
        <v>ATENÇÃO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63</v>
      </c>
      <c r="C3282" t="s">
        <v>18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20</v>
      </c>
      <c r="K3282" s="3">
        <f>I3282-J3282</f>
        <v>4</v>
      </c>
      <c r="L3282" s="3" t="str">
        <f t="shared" si="347"/>
        <v>OPORTUNO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15</v>
      </c>
      <c r="C3283" t="s">
        <v>16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20</v>
      </c>
      <c r="K3283" s="3">
        <f>I3283-J3283</f>
        <v>1</v>
      </c>
      <c r="L3283" s="3" t="str">
        <f t="shared" si="347"/>
        <v>OPORTUNO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17</v>
      </c>
      <c r="C3284" t="s">
        <v>18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 t="shared" si="347"/>
        <v>OPORTUNO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19</v>
      </c>
      <c r="C3285" t="s">
        <v>20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ref="I3285:I3292" si="348">E3285+G3285+H3285</f>
        <v>26</v>
      </c>
      <c r="J3285" s="3">
        <f t="shared" ref="J3285:J3292" si="349"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 t="shared" ref="K3285:K3292" si="350">I3285-J3285</f>
        <v>9</v>
      </c>
      <c r="L3285" s="3" t="str">
        <f t="shared" si="347"/>
        <v>MUITO BOM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21</v>
      </c>
      <c r="C3286" t="s">
        <v>18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348"/>
        <v>34</v>
      </c>
      <c r="J3286" s="3">
        <f t="shared" si="349"/>
        <v>25</v>
      </c>
      <c r="K3286" s="3">
        <f t="shared" si="350"/>
        <v>9</v>
      </c>
      <c r="L3286" s="3" t="str">
        <f t="shared" si="347"/>
        <v>MUITO BOM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22</v>
      </c>
      <c r="C3287" t="s">
        <v>23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348"/>
        <v>9</v>
      </c>
      <c r="J3287" s="3">
        <f t="shared" si="349"/>
        <v>7</v>
      </c>
      <c r="K3287" s="3">
        <f t="shared" si="350"/>
        <v>2</v>
      </c>
      <c r="L3287" s="3" t="str">
        <f t="shared" si="347"/>
        <v>OPORTUNO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24</v>
      </c>
      <c r="C3288" t="s">
        <v>16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348"/>
        <v>32</v>
      </c>
      <c r="J3288" s="3">
        <f t="shared" si="349"/>
        <v>20</v>
      </c>
      <c r="K3288" s="3">
        <f t="shared" si="350"/>
        <v>12</v>
      </c>
      <c r="L3288" s="3" t="str">
        <f t="shared" si="347"/>
        <v>MUITO BOM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25</v>
      </c>
      <c r="C3289" t="s">
        <v>16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348"/>
        <v>22</v>
      </c>
      <c r="J3289" s="3">
        <f t="shared" si="349"/>
        <v>20</v>
      </c>
      <c r="K3289" s="3">
        <f t="shared" si="350"/>
        <v>2</v>
      </c>
      <c r="L3289" s="3" t="str">
        <f t="shared" si="347"/>
        <v>OPORTUNO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26</v>
      </c>
      <c r="C3290" t="s">
        <v>23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348"/>
        <v>4</v>
      </c>
      <c r="J3290" s="3">
        <f t="shared" si="349"/>
        <v>7</v>
      </c>
      <c r="K3290" s="3">
        <f t="shared" si="350"/>
        <v>-3</v>
      </c>
      <c r="L3290" s="3" t="str">
        <f t="shared" si="347"/>
        <v>ATENÇÃO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27</v>
      </c>
      <c r="C3291" t="s">
        <v>20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348"/>
        <v>28</v>
      </c>
      <c r="J3291" s="3">
        <f t="shared" si="349"/>
        <v>17</v>
      </c>
      <c r="K3291" s="3">
        <f t="shared" si="350"/>
        <v>11</v>
      </c>
      <c r="L3291" s="3" t="str">
        <f t="shared" si="347"/>
        <v>MUITO BOM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28</v>
      </c>
      <c r="C3292" t="s">
        <v>18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348"/>
        <v>33</v>
      </c>
      <c r="J3292" s="3">
        <f t="shared" si="349"/>
        <v>25</v>
      </c>
      <c r="K3292" s="3">
        <f t="shared" si="350"/>
        <v>8</v>
      </c>
      <c r="L3292" s="3" t="str">
        <f t="shared" si="347"/>
        <v>MUITO BOM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29</v>
      </c>
      <c r="C3293" t="s">
        <v>16</v>
      </c>
      <c r="D3293">
        <v>0</v>
      </c>
      <c r="E3293">
        <v>0</v>
      </c>
      <c r="F3293">
        <v>0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 t="shared" si="347"/>
        <v>OPORTUNO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30</v>
      </c>
      <c r="C3294" t="s">
        <v>20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 t="shared" si="347"/>
        <v>OPORTUNO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31</v>
      </c>
      <c r="C3295" t="s">
        <v>18</v>
      </c>
      <c r="D3295">
        <v>0</v>
      </c>
      <c r="E3295">
        <v>0</v>
      </c>
      <c r="F3295">
        <v>0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 t="shared" si="347"/>
        <v>OPORTUNO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32</v>
      </c>
      <c r="C3296" t="s">
        <v>23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7</v>
      </c>
      <c r="K3296" s="3">
        <f>I3296-J3296</f>
        <v>-3</v>
      </c>
      <c r="L3296" s="3" t="str">
        <f t="shared" si="347"/>
        <v>ATENÇÃO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33</v>
      </c>
      <c r="C3297" t="s">
        <v>16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20</v>
      </c>
      <c r="K3297" s="3">
        <f>I3297-J3297</f>
        <v>-6</v>
      </c>
      <c r="L3297" s="3" t="str">
        <f t="shared" si="347"/>
        <v>CRÍTICO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34</v>
      </c>
      <c r="C3298" t="s">
        <v>18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25</v>
      </c>
      <c r="K3298" s="3">
        <f>I3298-J3298</f>
        <v>-1</v>
      </c>
      <c r="L3298" s="3" t="str">
        <f t="shared" si="347"/>
        <v>ATENÇÃO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35</v>
      </c>
      <c r="C3299" t="s">
        <v>16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20</v>
      </c>
      <c r="K3299" s="3">
        <f>I3299-J3299</f>
        <v>2</v>
      </c>
      <c r="L3299" s="3" t="str">
        <f t="shared" si="347"/>
        <v>OPORTUNO</v>
      </c>
      <c r="N3299">
        <v>98.02</v>
      </c>
      <c r="O3299">
        <v>23.484848484848481</v>
      </c>
    </row>
    <row r="3300" spans="1:15" hidden="1" x14ac:dyDescent="0.25">
      <c r="A3300" s="10">
        <v>46164</v>
      </c>
      <c r="B3300" s="6" t="s">
        <v>35</v>
      </c>
      <c r="C3300" s="3" t="s">
        <v>16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 t="shared" si="347"/>
        <v>OPORTUNO</v>
      </c>
      <c r="M3300" s="3">
        <v>0</v>
      </c>
      <c r="N3300" s="3">
        <v>100</v>
      </c>
      <c r="O3300" s="3">
        <v>17.241379310344829</v>
      </c>
    </row>
    <row r="3301" spans="1:15" hidden="1" x14ac:dyDescent="0.25">
      <c r="A3301" s="11">
        <v>46105</v>
      </c>
      <c r="B3301" t="s">
        <v>37</v>
      </c>
      <c r="C3301" t="s">
        <v>16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20</v>
      </c>
      <c r="K3301" s="3">
        <f>I3301-J3301</f>
        <v>3</v>
      </c>
      <c r="L3301" s="3" t="str">
        <f t="shared" si="347"/>
        <v>OPORTUNO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38</v>
      </c>
      <c r="C3302" t="s">
        <v>18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25</v>
      </c>
      <c r="K3302" s="3">
        <f>I3302-J3302</f>
        <v>7</v>
      </c>
      <c r="L3302" s="3" t="str">
        <f t="shared" si="347"/>
        <v>MUITO BOM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39</v>
      </c>
      <c r="C3303" t="s">
        <v>18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25</v>
      </c>
      <c r="K3303" s="3">
        <f>I3303-J3303</f>
        <v>-1</v>
      </c>
      <c r="L3303" s="3" t="str">
        <f t="shared" si="347"/>
        <v>ATENÇÃO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40</v>
      </c>
      <c r="C3304" t="s">
        <v>16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347"/>
        <v>OPORTUNO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41</v>
      </c>
      <c r="C3305" t="s">
        <v>18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 t="shared" si="347"/>
        <v>OPORTUNO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42</v>
      </c>
      <c r="C3306" t="s">
        <v>43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 t="shared" si="347"/>
        <v>MUITO BOM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44</v>
      </c>
      <c r="C3307" t="s">
        <v>18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25</v>
      </c>
      <c r="K3307" s="3">
        <f>I3307-J3307</f>
        <v>-5</v>
      </c>
      <c r="L3307" s="3" t="str">
        <f t="shared" si="347"/>
        <v>ATENÇÃO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45</v>
      </c>
      <c r="C3308" t="s">
        <v>43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 t="shared" si="347"/>
        <v>ATENÇÃO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46</v>
      </c>
      <c r="C3309" t="s">
        <v>18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25</v>
      </c>
      <c r="K3309" s="3">
        <f>I3309-J3309</f>
        <v>0</v>
      </c>
      <c r="L3309" s="3" t="str">
        <f t="shared" si="347"/>
        <v>OPORTUNO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47</v>
      </c>
      <c r="C3310" t="s">
        <v>16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20</v>
      </c>
      <c r="K3310" s="3">
        <f>I3310-J3310</f>
        <v>-2</v>
      </c>
      <c r="L3310" s="3" t="str">
        <f t="shared" si="347"/>
        <v>ATENÇÃO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48</v>
      </c>
      <c r="C3311" t="s">
        <v>16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347"/>
        <v>OPORTUNO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49</v>
      </c>
      <c r="C3312" t="s">
        <v>18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 t="shared" si="347"/>
        <v>OPORTUNO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50</v>
      </c>
      <c r="C3313" t="s">
        <v>20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 t="shared" si="347"/>
        <v>MUITO BOM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51</v>
      </c>
      <c r="C3314" t="s">
        <v>23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7</v>
      </c>
      <c r="K3314" s="3">
        <f>I3314-J3314</f>
        <v>-1</v>
      </c>
      <c r="L3314" s="3" t="str">
        <f t="shared" si="347"/>
        <v>ATENÇÃO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52</v>
      </c>
      <c r="C3315" t="s">
        <v>18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25</v>
      </c>
      <c r="K3315" s="3">
        <f>I3315-J3315</f>
        <v>-3</v>
      </c>
      <c r="L3315" s="3" t="str">
        <f t="shared" si="347"/>
        <v>ATENÇÃO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53</v>
      </c>
      <c r="C3316" t="s">
        <v>18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25</v>
      </c>
      <c r="K3316" s="3">
        <f>I3316-J3316</f>
        <v>-2</v>
      </c>
      <c r="L3316" s="3" t="str">
        <f t="shared" si="347"/>
        <v>ATENÇÃO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54</v>
      </c>
      <c r="C3317" t="s">
        <v>23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7</v>
      </c>
      <c r="K3317" s="3">
        <f>I3317-J3317</f>
        <v>9</v>
      </c>
      <c r="L3317" s="3" t="str">
        <f t="shared" si="347"/>
        <v>MUITO BOM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55</v>
      </c>
      <c r="C3318" t="s">
        <v>43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 t="shared" si="347"/>
        <v>OPORTUNO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56</v>
      </c>
      <c r="C3319" t="s">
        <v>16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ref="I3319:I3327" si="351">E3319+G3319+H3319</f>
        <v>21</v>
      </c>
      <c r="J3319" s="3">
        <f t="shared" ref="J3319:J3327" si="352"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20</v>
      </c>
      <c r="K3319" s="3">
        <f t="shared" ref="K3319:K3327" si="353">I3319-J3319</f>
        <v>1</v>
      </c>
      <c r="L3319" s="3" t="str">
        <f t="shared" si="347"/>
        <v>OPORTUNO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57</v>
      </c>
      <c r="C3320" t="s">
        <v>43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351"/>
        <v>13</v>
      </c>
      <c r="J3320" s="3">
        <f t="shared" si="352"/>
        <v>15</v>
      </c>
      <c r="K3320" s="3">
        <f t="shared" si="353"/>
        <v>-2</v>
      </c>
      <c r="L3320" s="3" t="str">
        <f t="shared" si="347"/>
        <v>ATENÇÃO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58</v>
      </c>
      <c r="C3321" t="s">
        <v>43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351"/>
        <v>12</v>
      </c>
      <c r="J3321" s="3">
        <f t="shared" si="352"/>
        <v>15</v>
      </c>
      <c r="K3321" s="3">
        <f t="shared" si="353"/>
        <v>-3</v>
      </c>
      <c r="L3321" s="3" t="str">
        <f t="shared" si="347"/>
        <v>ATENÇÃO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59</v>
      </c>
      <c r="C3322" t="s">
        <v>23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351"/>
        <v>3</v>
      </c>
      <c r="J3322" s="3">
        <f t="shared" si="352"/>
        <v>7</v>
      </c>
      <c r="K3322" s="3">
        <f t="shared" si="353"/>
        <v>-4</v>
      </c>
      <c r="L3322" s="3" t="str">
        <f t="shared" si="347"/>
        <v>ATENÇÃO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60</v>
      </c>
      <c r="C3323" t="s">
        <v>20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351"/>
        <v>25</v>
      </c>
      <c r="J3323" s="3">
        <f t="shared" si="352"/>
        <v>17</v>
      </c>
      <c r="K3323" s="3">
        <f t="shared" si="353"/>
        <v>8</v>
      </c>
      <c r="L3323" s="3" t="str">
        <f t="shared" ref="L3323:L3386" si="354">IF(K3323&lt;-5,"CRÍTICO",IF(K3323&lt;0,"ATENÇÃO",IF(K3323&lt;=5,"OPORTUNO","MUITO BOM")))</f>
        <v>MUITO BOM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61</v>
      </c>
      <c r="C3324" t="s">
        <v>18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351"/>
        <v>34</v>
      </c>
      <c r="J3324" s="3">
        <f t="shared" si="352"/>
        <v>25</v>
      </c>
      <c r="K3324" s="3">
        <f t="shared" si="353"/>
        <v>9</v>
      </c>
      <c r="L3324" s="3" t="str">
        <f t="shared" si="354"/>
        <v>MUITO BOM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62</v>
      </c>
      <c r="C3325" t="s">
        <v>20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351"/>
        <v>11</v>
      </c>
      <c r="J3325" s="3">
        <f t="shared" si="352"/>
        <v>17</v>
      </c>
      <c r="K3325" s="3">
        <f t="shared" si="353"/>
        <v>-6</v>
      </c>
      <c r="L3325" s="3" t="str">
        <f t="shared" si="354"/>
        <v>CRÍTICO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63</v>
      </c>
      <c r="C3326" t="s">
        <v>18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351"/>
        <v>27</v>
      </c>
      <c r="J3326" s="3">
        <f t="shared" si="352"/>
        <v>25</v>
      </c>
      <c r="K3326" s="3">
        <f t="shared" si="353"/>
        <v>2</v>
      </c>
      <c r="L3326" s="3" t="str">
        <f t="shared" si="354"/>
        <v>OPORTUNO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15</v>
      </c>
      <c r="C3327" t="s">
        <v>16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351"/>
        <v>18</v>
      </c>
      <c r="J3327" s="3">
        <f t="shared" si="352"/>
        <v>18</v>
      </c>
      <c r="K3327" s="3">
        <f t="shared" si="353"/>
        <v>0</v>
      </c>
      <c r="L3327" s="3" t="str">
        <f t="shared" si="354"/>
        <v>OPORTUNO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17</v>
      </c>
      <c r="C3328" t="s">
        <v>18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 t="shared" si="354"/>
        <v>OPORTUNO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19</v>
      </c>
      <c r="C3329" t="s">
        <v>20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ref="I3329:I3336" si="355">E3329+G3329+H3329</f>
        <v>18</v>
      </c>
      <c r="J3329" s="3">
        <f t="shared" ref="J3329:J3336" si="356"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15</v>
      </c>
      <c r="K3329" s="3">
        <f t="shared" ref="K3329:K3336" si="357">I3329-J3329</f>
        <v>3</v>
      </c>
      <c r="L3329" s="3" t="str">
        <f t="shared" si="354"/>
        <v>OPORTUNO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21</v>
      </c>
      <c r="C3330" t="s">
        <v>18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355"/>
        <v>22</v>
      </c>
      <c r="J3330" s="3">
        <f t="shared" si="356"/>
        <v>22</v>
      </c>
      <c r="K3330" s="3">
        <f t="shared" si="357"/>
        <v>0</v>
      </c>
      <c r="L3330" s="3" t="str">
        <f t="shared" si="354"/>
        <v>OPORTUNO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22</v>
      </c>
      <c r="C3331" t="s">
        <v>23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355"/>
        <v>9</v>
      </c>
      <c r="J3331" s="3">
        <f t="shared" si="356"/>
        <v>6</v>
      </c>
      <c r="K3331" s="3">
        <f t="shared" si="357"/>
        <v>3</v>
      </c>
      <c r="L3331" s="3" t="str">
        <f t="shared" si="354"/>
        <v>OPORTUNO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24</v>
      </c>
      <c r="C3332" t="s">
        <v>16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355"/>
        <v>29</v>
      </c>
      <c r="J3332" s="3">
        <f t="shared" si="356"/>
        <v>18</v>
      </c>
      <c r="K3332" s="3">
        <f t="shared" si="357"/>
        <v>11</v>
      </c>
      <c r="L3332" s="3" t="str">
        <f t="shared" si="354"/>
        <v>MUITO BOM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25</v>
      </c>
      <c r="C3333" t="s">
        <v>16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355"/>
        <v>18</v>
      </c>
      <c r="J3333" s="3">
        <f t="shared" si="356"/>
        <v>18</v>
      </c>
      <c r="K3333" s="3">
        <f t="shared" si="357"/>
        <v>0</v>
      </c>
      <c r="L3333" s="3" t="str">
        <f t="shared" si="354"/>
        <v>OPORTUNO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26</v>
      </c>
      <c r="C3334" t="s">
        <v>23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355"/>
        <v>4</v>
      </c>
      <c r="J3334" s="3">
        <f t="shared" si="356"/>
        <v>6</v>
      </c>
      <c r="K3334" s="3">
        <f t="shared" si="357"/>
        <v>-2</v>
      </c>
      <c r="L3334" s="3" t="str">
        <f t="shared" si="354"/>
        <v>ATENÇÃO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27</v>
      </c>
      <c r="C3335" t="s">
        <v>20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355"/>
        <v>20</v>
      </c>
      <c r="J3335" s="3">
        <f t="shared" si="356"/>
        <v>15</v>
      </c>
      <c r="K3335" s="3">
        <f t="shared" si="357"/>
        <v>5</v>
      </c>
      <c r="L3335" s="3" t="str">
        <f t="shared" si="354"/>
        <v>OPORTUNO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28</v>
      </c>
      <c r="C3336" t="s">
        <v>18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355"/>
        <v>27</v>
      </c>
      <c r="J3336" s="3">
        <f t="shared" si="356"/>
        <v>22</v>
      </c>
      <c r="K3336" s="3">
        <f t="shared" si="357"/>
        <v>5</v>
      </c>
      <c r="L3336" s="3" t="str">
        <f t="shared" si="354"/>
        <v>OPORTUNO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29</v>
      </c>
      <c r="C3337" t="s">
        <v>16</v>
      </c>
      <c r="D3337">
        <v>0</v>
      </c>
      <c r="E3337">
        <v>0</v>
      </c>
      <c r="F3337">
        <v>0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 t="shared" si="354"/>
        <v>OPORTUNO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30</v>
      </c>
      <c r="C3338" t="s">
        <v>20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15</v>
      </c>
      <c r="K3338" s="3">
        <f>I3338-J3338</f>
        <v>5</v>
      </c>
      <c r="L3338" s="3" t="str">
        <f t="shared" si="354"/>
        <v>OPORTUNO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31</v>
      </c>
      <c r="C3339" t="s">
        <v>18</v>
      </c>
      <c r="D3339">
        <v>0</v>
      </c>
      <c r="E3339">
        <v>0</v>
      </c>
      <c r="F3339">
        <v>0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 t="shared" si="354"/>
        <v>OPORTUNO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32</v>
      </c>
      <c r="C3340" t="s">
        <v>23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ref="I3340:I3347" si="358">E3340+G3340+H3340</f>
        <v>7</v>
      </c>
      <c r="J3340" s="3">
        <f t="shared" ref="J3340:J3347" si="359"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6</v>
      </c>
      <c r="K3340" s="3">
        <f t="shared" ref="K3340:K3347" si="360">I3340-J3340</f>
        <v>1</v>
      </c>
      <c r="L3340" s="3" t="str">
        <f t="shared" si="354"/>
        <v>OPORTUNO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33</v>
      </c>
      <c r="C3341" t="s">
        <v>16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358"/>
        <v>23</v>
      </c>
      <c r="J3341" s="3">
        <f t="shared" si="359"/>
        <v>18</v>
      </c>
      <c r="K3341" s="3">
        <f t="shared" si="360"/>
        <v>5</v>
      </c>
      <c r="L3341" s="3" t="str">
        <f t="shared" si="354"/>
        <v>OPORTUNO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34</v>
      </c>
      <c r="C3342" t="s">
        <v>18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358"/>
        <v>19</v>
      </c>
      <c r="J3342" s="3">
        <f t="shared" si="359"/>
        <v>22</v>
      </c>
      <c r="K3342" s="3">
        <f t="shared" si="360"/>
        <v>-3</v>
      </c>
      <c r="L3342" s="3" t="str">
        <f t="shared" si="354"/>
        <v>ATENÇÃO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35</v>
      </c>
      <c r="C3343" t="s">
        <v>16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358"/>
        <v>17</v>
      </c>
      <c r="J3343" s="3">
        <f t="shared" si="359"/>
        <v>18</v>
      </c>
      <c r="K3343" s="3">
        <f t="shared" si="360"/>
        <v>-1</v>
      </c>
      <c r="L3343" s="3" t="str">
        <f t="shared" si="354"/>
        <v>ATENÇÃO</v>
      </c>
      <c r="N3343">
        <v>98.02</v>
      </c>
      <c r="O3343">
        <v>23.484848484848481</v>
      </c>
    </row>
    <row r="3344" spans="1:15" hidden="1" x14ac:dyDescent="0.25">
      <c r="A3344" s="10">
        <v>46164</v>
      </c>
      <c r="B3344" s="6" t="s">
        <v>37</v>
      </c>
      <c r="C3344" s="3" t="s">
        <v>16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 t="shared" si="358"/>
        <v>15</v>
      </c>
      <c r="J3344" s="3">
        <f t="shared" si="359"/>
        <v>15</v>
      </c>
      <c r="K3344" s="3">
        <f t="shared" si="360"/>
        <v>0</v>
      </c>
      <c r="L3344" s="3" t="str">
        <f t="shared" si="354"/>
        <v>OPORTUNO</v>
      </c>
      <c r="M3344" s="3">
        <v>14</v>
      </c>
      <c r="N3344" s="3">
        <v>98.63</v>
      </c>
      <c r="O3344" s="3">
        <v>15.75757575757576</v>
      </c>
    </row>
    <row r="3345" spans="1:15" hidden="1" x14ac:dyDescent="0.25">
      <c r="A3345" s="11">
        <v>46106</v>
      </c>
      <c r="B3345" t="s">
        <v>37</v>
      </c>
      <c r="C3345" t="s">
        <v>16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358"/>
        <v>20</v>
      </c>
      <c r="J3345" s="3">
        <f t="shared" si="359"/>
        <v>18</v>
      </c>
      <c r="K3345" s="3">
        <f t="shared" si="360"/>
        <v>2</v>
      </c>
      <c r="L3345" s="3" t="str">
        <f t="shared" si="354"/>
        <v>OPORTUNO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38</v>
      </c>
      <c r="C3346" t="s">
        <v>18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358"/>
        <v>29</v>
      </c>
      <c r="J3346" s="3">
        <f t="shared" si="359"/>
        <v>22</v>
      </c>
      <c r="K3346" s="3">
        <f t="shared" si="360"/>
        <v>7</v>
      </c>
      <c r="L3346" s="3" t="str">
        <f t="shared" si="354"/>
        <v>MUITO BOM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39</v>
      </c>
      <c r="C3347" t="s">
        <v>18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si="358"/>
        <v>15</v>
      </c>
      <c r="J3347" s="3">
        <f t="shared" si="359"/>
        <v>22</v>
      </c>
      <c r="K3347" s="3">
        <f t="shared" si="360"/>
        <v>-7</v>
      </c>
      <c r="L3347" s="3" t="str">
        <f t="shared" si="354"/>
        <v>CRÍTICO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40</v>
      </c>
      <c r="C3348" t="s">
        <v>16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354"/>
        <v>OPORTUNO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41</v>
      </c>
      <c r="C3349" t="s">
        <v>18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 t="shared" si="354"/>
        <v>OPORTUNO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42</v>
      </c>
      <c r="C3350" t="s">
        <v>43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13</v>
      </c>
      <c r="K3350" s="3">
        <f>I3350-J3350</f>
        <v>1</v>
      </c>
      <c r="L3350" s="3" t="str">
        <f t="shared" si="354"/>
        <v>OPORTUNO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44</v>
      </c>
      <c r="C3351" t="s">
        <v>18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22</v>
      </c>
      <c r="K3351" s="3">
        <f>I3351-J3351</f>
        <v>-4</v>
      </c>
      <c r="L3351" s="3" t="str">
        <f t="shared" si="354"/>
        <v>ATENÇÃO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45</v>
      </c>
      <c r="C3352" t="s">
        <v>43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13</v>
      </c>
      <c r="K3352" s="3">
        <f>I3352-J3352</f>
        <v>2</v>
      </c>
      <c r="L3352" s="3" t="str">
        <f t="shared" si="354"/>
        <v>OPORTUNO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46</v>
      </c>
      <c r="C3353" t="s">
        <v>18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22</v>
      </c>
      <c r="K3353" s="3">
        <f>I3353-J3353</f>
        <v>2</v>
      </c>
      <c r="L3353" s="3" t="str">
        <f t="shared" si="354"/>
        <v>OPORTUNO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47</v>
      </c>
      <c r="C3354" t="s">
        <v>16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18</v>
      </c>
      <c r="K3354" s="3">
        <f>I3354-J3354</f>
        <v>5</v>
      </c>
      <c r="L3354" s="3" t="str">
        <f t="shared" si="354"/>
        <v>OPORTUNO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48</v>
      </c>
      <c r="C3355" t="s">
        <v>16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354"/>
        <v>OPORTUNO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49</v>
      </c>
      <c r="C3356" t="s">
        <v>18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 t="shared" si="354"/>
        <v>OPORTUNO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50</v>
      </c>
      <c r="C3357" t="s">
        <v>20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15</v>
      </c>
      <c r="K3357" s="3">
        <f>I3357-J3357</f>
        <v>2</v>
      </c>
      <c r="L3357" s="3" t="str">
        <f t="shared" si="354"/>
        <v>OPORTUNO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51</v>
      </c>
      <c r="C3358" t="s">
        <v>23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6</v>
      </c>
      <c r="K3358" s="3">
        <f>I3358-J3358</f>
        <v>1</v>
      </c>
      <c r="L3358" s="3" t="str">
        <f t="shared" si="354"/>
        <v>OPORTUNO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52</v>
      </c>
      <c r="C3359" t="s">
        <v>18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22</v>
      </c>
      <c r="K3359" s="3">
        <f>I3359-J3359</f>
        <v>8</v>
      </c>
      <c r="L3359" s="3" t="str">
        <f t="shared" si="354"/>
        <v>MUITO BOM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53</v>
      </c>
      <c r="C3360" t="s">
        <v>18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22</v>
      </c>
      <c r="K3360" s="3">
        <f>I3360-J3360</f>
        <v>2</v>
      </c>
      <c r="L3360" s="3" t="str">
        <f t="shared" si="354"/>
        <v>OPORTUNO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54</v>
      </c>
      <c r="C3361" t="s">
        <v>23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6</v>
      </c>
      <c r="K3361" s="3">
        <f>I3361-J3361</f>
        <v>7</v>
      </c>
      <c r="L3361" s="3" t="str">
        <f t="shared" si="354"/>
        <v>MUITO BOM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55</v>
      </c>
      <c r="C3362" t="s">
        <v>43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 t="shared" si="354"/>
        <v>OPORTUNO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56</v>
      </c>
      <c r="C3363" t="s">
        <v>16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ref="I3363:I3371" si="361">E3363+G3363+H3363</f>
        <v>5</v>
      </c>
      <c r="J3363" s="3">
        <f t="shared" ref="J3363:J3371" si="362"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18</v>
      </c>
      <c r="K3363" s="3">
        <f t="shared" ref="K3363:K3371" si="363">I3363-J3363</f>
        <v>-13</v>
      </c>
      <c r="L3363" s="3" t="str">
        <f t="shared" si="354"/>
        <v>CRÍTICO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57</v>
      </c>
      <c r="C3364" t="s">
        <v>43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361"/>
        <v>16</v>
      </c>
      <c r="J3364" s="3">
        <f t="shared" si="362"/>
        <v>13</v>
      </c>
      <c r="K3364" s="3">
        <f t="shared" si="363"/>
        <v>3</v>
      </c>
      <c r="L3364" s="3" t="str">
        <f t="shared" si="354"/>
        <v>OPORTUNO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58</v>
      </c>
      <c r="C3365" t="s">
        <v>43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361"/>
        <v>16</v>
      </c>
      <c r="J3365" s="3">
        <f t="shared" si="362"/>
        <v>13</v>
      </c>
      <c r="K3365" s="3">
        <f t="shared" si="363"/>
        <v>3</v>
      </c>
      <c r="L3365" s="3" t="str">
        <f t="shared" si="354"/>
        <v>OPORTUNO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59</v>
      </c>
      <c r="C3366" t="s">
        <v>23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361"/>
        <v>5</v>
      </c>
      <c r="J3366" s="3">
        <f t="shared" si="362"/>
        <v>6</v>
      </c>
      <c r="K3366" s="3">
        <f t="shared" si="363"/>
        <v>-1</v>
      </c>
      <c r="L3366" s="3" t="str">
        <f t="shared" si="354"/>
        <v>ATENÇÃO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60</v>
      </c>
      <c r="C3367" t="s">
        <v>20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361"/>
        <v>17</v>
      </c>
      <c r="J3367" s="3">
        <f t="shared" si="362"/>
        <v>15</v>
      </c>
      <c r="K3367" s="3">
        <f t="shared" si="363"/>
        <v>2</v>
      </c>
      <c r="L3367" s="3" t="str">
        <f t="shared" si="354"/>
        <v>OPORTUNO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61</v>
      </c>
      <c r="C3368" t="s">
        <v>18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361"/>
        <v>31</v>
      </c>
      <c r="J3368" s="3">
        <f t="shared" si="362"/>
        <v>22</v>
      </c>
      <c r="K3368" s="3">
        <f t="shared" si="363"/>
        <v>9</v>
      </c>
      <c r="L3368" s="3" t="str">
        <f t="shared" si="354"/>
        <v>MUITO BOM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62</v>
      </c>
      <c r="C3369" t="s">
        <v>20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361"/>
        <v>12</v>
      </c>
      <c r="J3369" s="3">
        <f t="shared" si="362"/>
        <v>15</v>
      </c>
      <c r="K3369" s="3">
        <f t="shared" si="363"/>
        <v>-3</v>
      </c>
      <c r="L3369" s="3" t="str">
        <f t="shared" si="354"/>
        <v>ATENÇÃO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63</v>
      </c>
      <c r="C3370" t="s">
        <v>18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361"/>
        <v>21</v>
      </c>
      <c r="J3370" s="3">
        <f t="shared" si="362"/>
        <v>22</v>
      </c>
      <c r="K3370" s="3">
        <f t="shared" si="363"/>
        <v>-1</v>
      </c>
      <c r="L3370" s="3" t="str">
        <f t="shared" si="354"/>
        <v>ATENÇÃO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15</v>
      </c>
      <c r="C3371" t="s">
        <v>16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361"/>
        <v>28</v>
      </c>
      <c r="J3371" s="3">
        <f t="shared" si="362"/>
        <v>21</v>
      </c>
      <c r="K3371" s="3">
        <f t="shared" si="363"/>
        <v>7</v>
      </c>
      <c r="L3371" s="3" t="str">
        <f t="shared" si="354"/>
        <v>MUITO BOM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17</v>
      </c>
      <c r="C3372" t="s">
        <v>18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 t="shared" si="354"/>
        <v>OPORTUNO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19</v>
      </c>
      <c r="C3373" t="s">
        <v>20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ref="I3373:I3380" si="364">E3373+G3373+H3373</f>
        <v>21</v>
      </c>
      <c r="J3373" s="3">
        <f t="shared" ref="J3373:J3380" si="365"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17</v>
      </c>
      <c r="K3373" s="3">
        <f t="shared" ref="K3373:K3380" si="366">I3373-J3373</f>
        <v>4</v>
      </c>
      <c r="L3373" s="3" t="str">
        <f t="shared" si="354"/>
        <v>OPORTUNO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21</v>
      </c>
      <c r="C3374" t="s">
        <v>18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364"/>
        <v>32</v>
      </c>
      <c r="J3374" s="3">
        <f t="shared" si="365"/>
        <v>26</v>
      </c>
      <c r="K3374" s="3">
        <f t="shared" si="366"/>
        <v>6</v>
      </c>
      <c r="L3374" s="3" t="str">
        <f t="shared" si="354"/>
        <v>MUITO BOM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22</v>
      </c>
      <c r="C3375" t="s">
        <v>23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364"/>
        <v>20</v>
      </c>
      <c r="J3375" s="3">
        <f t="shared" si="365"/>
        <v>7</v>
      </c>
      <c r="K3375" s="3">
        <f t="shared" si="366"/>
        <v>13</v>
      </c>
      <c r="L3375" s="3" t="str">
        <f t="shared" si="354"/>
        <v>MUITO BOM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24</v>
      </c>
      <c r="C3376" t="s">
        <v>16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364"/>
        <v>31</v>
      </c>
      <c r="J3376" s="3">
        <f t="shared" si="365"/>
        <v>21</v>
      </c>
      <c r="K3376" s="3">
        <f t="shared" si="366"/>
        <v>10</v>
      </c>
      <c r="L3376" s="3" t="str">
        <f t="shared" si="354"/>
        <v>MUITO BOM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25</v>
      </c>
      <c r="C3377" t="s">
        <v>16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364"/>
        <v>18</v>
      </c>
      <c r="J3377" s="3">
        <f t="shared" si="365"/>
        <v>21</v>
      </c>
      <c r="K3377" s="3">
        <f t="shared" si="366"/>
        <v>-3</v>
      </c>
      <c r="L3377" s="3" t="str">
        <f t="shared" si="354"/>
        <v>ATENÇÃO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26</v>
      </c>
      <c r="C3378" t="s">
        <v>23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364"/>
        <v>7</v>
      </c>
      <c r="J3378" s="3">
        <f t="shared" si="365"/>
        <v>7</v>
      </c>
      <c r="K3378" s="3">
        <f t="shared" si="366"/>
        <v>0</v>
      </c>
      <c r="L3378" s="3" t="str">
        <f t="shared" si="354"/>
        <v>OPORTUNO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27</v>
      </c>
      <c r="C3379" t="s">
        <v>20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364"/>
        <v>22</v>
      </c>
      <c r="J3379" s="3">
        <f t="shared" si="365"/>
        <v>17</v>
      </c>
      <c r="K3379" s="3">
        <f t="shared" si="366"/>
        <v>5</v>
      </c>
      <c r="L3379" s="3" t="str">
        <f t="shared" si="354"/>
        <v>OPORTUNO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28</v>
      </c>
      <c r="C3380" t="s">
        <v>18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364"/>
        <v>33</v>
      </c>
      <c r="J3380" s="3">
        <f t="shared" si="365"/>
        <v>26</v>
      </c>
      <c r="K3380" s="3">
        <f t="shared" si="366"/>
        <v>7</v>
      </c>
      <c r="L3380" s="3" t="str">
        <f t="shared" si="354"/>
        <v>MUITO BOM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29</v>
      </c>
      <c r="C3381" t="s">
        <v>16</v>
      </c>
      <c r="D3381">
        <v>0</v>
      </c>
      <c r="E3381">
        <v>0</v>
      </c>
      <c r="F3381">
        <v>0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 t="shared" si="354"/>
        <v>OPORTUNO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30</v>
      </c>
      <c r="C3382" t="s">
        <v>20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17</v>
      </c>
      <c r="K3382" s="3">
        <f>I3382-J3382</f>
        <v>0</v>
      </c>
      <c r="L3382" s="3" t="str">
        <f t="shared" si="354"/>
        <v>OPORTUNO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31</v>
      </c>
      <c r="C3383" t="s">
        <v>18</v>
      </c>
      <c r="D3383">
        <v>0</v>
      </c>
      <c r="E3383">
        <v>0</v>
      </c>
      <c r="F3383">
        <v>0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 t="shared" si="354"/>
        <v>OPORTUNO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32</v>
      </c>
      <c r="C3384" t="s">
        <v>23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ref="I3384:I3391" si="367">E3384+G3384+H3384</f>
        <v>13</v>
      </c>
      <c r="J3384" s="3">
        <f t="shared" ref="J3384:J3391" si="368"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7</v>
      </c>
      <c r="K3384" s="3">
        <f t="shared" ref="K3384:K3391" si="369">I3384-J3384</f>
        <v>6</v>
      </c>
      <c r="L3384" s="3" t="str">
        <f t="shared" si="354"/>
        <v>MUITO BOM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33</v>
      </c>
      <c r="C3385" t="s">
        <v>16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367"/>
        <v>26</v>
      </c>
      <c r="J3385" s="3">
        <f t="shared" si="368"/>
        <v>21</v>
      </c>
      <c r="K3385" s="3">
        <f t="shared" si="369"/>
        <v>5</v>
      </c>
      <c r="L3385" s="3" t="str">
        <f t="shared" si="354"/>
        <v>OPORTUNO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34</v>
      </c>
      <c r="C3386" t="s">
        <v>18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367"/>
        <v>30</v>
      </c>
      <c r="J3386" s="3">
        <f t="shared" si="368"/>
        <v>26</v>
      </c>
      <c r="K3386" s="3">
        <f t="shared" si="369"/>
        <v>4</v>
      </c>
      <c r="L3386" s="3" t="str">
        <f t="shared" si="354"/>
        <v>OPORTUNO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35</v>
      </c>
      <c r="C3387" t="s">
        <v>16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367"/>
        <v>23</v>
      </c>
      <c r="J3387" s="3">
        <f t="shared" si="368"/>
        <v>21</v>
      </c>
      <c r="K3387" s="3">
        <f t="shared" si="369"/>
        <v>2</v>
      </c>
      <c r="L3387" s="3" t="str">
        <f t="shared" ref="L3387:L3450" si="370">IF(K3387&lt;-5,"CRÍTICO",IF(K3387&lt;0,"ATENÇÃO",IF(K3387&lt;=5,"OPORTUNO","MUITO BOM")))</f>
        <v>OPORTUNO</v>
      </c>
      <c r="N3387">
        <v>98.02</v>
      </c>
      <c r="O3387">
        <v>23.484848484848481</v>
      </c>
    </row>
    <row r="3388" spans="1:15" hidden="1" x14ac:dyDescent="0.25">
      <c r="A3388" s="10">
        <v>46164</v>
      </c>
      <c r="B3388" s="6" t="s">
        <v>40</v>
      </c>
      <c r="C3388" s="3" t="s">
        <v>16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 t="shared" si="367"/>
        <v>13</v>
      </c>
      <c r="J3388" s="3">
        <f t="shared" si="368"/>
        <v>15</v>
      </c>
      <c r="K3388" s="3">
        <f t="shared" si="369"/>
        <v>-2</v>
      </c>
      <c r="L3388" s="3" t="str">
        <f t="shared" si="370"/>
        <v>ATENÇÃO</v>
      </c>
      <c r="M3388" s="3">
        <v>10</v>
      </c>
      <c r="N3388" s="3">
        <v>98.61</v>
      </c>
      <c r="O3388" s="3">
        <v>16.97530864197531</v>
      </c>
    </row>
    <row r="3389" spans="1:15" hidden="1" x14ac:dyDescent="0.25">
      <c r="A3389" s="11">
        <v>46107</v>
      </c>
      <c r="B3389" t="s">
        <v>37</v>
      </c>
      <c r="C3389" t="s">
        <v>16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367"/>
        <v>23</v>
      </c>
      <c r="J3389" s="3">
        <f t="shared" si="368"/>
        <v>21</v>
      </c>
      <c r="K3389" s="3">
        <f t="shared" si="369"/>
        <v>2</v>
      </c>
      <c r="L3389" s="3" t="str">
        <f t="shared" si="370"/>
        <v>OPORTUNO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38</v>
      </c>
      <c r="C3390" t="s">
        <v>18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367"/>
        <v>38</v>
      </c>
      <c r="J3390" s="3">
        <f t="shared" si="368"/>
        <v>26</v>
      </c>
      <c r="K3390" s="3">
        <f t="shared" si="369"/>
        <v>12</v>
      </c>
      <c r="L3390" s="3" t="str">
        <f t="shared" si="370"/>
        <v>MUITO BOM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39</v>
      </c>
      <c r="C3391" t="s">
        <v>18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367"/>
        <v>21</v>
      </c>
      <c r="J3391" s="3">
        <f t="shared" si="368"/>
        <v>26</v>
      </c>
      <c r="K3391" s="3">
        <f t="shared" si="369"/>
        <v>-5</v>
      </c>
      <c r="L3391" s="3" t="str">
        <f t="shared" si="370"/>
        <v>ATENÇÃO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40</v>
      </c>
      <c r="C3392" t="s">
        <v>16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370"/>
        <v>OPORTUNO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41</v>
      </c>
      <c r="C3393" t="s">
        <v>18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 t="shared" si="370"/>
        <v>OPORTUNO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42</v>
      </c>
      <c r="C3394" t="s">
        <v>43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15</v>
      </c>
      <c r="K3394" s="3">
        <f>I3394-J3394</f>
        <v>7</v>
      </c>
      <c r="L3394" s="3" t="str">
        <f t="shared" si="370"/>
        <v>MUITO BOM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44</v>
      </c>
      <c r="C3395" t="s">
        <v>18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26</v>
      </c>
      <c r="K3395" s="3">
        <f>I3395-J3395</f>
        <v>-8</v>
      </c>
      <c r="L3395" s="3" t="str">
        <f t="shared" si="370"/>
        <v>CRÍTICO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45</v>
      </c>
      <c r="C3396" t="s">
        <v>43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15</v>
      </c>
      <c r="K3396" s="3">
        <f>I3396-J3396</f>
        <v>1</v>
      </c>
      <c r="L3396" s="3" t="str">
        <f t="shared" si="370"/>
        <v>OPORTUNO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46</v>
      </c>
      <c r="C3397" t="s">
        <v>18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26</v>
      </c>
      <c r="K3397" s="3">
        <f>I3397-J3397</f>
        <v>-2</v>
      </c>
      <c r="L3397" s="3" t="str">
        <f t="shared" si="370"/>
        <v>ATENÇÃO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47</v>
      </c>
      <c r="C3398" t="s">
        <v>16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21</v>
      </c>
      <c r="K3398" s="3">
        <f>I3398-J3398</f>
        <v>8</v>
      </c>
      <c r="L3398" s="3" t="str">
        <f t="shared" si="370"/>
        <v>MUITO BOM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48</v>
      </c>
      <c r="C3399" t="s">
        <v>16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370"/>
        <v>OPORTUNO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49</v>
      </c>
      <c r="C3400" t="s">
        <v>18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 t="shared" si="370"/>
        <v>OPORTUNO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50</v>
      </c>
      <c r="C3401" t="s">
        <v>20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17</v>
      </c>
      <c r="K3401" s="3">
        <f>I3401-J3401</f>
        <v>14</v>
      </c>
      <c r="L3401" s="3" t="str">
        <f t="shared" si="370"/>
        <v>MUITO BOM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51</v>
      </c>
      <c r="C3402" t="s">
        <v>23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7</v>
      </c>
      <c r="K3402" s="3">
        <f>I3402-J3402</f>
        <v>0</v>
      </c>
      <c r="L3402" s="3" t="str">
        <f t="shared" si="370"/>
        <v>OPORTUNO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52</v>
      </c>
      <c r="C3403" t="s">
        <v>18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26</v>
      </c>
      <c r="K3403" s="3">
        <f>I3403-J3403</f>
        <v>-4</v>
      </c>
      <c r="L3403" s="3" t="str">
        <f t="shared" si="370"/>
        <v>ATENÇÃO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53</v>
      </c>
      <c r="C3404" t="s">
        <v>18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26</v>
      </c>
      <c r="K3404" s="3">
        <f>I3404-J3404</f>
        <v>-13</v>
      </c>
      <c r="L3404" s="3" t="str">
        <f t="shared" si="370"/>
        <v>CRÍTICO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54</v>
      </c>
      <c r="C3405" t="s">
        <v>23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7</v>
      </c>
      <c r="K3405" s="3">
        <f>I3405-J3405</f>
        <v>0</v>
      </c>
      <c r="L3405" s="3" t="str">
        <f t="shared" si="370"/>
        <v>OPORTUNO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55</v>
      </c>
      <c r="C3406" t="s">
        <v>43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 t="shared" si="370"/>
        <v>OPORTUNO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56</v>
      </c>
      <c r="C3407" t="s">
        <v>16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ref="I3407:I3415" si="371">E3407+G3407+H3407</f>
        <v>6</v>
      </c>
      <c r="J3407" s="3">
        <f t="shared" ref="J3407:J3415" si="372"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21</v>
      </c>
      <c r="K3407" s="3">
        <f t="shared" ref="K3407:K3415" si="373">I3407-J3407</f>
        <v>-15</v>
      </c>
      <c r="L3407" s="3" t="str">
        <f t="shared" si="370"/>
        <v>CRÍTICO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57</v>
      </c>
      <c r="C3408" t="s">
        <v>43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371"/>
        <v>20</v>
      </c>
      <c r="J3408" s="3">
        <f t="shared" si="372"/>
        <v>15</v>
      </c>
      <c r="K3408" s="3">
        <f t="shared" si="373"/>
        <v>5</v>
      </c>
      <c r="L3408" s="3" t="str">
        <f t="shared" si="370"/>
        <v>OPORTUNO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58</v>
      </c>
      <c r="C3409" t="s">
        <v>43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371"/>
        <v>11</v>
      </c>
      <c r="J3409" s="3">
        <f t="shared" si="372"/>
        <v>15</v>
      </c>
      <c r="K3409" s="3">
        <f t="shared" si="373"/>
        <v>-4</v>
      </c>
      <c r="L3409" s="3" t="str">
        <f t="shared" si="370"/>
        <v>ATENÇÃO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59</v>
      </c>
      <c r="C3410" t="s">
        <v>23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371"/>
        <v>5</v>
      </c>
      <c r="J3410" s="3">
        <f t="shared" si="372"/>
        <v>7</v>
      </c>
      <c r="K3410" s="3">
        <f t="shared" si="373"/>
        <v>-2</v>
      </c>
      <c r="L3410" s="3" t="str">
        <f t="shared" si="370"/>
        <v>ATENÇÃO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60</v>
      </c>
      <c r="C3411" t="s">
        <v>20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si="371"/>
        <v>20</v>
      </c>
      <c r="J3411" s="3">
        <f t="shared" si="372"/>
        <v>17</v>
      </c>
      <c r="K3411" s="3">
        <f t="shared" si="373"/>
        <v>3</v>
      </c>
      <c r="L3411" s="3" t="str">
        <f t="shared" si="370"/>
        <v>OPORTUNO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61</v>
      </c>
      <c r="C3412" t="s">
        <v>18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371"/>
        <v>25</v>
      </c>
      <c r="J3412" s="3">
        <f t="shared" si="372"/>
        <v>26</v>
      </c>
      <c r="K3412" s="3">
        <f t="shared" si="373"/>
        <v>-1</v>
      </c>
      <c r="L3412" s="3" t="str">
        <f t="shared" si="370"/>
        <v>ATENÇÃO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62</v>
      </c>
      <c r="C3413" t="s">
        <v>20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371"/>
        <v>11</v>
      </c>
      <c r="J3413" s="3">
        <f t="shared" si="372"/>
        <v>17</v>
      </c>
      <c r="K3413" s="3">
        <f t="shared" si="373"/>
        <v>-6</v>
      </c>
      <c r="L3413" s="3" t="str">
        <f t="shared" si="370"/>
        <v>CRÍTICO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63</v>
      </c>
      <c r="C3414" t="s">
        <v>18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371"/>
        <v>27</v>
      </c>
      <c r="J3414" s="3">
        <f t="shared" si="372"/>
        <v>26</v>
      </c>
      <c r="K3414" s="3">
        <f t="shared" si="373"/>
        <v>1</v>
      </c>
      <c r="L3414" s="3" t="str">
        <f t="shared" si="370"/>
        <v>OPORTUNO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15</v>
      </c>
      <c r="C3415" t="s">
        <v>16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371"/>
        <v>22</v>
      </c>
      <c r="J3415" s="3">
        <f t="shared" si="372"/>
        <v>20</v>
      </c>
      <c r="K3415" s="3">
        <f t="shared" si="373"/>
        <v>2</v>
      </c>
      <c r="L3415" s="3" t="str">
        <f t="shared" si="370"/>
        <v>OPORTUNO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17</v>
      </c>
      <c r="C3416" t="s">
        <v>18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 t="shared" si="370"/>
        <v>OPORTUNO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19</v>
      </c>
      <c r="C3417" t="s">
        <v>20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ref="I3417:I3424" si="374">E3417+G3417+H3417</f>
        <v>29</v>
      </c>
      <c r="J3417" s="3">
        <f t="shared" ref="J3417:J3424" si="375"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16</v>
      </c>
      <c r="K3417" s="3">
        <f t="shared" ref="K3417:K3424" si="376">I3417-J3417</f>
        <v>13</v>
      </c>
      <c r="L3417" s="3" t="str">
        <f t="shared" si="370"/>
        <v>MUITO BOM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21</v>
      </c>
      <c r="C3418" t="s">
        <v>18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374"/>
        <v>22</v>
      </c>
      <c r="J3418" s="3">
        <f t="shared" si="375"/>
        <v>25</v>
      </c>
      <c r="K3418" s="3">
        <f t="shared" si="376"/>
        <v>-3</v>
      </c>
      <c r="L3418" s="3" t="str">
        <f t="shared" si="370"/>
        <v>ATENÇÃO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22</v>
      </c>
      <c r="C3419" t="s">
        <v>23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374"/>
        <v>16</v>
      </c>
      <c r="J3419" s="3">
        <f t="shared" si="375"/>
        <v>7</v>
      </c>
      <c r="K3419" s="3">
        <f t="shared" si="376"/>
        <v>9</v>
      </c>
      <c r="L3419" s="3" t="str">
        <f t="shared" si="370"/>
        <v>MUITO BOM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24</v>
      </c>
      <c r="C3420" t="s">
        <v>16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374"/>
        <v>29</v>
      </c>
      <c r="J3420" s="3">
        <f t="shared" si="375"/>
        <v>20</v>
      </c>
      <c r="K3420" s="3">
        <f t="shared" si="376"/>
        <v>9</v>
      </c>
      <c r="L3420" s="3" t="str">
        <f t="shared" si="370"/>
        <v>MUITO BOM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25</v>
      </c>
      <c r="C3421" t="s">
        <v>16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374"/>
        <v>17</v>
      </c>
      <c r="J3421" s="3">
        <f t="shared" si="375"/>
        <v>20</v>
      </c>
      <c r="K3421" s="3">
        <f t="shared" si="376"/>
        <v>-3</v>
      </c>
      <c r="L3421" s="3" t="str">
        <f t="shared" si="370"/>
        <v>ATENÇÃO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26</v>
      </c>
      <c r="C3422" t="s">
        <v>23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374"/>
        <v>10</v>
      </c>
      <c r="J3422" s="3">
        <f t="shared" si="375"/>
        <v>7</v>
      </c>
      <c r="K3422" s="3">
        <f t="shared" si="376"/>
        <v>3</v>
      </c>
      <c r="L3422" s="3" t="str">
        <f t="shared" si="370"/>
        <v>OPORTUNO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27</v>
      </c>
      <c r="C3423" t="s">
        <v>20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374"/>
        <v>30</v>
      </c>
      <c r="J3423" s="3">
        <f t="shared" si="375"/>
        <v>16</v>
      </c>
      <c r="K3423" s="3">
        <f t="shared" si="376"/>
        <v>14</v>
      </c>
      <c r="L3423" s="3" t="str">
        <f t="shared" si="370"/>
        <v>MUITO BOM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28</v>
      </c>
      <c r="C3424" t="s">
        <v>18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374"/>
        <v>25</v>
      </c>
      <c r="J3424" s="3">
        <f t="shared" si="375"/>
        <v>25</v>
      </c>
      <c r="K3424" s="3">
        <f t="shared" si="376"/>
        <v>0</v>
      </c>
      <c r="L3424" s="3" t="str">
        <f t="shared" si="370"/>
        <v>OPORTUNO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29</v>
      </c>
      <c r="C3425" t="s">
        <v>16</v>
      </c>
      <c r="D3425">
        <v>0</v>
      </c>
      <c r="E3425">
        <v>0</v>
      </c>
      <c r="F3425">
        <v>0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 t="shared" si="370"/>
        <v>OPORTUNO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30</v>
      </c>
      <c r="C3426" t="s">
        <v>20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16</v>
      </c>
      <c r="K3426" s="3">
        <f>I3426-J3426</f>
        <v>1</v>
      </c>
      <c r="L3426" s="3" t="str">
        <f t="shared" si="370"/>
        <v>OPORTUNO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31</v>
      </c>
      <c r="C3427" t="s">
        <v>18</v>
      </c>
      <c r="D3427">
        <v>0</v>
      </c>
      <c r="E3427">
        <v>0</v>
      </c>
      <c r="F3427">
        <v>0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 t="shared" si="370"/>
        <v>OPORTUNO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32</v>
      </c>
      <c r="C3428" t="s">
        <v>23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ref="I3428:I3435" si="377">E3428+G3428+H3428</f>
        <v>8</v>
      </c>
      <c r="J3428" s="3">
        <f t="shared" ref="J3428:J3435" si="378"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 t="shared" ref="K3428:K3435" si="379">I3428-J3428</f>
        <v>1</v>
      </c>
      <c r="L3428" s="3" t="str">
        <f t="shared" si="370"/>
        <v>OPORTUNO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33</v>
      </c>
      <c r="C3429" t="s">
        <v>16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377"/>
        <v>23</v>
      </c>
      <c r="J3429" s="3">
        <f t="shared" si="378"/>
        <v>20</v>
      </c>
      <c r="K3429" s="3">
        <f t="shared" si="379"/>
        <v>3</v>
      </c>
      <c r="L3429" s="3" t="str">
        <f t="shared" si="370"/>
        <v>OPORTUNO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34</v>
      </c>
      <c r="C3430" t="s">
        <v>18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377"/>
        <v>19</v>
      </c>
      <c r="J3430" s="3">
        <f t="shared" si="378"/>
        <v>25</v>
      </c>
      <c r="K3430" s="3">
        <f t="shared" si="379"/>
        <v>-6</v>
      </c>
      <c r="L3430" s="3" t="str">
        <f t="shared" si="370"/>
        <v>CRÍTICO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35</v>
      </c>
      <c r="C3431" t="s">
        <v>16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377"/>
        <v>20</v>
      </c>
      <c r="J3431" s="3">
        <f t="shared" si="378"/>
        <v>20</v>
      </c>
      <c r="K3431" s="3">
        <f t="shared" si="379"/>
        <v>0</v>
      </c>
      <c r="L3431" s="3" t="str">
        <f t="shared" si="370"/>
        <v>OPORTUNO</v>
      </c>
      <c r="N3431">
        <v>98.02</v>
      </c>
      <c r="O3431">
        <v>23.484848484848481</v>
      </c>
    </row>
    <row r="3432" spans="1:15" hidden="1" x14ac:dyDescent="0.25">
      <c r="A3432" s="10">
        <v>46164</v>
      </c>
      <c r="B3432" s="6" t="s">
        <v>47</v>
      </c>
      <c r="C3432" s="3" t="s">
        <v>16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 t="shared" si="377"/>
        <v>19</v>
      </c>
      <c r="J3432" s="3">
        <f t="shared" si="378"/>
        <v>15</v>
      </c>
      <c r="K3432" s="3">
        <f t="shared" si="379"/>
        <v>4</v>
      </c>
      <c r="L3432" s="3" t="str">
        <f t="shared" si="370"/>
        <v>OPORTUNO</v>
      </c>
      <c r="M3432" s="3">
        <v>18</v>
      </c>
      <c r="N3432" s="3">
        <v>98.61</v>
      </c>
      <c r="O3432" s="3">
        <v>16.867469879518069</v>
      </c>
    </row>
    <row r="3433" spans="1:15" hidden="1" x14ac:dyDescent="0.25">
      <c r="A3433" s="11">
        <v>46108</v>
      </c>
      <c r="B3433" t="s">
        <v>37</v>
      </c>
      <c r="C3433" t="s">
        <v>16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si="377"/>
        <v>22</v>
      </c>
      <c r="J3433" s="3">
        <f t="shared" si="378"/>
        <v>20</v>
      </c>
      <c r="K3433" s="3">
        <f t="shared" si="379"/>
        <v>2</v>
      </c>
      <c r="L3433" s="3" t="str">
        <f t="shared" si="370"/>
        <v>OPORTUNO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38</v>
      </c>
      <c r="C3434" t="s">
        <v>18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377"/>
        <v>39</v>
      </c>
      <c r="J3434" s="3">
        <f t="shared" si="378"/>
        <v>25</v>
      </c>
      <c r="K3434" s="3">
        <f t="shared" si="379"/>
        <v>14</v>
      </c>
      <c r="L3434" s="3" t="str">
        <f t="shared" si="370"/>
        <v>MUITO BOM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39</v>
      </c>
      <c r="C3435" t="s">
        <v>18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377"/>
        <v>6</v>
      </c>
      <c r="J3435" s="3">
        <f t="shared" si="378"/>
        <v>25</v>
      </c>
      <c r="K3435" s="3">
        <f t="shared" si="379"/>
        <v>-19</v>
      </c>
      <c r="L3435" s="3" t="str">
        <f t="shared" si="370"/>
        <v>CRÍTICO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40</v>
      </c>
      <c r="C3436" t="s">
        <v>16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370"/>
        <v>OPORTUNO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41</v>
      </c>
      <c r="C3437" t="s">
        <v>18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 t="shared" si="370"/>
        <v>OPORTUNO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42</v>
      </c>
      <c r="C3438" t="s">
        <v>43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14</v>
      </c>
      <c r="K3438" s="3">
        <f>I3438-J3438</f>
        <v>10</v>
      </c>
      <c r="L3438" s="3" t="str">
        <f t="shared" si="370"/>
        <v>MUITO BOM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44</v>
      </c>
      <c r="C3439" t="s">
        <v>18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25</v>
      </c>
      <c r="K3439" s="3">
        <f>I3439-J3439</f>
        <v>0</v>
      </c>
      <c r="L3439" s="3" t="str">
        <f t="shared" si="370"/>
        <v>OPORTUNO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45</v>
      </c>
      <c r="C3440" t="s">
        <v>43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14</v>
      </c>
      <c r="K3440" s="3">
        <f>I3440-J3440</f>
        <v>-3</v>
      </c>
      <c r="L3440" s="3" t="str">
        <f t="shared" si="370"/>
        <v>ATENÇÃO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46</v>
      </c>
      <c r="C3441" t="s">
        <v>18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25</v>
      </c>
      <c r="K3441" s="3">
        <f>I3441-J3441</f>
        <v>3</v>
      </c>
      <c r="L3441" s="3" t="str">
        <f t="shared" si="370"/>
        <v>OPORTUNO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47</v>
      </c>
      <c r="C3442" t="s">
        <v>16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20</v>
      </c>
      <c r="K3442" s="3">
        <f>I3442-J3442</f>
        <v>10</v>
      </c>
      <c r="L3442" s="3" t="str">
        <f t="shared" si="370"/>
        <v>MUITO BOM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48</v>
      </c>
      <c r="C3443" t="s">
        <v>16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370"/>
        <v>OPORTUNO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49</v>
      </c>
      <c r="C3444" t="s">
        <v>18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 t="shared" si="370"/>
        <v>OPORTUNO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50</v>
      </c>
      <c r="C3445" t="s">
        <v>20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16</v>
      </c>
      <c r="K3445" s="3">
        <f>I3445-J3445</f>
        <v>7</v>
      </c>
      <c r="L3445" s="3" t="str">
        <f t="shared" si="370"/>
        <v>MUITO BOM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51</v>
      </c>
      <c r="C3446" t="s">
        <v>23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 t="shared" si="370"/>
        <v>OPORTUNO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52</v>
      </c>
      <c r="C3447" t="s">
        <v>18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25</v>
      </c>
      <c r="K3447" s="3">
        <f>I3447-J3447</f>
        <v>2</v>
      </c>
      <c r="L3447" s="3" t="str">
        <f t="shared" si="370"/>
        <v>OPORTUNO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53</v>
      </c>
      <c r="C3448" t="s">
        <v>18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 t="shared" si="370"/>
        <v>OPORTUNO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54</v>
      </c>
      <c r="C3449" t="s">
        <v>23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 t="shared" si="370"/>
        <v>OPORTUNO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55</v>
      </c>
      <c r="C3450" t="s">
        <v>43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si="370"/>
        <v>OPORTUNO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56</v>
      </c>
      <c r="C3451" t="s">
        <v>16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 t="shared" ref="L3451:L3514" si="380">IF(K3451&lt;-5,"CRÍTICO",IF(K3451&lt;0,"ATENÇÃO",IF(K3451&lt;=5,"OPORTUNO","MUITO BOM")))</f>
        <v>OPORTUNO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57</v>
      </c>
      <c r="C3452" t="s">
        <v>43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ref="I3452:I3459" si="381">E3452+G3452+H3452</f>
        <v>15</v>
      </c>
      <c r="J3452" s="3">
        <f t="shared" ref="J3452:J3459" si="382"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14</v>
      </c>
      <c r="K3452" s="3">
        <f t="shared" ref="K3452:K3459" si="383">I3452-J3452</f>
        <v>1</v>
      </c>
      <c r="L3452" s="3" t="str">
        <f t="shared" si="380"/>
        <v>OPORTUNO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58</v>
      </c>
      <c r="C3453" t="s">
        <v>43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381"/>
        <v>21</v>
      </c>
      <c r="J3453" s="3">
        <f t="shared" si="382"/>
        <v>14</v>
      </c>
      <c r="K3453" s="3">
        <f t="shared" si="383"/>
        <v>7</v>
      </c>
      <c r="L3453" s="3" t="str">
        <f t="shared" si="380"/>
        <v>MUITO BOM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59</v>
      </c>
      <c r="C3454" t="s">
        <v>23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381"/>
        <v>6</v>
      </c>
      <c r="J3454" s="3">
        <f t="shared" si="382"/>
        <v>7</v>
      </c>
      <c r="K3454" s="3">
        <f t="shared" si="383"/>
        <v>-1</v>
      </c>
      <c r="L3454" s="3" t="str">
        <f t="shared" si="380"/>
        <v>ATENÇÃO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60</v>
      </c>
      <c r="C3455" t="s">
        <v>20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381"/>
        <v>21</v>
      </c>
      <c r="J3455" s="3">
        <f t="shared" si="382"/>
        <v>16</v>
      </c>
      <c r="K3455" s="3">
        <f t="shared" si="383"/>
        <v>5</v>
      </c>
      <c r="L3455" s="3" t="str">
        <f t="shared" si="380"/>
        <v>OPORTUNO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61</v>
      </c>
      <c r="C3456" t="s">
        <v>18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381"/>
        <v>31</v>
      </c>
      <c r="J3456" s="3">
        <f t="shared" si="382"/>
        <v>25</v>
      </c>
      <c r="K3456" s="3">
        <f t="shared" si="383"/>
        <v>6</v>
      </c>
      <c r="L3456" s="3" t="str">
        <f t="shared" si="380"/>
        <v>MUITO BOM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62</v>
      </c>
      <c r="C3457" t="s">
        <v>20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381"/>
        <v>17</v>
      </c>
      <c r="J3457" s="3">
        <f t="shared" si="382"/>
        <v>16</v>
      </c>
      <c r="K3457" s="3">
        <f t="shared" si="383"/>
        <v>1</v>
      </c>
      <c r="L3457" s="3" t="str">
        <f t="shared" si="380"/>
        <v>OPORTUNO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63</v>
      </c>
      <c r="C3458" t="s">
        <v>18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381"/>
        <v>30</v>
      </c>
      <c r="J3458" s="3">
        <f t="shared" si="382"/>
        <v>25</v>
      </c>
      <c r="K3458" s="3">
        <f t="shared" si="383"/>
        <v>5</v>
      </c>
      <c r="L3458" s="3" t="str">
        <f t="shared" si="380"/>
        <v>OPORTUNO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15</v>
      </c>
      <c r="C3459" t="s">
        <v>16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381"/>
        <v>25</v>
      </c>
      <c r="J3459" s="3">
        <f t="shared" si="382"/>
        <v>20</v>
      </c>
      <c r="K3459" s="3">
        <f t="shared" si="383"/>
        <v>5</v>
      </c>
      <c r="L3459" s="3" t="str">
        <f t="shared" si="380"/>
        <v>OPORTUNO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17</v>
      </c>
      <c r="C3460" t="s">
        <v>18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 t="shared" si="380"/>
        <v>OPORTUNO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19</v>
      </c>
      <c r="C3461" t="s">
        <v>20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ref="I3461:I3467" si="384">E3461+G3461+H3461</f>
        <v>18</v>
      </c>
      <c r="J3461" s="3">
        <f t="shared" ref="J3461:J3467" si="385"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16</v>
      </c>
      <c r="K3461" s="3">
        <f t="shared" ref="K3461:K3467" si="386">I3461-J3461</f>
        <v>2</v>
      </c>
      <c r="L3461" s="3" t="str">
        <f t="shared" si="380"/>
        <v>OPORTUNO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21</v>
      </c>
      <c r="C3462" t="s">
        <v>18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384"/>
        <v>35</v>
      </c>
      <c r="J3462" s="3">
        <f t="shared" si="385"/>
        <v>25</v>
      </c>
      <c r="K3462" s="3">
        <f t="shared" si="386"/>
        <v>10</v>
      </c>
      <c r="L3462" s="3" t="str">
        <f t="shared" si="380"/>
        <v>MUITO BOM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22</v>
      </c>
      <c r="C3463" t="s">
        <v>23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384"/>
        <v>15</v>
      </c>
      <c r="J3463" s="3">
        <f t="shared" si="385"/>
        <v>7</v>
      </c>
      <c r="K3463" s="3">
        <f t="shared" si="386"/>
        <v>8</v>
      </c>
      <c r="L3463" s="3" t="str">
        <f t="shared" si="380"/>
        <v>MUITO BOM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24</v>
      </c>
      <c r="C3464" t="s">
        <v>16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384"/>
        <v>33</v>
      </c>
      <c r="J3464" s="3">
        <f t="shared" si="385"/>
        <v>20</v>
      </c>
      <c r="K3464" s="3">
        <f t="shared" si="386"/>
        <v>13</v>
      </c>
      <c r="L3464" s="3" t="str">
        <f t="shared" si="380"/>
        <v>MUITO BOM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25</v>
      </c>
      <c r="C3465" t="s">
        <v>16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384"/>
        <v>24</v>
      </c>
      <c r="J3465" s="3">
        <f t="shared" si="385"/>
        <v>20</v>
      </c>
      <c r="K3465" s="3">
        <f t="shared" si="386"/>
        <v>4</v>
      </c>
      <c r="L3465" s="3" t="str">
        <f t="shared" si="380"/>
        <v>OPORTUNO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26</v>
      </c>
      <c r="C3466" t="s">
        <v>23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384"/>
        <v>2</v>
      </c>
      <c r="J3466" s="3">
        <f t="shared" si="385"/>
        <v>7</v>
      </c>
      <c r="K3466" s="3">
        <f t="shared" si="386"/>
        <v>-5</v>
      </c>
      <c r="L3466" s="3" t="str">
        <f t="shared" si="380"/>
        <v>ATENÇÃO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27</v>
      </c>
      <c r="C3467" t="s">
        <v>20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384"/>
        <v>25</v>
      </c>
      <c r="J3467" s="3">
        <f t="shared" si="385"/>
        <v>16</v>
      </c>
      <c r="K3467" s="3">
        <f t="shared" si="386"/>
        <v>9</v>
      </c>
      <c r="L3467" s="3" t="str">
        <f t="shared" si="380"/>
        <v>MUITO BOM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28</v>
      </c>
      <c r="C3468" t="s">
        <v>18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380"/>
        <v>OPORTUNO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29</v>
      </c>
      <c r="C3469" t="s">
        <v>16</v>
      </c>
      <c r="D3469">
        <v>0</v>
      </c>
      <c r="E3469">
        <v>0</v>
      </c>
      <c r="F3469">
        <v>0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 t="shared" si="380"/>
        <v>OPORTUNO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30</v>
      </c>
      <c r="C3470" t="s">
        <v>20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16</v>
      </c>
      <c r="K3470" s="3">
        <f>I3470-J3470</f>
        <v>3</v>
      </c>
      <c r="L3470" s="3" t="str">
        <f t="shared" si="380"/>
        <v>OPORTUNO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31</v>
      </c>
      <c r="C3471" t="s">
        <v>18</v>
      </c>
      <c r="D3471">
        <v>0</v>
      </c>
      <c r="E3471">
        <v>0</v>
      </c>
      <c r="F3471">
        <v>0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 t="shared" si="380"/>
        <v>OPORTUNO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32</v>
      </c>
      <c r="C3472" t="s">
        <v>23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7</v>
      </c>
      <c r="K3472" s="3">
        <f>I3472-J3472</f>
        <v>3</v>
      </c>
      <c r="L3472" s="3" t="str">
        <f t="shared" si="380"/>
        <v>OPORTUNO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33</v>
      </c>
      <c r="C3473" t="s">
        <v>16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20</v>
      </c>
      <c r="K3473" s="3">
        <f>I3473-J3473</f>
        <v>11</v>
      </c>
      <c r="L3473" s="3" t="str">
        <f t="shared" si="380"/>
        <v>MUITO BOM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34</v>
      </c>
      <c r="C3474" t="s">
        <v>18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380"/>
        <v>OPORTUNO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35</v>
      </c>
      <c r="C3475" t="s">
        <v>16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 t="shared" si="380"/>
        <v>OPORTUNO</v>
      </c>
      <c r="N3475">
        <v>98.02</v>
      </c>
      <c r="O3475">
        <v>23.484848484848481</v>
      </c>
    </row>
    <row r="3476" spans="1:15" hidden="1" x14ac:dyDescent="0.25">
      <c r="A3476" s="10">
        <v>46164</v>
      </c>
      <c r="B3476" s="6" t="s">
        <v>48</v>
      </c>
      <c r="C3476" s="3" t="s">
        <v>16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 t="shared" si="380"/>
        <v>OPORTUNO</v>
      </c>
      <c r="M3476" s="3">
        <v>0</v>
      </c>
      <c r="N3476" s="3">
        <v>100</v>
      </c>
      <c r="O3476" s="3">
        <v>20.820189274447952</v>
      </c>
    </row>
    <row r="3477" spans="1:15" hidden="1" x14ac:dyDescent="0.25">
      <c r="A3477" s="11">
        <v>46111</v>
      </c>
      <c r="B3477" t="s">
        <v>37</v>
      </c>
      <c r="C3477" t="s">
        <v>16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20</v>
      </c>
      <c r="K3477" s="3">
        <f>I3477-J3477</f>
        <v>8</v>
      </c>
      <c r="L3477" s="3" t="str">
        <f t="shared" si="380"/>
        <v>MUITO BOM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38</v>
      </c>
      <c r="C3478" t="s">
        <v>18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25</v>
      </c>
      <c r="K3478" s="3">
        <f>I3478-J3478</f>
        <v>15</v>
      </c>
      <c r="L3478" s="3" t="str">
        <f t="shared" si="380"/>
        <v>MUITO BOM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39</v>
      </c>
      <c r="C3479" t="s">
        <v>18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25</v>
      </c>
      <c r="K3479" s="3">
        <f>I3479-J3479</f>
        <v>-17</v>
      </c>
      <c r="L3479" s="3" t="str">
        <f t="shared" si="380"/>
        <v>CRÍTICO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40</v>
      </c>
      <c r="C3480" t="s">
        <v>16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380"/>
        <v>OPORTUNO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41</v>
      </c>
      <c r="C3481" t="s">
        <v>18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 t="shared" si="380"/>
        <v>OPORTUNO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42</v>
      </c>
      <c r="C3482" t="s">
        <v>43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14</v>
      </c>
      <c r="K3482" s="3">
        <f>I3482-J3482</f>
        <v>5</v>
      </c>
      <c r="L3482" s="3" t="str">
        <f t="shared" si="380"/>
        <v>OPORTUNO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44</v>
      </c>
      <c r="C3483" t="s">
        <v>18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25</v>
      </c>
      <c r="K3483" s="3">
        <f>I3483-J3483</f>
        <v>-21</v>
      </c>
      <c r="L3483" s="3" t="str">
        <f t="shared" si="380"/>
        <v>CRÍTICO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45</v>
      </c>
      <c r="C3484" t="s">
        <v>43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14</v>
      </c>
      <c r="K3484" s="3">
        <f>I3484-J3484</f>
        <v>0</v>
      </c>
      <c r="L3484" s="3" t="str">
        <f t="shared" si="380"/>
        <v>OPORTUNO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46</v>
      </c>
      <c r="C3485" t="s">
        <v>18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25</v>
      </c>
      <c r="K3485" s="3">
        <f>I3485-J3485</f>
        <v>3</v>
      </c>
      <c r="L3485" s="3" t="str">
        <f t="shared" si="380"/>
        <v>OPORTUNO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47</v>
      </c>
      <c r="C3486" t="s">
        <v>16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20</v>
      </c>
      <c r="K3486" s="3">
        <f>I3486-J3486</f>
        <v>0</v>
      </c>
      <c r="L3486" s="3" t="str">
        <f t="shared" si="380"/>
        <v>OPORTUNO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48</v>
      </c>
      <c r="C3487" t="s">
        <v>16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380"/>
        <v>OPORTUNO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49</v>
      </c>
      <c r="C3488" t="s">
        <v>18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 t="shared" si="380"/>
        <v>OPORTUNO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50</v>
      </c>
      <c r="C3489" t="s">
        <v>20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ref="I3489:I3503" si="387">E3489+G3489+H3489</f>
        <v>27</v>
      </c>
      <c r="J3489" s="3">
        <f t="shared" ref="J3489:J3503" si="388"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16</v>
      </c>
      <c r="K3489" s="3">
        <f t="shared" ref="K3489:K3503" si="389">I3489-J3489</f>
        <v>11</v>
      </c>
      <c r="L3489" s="3" t="str">
        <f t="shared" si="380"/>
        <v>MUITO BOM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51</v>
      </c>
      <c r="C3490" t="s">
        <v>23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387"/>
        <v>10</v>
      </c>
      <c r="J3490" s="3">
        <f t="shared" si="388"/>
        <v>7</v>
      </c>
      <c r="K3490" s="3">
        <f t="shared" si="389"/>
        <v>3</v>
      </c>
      <c r="L3490" s="3" t="str">
        <f t="shared" si="380"/>
        <v>OPORTUNO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52</v>
      </c>
      <c r="C3491" t="s">
        <v>18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387"/>
        <v>31</v>
      </c>
      <c r="J3491" s="3">
        <f t="shared" si="388"/>
        <v>25</v>
      </c>
      <c r="K3491" s="3">
        <f t="shared" si="389"/>
        <v>6</v>
      </c>
      <c r="L3491" s="3" t="str">
        <f t="shared" si="380"/>
        <v>MUITO BOM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53</v>
      </c>
      <c r="C3492" t="s">
        <v>18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387"/>
        <v>29</v>
      </c>
      <c r="J3492" s="3">
        <f t="shared" si="388"/>
        <v>25</v>
      </c>
      <c r="K3492" s="3">
        <f t="shared" si="389"/>
        <v>4</v>
      </c>
      <c r="L3492" s="3" t="str">
        <f t="shared" si="380"/>
        <v>OPORTUNO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54</v>
      </c>
      <c r="C3493" t="s">
        <v>23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387"/>
        <v>17</v>
      </c>
      <c r="J3493" s="3">
        <f t="shared" si="388"/>
        <v>7</v>
      </c>
      <c r="K3493" s="3">
        <f t="shared" si="389"/>
        <v>10</v>
      </c>
      <c r="L3493" s="3" t="str">
        <f t="shared" si="380"/>
        <v>MUITO BOM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55</v>
      </c>
      <c r="C3494" t="s">
        <v>43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387"/>
        <v>23</v>
      </c>
      <c r="J3494" s="3">
        <f t="shared" si="388"/>
        <v>14</v>
      </c>
      <c r="K3494" s="3">
        <f t="shared" si="389"/>
        <v>9</v>
      </c>
      <c r="L3494" s="3" t="str">
        <f t="shared" si="380"/>
        <v>MUITO BOM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56</v>
      </c>
      <c r="C3495" t="s">
        <v>16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387"/>
        <v>33</v>
      </c>
      <c r="J3495" s="3">
        <f t="shared" si="388"/>
        <v>20</v>
      </c>
      <c r="K3495" s="3">
        <f t="shared" si="389"/>
        <v>13</v>
      </c>
      <c r="L3495" s="3" t="str">
        <f t="shared" si="380"/>
        <v>MUITO BOM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57</v>
      </c>
      <c r="C3496" t="s">
        <v>43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387"/>
        <v>14</v>
      </c>
      <c r="J3496" s="3">
        <f t="shared" si="388"/>
        <v>14</v>
      </c>
      <c r="K3496" s="3">
        <f t="shared" si="389"/>
        <v>0</v>
      </c>
      <c r="L3496" s="3" t="str">
        <f t="shared" si="380"/>
        <v>OPORTUNO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58</v>
      </c>
      <c r="C3497" t="s">
        <v>43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387"/>
        <v>22</v>
      </c>
      <c r="J3497" s="3">
        <f t="shared" si="388"/>
        <v>14</v>
      </c>
      <c r="K3497" s="3">
        <f t="shared" si="389"/>
        <v>8</v>
      </c>
      <c r="L3497" s="3" t="str">
        <f t="shared" si="380"/>
        <v>MUITO BOM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59</v>
      </c>
      <c r="C3498" t="s">
        <v>23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387"/>
        <v>4</v>
      </c>
      <c r="J3498" s="3">
        <f t="shared" si="388"/>
        <v>7</v>
      </c>
      <c r="K3498" s="3">
        <f t="shared" si="389"/>
        <v>-3</v>
      </c>
      <c r="L3498" s="3" t="str">
        <f t="shared" si="380"/>
        <v>ATENÇÃO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60</v>
      </c>
      <c r="C3499" t="s">
        <v>20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387"/>
        <v>23</v>
      </c>
      <c r="J3499" s="3">
        <f t="shared" si="388"/>
        <v>16</v>
      </c>
      <c r="K3499" s="3">
        <f t="shared" si="389"/>
        <v>7</v>
      </c>
      <c r="L3499" s="3" t="str">
        <f t="shared" si="380"/>
        <v>MUITO BOM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61</v>
      </c>
      <c r="C3500" t="s">
        <v>18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387"/>
        <v>38</v>
      </c>
      <c r="J3500" s="3">
        <f t="shared" si="388"/>
        <v>25</v>
      </c>
      <c r="K3500" s="3">
        <f t="shared" si="389"/>
        <v>13</v>
      </c>
      <c r="L3500" s="3" t="str">
        <f t="shared" si="380"/>
        <v>MUITO BOM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62</v>
      </c>
      <c r="C3501" t="s">
        <v>20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387"/>
        <v>21</v>
      </c>
      <c r="J3501" s="3">
        <f t="shared" si="388"/>
        <v>16</v>
      </c>
      <c r="K3501" s="3">
        <f t="shared" si="389"/>
        <v>5</v>
      </c>
      <c r="L3501" s="3" t="str">
        <f t="shared" si="380"/>
        <v>OPORTUNO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63</v>
      </c>
      <c r="C3502" t="s">
        <v>18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387"/>
        <v>36</v>
      </c>
      <c r="J3502" s="3">
        <f t="shared" si="388"/>
        <v>25</v>
      </c>
      <c r="K3502" s="3">
        <f t="shared" si="389"/>
        <v>11</v>
      </c>
      <c r="L3502" s="3" t="str">
        <f t="shared" si="380"/>
        <v>MUITO BOM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15</v>
      </c>
      <c r="C3503" t="s">
        <v>16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387"/>
        <v>20</v>
      </c>
      <c r="J3503" s="3">
        <f t="shared" si="388"/>
        <v>22</v>
      </c>
      <c r="K3503" s="3">
        <f t="shared" si="389"/>
        <v>-2</v>
      </c>
      <c r="L3503" s="3" t="str">
        <f t="shared" si="380"/>
        <v>ATENÇÃO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17</v>
      </c>
      <c r="C3504" t="s">
        <v>18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 t="shared" si="380"/>
        <v>OPORTUNO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19</v>
      </c>
      <c r="C3505" t="s">
        <v>20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ref="I3505:I3512" si="390">E3505+G3505+H3505</f>
        <v>22</v>
      </c>
      <c r="J3505" s="3">
        <f t="shared" ref="J3505:J3512" si="391"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18</v>
      </c>
      <c r="K3505" s="3">
        <f t="shared" ref="K3505:K3512" si="392">I3505-J3505</f>
        <v>4</v>
      </c>
      <c r="L3505" s="3" t="str">
        <f t="shared" si="380"/>
        <v>OPORTUNO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21</v>
      </c>
      <c r="C3506" t="s">
        <v>18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390"/>
        <v>27</v>
      </c>
      <c r="J3506" s="3">
        <f t="shared" si="391"/>
        <v>28</v>
      </c>
      <c r="K3506" s="3">
        <f t="shared" si="392"/>
        <v>-1</v>
      </c>
      <c r="L3506" s="3" t="str">
        <f t="shared" si="380"/>
        <v>ATENÇÃO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22</v>
      </c>
      <c r="C3507" t="s">
        <v>23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390"/>
        <v>21</v>
      </c>
      <c r="J3507" s="3">
        <f t="shared" si="391"/>
        <v>8</v>
      </c>
      <c r="K3507" s="3">
        <f t="shared" si="392"/>
        <v>13</v>
      </c>
      <c r="L3507" s="3" t="str">
        <f t="shared" si="380"/>
        <v>MUITO BOM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24</v>
      </c>
      <c r="C3508" t="s">
        <v>16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390"/>
        <v>27</v>
      </c>
      <c r="J3508" s="3">
        <f t="shared" si="391"/>
        <v>22</v>
      </c>
      <c r="K3508" s="3">
        <f t="shared" si="392"/>
        <v>5</v>
      </c>
      <c r="L3508" s="3" t="str">
        <f t="shared" si="380"/>
        <v>OPORTUNO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25</v>
      </c>
      <c r="C3509" t="s">
        <v>16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390"/>
        <v>27</v>
      </c>
      <c r="J3509" s="3">
        <f t="shared" si="391"/>
        <v>22</v>
      </c>
      <c r="K3509" s="3">
        <f t="shared" si="392"/>
        <v>5</v>
      </c>
      <c r="L3509" s="3" t="str">
        <f t="shared" si="380"/>
        <v>OPORTUNO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26</v>
      </c>
      <c r="C3510" t="s">
        <v>23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390"/>
        <v>10</v>
      </c>
      <c r="J3510" s="3">
        <f t="shared" si="391"/>
        <v>8</v>
      </c>
      <c r="K3510" s="3">
        <f t="shared" si="392"/>
        <v>2</v>
      </c>
      <c r="L3510" s="3" t="str">
        <f t="shared" si="380"/>
        <v>OPORTUNO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27</v>
      </c>
      <c r="C3511" t="s">
        <v>20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390"/>
        <v>12</v>
      </c>
      <c r="J3511" s="3">
        <f t="shared" si="391"/>
        <v>18</v>
      </c>
      <c r="K3511" s="3">
        <f t="shared" si="392"/>
        <v>-6</v>
      </c>
      <c r="L3511" s="3" t="str">
        <f t="shared" si="380"/>
        <v>CRÍTICO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28</v>
      </c>
      <c r="C3512" t="s">
        <v>18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390"/>
        <v>30</v>
      </c>
      <c r="J3512" s="3">
        <f t="shared" si="391"/>
        <v>28</v>
      </c>
      <c r="K3512" s="3">
        <f t="shared" si="392"/>
        <v>2</v>
      </c>
      <c r="L3512" s="3" t="str">
        <f t="shared" si="380"/>
        <v>OPORTUNO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29</v>
      </c>
      <c r="C3513" t="s">
        <v>16</v>
      </c>
      <c r="D3513">
        <v>0</v>
      </c>
      <c r="E3513">
        <v>0</v>
      </c>
      <c r="F3513">
        <v>0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 t="shared" si="380"/>
        <v>OPORTUNO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30</v>
      </c>
      <c r="C3514" t="s">
        <v>20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18</v>
      </c>
      <c r="K3514" s="3">
        <f>I3514-J3514</f>
        <v>0</v>
      </c>
      <c r="L3514" s="3" t="str">
        <f t="shared" si="380"/>
        <v>OPORTUNO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31</v>
      </c>
      <c r="C3515" t="s">
        <v>18</v>
      </c>
      <c r="D3515">
        <v>0</v>
      </c>
      <c r="E3515">
        <v>0</v>
      </c>
      <c r="F3515">
        <v>0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 t="shared" ref="L3515:L3578" si="393">IF(K3515&lt;-5,"CRÍTICO",IF(K3515&lt;0,"ATENÇÃO",IF(K3515&lt;=5,"OPORTUNO","MUITO BOM")))</f>
        <v>OPORTUNO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32</v>
      </c>
      <c r="C3516" t="s">
        <v>23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 t="shared" si="393"/>
        <v>ATENÇÃO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33</v>
      </c>
      <c r="C3517" t="s">
        <v>16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22</v>
      </c>
      <c r="K3517" s="3">
        <f>I3517-J3517</f>
        <v>-1</v>
      </c>
      <c r="L3517" s="3" t="str">
        <f t="shared" si="393"/>
        <v>ATENÇÃO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34</v>
      </c>
      <c r="C3518" t="s">
        <v>18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 t="shared" si="393"/>
        <v>OPORTUNO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35</v>
      </c>
      <c r="C3519" t="s">
        <v>16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22</v>
      </c>
      <c r="K3519" s="3">
        <f>I3519-J3519</f>
        <v>4</v>
      </c>
      <c r="L3519" s="3" t="str">
        <f t="shared" si="393"/>
        <v>OPORTUNO</v>
      </c>
      <c r="N3519">
        <v>98.02</v>
      </c>
      <c r="O3519">
        <v>23.484848484848481</v>
      </c>
    </row>
    <row r="3520" spans="1:15" hidden="1" x14ac:dyDescent="0.25">
      <c r="A3520" s="10">
        <v>46164</v>
      </c>
      <c r="B3520" s="6" t="s">
        <v>56</v>
      </c>
      <c r="C3520" s="3" t="s">
        <v>16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 t="shared" si="393"/>
        <v>OPORTUNO</v>
      </c>
      <c r="M3520" s="3">
        <v>12</v>
      </c>
      <c r="N3520" s="3">
        <v>100</v>
      </c>
      <c r="O3520" s="3">
        <v>16.894977168949769</v>
      </c>
    </row>
    <row r="3521" spans="1:15" hidden="1" x14ac:dyDescent="0.25">
      <c r="A3521" s="11">
        <v>46112</v>
      </c>
      <c r="B3521" t="s">
        <v>37</v>
      </c>
      <c r="C3521" t="s">
        <v>16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22</v>
      </c>
      <c r="K3521" s="3">
        <f>I3521-J3521</f>
        <v>7</v>
      </c>
      <c r="L3521" s="3" t="str">
        <f t="shared" si="393"/>
        <v>MUITO BOM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38</v>
      </c>
      <c r="C3522" t="s">
        <v>18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28</v>
      </c>
      <c r="K3522" s="3">
        <f>I3522-J3522</f>
        <v>14</v>
      </c>
      <c r="L3522" s="3" t="str">
        <f t="shared" si="393"/>
        <v>MUITO BOM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39</v>
      </c>
      <c r="C3523" t="s">
        <v>18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 t="shared" si="393"/>
        <v>OPORTUNO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40</v>
      </c>
      <c r="C3524" t="s">
        <v>16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22</v>
      </c>
      <c r="K3524" s="3">
        <f>I3524-J3524</f>
        <v>-8</v>
      </c>
      <c r="L3524" s="3" t="str">
        <f t="shared" si="393"/>
        <v>CRÍTICO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41</v>
      </c>
      <c r="C3525" t="s">
        <v>18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 t="shared" si="393"/>
        <v>OPORTUNO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42</v>
      </c>
      <c r="C3526" t="s">
        <v>43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16</v>
      </c>
      <c r="K3526" s="3">
        <f>I3526-J3526</f>
        <v>5</v>
      </c>
      <c r="L3526" s="3" t="str">
        <f t="shared" si="393"/>
        <v>OPORTUNO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44</v>
      </c>
      <c r="C3527" t="s">
        <v>18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28</v>
      </c>
      <c r="K3527" s="3">
        <f>I3527-J3527</f>
        <v>-22</v>
      </c>
      <c r="L3527" s="3" t="str">
        <f t="shared" si="393"/>
        <v>CRÍTICO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45</v>
      </c>
      <c r="C3528" t="s">
        <v>43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16</v>
      </c>
      <c r="K3528" s="3">
        <f>I3528-J3528</f>
        <v>2</v>
      </c>
      <c r="L3528" s="3" t="str">
        <f t="shared" si="393"/>
        <v>OPORTUNO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46</v>
      </c>
      <c r="C3529" t="s">
        <v>18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28</v>
      </c>
      <c r="K3529" s="3">
        <f>I3529-J3529</f>
        <v>1</v>
      </c>
      <c r="L3529" s="3" t="str">
        <f t="shared" si="393"/>
        <v>OPORTUNO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47</v>
      </c>
      <c r="C3530" t="s">
        <v>16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22</v>
      </c>
      <c r="K3530" s="3">
        <f>I3530-J3530</f>
        <v>1</v>
      </c>
      <c r="L3530" s="3" t="str">
        <f t="shared" si="393"/>
        <v>OPORTUNO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48</v>
      </c>
      <c r="C3531" t="s">
        <v>16</v>
      </c>
      <c r="D3531">
        <v>0</v>
      </c>
      <c r="E3531">
        <v>0</v>
      </c>
      <c r="F3531">
        <v>0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 t="shared" si="393"/>
        <v>OPORTUNO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49</v>
      </c>
      <c r="C3532" t="s">
        <v>18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ref="I3532:I3547" si="394">E3532+G3532+H3532</f>
        <v>36</v>
      </c>
      <c r="J3532" s="3">
        <f t="shared" ref="J3532:J3547" si="395"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28</v>
      </c>
      <c r="K3532" s="3">
        <f t="shared" ref="K3532:K3547" si="396">I3532-J3532</f>
        <v>8</v>
      </c>
      <c r="L3532" s="3" t="str">
        <f t="shared" si="393"/>
        <v>MUITO BOM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50</v>
      </c>
      <c r="C3533" t="s">
        <v>20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394"/>
        <v>28</v>
      </c>
      <c r="J3533" s="3">
        <f t="shared" si="395"/>
        <v>18</v>
      </c>
      <c r="K3533" s="3">
        <f t="shared" si="396"/>
        <v>10</v>
      </c>
      <c r="L3533" s="3" t="str">
        <f t="shared" si="393"/>
        <v>MUITO BOM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51</v>
      </c>
      <c r="C3534" t="s">
        <v>23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394"/>
        <v>8</v>
      </c>
      <c r="J3534" s="3">
        <f t="shared" si="395"/>
        <v>8</v>
      </c>
      <c r="K3534" s="3">
        <f t="shared" si="396"/>
        <v>0</v>
      </c>
      <c r="L3534" s="3" t="str">
        <f t="shared" si="393"/>
        <v>OPORTUNO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52</v>
      </c>
      <c r="C3535" t="s">
        <v>18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394"/>
        <v>30</v>
      </c>
      <c r="J3535" s="3">
        <f t="shared" si="395"/>
        <v>28</v>
      </c>
      <c r="K3535" s="3">
        <f t="shared" si="396"/>
        <v>2</v>
      </c>
      <c r="L3535" s="3" t="str">
        <f t="shared" si="393"/>
        <v>OPORTUNO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53</v>
      </c>
      <c r="C3536" t="s">
        <v>18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394"/>
        <v>37</v>
      </c>
      <c r="J3536" s="3">
        <f t="shared" si="395"/>
        <v>28</v>
      </c>
      <c r="K3536" s="3">
        <f t="shared" si="396"/>
        <v>9</v>
      </c>
      <c r="L3536" s="3" t="str">
        <f t="shared" si="393"/>
        <v>MUITO BOM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54</v>
      </c>
      <c r="C3537" t="s">
        <v>23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394"/>
        <v>19</v>
      </c>
      <c r="J3537" s="3">
        <f t="shared" si="395"/>
        <v>8</v>
      </c>
      <c r="K3537" s="3">
        <f t="shared" si="396"/>
        <v>11</v>
      </c>
      <c r="L3537" s="3" t="str">
        <f t="shared" si="393"/>
        <v>MUITO BOM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55</v>
      </c>
      <c r="C3538" t="s">
        <v>43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394"/>
        <v>17</v>
      </c>
      <c r="J3538" s="3">
        <f t="shared" si="395"/>
        <v>16</v>
      </c>
      <c r="K3538" s="3">
        <f t="shared" si="396"/>
        <v>1</v>
      </c>
      <c r="L3538" s="3" t="str">
        <f t="shared" si="393"/>
        <v>OPORTUNO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56</v>
      </c>
      <c r="C3539" t="s">
        <v>16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394"/>
        <v>30</v>
      </c>
      <c r="J3539" s="3">
        <f t="shared" si="395"/>
        <v>22</v>
      </c>
      <c r="K3539" s="3">
        <f t="shared" si="396"/>
        <v>8</v>
      </c>
      <c r="L3539" s="3" t="str">
        <f t="shared" si="393"/>
        <v>MUITO BOM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57</v>
      </c>
      <c r="C3540" t="s">
        <v>43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394"/>
        <v>19</v>
      </c>
      <c r="J3540" s="3">
        <f t="shared" si="395"/>
        <v>16</v>
      </c>
      <c r="K3540" s="3">
        <f t="shared" si="396"/>
        <v>3</v>
      </c>
      <c r="L3540" s="3" t="str">
        <f t="shared" si="393"/>
        <v>OPORTUNO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58</v>
      </c>
      <c r="C3541" t="s">
        <v>43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394"/>
        <v>25</v>
      </c>
      <c r="J3541" s="3">
        <f t="shared" si="395"/>
        <v>16</v>
      </c>
      <c r="K3541" s="3">
        <f t="shared" si="396"/>
        <v>9</v>
      </c>
      <c r="L3541" s="3" t="str">
        <f t="shared" si="393"/>
        <v>MUITO BOM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59</v>
      </c>
      <c r="C3542" t="s">
        <v>23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394"/>
        <v>6</v>
      </c>
      <c r="J3542" s="3">
        <f t="shared" si="395"/>
        <v>8</v>
      </c>
      <c r="K3542" s="3">
        <f t="shared" si="396"/>
        <v>-2</v>
      </c>
      <c r="L3542" s="3" t="str">
        <f t="shared" si="393"/>
        <v>ATENÇÃO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60</v>
      </c>
      <c r="C3543" t="s">
        <v>20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394"/>
        <v>28</v>
      </c>
      <c r="J3543" s="3">
        <f t="shared" si="395"/>
        <v>18</v>
      </c>
      <c r="K3543" s="3">
        <f t="shared" si="396"/>
        <v>10</v>
      </c>
      <c r="L3543" s="3" t="str">
        <f t="shared" si="393"/>
        <v>MUITO BOM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61</v>
      </c>
      <c r="C3544" t="s">
        <v>18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394"/>
        <v>42</v>
      </c>
      <c r="J3544" s="3">
        <f t="shared" si="395"/>
        <v>28</v>
      </c>
      <c r="K3544" s="3">
        <f t="shared" si="396"/>
        <v>14</v>
      </c>
      <c r="L3544" s="3" t="str">
        <f t="shared" si="393"/>
        <v>MUITO BOM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62</v>
      </c>
      <c r="C3545" t="s">
        <v>20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394"/>
        <v>16</v>
      </c>
      <c r="J3545" s="3">
        <f t="shared" si="395"/>
        <v>18</v>
      </c>
      <c r="K3545" s="3">
        <f t="shared" si="396"/>
        <v>-2</v>
      </c>
      <c r="L3545" s="3" t="str">
        <f t="shared" si="393"/>
        <v>ATENÇÃO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63</v>
      </c>
      <c r="C3546" t="s">
        <v>18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394"/>
        <v>33</v>
      </c>
      <c r="J3546" s="3">
        <f t="shared" si="395"/>
        <v>28</v>
      </c>
      <c r="K3546" s="3">
        <f t="shared" si="396"/>
        <v>5</v>
      </c>
      <c r="L3546" s="3" t="str">
        <f t="shared" si="393"/>
        <v>OPORTUNO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15</v>
      </c>
      <c r="C3547" t="s">
        <v>16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394"/>
        <v>15</v>
      </c>
      <c r="J3547" s="3">
        <f t="shared" si="395"/>
        <v>24</v>
      </c>
      <c r="K3547" s="3">
        <f t="shared" si="396"/>
        <v>-9</v>
      </c>
      <c r="L3547" s="3" t="str">
        <f t="shared" si="393"/>
        <v>CRÍTICO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17</v>
      </c>
      <c r="C3548" t="s">
        <v>18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 t="shared" si="393"/>
        <v>OPORTUNO</v>
      </c>
      <c r="N3548">
        <v>98.66</v>
      </c>
      <c r="O3548">
        <v>35.15625</v>
      </c>
    </row>
    <row r="3549" spans="1:15" hidden="1" x14ac:dyDescent="0.25">
      <c r="A3549" s="11">
        <v>46113</v>
      </c>
      <c r="B3549" t="s">
        <v>19</v>
      </c>
      <c r="C3549" t="s">
        <v>20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ref="I3549:I3556" si="397">E3549+G3549+H3549</f>
        <v>26</v>
      </c>
      <c r="J3549" s="3">
        <f t="shared" ref="J3549:J3556" si="398"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19</v>
      </c>
      <c r="K3549" s="3">
        <f t="shared" ref="K3549:K3556" si="399">I3549-J3549</f>
        <v>7</v>
      </c>
      <c r="L3549" s="3" t="str">
        <f t="shared" si="393"/>
        <v>MUITO BOM</v>
      </c>
      <c r="N3549">
        <v>99.32</v>
      </c>
      <c r="O3549">
        <v>30.45186640471513</v>
      </c>
    </row>
    <row r="3550" spans="1:15" hidden="1" x14ac:dyDescent="0.25">
      <c r="A3550" s="11">
        <v>46113</v>
      </c>
      <c r="B3550" t="s">
        <v>21</v>
      </c>
      <c r="C3550" t="s">
        <v>18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397"/>
        <v>21</v>
      </c>
      <c r="J3550" s="3">
        <f t="shared" si="398"/>
        <v>30</v>
      </c>
      <c r="K3550" s="3">
        <f t="shared" si="399"/>
        <v>-9</v>
      </c>
      <c r="L3550" s="3" t="str">
        <f t="shared" si="393"/>
        <v>CRÍTICO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22</v>
      </c>
      <c r="C3551" t="s">
        <v>23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397"/>
        <v>16</v>
      </c>
      <c r="J3551" s="3">
        <f t="shared" si="398"/>
        <v>8</v>
      </c>
      <c r="K3551" s="3">
        <f t="shared" si="399"/>
        <v>8</v>
      </c>
      <c r="L3551" s="3" t="str">
        <f t="shared" si="393"/>
        <v>MUITO BOM</v>
      </c>
      <c r="N3551">
        <v>96.74</v>
      </c>
      <c r="O3551">
        <v>28.43137254901961</v>
      </c>
    </row>
    <row r="3552" spans="1:15" hidden="1" x14ac:dyDescent="0.25">
      <c r="A3552" s="11">
        <v>46113</v>
      </c>
      <c r="B3552" t="s">
        <v>24</v>
      </c>
      <c r="C3552" t="s">
        <v>16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397"/>
        <v>36</v>
      </c>
      <c r="J3552" s="3">
        <f t="shared" si="398"/>
        <v>24</v>
      </c>
      <c r="K3552" s="3">
        <f t="shared" si="399"/>
        <v>12</v>
      </c>
      <c r="L3552" s="3" t="str">
        <f t="shared" si="393"/>
        <v>MUITO BOM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25</v>
      </c>
      <c r="C3553" t="s">
        <v>16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397"/>
        <v>20</v>
      </c>
      <c r="J3553" s="3">
        <f t="shared" si="398"/>
        <v>24</v>
      </c>
      <c r="K3553" s="3">
        <f t="shared" si="399"/>
        <v>-4</v>
      </c>
      <c r="L3553" s="3" t="str">
        <f t="shared" si="393"/>
        <v>ATENÇÃO</v>
      </c>
      <c r="N3553">
        <v>98.2</v>
      </c>
      <c r="O3553">
        <v>26.890756302521009</v>
      </c>
    </row>
    <row r="3554" spans="1:15" hidden="1" x14ac:dyDescent="0.25">
      <c r="A3554" s="11">
        <v>46113</v>
      </c>
      <c r="B3554" t="s">
        <v>26</v>
      </c>
      <c r="C3554" t="s">
        <v>23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397"/>
        <v>9</v>
      </c>
      <c r="J3554" s="3">
        <f t="shared" si="398"/>
        <v>8</v>
      </c>
      <c r="K3554" s="3">
        <f t="shared" si="399"/>
        <v>1</v>
      </c>
      <c r="L3554" s="3" t="str">
        <f t="shared" si="393"/>
        <v>OPORTUNO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27</v>
      </c>
      <c r="C3555" t="s">
        <v>20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397"/>
        <v>26</v>
      </c>
      <c r="J3555" s="3">
        <f t="shared" si="398"/>
        <v>19</v>
      </c>
      <c r="K3555" s="3">
        <f t="shared" si="399"/>
        <v>7</v>
      </c>
      <c r="L3555" s="3" t="str">
        <f t="shared" si="393"/>
        <v>MUITO BOM</v>
      </c>
      <c r="N3555">
        <v>96.3</v>
      </c>
      <c r="O3555">
        <v>31.980906921241051</v>
      </c>
    </row>
    <row r="3556" spans="1:15" hidden="1" x14ac:dyDescent="0.25">
      <c r="A3556" s="11">
        <v>46113</v>
      </c>
      <c r="B3556" t="s">
        <v>28</v>
      </c>
      <c r="C3556" t="s">
        <v>18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397"/>
        <v>28</v>
      </c>
      <c r="J3556" s="3">
        <f t="shared" si="398"/>
        <v>30</v>
      </c>
      <c r="K3556" s="3">
        <f t="shared" si="399"/>
        <v>-2</v>
      </c>
      <c r="L3556" s="3" t="str">
        <f t="shared" si="393"/>
        <v>ATENÇÃO</v>
      </c>
      <c r="N3556">
        <v>93.75</v>
      </c>
      <c r="O3556">
        <v>26.628352490421459</v>
      </c>
    </row>
    <row r="3557" spans="1:15" hidden="1" x14ac:dyDescent="0.25">
      <c r="A3557" s="11">
        <v>46113</v>
      </c>
      <c r="B3557" t="s">
        <v>29</v>
      </c>
      <c r="C3557" t="s">
        <v>16</v>
      </c>
      <c r="D3557">
        <v>0</v>
      </c>
      <c r="E3557">
        <v>0</v>
      </c>
      <c r="F3557">
        <v>0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 t="shared" si="393"/>
        <v>OPORTUNO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30</v>
      </c>
      <c r="C3558" t="s">
        <v>20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19</v>
      </c>
      <c r="K3558" s="3">
        <f>I3558-J3558</f>
        <v>6</v>
      </c>
      <c r="L3558" s="3" t="str">
        <f t="shared" si="393"/>
        <v>MUITO BOM</v>
      </c>
      <c r="N3558">
        <v>100</v>
      </c>
      <c r="O3558">
        <v>36.231884057971023</v>
      </c>
    </row>
    <row r="3559" spans="1:15" hidden="1" x14ac:dyDescent="0.25">
      <c r="A3559" s="11">
        <v>46113</v>
      </c>
      <c r="B3559" t="s">
        <v>31</v>
      </c>
      <c r="C3559" t="s">
        <v>18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393"/>
        <v>OPORTUNO</v>
      </c>
      <c r="N3559">
        <v>100</v>
      </c>
      <c r="O3559">
        <v>38.269230769230766</v>
      </c>
    </row>
    <row r="3560" spans="1:15" hidden="1" x14ac:dyDescent="0.25">
      <c r="A3560" s="11">
        <v>46113</v>
      </c>
      <c r="B3560" t="s">
        <v>32</v>
      </c>
      <c r="C3560" t="s">
        <v>23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 t="shared" si="393"/>
        <v>OPORTUNO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33</v>
      </c>
      <c r="C3561" t="s">
        <v>16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24</v>
      </c>
      <c r="K3561" s="3">
        <f>I3561-J3561</f>
        <v>-3</v>
      </c>
      <c r="L3561" s="3" t="str">
        <f t="shared" si="393"/>
        <v>ATENÇÃO</v>
      </c>
      <c r="N3561">
        <v>97.83</v>
      </c>
      <c r="O3561">
        <v>28.131868131868131</v>
      </c>
    </row>
    <row r="3562" spans="1:15" hidden="1" x14ac:dyDescent="0.25">
      <c r="A3562" s="11">
        <v>46113</v>
      </c>
      <c r="B3562" t="s">
        <v>34</v>
      </c>
      <c r="C3562" t="s">
        <v>18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30</v>
      </c>
      <c r="K3562" s="3">
        <f>I3562-J3562</f>
        <v>-5</v>
      </c>
      <c r="L3562" s="3" t="str">
        <f t="shared" si="393"/>
        <v>ATENÇÃO</v>
      </c>
      <c r="N3562">
        <v>99.26</v>
      </c>
      <c r="O3562">
        <v>29.57198443579767</v>
      </c>
    </row>
    <row r="3563" spans="1:15" hidden="1" x14ac:dyDescent="0.25">
      <c r="A3563" s="11">
        <v>46113</v>
      </c>
      <c r="B3563" t="s">
        <v>35</v>
      </c>
      <c r="C3563" t="s">
        <v>16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24</v>
      </c>
      <c r="K3563" s="3">
        <f>I3563-J3563</f>
        <v>11</v>
      </c>
      <c r="L3563" s="3" t="str">
        <f t="shared" si="393"/>
        <v>MUITO BOM</v>
      </c>
      <c r="N3563">
        <v>99.19</v>
      </c>
      <c r="O3563">
        <v>29.462365591397852</v>
      </c>
    </row>
    <row r="3564" spans="1:15" hidden="1" x14ac:dyDescent="0.25">
      <c r="A3564" s="11">
        <v>46167</v>
      </c>
      <c r="B3564" t="s">
        <v>15</v>
      </c>
      <c r="C3564" t="s">
        <v>16</v>
      </c>
      <c r="D3564">
        <v>34</v>
      </c>
      <c r="E3564">
        <v>30</v>
      </c>
      <c r="F3564">
        <v>10.14</v>
      </c>
      <c r="G3564">
        <v>0</v>
      </c>
      <c r="H3564">
        <v>0</v>
      </c>
      <c r="I3564" s="3">
        <v>0</v>
      </c>
      <c r="J3564" s="3">
        <v>0</v>
      </c>
      <c r="K3564" s="3">
        <v>0</v>
      </c>
      <c r="L3564" s="3" t="str">
        <f t="shared" si="393"/>
        <v>OPORTUNO</v>
      </c>
    </row>
    <row r="3565" spans="1:15" hidden="1" x14ac:dyDescent="0.25">
      <c r="A3565" s="11">
        <v>46113</v>
      </c>
      <c r="B3565" t="s">
        <v>37</v>
      </c>
      <c r="C3565" t="s">
        <v>16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24</v>
      </c>
      <c r="K3565" s="3">
        <f>I3565-J3565</f>
        <v>11</v>
      </c>
      <c r="L3565" s="3" t="str">
        <f t="shared" si="393"/>
        <v>MUITO BOM</v>
      </c>
      <c r="N3565">
        <v>100</v>
      </c>
      <c r="O3565">
        <v>27.941176470588239</v>
      </c>
    </row>
    <row r="3566" spans="1:15" hidden="1" x14ac:dyDescent="0.25">
      <c r="A3566" s="11">
        <v>46113</v>
      </c>
      <c r="B3566" t="s">
        <v>38</v>
      </c>
      <c r="C3566" t="s">
        <v>18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30</v>
      </c>
      <c r="K3566" s="3">
        <f>I3566-J3566</f>
        <v>11</v>
      </c>
      <c r="L3566" s="3" t="str">
        <f t="shared" si="393"/>
        <v>MUITO BOM</v>
      </c>
      <c r="N3566">
        <v>99.57</v>
      </c>
      <c r="O3566">
        <v>29.913294797687861</v>
      </c>
    </row>
    <row r="3567" spans="1:15" hidden="1" x14ac:dyDescent="0.25">
      <c r="A3567" s="11">
        <v>46113</v>
      </c>
      <c r="B3567" t="s">
        <v>39</v>
      </c>
      <c r="C3567" t="s">
        <v>18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30</v>
      </c>
      <c r="K3567" s="3">
        <f>I3567-J3567</f>
        <v>-28</v>
      </c>
      <c r="L3567" s="3" t="str">
        <f t="shared" si="393"/>
        <v>CRÍTICO</v>
      </c>
      <c r="N3567">
        <v>95.65</v>
      </c>
      <c r="O3567">
        <v>31.081081081081081</v>
      </c>
    </row>
    <row r="3568" spans="1:15" hidden="1" x14ac:dyDescent="0.25">
      <c r="A3568" s="11">
        <v>46113</v>
      </c>
      <c r="B3568" t="s">
        <v>40</v>
      </c>
      <c r="C3568" t="s">
        <v>16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24</v>
      </c>
      <c r="K3568" s="3">
        <f>I3568-J3568</f>
        <v>1</v>
      </c>
      <c r="L3568" s="3" t="str">
        <f t="shared" si="393"/>
        <v>OPORTUNO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41</v>
      </c>
      <c r="C3569" t="s">
        <v>18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 t="shared" si="393"/>
        <v>OPORTUNO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42</v>
      </c>
      <c r="C3570" t="s">
        <v>43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17</v>
      </c>
      <c r="K3570" s="3">
        <f>I3570-J3570</f>
        <v>1</v>
      </c>
      <c r="L3570" s="3" t="str">
        <f t="shared" si="393"/>
        <v>OPORTUNO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44</v>
      </c>
      <c r="C3571" t="s">
        <v>18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30</v>
      </c>
      <c r="K3571" s="3">
        <f>I3571-J3571</f>
        <v>-11</v>
      </c>
      <c r="L3571" s="3" t="str">
        <f t="shared" si="393"/>
        <v>CRÍTICO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45</v>
      </c>
      <c r="C3572" t="s">
        <v>43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17</v>
      </c>
      <c r="K3572" s="3">
        <f>I3572-J3572</f>
        <v>-3</v>
      </c>
      <c r="L3572" s="3" t="str">
        <f t="shared" si="393"/>
        <v>ATENÇÃO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46</v>
      </c>
      <c r="C3573" t="s">
        <v>18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30</v>
      </c>
      <c r="K3573" s="3">
        <f>I3573-J3573</f>
        <v>-6</v>
      </c>
      <c r="L3573" s="3" t="str">
        <f t="shared" si="393"/>
        <v>CRÍTICO</v>
      </c>
      <c r="N3573">
        <v>99.15</v>
      </c>
      <c r="O3573">
        <v>27.370689655172409</v>
      </c>
    </row>
    <row r="3574" spans="1:15" hidden="1" x14ac:dyDescent="0.25">
      <c r="A3574" s="11">
        <v>46113</v>
      </c>
      <c r="B3574" t="s">
        <v>47</v>
      </c>
      <c r="C3574" t="s">
        <v>16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24</v>
      </c>
      <c r="K3574" s="3">
        <f>I3574-J3574</f>
        <v>0</v>
      </c>
      <c r="L3574" s="3" t="str">
        <f t="shared" si="393"/>
        <v>OPORTUNO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48</v>
      </c>
      <c r="C3575" t="s">
        <v>16</v>
      </c>
      <c r="D3575">
        <v>0</v>
      </c>
      <c r="E3575">
        <v>0</v>
      </c>
      <c r="F3575">
        <v>0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 t="shared" si="393"/>
        <v>OPORTUNO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49</v>
      </c>
      <c r="C3576" t="s">
        <v>18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30</v>
      </c>
      <c r="K3576" s="3">
        <f>I3576-J3576</f>
        <v>18</v>
      </c>
      <c r="L3576" s="3" t="str">
        <f t="shared" si="393"/>
        <v>MUITO BOM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50</v>
      </c>
      <c r="C3577" t="s">
        <v>20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19</v>
      </c>
      <c r="K3577" s="3">
        <f>I3577-J3577</f>
        <v>5</v>
      </c>
      <c r="L3577" s="3" t="str">
        <f t="shared" si="393"/>
        <v>OPORTUNO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51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 t="shared" si="393"/>
        <v>OPORTUNO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52</v>
      </c>
      <c r="C3579" t="s">
        <v>18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ref="I3579:I3591" si="400">E3579+G3579+H3579</f>
        <v>48</v>
      </c>
      <c r="J3579" s="3">
        <f t="shared" ref="J3579:J3591" si="401"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30</v>
      </c>
      <c r="K3579" s="3">
        <f t="shared" ref="K3579:K3591" si="402">I3579-J3579</f>
        <v>18</v>
      </c>
      <c r="L3579" s="3" t="str">
        <f t="shared" ref="L3579:L3642" si="403">IF(K3579&lt;-5,"CRÍTICO",IF(K3579&lt;0,"ATENÇÃO",IF(K3579&lt;=5,"OPORTUNO","MUITO BOM")))</f>
        <v>MUITO BOM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53</v>
      </c>
      <c r="C3580" t="s">
        <v>18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400"/>
        <v>31</v>
      </c>
      <c r="J3580" s="3">
        <f t="shared" si="401"/>
        <v>30</v>
      </c>
      <c r="K3580" s="3">
        <f t="shared" si="402"/>
        <v>1</v>
      </c>
      <c r="L3580" s="3" t="str">
        <f t="shared" si="403"/>
        <v>OPORTUNO</v>
      </c>
      <c r="N3580">
        <v>95.49</v>
      </c>
      <c r="O3580">
        <v>28.16901408450704</v>
      </c>
    </row>
    <row r="3581" spans="1:15" hidden="1" x14ac:dyDescent="0.25">
      <c r="A3581" s="11">
        <v>46113</v>
      </c>
      <c r="B3581" t="s">
        <v>54</v>
      </c>
      <c r="C3581" t="s">
        <v>23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400"/>
        <v>16</v>
      </c>
      <c r="J3581" s="3">
        <f t="shared" si="401"/>
        <v>8</v>
      </c>
      <c r="K3581" s="3">
        <f t="shared" si="402"/>
        <v>8</v>
      </c>
      <c r="L3581" s="3" t="str">
        <f t="shared" si="403"/>
        <v>MUITO BOM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55</v>
      </c>
      <c r="C3582" t="s">
        <v>43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400"/>
        <v>23</v>
      </c>
      <c r="J3582" s="3">
        <f t="shared" si="401"/>
        <v>17</v>
      </c>
      <c r="K3582" s="3">
        <f t="shared" si="402"/>
        <v>6</v>
      </c>
      <c r="L3582" s="3" t="str">
        <f t="shared" si="403"/>
        <v>MUITO BOM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56</v>
      </c>
      <c r="C3583" t="s">
        <v>16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400"/>
        <v>21</v>
      </c>
      <c r="J3583" s="3">
        <f t="shared" si="401"/>
        <v>24</v>
      </c>
      <c r="K3583" s="3">
        <f t="shared" si="402"/>
        <v>-3</v>
      </c>
      <c r="L3583" s="3" t="str">
        <f t="shared" si="403"/>
        <v>ATENÇÃO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57</v>
      </c>
      <c r="C3584" t="s">
        <v>43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400"/>
        <v>21</v>
      </c>
      <c r="J3584" s="3">
        <f t="shared" si="401"/>
        <v>17</v>
      </c>
      <c r="K3584" s="3">
        <f t="shared" si="402"/>
        <v>4</v>
      </c>
      <c r="L3584" s="3" t="str">
        <f t="shared" si="403"/>
        <v>OPORTUNO</v>
      </c>
      <c r="N3584">
        <v>98.84</v>
      </c>
      <c r="O3584">
        <v>31.5018315018315</v>
      </c>
    </row>
    <row r="3585" spans="1:15" hidden="1" x14ac:dyDescent="0.25">
      <c r="A3585" s="11">
        <v>46113</v>
      </c>
      <c r="B3585" t="s">
        <v>58</v>
      </c>
      <c r="C3585" t="s">
        <v>43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400"/>
        <v>19</v>
      </c>
      <c r="J3585" s="3">
        <f t="shared" si="401"/>
        <v>17</v>
      </c>
      <c r="K3585" s="3">
        <f t="shared" si="402"/>
        <v>2</v>
      </c>
      <c r="L3585" s="3" t="str">
        <f t="shared" si="403"/>
        <v>OPORTUNO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59</v>
      </c>
      <c r="C3586" t="s">
        <v>23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400"/>
        <v>10</v>
      </c>
      <c r="J3586" s="3">
        <f t="shared" si="401"/>
        <v>8</v>
      </c>
      <c r="K3586" s="3">
        <f t="shared" si="402"/>
        <v>2</v>
      </c>
      <c r="L3586" s="3" t="str">
        <f t="shared" si="403"/>
        <v>OPORTUNO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60</v>
      </c>
      <c r="C3587" t="s">
        <v>20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400"/>
        <v>32</v>
      </c>
      <c r="J3587" s="3">
        <f t="shared" si="401"/>
        <v>19</v>
      </c>
      <c r="K3587" s="3">
        <f t="shared" si="402"/>
        <v>13</v>
      </c>
      <c r="L3587" s="3" t="str">
        <f t="shared" si="403"/>
        <v>MUITO BOM</v>
      </c>
      <c r="N3587">
        <v>98.32</v>
      </c>
      <c r="O3587">
        <v>26.618705035971221</v>
      </c>
    </row>
    <row r="3588" spans="1:15" hidden="1" x14ac:dyDescent="0.25">
      <c r="A3588" s="11">
        <v>46113</v>
      </c>
      <c r="B3588" t="s">
        <v>61</v>
      </c>
      <c r="C3588" t="s">
        <v>18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400"/>
        <v>42</v>
      </c>
      <c r="J3588" s="3">
        <f t="shared" si="401"/>
        <v>30</v>
      </c>
      <c r="K3588" s="3">
        <f t="shared" si="402"/>
        <v>12</v>
      </c>
      <c r="L3588" s="3" t="str">
        <f t="shared" si="403"/>
        <v>MUITO BOM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62</v>
      </c>
      <c r="C3589" t="s">
        <v>20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400"/>
        <v>24</v>
      </c>
      <c r="J3589" s="3">
        <f t="shared" si="401"/>
        <v>19</v>
      </c>
      <c r="K3589" s="3">
        <f t="shared" si="402"/>
        <v>5</v>
      </c>
      <c r="L3589" s="3" t="str">
        <f t="shared" si="403"/>
        <v>OPORTUNO</v>
      </c>
      <c r="N3589">
        <v>100</v>
      </c>
      <c r="O3589">
        <v>26.027397260273968</v>
      </c>
    </row>
    <row r="3590" spans="1:15" hidden="1" x14ac:dyDescent="0.25">
      <c r="A3590" s="11">
        <v>46113</v>
      </c>
      <c r="B3590" t="s">
        <v>63</v>
      </c>
      <c r="C3590" t="s">
        <v>18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400"/>
        <v>31</v>
      </c>
      <c r="J3590" s="3">
        <f t="shared" si="401"/>
        <v>30</v>
      </c>
      <c r="K3590" s="3">
        <f t="shared" si="402"/>
        <v>1</v>
      </c>
      <c r="L3590" s="3" t="str">
        <f t="shared" si="403"/>
        <v>OPORTUNO</v>
      </c>
      <c r="N3590">
        <v>99.21</v>
      </c>
      <c r="O3590">
        <v>24.937027707808561</v>
      </c>
    </row>
    <row r="3591" spans="1:15" hidden="1" x14ac:dyDescent="0.25">
      <c r="A3591" s="11">
        <v>46114</v>
      </c>
      <c r="B3591" t="s">
        <v>15</v>
      </c>
      <c r="C3591" t="s">
        <v>16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400"/>
        <v>8</v>
      </c>
      <c r="J3591" s="3">
        <f t="shared" si="401"/>
        <v>25</v>
      </c>
      <c r="K3591" s="3">
        <f t="shared" si="402"/>
        <v>-17</v>
      </c>
      <c r="L3591" s="3" t="str">
        <f t="shared" si="403"/>
        <v>CRÍTICO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17</v>
      </c>
      <c r="C3592" t="s">
        <v>18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 t="shared" si="403"/>
        <v>OPORTUNO</v>
      </c>
      <c r="N3592">
        <v>98.66</v>
      </c>
      <c r="O3592">
        <v>35.15625</v>
      </c>
    </row>
    <row r="3593" spans="1:15" hidden="1" x14ac:dyDescent="0.25">
      <c r="A3593" s="11">
        <v>46114</v>
      </c>
      <c r="B3593" t="s">
        <v>19</v>
      </c>
      <c r="C3593" t="s">
        <v>20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ref="I3593:I3600" si="404">E3593+G3593+H3593</f>
        <v>35</v>
      </c>
      <c r="J3593" s="3">
        <f t="shared" ref="J3593:J3600" si="405"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21</v>
      </c>
      <c r="K3593" s="3">
        <f t="shared" ref="K3593:K3600" si="406">I3593-J3593</f>
        <v>14</v>
      </c>
      <c r="L3593" s="3" t="str">
        <f t="shared" si="403"/>
        <v>MUITO BOM</v>
      </c>
      <c r="N3593">
        <v>99.32</v>
      </c>
      <c r="O3593">
        <v>30.45186640471513</v>
      </c>
    </row>
    <row r="3594" spans="1:15" hidden="1" x14ac:dyDescent="0.25">
      <c r="A3594" s="11">
        <v>46114</v>
      </c>
      <c r="B3594" t="s">
        <v>21</v>
      </c>
      <c r="C3594" t="s">
        <v>18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404"/>
        <v>28</v>
      </c>
      <c r="J3594" s="3">
        <f t="shared" si="405"/>
        <v>32</v>
      </c>
      <c r="K3594" s="3">
        <f t="shared" si="406"/>
        <v>-4</v>
      </c>
      <c r="L3594" s="3" t="str">
        <f t="shared" si="403"/>
        <v>ATENÇÃO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22</v>
      </c>
      <c r="C3595" t="s">
        <v>23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404"/>
        <v>13</v>
      </c>
      <c r="J3595" s="3">
        <f t="shared" si="405"/>
        <v>9</v>
      </c>
      <c r="K3595" s="3">
        <f t="shared" si="406"/>
        <v>4</v>
      </c>
      <c r="L3595" s="3" t="str">
        <f t="shared" si="403"/>
        <v>OPORTUNO</v>
      </c>
      <c r="N3595">
        <v>96.74</v>
      </c>
      <c r="O3595">
        <v>28.43137254901961</v>
      </c>
    </row>
    <row r="3596" spans="1:15" hidden="1" x14ac:dyDescent="0.25">
      <c r="A3596" s="11">
        <v>46114</v>
      </c>
      <c r="B3596" t="s">
        <v>24</v>
      </c>
      <c r="C3596" t="s">
        <v>16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404"/>
        <v>31</v>
      </c>
      <c r="J3596" s="3">
        <f t="shared" si="405"/>
        <v>25</v>
      </c>
      <c r="K3596" s="3">
        <f t="shared" si="406"/>
        <v>6</v>
      </c>
      <c r="L3596" s="3" t="str">
        <f t="shared" si="403"/>
        <v>MUITO BOM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25</v>
      </c>
      <c r="C3597" t="s">
        <v>16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404"/>
        <v>28</v>
      </c>
      <c r="J3597" s="3">
        <f t="shared" si="405"/>
        <v>25</v>
      </c>
      <c r="K3597" s="3">
        <f t="shared" si="406"/>
        <v>3</v>
      </c>
      <c r="L3597" s="3" t="str">
        <f t="shared" si="403"/>
        <v>OPORTUNO</v>
      </c>
      <c r="N3597">
        <v>98.2</v>
      </c>
      <c r="O3597">
        <v>26.890756302521009</v>
      </c>
    </row>
    <row r="3598" spans="1:15" hidden="1" x14ac:dyDescent="0.25">
      <c r="A3598" s="11">
        <v>46114</v>
      </c>
      <c r="B3598" t="s">
        <v>26</v>
      </c>
      <c r="C3598" t="s">
        <v>23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404"/>
        <v>10</v>
      </c>
      <c r="J3598" s="3">
        <f t="shared" si="405"/>
        <v>9</v>
      </c>
      <c r="K3598" s="3">
        <f t="shared" si="406"/>
        <v>1</v>
      </c>
      <c r="L3598" s="3" t="str">
        <f t="shared" si="403"/>
        <v>OPORTUNO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27</v>
      </c>
      <c r="C3599" t="s">
        <v>20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404"/>
        <v>21</v>
      </c>
      <c r="J3599" s="3">
        <f t="shared" si="405"/>
        <v>21</v>
      </c>
      <c r="K3599" s="3">
        <f t="shared" si="406"/>
        <v>0</v>
      </c>
      <c r="L3599" s="3" t="str">
        <f t="shared" si="403"/>
        <v>OPORTUNO</v>
      </c>
      <c r="N3599">
        <v>96.3</v>
      </c>
      <c r="O3599">
        <v>31.980906921241051</v>
      </c>
    </row>
    <row r="3600" spans="1:15" hidden="1" x14ac:dyDescent="0.25">
      <c r="A3600" s="11">
        <v>46114</v>
      </c>
      <c r="B3600" t="s">
        <v>28</v>
      </c>
      <c r="C3600" t="s">
        <v>18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404"/>
        <v>42</v>
      </c>
      <c r="J3600" s="3">
        <f t="shared" si="405"/>
        <v>32</v>
      </c>
      <c r="K3600" s="3">
        <f t="shared" si="406"/>
        <v>10</v>
      </c>
      <c r="L3600" s="3" t="str">
        <f t="shared" si="403"/>
        <v>MUITO BOM</v>
      </c>
      <c r="N3600">
        <v>93.75</v>
      </c>
      <c r="O3600">
        <v>26.628352490421459</v>
      </c>
    </row>
    <row r="3601" spans="1:15" hidden="1" x14ac:dyDescent="0.25">
      <c r="A3601" s="11">
        <v>46114</v>
      </c>
      <c r="B3601" t="s">
        <v>29</v>
      </c>
      <c r="C3601" t="s">
        <v>16</v>
      </c>
      <c r="D3601">
        <v>0</v>
      </c>
      <c r="E3601">
        <v>0</v>
      </c>
      <c r="F3601">
        <v>0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 t="shared" si="403"/>
        <v>OPORTUNO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30</v>
      </c>
      <c r="C3602" t="s">
        <v>20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21</v>
      </c>
      <c r="K3602" s="3">
        <f>I3602-J3602</f>
        <v>-3</v>
      </c>
      <c r="L3602" s="3" t="str">
        <f t="shared" si="403"/>
        <v>ATENÇÃO</v>
      </c>
      <c r="N3602">
        <v>100</v>
      </c>
      <c r="O3602">
        <v>36.231884057971023</v>
      </c>
    </row>
    <row r="3603" spans="1:15" hidden="1" x14ac:dyDescent="0.25">
      <c r="A3603" s="11">
        <v>46114</v>
      </c>
      <c r="B3603" t="s">
        <v>31</v>
      </c>
      <c r="C3603" t="s">
        <v>18</v>
      </c>
      <c r="D3603">
        <v>0</v>
      </c>
      <c r="E3603">
        <v>0</v>
      </c>
      <c r="F3603">
        <v>0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 t="shared" si="403"/>
        <v>OPORTUNO</v>
      </c>
      <c r="N3603">
        <v>100</v>
      </c>
      <c r="O3603">
        <v>38.269230769230766</v>
      </c>
    </row>
    <row r="3604" spans="1:15" hidden="1" x14ac:dyDescent="0.25">
      <c r="A3604" s="11">
        <v>46114</v>
      </c>
      <c r="B3604" t="s">
        <v>32</v>
      </c>
      <c r="C3604" t="s">
        <v>23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9</v>
      </c>
      <c r="K3604" s="3">
        <f>I3604-J3604</f>
        <v>-3</v>
      </c>
      <c r="L3604" s="3" t="str">
        <f t="shared" si="403"/>
        <v>ATENÇÃO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33</v>
      </c>
      <c r="C3605" t="s">
        <v>16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25</v>
      </c>
      <c r="K3605" s="3">
        <f>I3605-J3605</f>
        <v>6</v>
      </c>
      <c r="L3605" s="3" t="str">
        <f t="shared" si="403"/>
        <v>MUITO BOM</v>
      </c>
      <c r="N3605">
        <v>97.83</v>
      </c>
      <c r="O3605">
        <v>28.131868131868131</v>
      </c>
    </row>
    <row r="3606" spans="1:15" hidden="1" x14ac:dyDescent="0.25">
      <c r="A3606" s="11">
        <v>46114</v>
      </c>
      <c r="B3606" t="s">
        <v>34</v>
      </c>
      <c r="C3606" t="s">
        <v>18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32</v>
      </c>
      <c r="K3606" s="3">
        <f>I3606-J3606</f>
        <v>-6</v>
      </c>
      <c r="L3606" s="3" t="str">
        <f t="shared" si="403"/>
        <v>CRÍTICO</v>
      </c>
      <c r="N3606">
        <v>99.26</v>
      </c>
      <c r="O3606">
        <v>29.57198443579767</v>
      </c>
    </row>
    <row r="3607" spans="1:15" hidden="1" x14ac:dyDescent="0.25">
      <c r="A3607" s="11">
        <v>46114</v>
      </c>
      <c r="B3607" t="s">
        <v>35</v>
      </c>
      <c r="C3607" t="s">
        <v>16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25</v>
      </c>
      <c r="K3607" s="3">
        <f>I3607-J3607</f>
        <v>8</v>
      </c>
      <c r="L3607" s="3" t="str">
        <f t="shared" si="403"/>
        <v>MUITO BOM</v>
      </c>
      <c r="N3607">
        <v>99.19</v>
      </c>
      <c r="O3607">
        <v>29.462365591397852</v>
      </c>
    </row>
    <row r="3608" spans="1:15" hidden="1" x14ac:dyDescent="0.25">
      <c r="A3608" s="11">
        <v>46167</v>
      </c>
      <c r="B3608" t="s">
        <v>24</v>
      </c>
      <c r="C3608" t="s">
        <v>16</v>
      </c>
      <c r="D3608">
        <v>35</v>
      </c>
      <c r="E3608">
        <v>31</v>
      </c>
      <c r="F3608">
        <v>10.11</v>
      </c>
      <c r="G3608">
        <v>0</v>
      </c>
      <c r="H3608">
        <v>0</v>
      </c>
      <c r="I3608" s="3">
        <v>0</v>
      </c>
      <c r="J3608" s="3">
        <v>0</v>
      </c>
      <c r="K3608" s="3">
        <v>0</v>
      </c>
      <c r="L3608" s="3" t="str">
        <f t="shared" si="403"/>
        <v>OPORTUNO</v>
      </c>
    </row>
    <row r="3609" spans="1:15" hidden="1" x14ac:dyDescent="0.25">
      <c r="A3609" s="11">
        <v>46114</v>
      </c>
      <c r="B3609" t="s">
        <v>37</v>
      </c>
      <c r="C3609" t="s">
        <v>16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25</v>
      </c>
      <c r="K3609" s="3">
        <f>I3609-J3609</f>
        <v>9</v>
      </c>
      <c r="L3609" s="3" t="str">
        <f t="shared" si="403"/>
        <v>MUITO BOM</v>
      </c>
      <c r="N3609">
        <v>100</v>
      </c>
      <c r="O3609">
        <v>27.941176470588239</v>
      </c>
    </row>
    <row r="3610" spans="1:15" hidden="1" x14ac:dyDescent="0.25">
      <c r="A3610" s="11">
        <v>46114</v>
      </c>
      <c r="B3610" t="s">
        <v>38</v>
      </c>
      <c r="C3610" t="s">
        <v>18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32</v>
      </c>
      <c r="K3610" s="3">
        <f>I3610-J3610</f>
        <v>18</v>
      </c>
      <c r="L3610" s="3" t="str">
        <f t="shared" si="403"/>
        <v>MUITO BOM</v>
      </c>
      <c r="N3610">
        <v>99.57</v>
      </c>
      <c r="O3610">
        <v>29.913294797687861</v>
      </c>
    </row>
    <row r="3611" spans="1:15" hidden="1" x14ac:dyDescent="0.25">
      <c r="A3611" s="11">
        <v>46114</v>
      </c>
      <c r="B3611" t="s">
        <v>39</v>
      </c>
      <c r="C3611" t="s">
        <v>18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32</v>
      </c>
      <c r="K3611" s="3">
        <f>I3611-J3611</f>
        <v>-20</v>
      </c>
      <c r="L3611" s="3" t="str">
        <f t="shared" si="403"/>
        <v>CRÍTICO</v>
      </c>
      <c r="N3611">
        <v>95.65</v>
      </c>
      <c r="O3611">
        <v>31.081081081081081</v>
      </c>
    </row>
    <row r="3612" spans="1:15" hidden="1" x14ac:dyDescent="0.25">
      <c r="A3612" s="11">
        <v>46114</v>
      </c>
      <c r="B3612" t="s">
        <v>40</v>
      </c>
      <c r="C3612" t="s">
        <v>16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25</v>
      </c>
      <c r="K3612" s="3">
        <f>I3612-J3612</f>
        <v>-7</v>
      </c>
      <c r="L3612" s="3" t="str">
        <f t="shared" si="403"/>
        <v>CRÍTICO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41</v>
      </c>
      <c r="C3613" t="s">
        <v>18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 t="shared" si="403"/>
        <v>OPORTUNO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42</v>
      </c>
      <c r="C3614" t="s">
        <v>43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18</v>
      </c>
      <c r="K3614" s="3">
        <f>I3614-J3614</f>
        <v>4</v>
      </c>
      <c r="L3614" s="3" t="str">
        <f t="shared" si="403"/>
        <v>OPORTUNO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44</v>
      </c>
      <c r="C3615" t="s">
        <v>18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32</v>
      </c>
      <c r="K3615" s="3">
        <f>I3615-J3615</f>
        <v>-26</v>
      </c>
      <c r="L3615" s="3" t="str">
        <f t="shared" si="403"/>
        <v>CRÍTICO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45</v>
      </c>
      <c r="C3616" t="s">
        <v>43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18</v>
      </c>
      <c r="K3616" s="3">
        <f>I3616-J3616</f>
        <v>3</v>
      </c>
      <c r="L3616" s="3" t="str">
        <f t="shared" si="403"/>
        <v>OPORTUNO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46</v>
      </c>
      <c r="C3617" t="s">
        <v>18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32</v>
      </c>
      <c r="K3617" s="3">
        <f>I3617-J3617</f>
        <v>6</v>
      </c>
      <c r="L3617" s="3" t="str">
        <f t="shared" si="403"/>
        <v>MUITO BOM</v>
      </c>
      <c r="N3617">
        <v>99.15</v>
      </c>
      <c r="O3617">
        <v>27.370689655172409</v>
      </c>
    </row>
    <row r="3618" spans="1:15" hidden="1" x14ac:dyDescent="0.25">
      <c r="A3618" s="11">
        <v>46114</v>
      </c>
      <c r="B3618" t="s">
        <v>47</v>
      </c>
      <c r="C3618" t="s">
        <v>16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25</v>
      </c>
      <c r="K3618" s="3">
        <f>I3618-J3618</f>
        <v>10</v>
      </c>
      <c r="L3618" s="3" t="str">
        <f t="shared" si="403"/>
        <v>MUITO BOM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48</v>
      </c>
      <c r="C3619" t="s">
        <v>16</v>
      </c>
      <c r="D3619">
        <v>0</v>
      </c>
      <c r="E3619">
        <v>0</v>
      </c>
      <c r="F3619">
        <v>0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 t="shared" si="403"/>
        <v>OPORTUNO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49</v>
      </c>
      <c r="C3620" t="s">
        <v>18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ref="I3620:I3634" si="407">E3620+G3620+H3620</f>
        <v>32</v>
      </c>
      <c r="J3620" s="3">
        <f t="shared" ref="J3620:J3634" si="408"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32</v>
      </c>
      <c r="K3620" s="3">
        <f t="shared" ref="K3620:K3634" si="409">I3620-J3620</f>
        <v>0</v>
      </c>
      <c r="L3620" s="3" t="str">
        <f t="shared" si="403"/>
        <v>OPORTUNO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50</v>
      </c>
      <c r="C3621" t="s">
        <v>20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407"/>
        <v>27</v>
      </c>
      <c r="J3621" s="3">
        <f t="shared" si="408"/>
        <v>21</v>
      </c>
      <c r="K3621" s="3">
        <f t="shared" si="409"/>
        <v>6</v>
      </c>
      <c r="L3621" s="3" t="str">
        <f t="shared" si="403"/>
        <v>MUITO BOM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51</v>
      </c>
      <c r="C3622" t="s">
        <v>23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407"/>
        <v>10</v>
      </c>
      <c r="J3622" s="3">
        <f t="shared" si="408"/>
        <v>9</v>
      </c>
      <c r="K3622" s="3">
        <f t="shared" si="409"/>
        <v>1</v>
      </c>
      <c r="L3622" s="3" t="str">
        <f t="shared" si="403"/>
        <v>OPORTUNO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52</v>
      </c>
      <c r="C3623" t="s">
        <v>18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407"/>
        <v>41</v>
      </c>
      <c r="J3623" s="3">
        <f t="shared" si="408"/>
        <v>32</v>
      </c>
      <c r="K3623" s="3">
        <f t="shared" si="409"/>
        <v>9</v>
      </c>
      <c r="L3623" s="3" t="str">
        <f t="shared" si="403"/>
        <v>MUITO BOM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53</v>
      </c>
      <c r="C3624" t="s">
        <v>18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407"/>
        <v>32</v>
      </c>
      <c r="J3624" s="3">
        <f t="shared" si="408"/>
        <v>32</v>
      </c>
      <c r="K3624" s="3">
        <f t="shared" si="409"/>
        <v>0</v>
      </c>
      <c r="L3624" s="3" t="str">
        <f t="shared" si="403"/>
        <v>OPORTUNO</v>
      </c>
      <c r="N3624">
        <v>95.49</v>
      </c>
      <c r="O3624">
        <v>28.16901408450704</v>
      </c>
    </row>
    <row r="3625" spans="1:15" hidden="1" x14ac:dyDescent="0.25">
      <c r="A3625" s="11">
        <v>46114</v>
      </c>
      <c r="B3625" t="s">
        <v>54</v>
      </c>
      <c r="C3625" t="s">
        <v>23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407"/>
        <v>18</v>
      </c>
      <c r="J3625" s="3">
        <f t="shared" si="408"/>
        <v>9</v>
      </c>
      <c r="K3625" s="3">
        <f t="shared" si="409"/>
        <v>9</v>
      </c>
      <c r="L3625" s="3" t="str">
        <f t="shared" si="403"/>
        <v>MUITO BOM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55</v>
      </c>
      <c r="C3626" t="s">
        <v>43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407"/>
        <v>17</v>
      </c>
      <c r="J3626" s="3">
        <f t="shared" si="408"/>
        <v>18</v>
      </c>
      <c r="K3626" s="3">
        <f t="shared" si="409"/>
        <v>-1</v>
      </c>
      <c r="L3626" s="3" t="str">
        <f t="shared" si="403"/>
        <v>ATENÇÃO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56</v>
      </c>
      <c r="C3627" t="s">
        <v>16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407"/>
        <v>18</v>
      </c>
      <c r="J3627" s="3">
        <f t="shared" si="408"/>
        <v>25</v>
      </c>
      <c r="K3627" s="3">
        <f t="shared" si="409"/>
        <v>-7</v>
      </c>
      <c r="L3627" s="3" t="str">
        <f t="shared" si="403"/>
        <v>CRÍTICO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57</v>
      </c>
      <c r="C3628" t="s">
        <v>43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407"/>
        <v>21</v>
      </c>
      <c r="J3628" s="3">
        <f t="shared" si="408"/>
        <v>18</v>
      </c>
      <c r="K3628" s="3">
        <f t="shared" si="409"/>
        <v>3</v>
      </c>
      <c r="L3628" s="3" t="str">
        <f t="shared" si="403"/>
        <v>OPORTUNO</v>
      </c>
      <c r="N3628">
        <v>98.84</v>
      </c>
      <c r="O3628">
        <v>31.5018315018315</v>
      </c>
    </row>
    <row r="3629" spans="1:15" hidden="1" x14ac:dyDescent="0.25">
      <c r="A3629" s="11">
        <v>46114</v>
      </c>
      <c r="B3629" t="s">
        <v>58</v>
      </c>
      <c r="C3629" t="s">
        <v>43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407"/>
        <v>17</v>
      </c>
      <c r="J3629" s="3">
        <f t="shared" si="408"/>
        <v>18</v>
      </c>
      <c r="K3629" s="3">
        <f t="shared" si="409"/>
        <v>-1</v>
      </c>
      <c r="L3629" s="3" t="str">
        <f t="shared" si="403"/>
        <v>ATENÇÃO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59</v>
      </c>
      <c r="C3630" t="s">
        <v>23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407"/>
        <v>7</v>
      </c>
      <c r="J3630" s="3">
        <f t="shared" si="408"/>
        <v>9</v>
      </c>
      <c r="K3630" s="3">
        <f t="shared" si="409"/>
        <v>-2</v>
      </c>
      <c r="L3630" s="3" t="str">
        <f t="shared" si="403"/>
        <v>ATENÇÃO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60</v>
      </c>
      <c r="C3631" t="s">
        <v>20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407"/>
        <v>29</v>
      </c>
      <c r="J3631" s="3">
        <f t="shared" si="408"/>
        <v>21</v>
      </c>
      <c r="K3631" s="3">
        <f t="shared" si="409"/>
        <v>8</v>
      </c>
      <c r="L3631" s="3" t="str">
        <f t="shared" si="403"/>
        <v>MUITO BOM</v>
      </c>
      <c r="N3631">
        <v>98.32</v>
      </c>
      <c r="O3631">
        <v>26.618705035971221</v>
      </c>
    </row>
    <row r="3632" spans="1:15" hidden="1" x14ac:dyDescent="0.25">
      <c r="A3632" s="11">
        <v>46114</v>
      </c>
      <c r="B3632" t="s">
        <v>61</v>
      </c>
      <c r="C3632" t="s">
        <v>18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407"/>
        <v>38</v>
      </c>
      <c r="J3632" s="3">
        <f t="shared" si="408"/>
        <v>32</v>
      </c>
      <c r="K3632" s="3">
        <f t="shared" si="409"/>
        <v>6</v>
      </c>
      <c r="L3632" s="3" t="str">
        <f t="shared" si="403"/>
        <v>MUITO BOM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62</v>
      </c>
      <c r="C3633" t="s">
        <v>20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407"/>
        <v>18</v>
      </c>
      <c r="J3633" s="3">
        <f t="shared" si="408"/>
        <v>21</v>
      </c>
      <c r="K3633" s="3">
        <f t="shared" si="409"/>
        <v>-3</v>
      </c>
      <c r="L3633" s="3" t="str">
        <f t="shared" si="403"/>
        <v>ATENÇÃO</v>
      </c>
      <c r="N3633">
        <v>100</v>
      </c>
      <c r="O3633">
        <v>26.027397260273968</v>
      </c>
    </row>
    <row r="3634" spans="1:15" hidden="1" x14ac:dyDescent="0.25">
      <c r="A3634" s="11">
        <v>46114</v>
      </c>
      <c r="B3634" t="s">
        <v>63</v>
      </c>
      <c r="C3634" t="s">
        <v>18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407"/>
        <v>32</v>
      </c>
      <c r="J3634" s="3">
        <f t="shared" si="408"/>
        <v>32</v>
      </c>
      <c r="K3634" s="3">
        <f t="shared" si="409"/>
        <v>0</v>
      </c>
      <c r="L3634" s="3" t="str">
        <f t="shared" si="403"/>
        <v>OPORTUNO</v>
      </c>
      <c r="N3634">
        <v>99.21</v>
      </c>
      <c r="O3634">
        <v>24.937027707808561</v>
      </c>
    </row>
    <row r="3635" spans="1:15" hidden="1" x14ac:dyDescent="0.25">
      <c r="A3635" s="11">
        <v>46115</v>
      </c>
      <c r="B3635" t="s">
        <v>15</v>
      </c>
      <c r="C3635" t="s">
        <v>16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03"/>
        <v>OPORTUNO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17</v>
      </c>
      <c r="C3636" t="s">
        <v>18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03"/>
        <v>OPORTUNO</v>
      </c>
      <c r="N3636">
        <v>98.66</v>
      </c>
      <c r="O3636">
        <v>35.15625</v>
      </c>
    </row>
    <row r="3637" spans="1:15" hidden="1" x14ac:dyDescent="0.25">
      <c r="A3637" s="11">
        <v>46115</v>
      </c>
      <c r="B3637" t="s">
        <v>19</v>
      </c>
      <c r="C3637" t="s">
        <v>20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03"/>
        <v>OPORTUNO</v>
      </c>
      <c r="N3637">
        <v>99.32</v>
      </c>
      <c r="O3637">
        <v>30.45186640471513</v>
      </c>
    </row>
    <row r="3638" spans="1:15" hidden="1" x14ac:dyDescent="0.25">
      <c r="A3638" s="11">
        <v>46115</v>
      </c>
      <c r="B3638" t="s">
        <v>21</v>
      </c>
      <c r="C3638" t="s">
        <v>18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03"/>
        <v>OPORTUNO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22</v>
      </c>
      <c r="C3639" t="s">
        <v>23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03"/>
        <v>OPORTUNO</v>
      </c>
      <c r="N3639">
        <v>96.74</v>
      </c>
      <c r="O3639">
        <v>28.43137254901961</v>
      </c>
    </row>
    <row r="3640" spans="1:15" hidden="1" x14ac:dyDescent="0.25">
      <c r="A3640" s="11">
        <v>46115</v>
      </c>
      <c r="B3640" t="s">
        <v>24</v>
      </c>
      <c r="C3640" t="s">
        <v>16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03"/>
        <v>OPORTUNO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25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03"/>
        <v>OPORTUNO</v>
      </c>
      <c r="N3641">
        <v>98.2</v>
      </c>
      <c r="O3641">
        <v>26.890756302521009</v>
      </c>
    </row>
    <row r="3642" spans="1:15" hidden="1" x14ac:dyDescent="0.25">
      <c r="A3642" s="11">
        <v>46115</v>
      </c>
      <c r="B3642" t="s">
        <v>26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si="403"/>
        <v>OPORTUNO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27</v>
      </c>
      <c r="C3643" t="s">
        <v>20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ref="L3643:L3706" si="410">IF(K3643&lt;-5,"CRÍTICO",IF(K3643&lt;0,"ATENÇÃO",IF(K3643&lt;=5,"OPORTUNO","MUITO BOM")))</f>
        <v>OPORTUNO</v>
      </c>
      <c r="N3643">
        <v>96.3</v>
      </c>
      <c r="O3643">
        <v>31.980906921241051</v>
      </c>
    </row>
    <row r="3644" spans="1:15" hidden="1" x14ac:dyDescent="0.25">
      <c r="A3644" s="11">
        <v>46115</v>
      </c>
      <c r="B3644" t="s">
        <v>28</v>
      </c>
      <c r="C3644" t="s">
        <v>18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10"/>
        <v>OPORTUNO</v>
      </c>
      <c r="N3644">
        <v>93.75</v>
      </c>
      <c r="O3644">
        <v>26.628352490421459</v>
      </c>
    </row>
    <row r="3645" spans="1:15" hidden="1" x14ac:dyDescent="0.25">
      <c r="A3645" s="11">
        <v>46115</v>
      </c>
      <c r="B3645" t="s">
        <v>29</v>
      </c>
      <c r="C3645" t="s">
        <v>16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10"/>
        <v>OPORTUNO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30</v>
      </c>
      <c r="C3646" t="s">
        <v>20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10"/>
        <v>OPORTUNO</v>
      </c>
      <c r="N3646">
        <v>100</v>
      </c>
      <c r="O3646">
        <v>36.231884057971023</v>
      </c>
    </row>
    <row r="3647" spans="1:15" hidden="1" x14ac:dyDescent="0.25">
      <c r="A3647" s="11">
        <v>46115</v>
      </c>
      <c r="B3647" t="s">
        <v>31</v>
      </c>
      <c r="C3647" t="s">
        <v>18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10"/>
        <v>OPORTUNO</v>
      </c>
      <c r="N3647">
        <v>100</v>
      </c>
      <c r="O3647">
        <v>38.269230769230766</v>
      </c>
    </row>
    <row r="3648" spans="1:15" hidden="1" x14ac:dyDescent="0.25">
      <c r="A3648" s="11">
        <v>46115</v>
      </c>
      <c r="B3648" t="s">
        <v>32</v>
      </c>
      <c r="C3648" t="s">
        <v>23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10"/>
        <v>OPORTUNO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33</v>
      </c>
      <c r="C3649" t="s">
        <v>16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10"/>
        <v>OPORTUNO</v>
      </c>
      <c r="N3649">
        <v>97.83</v>
      </c>
      <c r="O3649">
        <v>28.131868131868131</v>
      </c>
    </row>
    <row r="3650" spans="1:15" hidden="1" x14ac:dyDescent="0.25">
      <c r="A3650" s="11">
        <v>46115</v>
      </c>
      <c r="B3650" t="s">
        <v>34</v>
      </c>
      <c r="C3650" t="s">
        <v>18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10"/>
        <v>OPORTUNO</v>
      </c>
      <c r="N3650">
        <v>99.26</v>
      </c>
      <c r="O3650">
        <v>29.57198443579767</v>
      </c>
    </row>
    <row r="3651" spans="1:15" hidden="1" x14ac:dyDescent="0.25">
      <c r="A3651" s="11">
        <v>46115</v>
      </c>
      <c r="B3651" t="s">
        <v>35</v>
      </c>
      <c r="C3651" t="s">
        <v>16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 t="shared" si="410"/>
        <v>OPORTUNO</v>
      </c>
      <c r="N3651">
        <v>99.19</v>
      </c>
      <c r="O3651">
        <v>29.462365591397852</v>
      </c>
    </row>
    <row r="3652" spans="1:15" hidden="1" x14ac:dyDescent="0.25">
      <c r="A3652" s="11">
        <v>46167</v>
      </c>
      <c r="B3652" t="s">
        <v>25</v>
      </c>
      <c r="C3652" t="s">
        <v>16</v>
      </c>
      <c r="D3652">
        <v>23</v>
      </c>
      <c r="E3652">
        <v>23</v>
      </c>
      <c r="F3652">
        <v>20.51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 t="shared" si="410"/>
        <v>OPORTUNO</v>
      </c>
    </row>
    <row r="3653" spans="1:15" hidden="1" x14ac:dyDescent="0.25">
      <c r="A3653" s="11">
        <v>46115</v>
      </c>
      <c r="B3653" t="s">
        <v>37</v>
      </c>
      <c r="C3653" t="s">
        <v>16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10"/>
        <v>OPORTUNO</v>
      </c>
      <c r="N3653">
        <v>100</v>
      </c>
      <c r="O3653">
        <v>27.941176470588239</v>
      </c>
    </row>
    <row r="3654" spans="1:15" hidden="1" x14ac:dyDescent="0.25">
      <c r="A3654" s="11">
        <v>46115</v>
      </c>
      <c r="B3654" t="s">
        <v>38</v>
      </c>
      <c r="C3654" t="s">
        <v>18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10"/>
        <v>OPORTUNO</v>
      </c>
      <c r="N3654">
        <v>99.57</v>
      </c>
      <c r="O3654">
        <v>29.913294797687861</v>
      </c>
    </row>
    <row r="3655" spans="1:15" hidden="1" x14ac:dyDescent="0.25">
      <c r="A3655" s="11">
        <v>46115</v>
      </c>
      <c r="B3655" t="s">
        <v>39</v>
      </c>
      <c r="C3655" t="s">
        <v>18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10"/>
        <v>OPORTUNO</v>
      </c>
      <c r="N3655">
        <v>95.65</v>
      </c>
      <c r="O3655">
        <v>31.081081081081081</v>
      </c>
    </row>
    <row r="3656" spans="1:15" hidden="1" x14ac:dyDescent="0.25">
      <c r="A3656" s="11">
        <v>46115</v>
      </c>
      <c r="B3656" t="s">
        <v>40</v>
      </c>
      <c r="C3656" t="s">
        <v>16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10"/>
        <v>OPORTUNO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41</v>
      </c>
      <c r="C3657" t="s">
        <v>18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10"/>
        <v>OPORTUNO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42</v>
      </c>
      <c r="C3658" t="s">
        <v>43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10"/>
        <v>OPORTUNO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44</v>
      </c>
      <c r="C3659" t="s">
        <v>18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10"/>
        <v>OPORTUNO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45</v>
      </c>
      <c r="C3660" t="s">
        <v>43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10"/>
        <v>OPORTUNO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46</v>
      </c>
      <c r="C3661" t="s">
        <v>18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10"/>
        <v>OPORTUNO</v>
      </c>
      <c r="N3661">
        <v>99.15</v>
      </c>
      <c r="O3661">
        <v>27.370689655172409</v>
      </c>
    </row>
    <row r="3662" spans="1:15" hidden="1" x14ac:dyDescent="0.25">
      <c r="A3662" s="11">
        <v>46115</v>
      </c>
      <c r="B3662" t="s">
        <v>47</v>
      </c>
      <c r="C3662" t="s">
        <v>16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10"/>
        <v>OPORTUNO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48</v>
      </c>
      <c r="C3663" t="s">
        <v>16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10"/>
        <v>OPORTUNO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49</v>
      </c>
      <c r="C3664" t="s">
        <v>18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10"/>
        <v>OPORTUNO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50</v>
      </c>
      <c r="C3665" t="s">
        <v>20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10"/>
        <v>OPORTUNO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51</v>
      </c>
      <c r="C3666" t="s">
        <v>23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10"/>
        <v>OPORTUNO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52</v>
      </c>
      <c r="C3667" t="s">
        <v>18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10"/>
        <v>OPORTUNO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53</v>
      </c>
      <c r="C3668" t="s">
        <v>18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 t="shared" si="410"/>
        <v>OPORTUNO</v>
      </c>
      <c r="N3668">
        <v>95.49</v>
      </c>
      <c r="O3668">
        <v>28.16901408450704</v>
      </c>
    </row>
    <row r="3669" spans="1:15" hidden="1" x14ac:dyDescent="0.25">
      <c r="A3669" s="11">
        <v>46115</v>
      </c>
      <c r="B3669" t="s">
        <v>54</v>
      </c>
      <c r="C3669" t="s">
        <v>23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 t="shared" si="410"/>
        <v>OPORTUNO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55</v>
      </c>
      <c r="C3670" t="s">
        <v>43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 t="shared" si="410"/>
        <v>OPORTUNO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56</v>
      </c>
      <c r="C3671" t="s">
        <v>16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 t="shared" si="410"/>
        <v>OPORTUNO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57</v>
      </c>
      <c r="C3672" t="s">
        <v>43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 t="shared" si="410"/>
        <v>OPORTUNO</v>
      </c>
      <c r="N3672">
        <v>98.84</v>
      </c>
      <c r="O3672">
        <v>31.5018315018315</v>
      </c>
    </row>
    <row r="3673" spans="1:15" hidden="1" x14ac:dyDescent="0.25">
      <c r="A3673" s="11">
        <v>46115</v>
      </c>
      <c r="B3673" t="s">
        <v>58</v>
      </c>
      <c r="C3673" t="s">
        <v>43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 t="shared" si="410"/>
        <v>OPORTUNO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59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si="410"/>
        <v>OPORTUNO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60</v>
      </c>
      <c r="C3675" t="s">
        <v>20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10"/>
        <v>OPORTUNO</v>
      </c>
      <c r="N3675">
        <v>98.32</v>
      </c>
      <c r="O3675">
        <v>26.618705035971221</v>
      </c>
    </row>
    <row r="3676" spans="1:15" hidden="1" x14ac:dyDescent="0.25">
      <c r="A3676" s="11">
        <v>46115</v>
      </c>
      <c r="B3676" t="s">
        <v>61</v>
      </c>
      <c r="C3676" t="s">
        <v>18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10"/>
        <v>OPORTUNO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62</v>
      </c>
      <c r="C3677" t="s">
        <v>20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10"/>
        <v>OPORTUNO</v>
      </c>
      <c r="N3677">
        <v>100</v>
      </c>
      <c r="O3677">
        <v>26.027397260273968</v>
      </c>
    </row>
    <row r="3678" spans="1:15" hidden="1" x14ac:dyDescent="0.25">
      <c r="A3678" s="11">
        <v>46115</v>
      </c>
      <c r="B3678" t="s">
        <v>63</v>
      </c>
      <c r="C3678" t="s">
        <v>18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 t="shared" si="410"/>
        <v>OPORTUNO</v>
      </c>
      <c r="N3678">
        <v>99.21</v>
      </c>
      <c r="O3678">
        <v>24.937027707808561</v>
      </c>
    </row>
    <row r="3679" spans="1:15" hidden="1" x14ac:dyDescent="0.25">
      <c r="A3679" s="11">
        <v>46118</v>
      </c>
      <c r="B3679" t="s">
        <v>15</v>
      </c>
      <c r="C3679" t="s">
        <v>16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23</v>
      </c>
      <c r="K3679" s="3">
        <f>I3679-J3679</f>
        <v>-9</v>
      </c>
      <c r="L3679" s="3" t="str">
        <f t="shared" si="410"/>
        <v>CRÍTICO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17</v>
      </c>
      <c r="C3680" t="s">
        <v>18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 t="shared" si="410"/>
        <v>OPORTUNO</v>
      </c>
      <c r="N3680">
        <v>98.66</v>
      </c>
      <c r="O3680">
        <v>35.15625</v>
      </c>
    </row>
    <row r="3681" spans="1:15" hidden="1" x14ac:dyDescent="0.25">
      <c r="A3681" s="11">
        <v>46118</v>
      </c>
      <c r="B3681" t="s">
        <v>19</v>
      </c>
      <c r="C3681" t="s">
        <v>20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ref="I3681:I3688" si="411">E3681+G3681+H3681</f>
        <v>25</v>
      </c>
      <c r="J3681" s="3">
        <f t="shared" ref="J3681:J3688" si="412"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19</v>
      </c>
      <c r="K3681" s="3">
        <f t="shared" ref="K3681:K3688" si="413">I3681-J3681</f>
        <v>6</v>
      </c>
      <c r="L3681" s="3" t="str">
        <f t="shared" si="410"/>
        <v>MUITO BOM</v>
      </c>
      <c r="N3681">
        <v>99.32</v>
      </c>
      <c r="O3681">
        <v>30.45186640471513</v>
      </c>
    </row>
    <row r="3682" spans="1:15" hidden="1" x14ac:dyDescent="0.25">
      <c r="A3682" s="11">
        <v>46118</v>
      </c>
      <c r="B3682" t="s">
        <v>21</v>
      </c>
      <c r="C3682" t="s">
        <v>18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411"/>
        <v>41</v>
      </c>
      <c r="J3682" s="3">
        <f t="shared" si="412"/>
        <v>29</v>
      </c>
      <c r="K3682" s="3">
        <f t="shared" si="413"/>
        <v>12</v>
      </c>
      <c r="L3682" s="3" t="str">
        <f t="shared" si="410"/>
        <v>MUITO BOM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22</v>
      </c>
      <c r="C3683" t="s">
        <v>23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411"/>
        <v>21</v>
      </c>
      <c r="J3683" s="3">
        <f t="shared" si="412"/>
        <v>8</v>
      </c>
      <c r="K3683" s="3">
        <f t="shared" si="413"/>
        <v>13</v>
      </c>
      <c r="L3683" s="3" t="str">
        <f t="shared" si="410"/>
        <v>MUITO BOM</v>
      </c>
      <c r="N3683">
        <v>96.74</v>
      </c>
      <c r="O3683">
        <v>28.43137254901961</v>
      </c>
    </row>
    <row r="3684" spans="1:15" hidden="1" x14ac:dyDescent="0.25">
      <c r="A3684" s="11">
        <v>46118</v>
      </c>
      <c r="B3684" t="s">
        <v>24</v>
      </c>
      <c r="C3684" t="s">
        <v>16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411"/>
        <v>36</v>
      </c>
      <c r="J3684" s="3">
        <f t="shared" si="412"/>
        <v>23</v>
      </c>
      <c r="K3684" s="3">
        <f t="shared" si="413"/>
        <v>13</v>
      </c>
      <c r="L3684" s="3" t="str">
        <f t="shared" si="410"/>
        <v>MUITO BOM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25</v>
      </c>
      <c r="C3685" t="s">
        <v>16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411"/>
        <v>31</v>
      </c>
      <c r="J3685" s="3">
        <f t="shared" si="412"/>
        <v>23</v>
      </c>
      <c r="K3685" s="3">
        <f t="shared" si="413"/>
        <v>8</v>
      </c>
      <c r="L3685" s="3" t="str">
        <f t="shared" si="410"/>
        <v>MUITO BOM</v>
      </c>
      <c r="N3685">
        <v>98.2</v>
      </c>
      <c r="O3685">
        <v>26.890756302521009</v>
      </c>
    </row>
    <row r="3686" spans="1:15" hidden="1" x14ac:dyDescent="0.25">
      <c r="A3686" s="11">
        <v>46118</v>
      </c>
      <c r="B3686" t="s">
        <v>26</v>
      </c>
      <c r="C3686" t="s">
        <v>23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411"/>
        <v>11</v>
      </c>
      <c r="J3686" s="3">
        <f t="shared" si="412"/>
        <v>8</v>
      </c>
      <c r="K3686" s="3">
        <f t="shared" si="413"/>
        <v>3</v>
      </c>
      <c r="L3686" s="3" t="str">
        <f t="shared" si="410"/>
        <v>OPORTUNO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27</v>
      </c>
      <c r="C3687" t="s">
        <v>20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411"/>
        <v>32</v>
      </c>
      <c r="J3687" s="3">
        <f t="shared" si="412"/>
        <v>19</v>
      </c>
      <c r="K3687" s="3">
        <f t="shared" si="413"/>
        <v>13</v>
      </c>
      <c r="L3687" s="3" t="str">
        <f t="shared" si="410"/>
        <v>MUITO BOM</v>
      </c>
      <c r="N3687">
        <v>96.3</v>
      </c>
      <c r="O3687">
        <v>31.980906921241051</v>
      </c>
    </row>
    <row r="3688" spans="1:15" hidden="1" x14ac:dyDescent="0.25">
      <c r="A3688" s="11">
        <v>46118</v>
      </c>
      <c r="B3688" t="s">
        <v>28</v>
      </c>
      <c r="C3688" t="s">
        <v>18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411"/>
        <v>34</v>
      </c>
      <c r="J3688" s="3">
        <f t="shared" si="412"/>
        <v>29</v>
      </c>
      <c r="K3688" s="3">
        <f t="shared" si="413"/>
        <v>5</v>
      </c>
      <c r="L3688" s="3" t="str">
        <f t="shared" si="410"/>
        <v>OPORTUNO</v>
      </c>
      <c r="N3688">
        <v>93.75</v>
      </c>
      <c r="O3688">
        <v>26.628352490421459</v>
      </c>
    </row>
    <row r="3689" spans="1:15" hidden="1" x14ac:dyDescent="0.25">
      <c r="A3689" s="11">
        <v>46118</v>
      </c>
      <c r="B3689" t="s">
        <v>29</v>
      </c>
      <c r="C3689" t="s">
        <v>16</v>
      </c>
      <c r="D3689">
        <v>0</v>
      </c>
      <c r="E3689">
        <v>0</v>
      </c>
      <c r="F3689">
        <v>0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 t="shared" si="410"/>
        <v>OPORTUNO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30</v>
      </c>
      <c r="C3690" t="s">
        <v>20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19</v>
      </c>
      <c r="K3690" s="3">
        <f>I3690-J3690</f>
        <v>3</v>
      </c>
      <c r="L3690" s="3" t="str">
        <f t="shared" si="410"/>
        <v>OPORTUNO</v>
      </c>
      <c r="N3690">
        <v>100</v>
      </c>
      <c r="O3690">
        <v>36.231884057971023</v>
      </c>
    </row>
    <row r="3691" spans="1:15" hidden="1" x14ac:dyDescent="0.25">
      <c r="A3691" s="11">
        <v>46118</v>
      </c>
      <c r="B3691" t="s">
        <v>31</v>
      </c>
      <c r="C3691" t="s">
        <v>18</v>
      </c>
      <c r="D3691">
        <v>0</v>
      </c>
      <c r="E3691">
        <v>0</v>
      </c>
      <c r="F3691">
        <v>0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 t="shared" si="410"/>
        <v>OPORTUNO</v>
      </c>
      <c r="N3691">
        <v>100</v>
      </c>
      <c r="O3691">
        <v>38.269230769230766</v>
      </c>
    </row>
    <row r="3692" spans="1:15" hidden="1" x14ac:dyDescent="0.25">
      <c r="A3692" s="11">
        <v>46118</v>
      </c>
      <c r="B3692" t="s">
        <v>32</v>
      </c>
      <c r="C3692" t="s">
        <v>23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8</v>
      </c>
      <c r="K3692" s="3">
        <f>I3692-J3692</f>
        <v>0</v>
      </c>
      <c r="L3692" s="3" t="str">
        <f t="shared" si="410"/>
        <v>OPORTUNO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33</v>
      </c>
      <c r="C3693" t="s">
        <v>16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23</v>
      </c>
      <c r="K3693" s="3">
        <f>I3693-J3693</f>
        <v>10</v>
      </c>
      <c r="L3693" s="3" t="str">
        <f t="shared" si="410"/>
        <v>MUITO BOM</v>
      </c>
      <c r="N3693">
        <v>97.83</v>
      </c>
      <c r="O3693">
        <v>28.131868131868131</v>
      </c>
    </row>
    <row r="3694" spans="1:15" hidden="1" x14ac:dyDescent="0.25">
      <c r="A3694" s="11">
        <v>46118</v>
      </c>
      <c r="B3694" t="s">
        <v>34</v>
      </c>
      <c r="C3694" t="s">
        <v>18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29</v>
      </c>
      <c r="K3694" s="3">
        <f>I3694-J3694</f>
        <v>-1</v>
      </c>
      <c r="L3694" s="3" t="str">
        <f t="shared" si="410"/>
        <v>ATENÇÃO</v>
      </c>
      <c r="N3694">
        <v>99.26</v>
      </c>
      <c r="O3694">
        <v>29.57198443579767</v>
      </c>
    </row>
    <row r="3695" spans="1:15" hidden="1" x14ac:dyDescent="0.25">
      <c r="A3695" s="11">
        <v>46118</v>
      </c>
      <c r="B3695" t="s">
        <v>35</v>
      </c>
      <c r="C3695" t="s">
        <v>16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23</v>
      </c>
      <c r="K3695" s="3">
        <f>I3695-J3695</f>
        <v>7</v>
      </c>
      <c r="L3695" s="3" t="str">
        <f t="shared" si="410"/>
        <v>MUITO BOM</v>
      </c>
      <c r="N3695">
        <v>99.19</v>
      </c>
      <c r="O3695">
        <v>29.462365591397852</v>
      </c>
    </row>
    <row r="3696" spans="1:15" hidden="1" x14ac:dyDescent="0.25">
      <c r="A3696" s="11">
        <v>46167</v>
      </c>
      <c r="B3696" t="s">
        <v>29</v>
      </c>
      <c r="C3696" t="s">
        <v>16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 t="shared" si="410"/>
        <v>OPORTUNO</v>
      </c>
    </row>
    <row r="3697" spans="1:15" hidden="1" x14ac:dyDescent="0.25">
      <c r="A3697" s="11">
        <v>46118</v>
      </c>
      <c r="B3697" t="s">
        <v>37</v>
      </c>
      <c r="C3697" t="s">
        <v>16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 t="shared" si="410"/>
        <v>OPORTUNO</v>
      </c>
      <c r="N3697">
        <v>100</v>
      </c>
      <c r="O3697">
        <v>27.941176470588239</v>
      </c>
    </row>
    <row r="3698" spans="1:15" hidden="1" x14ac:dyDescent="0.25">
      <c r="A3698" s="11">
        <v>46118</v>
      </c>
      <c r="B3698" t="s">
        <v>38</v>
      </c>
      <c r="C3698" t="s">
        <v>18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29</v>
      </c>
      <c r="K3698" s="3">
        <f>I3698-J3698</f>
        <v>17</v>
      </c>
      <c r="L3698" s="3" t="str">
        <f t="shared" si="410"/>
        <v>MUITO BOM</v>
      </c>
      <c r="N3698">
        <v>99.57</v>
      </c>
      <c r="O3698">
        <v>29.913294797687861</v>
      </c>
    </row>
    <row r="3699" spans="1:15" hidden="1" x14ac:dyDescent="0.25">
      <c r="A3699" s="11">
        <v>46118</v>
      </c>
      <c r="B3699" t="s">
        <v>39</v>
      </c>
      <c r="C3699" t="s">
        <v>18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 t="shared" si="410"/>
        <v>OPORTUNO</v>
      </c>
      <c r="N3699">
        <v>95.65</v>
      </c>
      <c r="O3699">
        <v>31.081081081081081</v>
      </c>
    </row>
    <row r="3700" spans="1:15" hidden="1" x14ac:dyDescent="0.25">
      <c r="A3700" s="11">
        <v>46118</v>
      </c>
      <c r="B3700" t="s">
        <v>40</v>
      </c>
      <c r="C3700" t="s">
        <v>16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23</v>
      </c>
      <c r="K3700" s="3">
        <f>I3700-J3700</f>
        <v>-11</v>
      </c>
      <c r="L3700" s="3" t="str">
        <f t="shared" si="410"/>
        <v>CRÍTICO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41</v>
      </c>
      <c r="C3701" t="s">
        <v>18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 t="shared" si="410"/>
        <v>OPORTUNO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42</v>
      </c>
      <c r="C3702" t="s">
        <v>43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17</v>
      </c>
      <c r="K3702" s="3">
        <f>I3702-J3702</f>
        <v>0</v>
      </c>
      <c r="L3702" s="3" t="str">
        <f t="shared" si="410"/>
        <v>OPORTUNO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44</v>
      </c>
      <c r="C3703" t="s">
        <v>18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29</v>
      </c>
      <c r="K3703" s="3">
        <f>I3703-J3703</f>
        <v>-20</v>
      </c>
      <c r="L3703" s="3" t="str">
        <f t="shared" si="410"/>
        <v>CRÍTICO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45</v>
      </c>
      <c r="C3704" t="s">
        <v>43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17</v>
      </c>
      <c r="K3704" s="3">
        <f>I3704-J3704</f>
        <v>-5</v>
      </c>
      <c r="L3704" s="3" t="str">
        <f t="shared" si="410"/>
        <v>ATENÇÃO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46</v>
      </c>
      <c r="C3705" t="s">
        <v>18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29</v>
      </c>
      <c r="K3705" s="3">
        <f>I3705-J3705</f>
        <v>0</v>
      </c>
      <c r="L3705" s="3" t="str">
        <f t="shared" si="410"/>
        <v>OPORTUNO</v>
      </c>
      <c r="N3705">
        <v>99.15</v>
      </c>
      <c r="O3705">
        <v>27.370689655172409</v>
      </c>
    </row>
    <row r="3706" spans="1:15" hidden="1" x14ac:dyDescent="0.25">
      <c r="A3706" s="11">
        <v>46118</v>
      </c>
      <c r="B3706" t="s">
        <v>47</v>
      </c>
      <c r="C3706" t="s">
        <v>16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23</v>
      </c>
      <c r="K3706" s="3">
        <f>I3706-J3706</f>
        <v>0</v>
      </c>
      <c r="L3706" s="3" t="str">
        <f t="shared" si="410"/>
        <v>OPORTUNO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48</v>
      </c>
      <c r="C3707" t="s">
        <v>16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ref="L3707:L3770" si="414">IF(K3707&lt;-5,"CRÍTICO",IF(K3707&lt;0,"ATENÇÃO",IF(K3707&lt;=5,"OPORTUNO","MUITO BOM")))</f>
        <v>OPORTUNO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49</v>
      </c>
      <c r="C3708" t="s">
        <v>18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 t="shared" si="414"/>
        <v>OPORTUNO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50</v>
      </c>
      <c r="C3709" t="s">
        <v>20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ref="I3709:I3723" si="415">E3709+G3709+H3709</f>
        <v>23</v>
      </c>
      <c r="J3709" s="3">
        <f t="shared" ref="J3709:J3723" si="416"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19</v>
      </c>
      <c r="K3709" s="3">
        <f t="shared" ref="K3709:K3723" si="417">I3709-J3709</f>
        <v>4</v>
      </c>
      <c r="L3709" s="3" t="str">
        <f t="shared" si="414"/>
        <v>OPORTUNO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51</v>
      </c>
      <c r="C3710" t="s">
        <v>23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415"/>
        <v>10</v>
      </c>
      <c r="J3710" s="3">
        <f t="shared" si="416"/>
        <v>8</v>
      </c>
      <c r="K3710" s="3">
        <f t="shared" si="417"/>
        <v>2</v>
      </c>
      <c r="L3710" s="3" t="str">
        <f t="shared" si="414"/>
        <v>OPORTUNO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52</v>
      </c>
      <c r="C3711" t="s">
        <v>18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415"/>
        <v>42</v>
      </c>
      <c r="J3711" s="3">
        <f t="shared" si="416"/>
        <v>29</v>
      </c>
      <c r="K3711" s="3">
        <f t="shared" si="417"/>
        <v>13</v>
      </c>
      <c r="L3711" s="3" t="str">
        <f t="shared" si="414"/>
        <v>MUITO BOM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53</v>
      </c>
      <c r="C3712" t="s">
        <v>18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415"/>
        <v>25</v>
      </c>
      <c r="J3712" s="3">
        <f t="shared" si="416"/>
        <v>29</v>
      </c>
      <c r="K3712" s="3">
        <f t="shared" si="417"/>
        <v>-4</v>
      </c>
      <c r="L3712" s="3" t="str">
        <f t="shared" si="414"/>
        <v>ATENÇÃO</v>
      </c>
      <c r="N3712">
        <v>95.49</v>
      </c>
      <c r="O3712">
        <v>28.16901408450704</v>
      </c>
    </row>
    <row r="3713" spans="1:15" hidden="1" x14ac:dyDescent="0.25">
      <c r="A3713" s="11">
        <v>46118</v>
      </c>
      <c r="B3713" t="s">
        <v>54</v>
      </c>
      <c r="C3713" t="s">
        <v>23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415"/>
        <v>5</v>
      </c>
      <c r="J3713" s="3">
        <f t="shared" si="416"/>
        <v>8</v>
      </c>
      <c r="K3713" s="3">
        <f t="shared" si="417"/>
        <v>-3</v>
      </c>
      <c r="L3713" s="3" t="str">
        <f t="shared" si="414"/>
        <v>ATENÇÃO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55</v>
      </c>
      <c r="C3714" t="s">
        <v>43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415"/>
        <v>23</v>
      </c>
      <c r="J3714" s="3">
        <f t="shared" si="416"/>
        <v>17</v>
      </c>
      <c r="K3714" s="3">
        <f t="shared" si="417"/>
        <v>6</v>
      </c>
      <c r="L3714" s="3" t="str">
        <f t="shared" si="414"/>
        <v>MUITO BOM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56</v>
      </c>
      <c r="C3715" t="s">
        <v>16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415"/>
        <v>27</v>
      </c>
      <c r="J3715" s="3">
        <f t="shared" si="416"/>
        <v>23</v>
      </c>
      <c r="K3715" s="3">
        <f t="shared" si="417"/>
        <v>4</v>
      </c>
      <c r="L3715" s="3" t="str">
        <f t="shared" si="414"/>
        <v>OPORTUNO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57</v>
      </c>
      <c r="C3716" t="s">
        <v>43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415"/>
        <v>17</v>
      </c>
      <c r="J3716" s="3">
        <f t="shared" si="416"/>
        <v>17</v>
      </c>
      <c r="K3716" s="3">
        <f t="shared" si="417"/>
        <v>0</v>
      </c>
      <c r="L3716" s="3" t="str">
        <f t="shared" si="414"/>
        <v>OPORTUNO</v>
      </c>
      <c r="N3716">
        <v>98.84</v>
      </c>
      <c r="O3716">
        <v>31.5018315018315</v>
      </c>
    </row>
    <row r="3717" spans="1:15" hidden="1" x14ac:dyDescent="0.25">
      <c r="A3717" s="11">
        <v>46118</v>
      </c>
      <c r="B3717" t="s">
        <v>58</v>
      </c>
      <c r="C3717" t="s">
        <v>43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415"/>
        <v>20</v>
      </c>
      <c r="J3717" s="3">
        <f t="shared" si="416"/>
        <v>17</v>
      </c>
      <c r="K3717" s="3">
        <f t="shared" si="417"/>
        <v>3</v>
      </c>
      <c r="L3717" s="3" t="str">
        <f t="shared" si="414"/>
        <v>OPORTUNO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59</v>
      </c>
      <c r="C3718" t="s">
        <v>23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415"/>
        <v>9</v>
      </c>
      <c r="J3718" s="3">
        <f t="shared" si="416"/>
        <v>8</v>
      </c>
      <c r="K3718" s="3">
        <f t="shared" si="417"/>
        <v>1</v>
      </c>
      <c r="L3718" s="3" t="str">
        <f t="shared" si="414"/>
        <v>OPORTUNO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60</v>
      </c>
      <c r="C3719" t="s">
        <v>20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415"/>
        <v>20</v>
      </c>
      <c r="J3719" s="3">
        <f t="shared" si="416"/>
        <v>19</v>
      </c>
      <c r="K3719" s="3">
        <f t="shared" si="417"/>
        <v>1</v>
      </c>
      <c r="L3719" s="3" t="str">
        <f t="shared" si="414"/>
        <v>OPORTUNO</v>
      </c>
      <c r="N3719">
        <v>98.32</v>
      </c>
      <c r="O3719">
        <v>26.618705035971221</v>
      </c>
    </row>
    <row r="3720" spans="1:15" hidden="1" x14ac:dyDescent="0.25">
      <c r="A3720" s="11">
        <v>46118</v>
      </c>
      <c r="B3720" t="s">
        <v>61</v>
      </c>
      <c r="C3720" t="s">
        <v>18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415"/>
        <v>37</v>
      </c>
      <c r="J3720" s="3">
        <f t="shared" si="416"/>
        <v>29</v>
      </c>
      <c r="K3720" s="3">
        <f t="shared" si="417"/>
        <v>8</v>
      </c>
      <c r="L3720" s="3" t="str">
        <f t="shared" si="414"/>
        <v>MUITO BOM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62</v>
      </c>
      <c r="C3721" t="s">
        <v>20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415"/>
        <v>17</v>
      </c>
      <c r="J3721" s="3">
        <f t="shared" si="416"/>
        <v>19</v>
      </c>
      <c r="K3721" s="3">
        <f t="shared" si="417"/>
        <v>-2</v>
      </c>
      <c r="L3721" s="3" t="str">
        <f t="shared" si="414"/>
        <v>ATENÇÃO</v>
      </c>
      <c r="N3721">
        <v>100</v>
      </c>
      <c r="O3721">
        <v>26.027397260273968</v>
      </c>
    </row>
    <row r="3722" spans="1:15" hidden="1" x14ac:dyDescent="0.25">
      <c r="A3722" s="11">
        <v>46118</v>
      </c>
      <c r="B3722" t="s">
        <v>63</v>
      </c>
      <c r="C3722" t="s">
        <v>18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415"/>
        <v>28</v>
      </c>
      <c r="J3722" s="3">
        <f t="shared" si="416"/>
        <v>29</v>
      </c>
      <c r="K3722" s="3">
        <f t="shared" si="417"/>
        <v>-1</v>
      </c>
      <c r="L3722" s="3" t="str">
        <f t="shared" si="414"/>
        <v>ATENÇÃO</v>
      </c>
      <c r="N3722">
        <v>99.21</v>
      </c>
      <c r="O3722">
        <v>24.937027707808561</v>
      </c>
    </row>
    <row r="3723" spans="1:15" hidden="1" x14ac:dyDescent="0.25">
      <c r="A3723" s="11">
        <v>46119</v>
      </c>
      <c r="B3723" t="s">
        <v>15</v>
      </c>
      <c r="C3723" t="s">
        <v>16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415"/>
        <v>6</v>
      </c>
      <c r="J3723" s="3">
        <f t="shared" si="416"/>
        <v>23</v>
      </c>
      <c r="K3723" s="3">
        <f t="shared" si="417"/>
        <v>-17</v>
      </c>
      <c r="L3723" s="3" t="str">
        <f t="shared" si="414"/>
        <v>CRÍTICO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17</v>
      </c>
      <c r="C3724" t="s">
        <v>18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 t="shared" si="414"/>
        <v>OPORTUNO</v>
      </c>
      <c r="N3724">
        <v>98.66</v>
      </c>
      <c r="O3724">
        <v>35.15625</v>
      </c>
    </row>
    <row r="3725" spans="1:15" hidden="1" x14ac:dyDescent="0.25">
      <c r="A3725" s="11">
        <v>46119</v>
      </c>
      <c r="B3725" t="s">
        <v>19</v>
      </c>
      <c r="C3725" t="s">
        <v>20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ref="I3725:I3732" si="418">E3725+G3725+H3725</f>
        <v>33</v>
      </c>
      <c r="J3725" s="3">
        <f t="shared" ref="J3725:J3732" si="419"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19</v>
      </c>
      <c r="K3725" s="3">
        <f t="shared" ref="K3725:K3732" si="420">I3725-J3725</f>
        <v>14</v>
      </c>
      <c r="L3725" s="3" t="str">
        <f t="shared" si="414"/>
        <v>MUITO BOM</v>
      </c>
      <c r="N3725">
        <v>99.32</v>
      </c>
      <c r="O3725">
        <v>30.45186640471513</v>
      </c>
    </row>
    <row r="3726" spans="1:15" hidden="1" x14ac:dyDescent="0.25">
      <c r="A3726" s="11">
        <v>46119</v>
      </c>
      <c r="B3726" t="s">
        <v>21</v>
      </c>
      <c r="C3726" t="s">
        <v>18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418"/>
        <v>28</v>
      </c>
      <c r="J3726" s="3">
        <f t="shared" si="419"/>
        <v>29</v>
      </c>
      <c r="K3726" s="3">
        <f t="shared" si="420"/>
        <v>-1</v>
      </c>
      <c r="L3726" s="3" t="str">
        <f t="shared" si="414"/>
        <v>ATENÇÃO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22</v>
      </c>
      <c r="C3727" t="s">
        <v>23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418"/>
        <v>23</v>
      </c>
      <c r="J3727" s="3">
        <f t="shared" si="419"/>
        <v>8</v>
      </c>
      <c r="K3727" s="3">
        <f t="shared" si="420"/>
        <v>15</v>
      </c>
      <c r="L3727" s="3" t="str">
        <f t="shared" si="414"/>
        <v>MUITO BOM</v>
      </c>
      <c r="N3727">
        <v>96.74</v>
      </c>
      <c r="O3727">
        <v>28.43137254901961</v>
      </c>
    </row>
    <row r="3728" spans="1:15" hidden="1" x14ac:dyDescent="0.25">
      <c r="A3728" s="11">
        <v>46119</v>
      </c>
      <c r="B3728" t="s">
        <v>24</v>
      </c>
      <c r="C3728" t="s">
        <v>16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418"/>
        <v>38</v>
      </c>
      <c r="J3728" s="3">
        <f t="shared" si="419"/>
        <v>23</v>
      </c>
      <c r="K3728" s="3">
        <f t="shared" si="420"/>
        <v>15</v>
      </c>
      <c r="L3728" s="3" t="str">
        <f t="shared" si="414"/>
        <v>MUITO BOM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25</v>
      </c>
      <c r="C3729" t="s">
        <v>16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418"/>
        <v>28</v>
      </c>
      <c r="J3729" s="3">
        <f t="shared" si="419"/>
        <v>23</v>
      </c>
      <c r="K3729" s="3">
        <f t="shared" si="420"/>
        <v>5</v>
      </c>
      <c r="L3729" s="3" t="str">
        <f t="shared" si="414"/>
        <v>OPORTUNO</v>
      </c>
      <c r="N3729">
        <v>98.2</v>
      </c>
      <c r="O3729">
        <v>26.890756302521009</v>
      </c>
    </row>
    <row r="3730" spans="1:15" hidden="1" x14ac:dyDescent="0.25">
      <c r="A3730" s="11">
        <v>46119</v>
      </c>
      <c r="B3730" t="s">
        <v>26</v>
      </c>
      <c r="C3730" t="s">
        <v>23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418"/>
        <v>10</v>
      </c>
      <c r="J3730" s="3">
        <f t="shared" si="419"/>
        <v>8</v>
      </c>
      <c r="K3730" s="3">
        <f t="shared" si="420"/>
        <v>2</v>
      </c>
      <c r="L3730" s="3" t="str">
        <f t="shared" si="414"/>
        <v>OPORTUNO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27</v>
      </c>
      <c r="C3731" t="s">
        <v>20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418"/>
        <v>24</v>
      </c>
      <c r="J3731" s="3">
        <f t="shared" si="419"/>
        <v>19</v>
      </c>
      <c r="K3731" s="3">
        <f t="shared" si="420"/>
        <v>5</v>
      </c>
      <c r="L3731" s="3" t="str">
        <f t="shared" si="414"/>
        <v>OPORTUNO</v>
      </c>
      <c r="N3731">
        <v>96.3</v>
      </c>
      <c r="O3731">
        <v>31.980906921241051</v>
      </c>
    </row>
    <row r="3732" spans="1:15" hidden="1" x14ac:dyDescent="0.25">
      <c r="A3732" s="11">
        <v>46119</v>
      </c>
      <c r="B3732" t="s">
        <v>28</v>
      </c>
      <c r="C3732" t="s">
        <v>18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418"/>
        <v>39</v>
      </c>
      <c r="J3732" s="3">
        <f t="shared" si="419"/>
        <v>29</v>
      </c>
      <c r="K3732" s="3">
        <f t="shared" si="420"/>
        <v>10</v>
      </c>
      <c r="L3732" s="3" t="str">
        <f t="shared" si="414"/>
        <v>MUITO BOM</v>
      </c>
      <c r="N3732">
        <v>93.75</v>
      </c>
      <c r="O3732">
        <v>26.628352490421459</v>
      </c>
    </row>
    <row r="3733" spans="1:15" hidden="1" x14ac:dyDescent="0.25">
      <c r="A3733" s="11">
        <v>46119</v>
      </c>
      <c r="B3733" t="s">
        <v>29</v>
      </c>
      <c r="C3733" t="s">
        <v>16</v>
      </c>
      <c r="D3733">
        <v>0</v>
      </c>
      <c r="E3733">
        <v>0</v>
      </c>
      <c r="F3733">
        <v>0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 t="shared" si="414"/>
        <v>OPORTUNO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30</v>
      </c>
      <c r="C3734" t="s">
        <v>20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19</v>
      </c>
      <c r="K3734" s="3">
        <f>I3734-J3734</f>
        <v>9</v>
      </c>
      <c r="L3734" s="3" t="str">
        <f t="shared" si="414"/>
        <v>MUITO BOM</v>
      </c>
      <c r="N3734">
        <v>100</v>
      </c>
      <c r="O3734">
        <v>36.231884057971023</v>
      </c>
    </row>
    <row r="3735" spans="1:15" hidden="1" x14ac:dyDescent="0.25">
      <c r="A3735" s="11">
        <v>46119</v>
      </c>
      <c r="B3735" t="s">
        <v>31</v>
      </c>
      <c r="C3735" t="s">
        <v>18</v>
      </c>
      <c r="D3735">
        <v>0</v>
      </c>
      <c r="E3735">
        <v>0</v>
      </c>
      <c r="F3735">
        <v>0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 t="shared" si="414"/>
        <v>OPORTUNO</v>
      </c>
      <c r="N3735">
        <v>100</v>
      </c>
      <c r="O3735">
        <v>38.269230769230766</v>
      </c>
    </row>
    <row r="3736" spans="1:15" hidden="1" x14ac:dyDescent="0.25">
      <c r="A3736" s="11">
        <v>46119</v>
      </c>
      <c r="B3736" t="s">
        <v>32</v>
      </c>
      <c r="C3736" t="s">
        <v>23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8</v>
      </c>
      <c r="K3736" s="3">
        <f>I3736-J3736</f>
        <v>-3</v>
      </c>
      <c r="L3736" s="3" t="str">
        <f t="shared" si="414"/>
        <v>ATENÇÃO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33</v>
      </c>
      <c r="C3737" t="s">
        <v>16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23</v>
      </c>
      <c r="K3737" s="3">
        <f>I3737-J3737</f>
        <v>-5</v>
      </c>
      <c r="L3737" s="3" t="str">
        <f t="shared" si="414"/>
        <v>ATENÇÃO</v>
      </c>
      <c r="N3737">
        <v>97.83</v>
      </c>
      <c r="O3737">
        <v>28.131868131868131</v>
      </c>
    </row>
    <row r="3738" spans="1:15" hidden="1" x14ac:dyDescent="0.25">
      <c r="A3738" s="11">
        <v>46119</v>
      </c>
      <c r="B3738" t="s">
        <v>34</v>
      </c>
      <c r="C3738" t="s">
        <v>18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29</v>
      </c>
      <c r="K3738" s="3">
        <f>I3738-J3738</f>
        <v>0</v>
      </c>
      <c r="L3738" s="3" t="str">
        <f t="shared" si="414"/>
        <v>OPORTUNO</v>
      </c>
      <c r="N3738">
        <v>99.26</v>
      </c>
      <c r="O3738">
        <v>29.57198443579767</v>
      </c>
    </row>
    <row r="3739" spans="1:15" hidden="1" x14ac:dyDescent="0.25">
      <c r="A3739" s="11">
        <v>46119</v>
      </c>
      <c r="B3739" t="s">
        <v>35</v>
      </c>
      <c r="C3739" t="s">
        <v>16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23</v>
      </c>
      <c r="K3739" s="3">
        <f>I3739-J3739</f>
        <v>3</v>
      </c>
      <c r="L3739" s="3" t="str">
        <f t="shared" si="414"/>
        <v>OPORTUNO</v>
      </c>
      <c r="N3739">
        <v>99.19</v>
      </c>
      <c r="O3739">
        <v>29.462365591397852</v>
      </c>
    </row>
    <row r="3740" spans="1:15" hidden="1" x14ac:dyDescent="0.25">
      <c r="A3740" s="11">
        <v>46167</v>
      </c>
      <c r="B3740" t="s">
        <v>33</v>
      </c>
      <c r="C3740" t="s">
        <v>16</v>
      </c>
      <c r="D3740">
        <v>23</v>
      </c>
      <c r="E3740">
        <v>21</v>
      </c>
      <c r="F3740">
        <v>13.4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 t="shared" si="414"/>
        <v>OPORTUNO</v>
      </c>
    </row>
    <row r="3741" spans="1:15" hidden="1" x14ac:dyDescent="0.25">
      <c r="A3741" s="11">
        <v>46119</v>
      </c>
      <c r="B3741" t="s">
        <v>37</v>
      </c>
      <c r="C3741" t="s">
        <v>16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 t="shared" si="414"/>
        <v>OPORTUNO</v>
      </c>
      <c r="N3741">
        <v>100</v>
      </c>
      <c r="O3741">
        <v>27.941176470588239</v>
      </c>
    </row>
    <row r="3742" spans="1:15" hidden="1" x14ac:dyDescent="0.25">
      <c r="A3742" s="11">
        <v>46119</v>
      </c>
      <c r="B3742" t="s">
        <v>38</v>
      </c>
      <c r="C3742" t="s">
        <v>18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29</v>
      </c>
      <c r="K3742" s="3">
        <f>I3742-J3742</f>
        <v>14</v>
      </c>
      <c r="L3742" s="3" t="str">
        <f t="shared" si="414"/>
        <v>MUITO BOM</v>
      </c>
      <c r="N3742">
        <v>99.57</v>
      </c>
      <c r="O3742">
        <v>29.913294797687861</v>
      </c>
    </row>
    <row r="3743" spans="1:15" hidden="1" x14ac:dyDescent="0.25">
      <c r="A3743" s="11">
        <v>46119</v>
      </c>
      <c r="B3743" t="s">
        <v>39</v>
      </c>
      <c r="C3743" t="s">
        <v>18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 t="shared" si="414"/>
        <v>OPORTUNO</v>
      </c>
      <c r="N3743">
        <v>95.65</v>
      </c>
      <c r="O3743">
        <v>31.081081081081081</v>
      </c>
    </row>
    <row r="3744" spans="1:15" hidden="1" x14ac:dyDescent="0.25">
      <c r="A3744" s="11">
        <v>46119</v>
      </c>
      <c r="B3744" t="s">
        <v>40</v>
      </c>
      <c r="C3744" t="s">
        <v>16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23</v>
      </c>
      <c r="K3744" s="3">
        <f>I3744-J3744</f>
        <v>1</v>
      </c>
      <c r="L3744" s="3" t="str">
        <f t="shared" si="414"/>
        <v>OPORTUNO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41</v>
      </c>
      <c r="C3745" t="s">
        <v>18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 t="shared" si="414"/>
        <v>OPORTUNO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42</v>
      </c>
      <c r="C3746" t="s">
        <v>43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17</v>
      </c>
      <c r="K3746" s="3">
        <f>I3746-J3746</f>
        <v>7</v>
      </c>
      <c r="L3746" s="3" t="str">
        <f t="shared" si="414"/>
        <v>MUITO BOM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44</v>
      </c>
      <c r="C3747" t="s">
        <v>18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29</v>
      </c>
      <c r="K3747" s="3">
        <f>I3747-J3747</f>
        <v>-5</v>
      </c>
      <c r="L3747" s="3" t="str">
        <f t="shared" si="414"/>
        <v>ATENÇÃO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45</v>
      </c>
      <c r="C3748" t="s">
        <v>43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17</v>
      </c>
      <c r="K3748" s="3">
        <f>I3748-J3748</f>
        <v>-1</v>
      </c>
      <c r="L3748" s="3" t="str">
        <f t="shared" si="414"/>
        <v>ATENÇÃO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46</v>
      </c>
      <c r="C3749" t="s">
        <v>18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29</v>
      </c>
      <c r="K3749" s="3">
        <f>I3749-J3749</f>
        <v>-4</v>
      </c>
      <c r="L3749" s="3" t="str">
        <f t="shared" si="414"/>
        <v>ATENÇÃO</v>
      </c>
      <c r="N3749">
        <v>99.15</v>
      </c>
      <c r="O3749">
        <v>27.370689655172409</v>
      </c>
    </row>
    <row r="3750" spans="1:15" hidden="1" x14ac:dyDescent="0.25">
      <c r="A3750" s="11">
        <v>46119</v>
      </c>
      <c r="B3750" t="s">
        <v>47</v>
      </c>
      <c r="C3750" t="s">
        <v>16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23</v>
      </c>
      <c r="K3750" s="3">
        <f>I3750-J3750</f>
        <v>6</v>
      </c>
      <c r="L3750" s="3" t="str">
        <f t="shared" si="414"/>
        <v>MUITO BOM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48</v>
      </c>
      <c r="C3751" t="s">
        <v>16</v>
      </c>
      <c r="D3751">
        <v>0</v>
      </c>
      <c r="E3751">
        <v>0</v>
      </c>
      <c r="F3751">
        <v>0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 t="shared" si="414"/>
        <v>OPORTUNO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49</v>
      </c>
      <c r="C3752" t="s">
        <v>18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ref="I3752:I3767" si="421">E3752+G3752+H3752</f>
        <v>30</v>
      </c>
      <c r="J3752" s="3">
        <f t="shared" ref="J3752:J3767" si="422"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29</v>
      </c>
      <c r="K3752" s="3">
        <f t="shared" ref="K3752:K3767" si="423">I3752-J3752</f>
        <v>1</v>
      </c>
      <c r="L3752" s="3" t="str">
        <f t="shared" si="414"/>
        <v>OPORTUNO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50</v>
      </c>
      <c r="C3753" t="s">
        <v>20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421"/>
        <v>12</v>
      </c>
      <c r="J3753" s="3">
        <f t="shared" si="422"/>
        <v>19</v>
      </c>
      <c r="K3753" s="3">
        <f t="shared" si="423"/>
        <v>-7</v>
      </c>
      <c r="L3753" s="3" t="str">
        <f t="shared" si="414"/>
        <v>CRÍTICO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51</v>
      </c>
      <c r="C3754" t="s">
        <v>23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421"/>
        <v>10</v>
      </c>
      <c r="J3754" s="3">
        <f t="shared" si="422"/>
        <v>8</v>
      </c>
      <c r="K3754" s="3">
        <f t="shared" si="423"/>
        <v>2</v>
      </c>
      <c r="L3754" s="3" t="str">
        <f t="shared" si="414"/>
        <v>OPORTUNO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52</v>
      </c>
      <c r="C3755" t="s">
        <v>18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421"/>
        <v>43</v>
      </c>
      <c r="J3755" s="3">
        <f t="shared" si="422"/>
        <v>29</v>
      </c>
      <c r="K3755" s="3">
        <f t="shared" si="423"/>
        <v>14</v>
      </c>
      <c r="L3755" s="3" t="str">
        <f t="shared" si="414"/>
        <v>MUITO BOM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53</v>
      </c>
      <c r="C3756" t="s">
        <v>18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421"/>
        <v>35</v>
      </c>
      <c r="J3756" s="3">
        <f t="shared" si="422"/>
        <v>29</v>
      </c>
      <c r="K3756" s="3">
        <f t="shared" si="423"/>
        <v>6</v>
      </c>
      <c r="L3756" s="3" t="str">
        <f t="shared" si="414"/>
        <v>MUITO BOM</v>
      </c>
      <c r="N3756">
        <v>95.49</v>
      </c>
      <c r="O3756">
        <v>28.16901408450704</v>
      </c>
    </row>
    <row r="3757" spans="1:15" hidden="1" x14ac:dyDescent="0.25">
      <c r="A3757" s="11">
        <v>46119</v>
      </c>
      <c r="B3757" t="s">
        <v>54</v>
      </c>
      <c r="C3757" t="s">
        <v>23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421"/>
        <v>10</v>
      </c>
      <c r="J3757" s="3">
        <f t="shared" si="422"/>
        <v>8</v>
      </c>
      <c r="K3757" s="3">
        <f t="shared" si="423"/>
        <v>2</v>
      </c>
      <c r="L3757" s="3" t="str">
        <f t="shared" si="414"/>
        <v>OPORTUNO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55</v>
      </c>
      <c r="C3758" t="s">
        <v>43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421"/>
        <v>19</v>
      </c>
      <c r="J3758" s="3">
        <f t="shared" si="422"/>
        <v>17</v>
      </c>
      <c r="K3758" s="3">
        <f t="shared" si="423"/>
        <v>2</v>
      </c>
      <c r="L3758" s="3" t="str">
        <f t="shared" si="414"/>
        <v>OPORTUNO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56</v>
      </c>
      <c r="C3759" t="s">
        <v>16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421"/>
        <v>19</v>
      </c>
      <c r="J3759" s="3">
        <f t="shared" si="422"/>
        <v>23</v>
      </c>
      <c r="K3759" s="3">
        <f t="shared" si="423"/>
        <v>-4</v>
      </c>
      <c r="L3759" s="3" t="str">
        <f t="shared" si="414"/>
        <v>ATENÇÃO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57</v>
      </c>
      <c r="C3760" t="s">
        <v>43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421"/>
        <v>16</v>
      </c>
      <c r="J3760" s="3">
        <f t="shared" si="422"/>
        <v>17</v>
      </c>
      <c r="K3760" s="3">
        <f t="shared" si="423"/>
        <v>-1</v>
      </c>
      <c r="L3760" s="3" t="str">
        <f t="shared" si="414"/>
        <v>ATENÇÃO</v>
      </c>
      <c r="N3760">
        <v>98.84</v>
      </c>
      <c r="O3760">
        <v>31.5018315018315</v>
      </c>
    </row>
    <row r="3761" spans="1:15" hidden="1" x14ac:dyDescent="0.25">
      <c r="A3761" s="11">
        <v>46119</v>
      </c>
      <c r="B3761" t="s">
        <v>58</v>
      </c>
      <c r="C3761" t="s">
        <v>43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421"/>
        <v>16</v>
      </c>
      <c r="J3761" s="3">
        <f t="shared" si="422"/>
        <v>17</v>
      </c>
      <c r="K3761" s="3">
        <f t="shared" si="423"/>
        <v>-1</v>
      </c>
      <c r="L3761" s="3" t="str">
        <f t="shared" si="414"/>
        <v>ATENÇÃO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59</v>
      </c>
      <c r="C3762" t="s">
        <v>23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421"/>
        <v>9</v>
      </c>
      <c r="J3762" s="3">
        <f t="shared" si="422"/>
        <v>8</v>
      </c>
      <c r="K3762" s="3">
        <f t="shared" si="423"/>
        <v>1</v>
      </c>
      <c r="L3762" s="3" t="str">
        <f t="shared" si="414"/>
        <v>OPORTUNO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60</v>
      </c>
      <c r="C3763" t="s">
        <v>20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421"/>
        <v>31</v>
      </c>
      <c r="J3763" s="3">
        <f t="shared" si="422"/>
        <v>19</v>
      </c>
      <c r="K3763" s="3">
        <f t="shared" si="423"/>
        <v>12</v>
      </c>
      <c r="L3763" s="3" t="str">
        <f t="shared" si="414"/>
        <v>MUITO BOM</v>
      </c>
      <c r="N3763">
        <v>98.32</v>
      </c>
      <c r="O3763">
        <v>26.618705035971221</v>
      </c>
    </row>
    <row r="3764" spans="1:15" hidden="1" x14ac:dyDescent="0.25">
      <c r="A3764" s="11">
        <v>46119</v>
      </c>
      <c r="B3764" t="s">
        <v>61</v>
      </c>
      <c r="C3764" t="s">
        <v>18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421"/>
        <v>39</v>
      </c>
      <c r="J3764" s="3">
        <f t="shared" si="422"/>
        <v>29</v>
      </c>
      <c r="K3764" s="3">
        <f t="shared" si="423"/>
        <v>10</v>
      </c>
      <c r="L3764" s="3" t="str">
        <f t="shared" si="414"/>
        <v>MUITO BOM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62</v>
      </c>
      <c r="C3765" t="s">
        <v>20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421"/>
        <v>21</v>
      </c>
      <c r="J3765" s="3">
        <f t="shared" si="422"/>
        <v>19</v>
      </c>
      <c r="K3765" s="3">
        <f t="shared" si="423"/>
        <v>2</v>
      </c>
      <c r="L3765" s="3" t="str">
        <f t="shared" si="414"/>
        <v>OPORTUNO</v>
      </c>
      <c r="N3765">
        <v>100</v>
      </c>
      <c r="O3765">
        <v>26.027397260273968</v>
      </c>
    </row>
    <row r="3766" spans="1:15" hidden="1" x14ac:dyDescent="0.25">
      <c r="A3766" s="11">
        <v>46119</v>
      </c>
      <c r="B3766" t="s">
        <v>63</v>
      </c>
      <c r="C3766" t="s">
        <v>18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421"/>
        <v>31</v>
      </c>
      <c r="J3766" s="3">
        <f t="shared" si="422"/>
        <v>29</v>
      </c>
      <c r="K3766" s="3">
        <f t="shared" si="423"/>
        <v>2</v>
      </c>
      <c r="L3766" s="3" t="str">
        <f t="shared" si="414"/>
        <v>OPORTUNO</v>
      </c>
      <c r="N3766">
        <v>99.21</v>
      </c>
      <c r="O3766">
        <v>24.937027707808561</v>
      </c>
    </row>
    <row r="3767" spans="1:15" hidden="1" x14ac:dyDescent="0.25">
      <c r="A3767" s="11">
        <v>46120</v>
      </c>
      <c r="B3767" t="s">
        <v>15</v>
      </c>
      <c r="C3767" t="s">
        <v>16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421"/>
        <v>25</v>
      </c>
      <c r="J3767" s="3">
        <f t="shared" si="422"/>
        <v>22</v>
      </c>
      <c r="K3767" s="3">
        <f t="shared" si="423"/>
        <v>3</v>
      </c>
      <c r="L3767" s="3" t="str">
        <f t="shared" si="414"/>
        <v>OPORTUNO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17</v>
      </c>
      <c r="C3768" t="s">
        <v>18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 t="shared" si="414"/>
        <v>OPORTUNO</v>
      </c>
      <c r="N3768">
        <v>98.66</v>
      </c>
      <c r="O3768">
        <v>35.15625</v>
      </c>
    </row>
    <row r="3769" spans="1:15" hidden="1" x14ac:dyDescent="0.25">
      <c r="A3769" s="11">
        <v>46120</v>
      </c>
      <c r="B3769" t="s">
        <v>19</v>
      </c>
      <c r="C3769" t="s">
        <v>20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ref="I3769:I3776" si="424">E3769+G3769+H3769</f>
        <v>33</v>
      </c>
      <c r="J3769" s="3">
        <f t="shared" ref="J3769:J3776" si="425"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18</v>
      </c>
      <c r="K3769" s="3">
        <f t="shared" ref="K3769:K3776" si="426">I3769-J3769</f>
        <v>15</v>
      </c>
      <c r="L3769" s="3" t="str">
        <f t="shared" si="414"/>
        <v>MUITO BOM</v>
      </c>
      <c r="N3769">
        <v>99.32</v>
      </c>
      <c r="O3769">
        <v>30.45186640471513</v>
      </c>
    </row>
    <row r="3770" spans="1:15" hidden="1" x14ac:dyDescent="0.25">
      <c r="A3770" s="11">
        <v>46120</v>
      </c>
      <c r="B3770" t="s">
        <v>21</v>
      </c>
      <c r="C3770" t="s">
        <v>18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424"/>
        <v>35</v>
      </c>
      <c r="J3770" s="3">
        <f t="shared" si="425"/>
        <v>28</v>
      </c>
      <c r="K3770" s="3">
        <f t="shared" si="426"/>
        <v>7</v>
      </c>
      <c r="L3770" s="3" t="str">
        <f t="shared" si="414"/>
        <v>MUITO BOM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22</v>
      </c>
      <c r="C3771" t="s">
        <v>23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424"/>
        <v>15</v>
      </c>
      <c r="J3771" s="3">
        <f t="shared" si="425"/>
        <v>8</v>
      </c>
      <c r="K3771" s="3">
        <f t="shared" si="426"/>
        <v>7</v>
      </c>
      <c r="L3771" s="3" t="str">
        <f t="shared" ref="L3771:L3834" si="427">IF(K3771&lt;-5,"CRÍTICO",IF(K3771&lt;0,"ATENÇÃO",IF(K3771&lt;=5,"OPORTUNO","MUITO BOM")))</f>
        <v>MUITO BOM</v>
      </c>
      <c r="N3771">
        <v>96.74</v>
      </c>
      <c r="O3771">
        <v>28.43137254901961</v>
      </c>
    </row>
    <row r="3772" spans="1:15" hidden="1" x14ac:dyDescent="0.25">
      <c r="A3772" s="11">
        <v>46120</v>
      </c>
      <c r="B3772" t="s">
        <v>24</v>
      </c>
      <c r="C3772" t="s">
        <v>16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424"/>
        <v>27</v>
      </c>
      <c r="J3772" s="3">
        <f t="shared" si="425"/>
        <v>22</v>
      </c>
      <c r="K3772" s="3">
        <f t="shared" si="426"/>
        <v>5</v>
      </c>
      <c r="L3772" s="3" t="str">
        <f t="shared" si="427"/>
        <v>OPORTUNO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25</v>
      </c>
      <c r="C3773" t="s">
        <v>16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424"/>
        <v>14</v>
      </c>
      <c r="J3773" s="3">
        <f t="shared" si="425"/>
        <v>22</v>
      </c>
      <c r="K3773" s="3">
        <f t="shared" si="426"/>
        <v>-8</v>
      </c>
      <c r="L3773" s="3" t="str">
        <f t="shared" si="427"/>
        <v>CRÍTICO</v>
      </c>
      <c r="N3773">
        <v>98.2</v>
      </c>
      <c r="O3773">
        <v>26.890756302521009</v>
      </c>
    </row>
    <row r="3774" spans="1:15" hidden="1" x14ac:dyDescent="0.25">
      <c r="A3774" s="11">
        <v>46120</v>
      </c>
      <c r="B3774" t="s">
        <v>26</v>
      </c>
      <c r="C3774" t="s">
        <v>23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424"/>
        <v>4</v>
      </c>
      <c r="J3774" s="3">
        <f t="shared" si="425"/>
        <v>8</v>
      </c>
      <c r="K3774" s="3">
        <f t="shared" si="426"/>
        <v>-4</v>
      </c>
      <c r="L3774" s="3" t="str">
        <f t="shared" si="427"/>
        <v>ATENÇÃO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27</v>
      </c>
      <c r="C3775" t="s">
        <v>20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424"/>
        <v>22</v>
      </c>
      <c r="J3775" s="3">
        <f t="shared" si="425"/>
        <v>18</v>
      </c>
      <c r="K3775" s="3">
        <f t="shared" si="426"/>
        <v>4</v>
      </c>
      <c r="L3775" s="3" t="str">
        <f t="shared" si="427"/>
        <v>OPORTUNO</v>
      </c>
      <c r="N3775">
        <v>96.3</v>
      </c>
      <c r="O3775">
        <v>31.980906921241051</v>
      </c>
    </row>
    <row r="3776" spans="1:15" hidden="1" x14ac:dyDescent="0.25">
      <c r="A3776" s="11">
        <v>46120</v>
      </c>
      <c r="B3776" t="s">
        <v>28</v>
      </c>
      <c r="C3776" t="s">
        <v>18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424"/>
        <v>21</v>
      </c>
      <c r="J3776" s="3">
        <f t="shared" si="425"/>
        <v>28</v>
      </c>
      <c r="K3776" s="3">
        <f t="shared" si="426"/>
        <v>-7</v>
      </c>
      <c r="L3776" s="3" t="str">
        <f t="shared" si="427"/>
        <v>CRÍTICO</v>
      </c>
      <c r="N3776">
        <v>93.75</v>
      </c>
      <c r="O3776">
        <v>26.628352490421459</v>
      </c>
    </row>
    <row r="3777" spans="1:15" hidden="1" x14ac:dyDescent="0.25">
      <c r="A3777" s="11">
        <v>46120</v>
      </c>
      <c r="B3777" t="s">
        <v>29</v>
      </c>
      <c r="C3777" t="s">
        <v>16</v>
      </c>
      <c r="D3777">
        <v>0</v>
      </c>
      <c r="E3777">
        <v>0</v>
      </c>
      <c r="F3777">
        <v>0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 t="shared" si="427"/>
        <v>OPORTUNO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30</v>
      </c>
      <c r="C3778" t="s">
        <v>20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18</v>
      </c>
      <c r="K3778" s="3">
        <f>I3778-J3778</f>
        <v>10</v>
      </c>
      <c r="L3778" s="3" t="str">
        <f t="shared" si="427"/>
        <v>MUITO BOM</v>
      </c>
      <c r="N3778">
        <v>100</v>
      </c>
      <c r="O3778">
        <v>36.231884057971023</v>
      </c>
    </row>
    <row r="3779" spans="1:15" hidden="1" x14ac:dyDescent="0.25">
      <c r="A3779" s="11">
        <v>46120</v>
      </c>
      <c r="B3779" t="s">
        <v>31</v>
      </c>
      <c r="C3779" t="s">
        <v>18</v>
      </c>
      <c r="D3779">
        <v>0</v>
      </c>
      <c r="E3779">
        <v>0</v>
      </c>
      <c r="F3779">
        <v>0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 t="shared" si="427"/>
        <v>OPORTUNO</v>
      </c>
      <c r="N3779">
        <v>100</v>
      </c>
      <c r="O3779">
        <v>38.269230769230766</v>
      </c>
    </row>
    <row r="3780" spans="1:15" hidden="1" x14ac:dyDescent="0.25">
      <c r="A3780" s="11">
        <v>46120</v>
      </c>
      <c r="B3780" t="s">
        <v>32</v>
      </c>
      <c r="C3780" t="s">
        <v>23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8</v>
      </c>
      <c r="K3780" s="3">
        <f>I3780-J3780</f>
        <v>-4</v>
      </c>
      <c r="L3780" s="3" t="str">
        <f t="shared" si="427"/>
        <v>ATENÇÃO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33</v>
      </c>
      <c r="C3781" t="s">
        <v>16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22</v>
      </c>
      <c r="K3781" s="3">
        <f>I3781-J3781</f>
        <v>5</v>
      </c>
      <c r="L3781" s="3" t="str">
        <f t="shared" si="427"/>
        <v>OPORTUNO</v>
      </c>
      <c r="N3781">
        <v>97.83</v>
      </c>
      <c r="O3781">
        <v>28.131868131868131</v>
      </c>
    </row>
    <row r="3782" spans="1:15" hidden="1" x14ac:dyDescent="0.25">
      <c r="A3782" s="11">
        <v>46120</v>
      </c>
      <c r="B3782" t="s">
        <v>34</v>
      </c>
      <c r="C3782" t="s">
        <v>18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28</v>
      </c>
      <c r="K3782" s="3">
        <f>I3782-J3782</f>
        <v>-2</v>
      </c>
      <c r="L3782" s="3" t="str">
        <f t="shared" si="427"/>
        <v>ATENÇÃO</v>
      </c>
      <c r="N3782">
        <v>99.26</v>
      </c>
      <c r="O3782">
        <v>29.57198443579767</v>
      </c>
    </row>
    <row r="3783" spans="1:15" hidden="1" x14ac:dyDescent="0.25">
      <c r="A3783" s="11">
        <v>46120</v>
      </c>
      <c r="B3783" t="s">
        <v>35</v>
      </c>
      <c r="C3783" t="s">
        <v>16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22</v>
      </c>
      <c r="K3783" s="3">
        <f>I3783-J3783</f>
        <v>11</v>
      </c>
      <c r="L3783" s="3" t="str">
        <f t="shared" si="427"/>
        <v>MUITO BOM</v>
      </c>
      <c r="N3783">
        <v>99.19</v>
      </c>
      <c r="O3783">
        <v>29.462365591397852</v>
      </c>
    </row>
    <row r="3784" spans="1:15" hidden="1" x14ac:dyDescent="0.25">
      <c r="A3784" s="11">
        <v>46167</v>
      </c>
      <c r="B3784" t="s">
        <v>35</v>
      </c>
      <c r="C3784" t="s">
        <v>16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 t="shared" si="427"/>
        <v>OPORTUNO</v>
      </c>
    </row>
    <row r="3785" spans="1:15" hidden="1" x14ac:dyDescent="0.25">
      <c r="A3785" s="11">
        <v>46120</v>
      </c>
      <c r="B3785" t="s">
        <v>37</v>
      </c>
      <c r="C3785" t="s">
        <v>16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 t="shared" si="427"/>
        <v>OPORTUNO</v>
      </c>
      <c r="N3785">
        <v>100</v>
      </c>
      <c r="O3785">
        <v>27.941176470588239</v>
      </c>
    </row>
    <row r="3786" spans="1:15" hidden="1" x14ac:dyDescent="0.25">
      <c r="A3786" s="11">
        <v>46120</v>
      </c>
      <c r="B3786" t="s">
        <v>38</v>
      </c>
      <c r="C3786" t="s">
        <v>18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28</v>
      </c>
      <c r="K3786" s="3">
        <f>I3786-J3786</f>
        <v>9</v>
      </c>
      <c r="L3786" s="3" t="str">
        <f t="shared" si="427"/>
        <v>MUITO BOM</v>
      </c>
      <c r="N3786">
        <v>99.57</v>
      </c>
      <c r="O3786">
        <v>29.913294797687861</v>
      </c>
    </row>
    <row r="3787" spans="1:15" hidden="1" x14ac:dyDescent="0.25">
      <c r="A3787" s="11">
        <v>46120</v>
      </c>
      <c r="B3787" t="s">
        <v>39</v>
      </c>
      <c r="C3787" t="s">
        <v>18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 t="shared" si="427"/>
        <v>OPORTUNO</v>
      </c>
      <c r="N3787">
        <v>95.65</v>
      </c>
      <c r="O3787">
        <v>31.081081081081081</v>
      </c>
    </row>
    <row r="3788" spans="1:15" hidden="1" x14ac:dyDescent="0.25">
      <c r="A3788" s="11">
        <v>46120</v>
      </c>
      <c r="B3788" t="s">
        <v>40</v>
      </c>
      <c r="C3788" t="s">
        <v>16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22</v>
      </c>
      <c r="K3788" s="3">
        <f>I3788-J3788</f>
        <v>3</v>
      </c>
      <c r="L3788" s="3" t="str">
        <f t="shared" si="427"/>
        <v>OPORTUNO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41</v>
      </c>
      <c r="C3789" t="s">
        <v>18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 t="shared" si="427"/>
        <v>OPORTUNO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42</v>
      </c>
      <c r="C3790" t="s">
        <v>43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16</v>
      </c>
      <c r="K3790" s="3">
        <f>I3790-J3790</f>
        <v>6</v>
      </c>
      <c r="L3790" s="3" t="str">
        <f t="shared" si="427"/>
        <v>MUITO BOM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44</v>
      </c>
      <c r="C3791" t="s">
        <v>18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28</v>
      </c>
      <c r="K3791" s="3">
        <f>I3791-J3791</f>
        <v>-11</v>
      </c>
      <c r="L3791" s="3" t="str">
        <f t="shared" si="427"/>
        <v>CRÍTICO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45</v>
      </c>
      <c r="C3792" t="s">
        <v>43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16</v>
      </c>
      <c r="K3792" s="3">
        <f>I3792-J3792</f>
        <v>1</v>
      </c>
      <c r="L3792" s="3" t="str">
        <f t="shared" si="427"/>
        <v>OPORTUNO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46</v>
      </c>
      <c r="C3793" t="s">
        <v>18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28</v>
      </c>
      <c r="K3793" s="3">
        <f>I3793-J3793</f>
        <v>1</v>
      </c>
      <c r="L3793" s="3" t="str">
        <f t="shared" si="427"/>
        <v>OPORTUNO</v>
      </c>
      <c r="N3793">
        <v>99.15</v>
      </c>
      <c r="O3793">
        <v>27.370689655172409</v>
      </c>
    </row>
    <row r="3794" spans="1:15" hidden="1" x14ac:dyDescent="0.25">
      <c r="A3794" s="11">
        <v>46120</v>
      </c>
      <c r="B3794" t="s">
        <v>47</v>
      </c>
      <c r="C3794" t="s">
        <v>16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22</v>
      </c>
      <c r="K3794" s="3">
        <f>I3794-J3794</f>
        <v>2</v>
      </c>
      <c r="L3794" s="3" t="str">
        <f t="shared" si="427"/>
        <v>OPORTUNO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48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 t="shared" si="427"/>
        <v>OPORTUNO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49</v>
      </c>
      <c r="C3796" t="s">
        <v>18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28</v>
      </c>
      <c r="K3796" s="3">
        <f>I3796-J3796</f>
        <v>8</v>
      </c>
      <c r="L3796" s="3" t="str">
        <f t="shared" si="427"/>
        <v>MUITO BOM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50</v>
      </c>
      <c r="C3797" t="s">
        <v>20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18</v>
      </c>
      <c r="K3797" s="3">
        <f>I3797-J3797</f>
        <v>8</v>
      </c>
      <c r="L3797" s="3" t="str">
        <f t="shared" si="427"/>
        <v>MUITO BOM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51</v>
      </c>
      <c r="C3798" t="s">
        <v>23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 t="shared" si="427"/>
        <v>OPORTUNO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52</v>
      </c>
      <c r="C3799" t="s">
        <v>18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ref="I3799:I3811" si="428">E3799+G3799+H3799</f>
        <v>18</v>
      </c>
      <c r="J3799" s="3">
        <f t="shared" ref="J3799:J3811" si="429"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28</v>
      </c>
      <c r="K3799" s="3">
        <f t="shared" ref="K3799:K3811" si="430">I3799-J3799</f>
        <v>-10</v>
      </c>
      <c r="L3799" s="3" t="str">
        <f t="shared" si="427"/>
        <v>CRÍTICO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53</v>
      </c>
      <c r="C3800" t="s">
        <v>18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428"/>
        <v>37</v>
      </c>
      <c r="J3800" s="3">
        <f t="shared" si="429"/>
        <v>28</v>
      </c>
      <c r="K3800" s="3">
        <f t="shared" si="430"/>
        <v>9</v>
      </c>
      <c r="L3800" s="3" t="str">
        <f t="shared" si="427"/>
        <v>MUITO BOM</v>
      </c>
      <c r="N3800">
        <v>95.49</v>
      </c>
      <c r="O3800">
        <v>28.16901408450704</v>
      </c>
    </row>
    <row r="3801" spans="1:15" hidden="1" x14ac:dyDescent="0.25">
      <c r="A3801" s="11">
        <v>46120</v>
      </c>
      <c r="B3801" t="s">
        <v>54</v>
      </c>
      <c r="C3801" t="s">
        <v>23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428"/>
        <v>5</v>
      </c>
      <c r="J3801" s="3">
        <f t="shared" si="429"/>
        <v>8</v>
      </c>
      <c r="K3801" s="3">
        <f t="shared" si="430"/>
        <v>-3</v>
      </c>
      <c r="L3801" s="3" t="str">
        <f t="shared" si="427"/>
        <v>ATENÇÃO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55</v>
      </c>
      <c r="C3802" t="s">
        <v>43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428"/>
        <v>30</v>
      </c>
      <c r="J3802" s="3">
        <f t="shared" si="429"/>
        <v>16</v>
      </c>
      <c r="K3802" s="3">
        <f t="shared" si="430"/>
        <v>14</v>
      </c>
      <c r="L3802" s="3" t="str">
        <f t="shared" si="427"/>
        <v>MUITO BOM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56</v>
      </c>
      <c r="C3803" t="s">
        <v>16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si="428"/>
        <v>8</v>
      </c>
      <c r="J3803" s="3">
        <f t="shared" si="429"/>
        <v>22</v>
      </c>
      <c r="K3803" s="3">
        <f t="shared" si="430"/>
        <v>-14</v>
      </c>
      <c r="L3803" s="3" t="str">
        <f t="shared" si="427"/>
        <v>CRÍTICO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57</v>
      </c>
      <c r="C3804" t="s">
        <v>43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428"/>
        <v>17</v>
      </c>
      <c r="J3804" s="3">
        <f t="shared" si="429"/>
        <v>16</v>
      </c>
      <c r="K3804" s="3">
        <f t="shared" si="430"/>
        <v>1</v>
      </c>
      <c r="L3804" s="3" t="str">
        <f t="shared" si="427"/>
        <v>OPORTUNO</v>
      </c>
      <c r="N3804">
        <v>98.84</v>
      </c>
      <c r="O3804">
        <v>31.5018315018315</v>
      </c>
    </row>
    <row r="3805" spans="1:15" hidden="1" x14ac:dyDescent="0.25">
      <c r="A3805" s="11">
        <v>46120</v>
      </c>
      <c r="B3805" t="s">
        <v>58</v>
      </c>
      <c r="C3805" t="s">
        <v>43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428"/>
        <v>18</v>
      </c>
      <c r="J3805" s="3">
        <f t="shared" si="429"/>
        <v>16</v>
      </c>
      <c r="K3805" s="3">
        <f t="shared" si="430"/>
        <v>2</v>
      </c>
      <c r="L3805" s="3" t="str">
        <f t="shared" si="427"/>
        <v>OPORTUNO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59</v>
      </c>
      <c r="C3806" t="s">
        <v>23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428"/>
        <v>6</v>
      </c>
      <c r="J3806" s="3">
        <f t="shared" si="429"/>
        <v>8</v>
      </c>
      <c r="K3806" s="3">
        <f t="shared" si="430"/>
        <v>-2</v>
      </c>
      <c r="L3806" s="3" t="str">
        <f t="shared" si="427"/>
        <v>ATENÇÃO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60</v>
      </c>
      <c r="C3807" t="s">
        <v>20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428"/>
        <v>29</v>
      </c>
      <c r="J3807" s="3">
        <f t="shared" si="429"/>
        <v>18</v>
      </c>
      <c r="K3807" s="3">
        <f t="shared" si="430"/>
        <v>11</v>
      </c>
      <c r="L3807" s="3" t="str">
        <f t="shared" si="427"/>
        <v>MUITO BOM</v>
      </c>
      <c r="N3807">
        <v>98.32</v>
      </c>
      <c r="O3807">
        <v>26.618705035971221</v>
      </c>
    </row>
    <row r="3808" spans="1:15" hidden="1" x14ac:dyDescent="0.25">
      <c r="A3808" s="11">
        <v>46120</v>
      </c>
      <c r="B3808" t="s">
        <v>61</v>
      </c>
      <c r="C3808" t="s">
        <v>18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428"/>
        <v>39</v>
      </c>
      <c r="J3808" s="3">
        <f t="shared" si="429"/>
        <v>28</v>
      </c>
      <c r="K3808" s="3">
        <f t="shared" si="430"/>
        <v>11</v>
      </c>
      <c r="L3808" s="3" t="str">
        <f t="shared" si="427"/>
        <v>MUITO BOM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62</v>
      </c>
      <c r="C3809" t="s">
        <v>20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428"/>
        <v>23</v>
      </c>
      <c r="J3809" s="3">
        <f t="shared" si="429"/>
        <v>18</v>
      </c>
      <c r="K3809" s="3">
        <f t="shared" si="430"/>
        <v>5</v>
      </c>
      <c r="L3809" s="3" t="str">
        <f t="shared" si="427"/>
        <v>OPORTUNO</v>
      </c>
      <c r="N3809">
        <v>100</v>
      </c>
      <c r="O3809">
        <v>26.027397260273968</v>
      </c>
    </row>
    <row r="3810" spans="1:15" hidden="1" x14ac:dyDescent="0.25">
      <c r="A3810" s="11">
        <v>46120</v>
      </c>
      <c r="B3810" t="s">
        <v>63</v>
      </c>
      <c r="C3810" t="s">
        <v>18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428"/>
        <v>25</v>
      </c>
      <c r="J3810" s="3">
        <f t="shared" si="429"/>
        <v>28</v>
      </c>
      <c r="K3810" s="3">
        <f t="shared" si="430"/>
        <v>-3</v>
      </c>
      <c r="L3810" s="3" t="str">
        <f t="shared" si="427"/>
        <v>ATENÇÃO</v>
      </c>
      <c r="N3810">
        <v>99.21</v>
      </c>
      <c r="O3810">
        <v>24.937027707808561</v>
      </c>
    </row>
    <row r="3811" spans="1:15" hidden="1" x14ac:dyDescent="0.25">
      <c r="A3811" s="11">
        <v>46121</v>
      </c>
      <c r="B3811" t="s">
        <v>15</v>
      </c>
      <c r="C3811" t="s">
        <v>16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428"/>
        <v>11</v>
      </c>
      <c r="J3811" s="3">
        <f t="shared" si="429"/>
        <v>20</v>
      </c>
      <c r="K3811" s="3">
        <f t="shared" si="430"/>
        <v>-9</v>
      </c>
      <c r="L3811" s="3" t="str">
        <f t="shared" si="427"/>
        <v>CRÍTICO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17</v>
      </c>
      <c r="C3812" t="s">
        <v>18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 t="shared" si="427"/>
        <v>OPORTUNO</v>
      </c>
      <c r="N3812">
        <v>98.66</v>
      </c>
      <c r="O3812">
        <v>35.15625</v>
      </c>
    </row>
    <row r="3813" spans="1:15" hidden="1" x14ac:dyDescent="0.25">
      <c r="A3813" s="11">
        <v>46121</v>
      </c>
      <c r="B3813" t="s">
        <v>19</v>
      </c>
      <c r="C3813" t="s">
        <v>20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ref="I3813:I3820" si="431">E3813+G3813+H3813</f>
        <v>20</v>
      </c>
      <c r="J3813" s="3">
        <f t="shared" ref="J3813:J3820" si="432"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16</v>
      </c>
      <c r="K3813" s="3">
        <f t="shared" ref="K3813:K3820" si="433">I3813-J3813</f>
        <v>4</v>
      </c>
      <c r="L3813" s="3" t="str">
        <f t="shared" si="427"/>
        <v>OPORTUNO</v>
      </c>
      <c r="N3813">
        <v>99.32</v>
      </c>
      <c r="O3813">
        <v>30.45186640471513</v>
      </c>
    </row>
    <row r="3814" spans="1:15" hidden="1" x14ac:dyDescent="0.25">
      <c r="A3814" s="11">
        <v>46121</v>
      </c>
      <c r="B3814" t="s">
        <v>21</v>
      </c>
      <c r="C3814" t="s">
        <v>18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431"/>
        <v>21</v>
      </c>
      <c r="J3814" s="3">
        <f t="shared" si="432"/>
        <v>24</v>
      </c>
      <c r="K3814" s="3">
        <f t="shared" si="433"/>
        <v>-3</v>
      </c>
      <c r="L3814" s="3" t="str">
        <f t="shared" si="427"/>
        <v>ATENÇÃO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22</v>
      </c>
      <c r="C3815" t="s">
        <v>23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431"/>
        <v>17</v>
      </c>
      <c r="J3815" s="3">
        <f t="shared" si="432"/>
        <v>7</v>
      </c>
      <c r="K3815" s="3">
        <f t="shared" si="433"/>
        <v>10</v>
      </c>
      <c r="L3815" s="3" t="str">
        <f t="shared" si="427"/>
        <v>MUITO BOM</v>
      </c>
      <c r="N3815">
        <v>96.74</v>
      </c>
      <c r="O3815">
        <v>28.43137254901961</v>
      </c>
    </row>
    <row r="3816" spans="1:15" hidden="1" x14ac:dyDescent="0.25">
      <c r="A3816" s="11">
        <v>46121</v>
      </c>
      <c r="B3816" t="s">
        <v>24</v>
      </c>
      <c r="C3816" t="s">
        <v>16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431"/>
        <v>34</v>
      </c>
      <c r="J3816" s="3">
        <f t="shared" si="432"/>
        <v>20</v>
      </c>
      <c r="K3816" s="3">
        <f t="shared" si="433"/>
        <v>14</v>
      </c>
      <c r="L3816" s="3" t="str">
        <f t="shared" si="427"/>
        <v>MUITO BOM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25</v>
      </c>
      <c r="C3817" t="s">
        <v>16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431"/>
        <v>19</v>
      </c>
      <c r="J3817" s="3">
        <f t="shared" si="432"/>
        <v>20</v>
      </c>
      <c r="K3817" s="3">
        <f t="shared" si="433"/>
        <v>-1</v>
      </c>
      <c r="L3817" s="3" t="str">
        <f t="shared" si="427"/>
        <v>ATENÇÃO</v>
      </c>
      <c r="N3817">
        <v>98.2</v>
      </c>
      <c r="O3817">
        <v>26.890756302521009</v>
      </c>
    </row>
    <row r="3818" spans="1:15" hidden="1" x14ac:dyDescent="0.25">
      <c r="A3818" s="11">
        <v>46121</v>
      </c>
      <c r="B3818" t="s">
        <v>26</v>
      </c>
      <c r="C3818" t="s">
        <v>23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431"/>
        <v>6</v>
      </c>
      <c r="J3818" s="3">
        <f t="shared" si="432"/>
        <v>7</v>
      </c>
      <c r="K3818" s="3">
        <f t="shared" si="433"/>
        <v>-1</v>
      </c>
      <c r="L3818" s="3" t="str">
        <f t="shared" si="427"/>
        <v>ATENÇÃO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27</v>
      </c>
      <c r="C3819" t="s">
        <v>20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431"/>
        <v>22</v>
      </c>
      <c r="J3819" s="3">
        <f t="shared" si="432"/>
        <v>16</v>
      </c>
      <c r="K3819" s="3">
        <f t="shared" si="433"/>
        <v>6</v>
      </c>
      <c r="L3819" s="3" t="str">
        <f t="shared" si="427"/>
        <v>MUITO BOM</v>
      </c>
      <c r="N3819">
        <v>96.3</v>
      </c>
      <c r="O3819">
        <v>31.980906921241051</v>
      </c>
    </row>
    <row r="3820" spans="1:15" hidden="1" x14ac:dyDescent="0.25">
      <c r="A3820" s="11">
        <v>46121</v>
      </c>
      <c r="B3820" t="s">
        <v>28</v>
      </c>
      <c r="C3820" t="s">
        <v>18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431"/>
        <v>17</v>
      </c>
      <c r="J3820" s="3">
        <f t="shared" si="432"/>
        <v>24</v>
      </c>
      <c r="K3820" s="3">
        <f t="shared" si="433"/>
        <v>-7</v>
      </c>
      <c r="L3820" s="3" t="str">
        <f t="shared" si="427"/>
        <v>CRÍTICO</v>
      </c>
      <c r="N3820">
        <v>93.75</v>
      </c>
      <c r="O3820">
        <v>26.628352490421459</v>
      </c>
    </row>
    <row r="3821" spans="1:15" hidden="1" x14ac:dyDescent="0.25">
      <c r="A3821" s="11">
        <v>46121</v>
      </c>
      <c r="B3821" t="s">
        <v>29</v>
      </c>
      <c r="C3821" t="s">
        <v>16</v>
      </c>
      <c r="D3821">
        <v>0</v>
      </c>
      <c r="E3821">
        <v>0</v>
      </c>
      <c r="F3821">
        <v>0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 t="shared" si="427"/>
        <v>OPORTUNO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30</v>
      </c>
      <c r="C3822" t="s">
        <v>20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16</v>
      </c>
      <c r="K3822" s="3">
        <f>I3822-J3822</f>
        <v>6</v>
      </c>
      <c r="L3822" s="3" t="str">
        <f t="shared" si="427"/>
        <v>MUITO BOM</v>
      </c>
      <c r="N3822">
        <v>100</v>
      </c>
      <c r="O3822">
        <v>36.231884057971023</v>
      </c>
    </row>
    <row r="3823" spans="1:15" hidden="1" x14ac:dyDescent="0.25">
      <c r="A3823" s="11">
        <v>46121</v>
      </c>
      <c r="B3823" t="s">
        <v>31</v>
      </c>
      <c r="C3823" t="s">
        <v>18</v>
      </c>
      <c r="D3823">
        <v>0</v>
      </c>
      <c r="E3823">
        <v>0</v>
      </c>
      <c r="F3823">
        <v>0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 t="shared" si="427"/>
        <v>OPORTUNO</v>
      </c>
      <c r="N3823">
        <v>100</v>
      </c>
      <c r="O3823">
        <v>38.269230769230766</v>
      </c>
    </row>
    <row r="3824" spans="1:15" hidden="1" x14ac:dyDescent="0.25">
      <c r="A3824" s="11">
        <v>46121</v>
      </c>
      <c r="B3824" t="s">
        <v>32</v>
      </c>
      <c r="C3824" t="s">
        <v>23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 t="shared" si="427"/>
        <v>MUITO BOM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33</v>
      </c>
      <c r="C3825" t="s">
        <v>16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20</v>
      </c>
      <c r="K3825" s="3">
        <f>I3825-J3825</f>
        <v>2</v>
      </c>
      <c r="L3825" s="3" t="str">
        <f t="shared" si="427"/>
        <v>OPORTUNO</v>
      </c>
      <c r="N3825">
        <v>97.83</v>
      </c>
      <c r="O3825">
        <v>28.131868131868131</v>
      </c>
    </row>
    <row r="3826" spans="1:15" hidden="1" x14ac:dyDescent="0.25">
      <c r="A3826" s="11">
        <v>46121</v>
      </c>
      <c r="B3826" t="s">
        <v>34</v>
      </c>
      <c r="C3826" t="s">
        <v>18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24</v>
      </c>
      <c r="K3826" s="3">
        <f>I3826-J3826</f>
        <v>-2</v>
      </c>
      <c r="L3826" s="3" t="str">
        <f t="shared" si="427"/>
        <v>ATENÇÃO</v>
      </c>
      <c r="N3826">
        <v>99.26</v>
      </c>
      <c r="O3826">
        <v>29.57198443579767</v>
      </c>
    </row>
    <row r="3827" spans="1:15" hidden="1" x14ac:dyDescent="0.25">
      <c r="A3827" s="11">
        <v>46121</v>
      </c>
      <c r="B3827" t="s">
        <v>35</v>
      </c>
      <c r="C3827" t="s">
        <v>16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20</v>
      </c>
      <c r="K3827" s="3">
        <f>I3827-J3827</f>
        <v>-8</v>
      </c>
      <c r="L3827" s="3" t="str">
        <f t="shared" si="427"/>
        <v>CRÍTICO</v>
      </c>
      <c r="N3827">
        <v>99.19</v>
      </c>
      <c r="O3827">
        <v>29.462365591397852</v>
      </c>
    </row>
    <row r="3828" spans="1:15" hidden="1" x14ac:dyDescent="0.25">
      <c r="A3828" s="11">
        <v>46167</v>
      </c>
      <c r="B3828" t="s">
        <v>37</v>
      </c>
      <c r="C3828" t="s">
        <v>16</v>
      </c>
      <c r="D3828">
        <v>27</v>
      </c>
      <c r="E3828">
        <v>23</v>
      </c>
      <c r="F3828">
        <v>15.42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 t="shared" si="427"/>
        <v>OPORTUNO</v>
      </c>
    </row>
    <row r="3829" spans="1:15" hidden="1" x14ac:dyDescent="0.25">
      <c r="A3829" s="11">
        <v>46121</v>
      </c>
      <c r="B3829" t="s">
        <v>37</v>
      </c>
      <c r="C3829" t="s">
        <v>16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 t="shared" si="427"/>
        <v>OPORTUNO</v>
      </c>
      <c r="N3829">
        <v>100</v>
      </c>
      <c r="O3829">
        <v>27.941176470588239</v>
      </c>
    </row>
    <row r="3830" spans="1:15" hidden="1" x14ac:dyDescent="0.25">
      <c r="A3830" s="11">
        <v>46121</v>
      </c>
      <c r="B3830" t="s">
        <v>38</v>
      </c>
      <c r="C3830" t="s">
        <v>18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24</v>
      </c>
      <c r="K3830" s="3">
        <f>I3830-J3830</f>
        <v>8</v>
      </c>
      <c r="L3830" s="3" t="str">
        <f t="shared" si="427"/>
        <v>MUITO BOM</v>
      </c>
      <c r="N3830">
        <v>99.57</v>
      </c>
      <c r="O3830">
        <v>29.913294797687861</v>
      </c>
    </row>
    <row r="3831" spans="1:15" hidden="1" x14ac:dyDescent="0.25">
      <c r="A3831" s="11">
        <v>46121</v>
      </c>
      <c r="B3831" t="s">
        <v>39</v>
      </c>
      <c r="C3831" t="s">
        <v>18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 t="shared" si="427"/>
        <v>OPORTUNO</v>
      </c>
      <c r="N3831">
        <v>95.65</v>
      </c>
      <c r="O3831">
        <v>31.081081081081081</v>
      </c>
    </row>
    <row r="3832" spans="1:15" hidden="1" x14ac:dyDescent="0.25">
      <c r="A3832" s="11">
        <v>46121</v>
      </c>
      <c r="B3832" t="s">
        <v>40</v>
      </c>
      <c r="C3832" t="s">
        <v>16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20</v>
      </c>
      <c r="K3832" s="3">
        <f>I3832-J3832</f>
        <v>1</v>
      </c>
      <c r="L3832" s="3" t="str">
        <f t="shared" si="427"/>
        <v>OPORTUNO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41</v>
      </c>
      <c r="C3833" t="s">
        <v>18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 t="shared" si="427"/>
        <v>OPORTUNO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42</v>
      </c>
      <c r="C3834" t="s">
        <v>43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14</v>
      </c>
      <c r="K3834" s="3">
        <f>I3834-J3834</f>
        <v>14</v>
      </c>
      <c r="L3834" s="3" t="str">
        <f t="shared" si="427"/>
        <v>MUITO BOM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44</v>
      </c>
      <c r="C3835" t="s">
        <v>18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24</v>
      </c>
      <c r="K3835" s="3">
        <f>I3835-J3835</f>
        <v>-9</v>
      </c>
      <c r="L3835" s="3" t="str">
        <f t="shared" ref="L3835:L3898" si="434">IF(K3835&lt;-5,"CRÍTICO",IF(K3835&lt;0,"ATENÇÃO",IF(K3835&lt;=5,"OPORTUNO","MUITO BOM")))</f>
        <v>CRÍTICO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45</v>
      </c>
      <c r="C3836" t="s">
        <v>43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14</v>
      </c>
      <c r="K3836" s="3">
        <f>I3836-J3836</f>
        <v>1</v>
      </c>
      <c r="L3836" s="3" t="str">
        <f t="shared" si="434"/>
        <v>OPORTUNO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46</v>
      </c>
      <c r="C3837" t="s">
        <v>18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24</v>
      </c>
      <c r="K3837" s="3">
        <f>I3837-J3837</f>
        <v>-12</v>
      </c>
      <c r="L3837" s="3" t="str">
        <f t="shared" si="434"/>
        <v>CRÍTICO</v>
      </c>
      <c r="N3837">
        <v>99.15</v>
      </c>
      <c r="O3837">
        <v>27.370689655172409</v>
      </c>
    </row>
    <row r="3838" spans="1:15" hidden="1" x14ac:dyDescent="0.25">
      <c r="A3838" s="11">
        <v>46121</v>
      </c>
      <c r="B3838" t="s">
        <v>47</v>
      </c>
      <c r="C3838" t="s">
        <v>16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20</v>
      </c>
      <c r="K3838" s="3">
        <f>I3838-J3838</f>
        <v>-2</v>
      </c>
      <c r="L3838" s="3" t="str">
        <f t="shared" si="434"/>
        <v>ATENÇÃO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48</v>
      </c>
      <c r="C3839" t="s">
        <v>16</v>
      </c>
      <c r="D3839">
        <v>0</v>
      </c>
      <c r="E3839">
        <v>0</v>
      </c>
      <c r="F3839">
        <v>0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 t="shared" si="434"/>
        <v>OPORTUNO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49</v>
      </c>
      <c r="C3840" t="s">
        <v>18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ref="I3840:I3855" si="435">E3840+G3840+H3840</f>
        <v>30</v>
      </c>
      <c r="J3840" s="3">
        <f t="shared" ref="J3840:J3855" si="436"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24</v>
      </c>
      <c r="K3840" s="3">
        <f t="shared" ref="K3840:K3855" si="437">I3840-J3840</f>
        <v>6</v>
      </c>
      <c r="L3840" s="3" t="str">
        <f t="shared" si="434"/>
        <v>MUITO BOM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50</v>
      </c>
      <c r="C3841" t="s">
        <v>20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435"/>
        <v>23</v>
      </c>
      <c r="J3841" s="3">
        <f t="shared" si="436"/>
        <v>16</v>
      </c>
      <c r="K3841" s="3">
        <f t="shared" si="437"/>
        <v>7</v>
      </c>
      <c r="L3841" s="3" t="str">
        <f t="shared" si="434"/>
        <v>MUITO BOM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51</v>
      </c>
      <c r="C3842" t="s">
        <v>23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435"/>
        <v>9</v>
      </c>
      <c r="J3842" s="3">
        <f t="shared" si="436"/>
        <v>7</v>
      </c>
      <c r="K3842" s="3">
        <f t="shared" si="437"/>
        <v>2</v>
      </c>
      <c r="L3842" s="3" t="str">
        <f t="shared" si="434"/>
        <v>OPORTUNO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52</v>
      </c>
      <c r="C3843" t="s">
        <v>18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435"/>
        <v>27</v>
      </c>
      <c r="J3843" s="3">
        <f t="shared" si="436"/>
        <v>24</v>
      </c>
      <c r="K3843" s="3">
        <f t="shared" si="437"/>
        <v>3</v>
      </c>
      <c r="L3843" s="3" t="str">
        <f t="shared" si="434"/>
        <v>OPORTUNO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53</v>
      </c>
      <c r="C3844" t="s">
        <v>18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435"/>
        <v>30</v>
      </c>
      <c r="J3844" s="3">
        <f t="shared" si="436"/>
        <v>24</v>
      </c>
      <c r="K3844" s="3">
        <f t="shared" si="437"/>
        <v>6</v>
      </c>
      <c r="L3844" s="3" t="str">
        <f t="shared" si="434"/>
        <v>MUITO BOM</v>
      </c>
      <c r="N3844">
        <v>95.49</v>
      </c>
      <c r="O3844">
        <v>28.16901408450704</v>
      </c>
    </row>
    <row r="3845" spans="1:15" hidden="1" x14ac:dyDescent="0.25">
      <c r="A3845" s="11">
        <v>46121</v>
      </c>
      <c r="B3845" t="s">
        <v>54</v>
      </c>
      <c r="C3845" t="s">
        <v>23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435"/>
        <v>12</v>
      </c>
      <c r="J3845" s="3">
        <f t="shared" si="436"/>
        <v>7</v>
      </c>
      <c r="K3845" s="3">
        <f t="shared" si="437"/>
        <v>5</v>
      </c>
      <c r="L3845" s="3" t="str">
        <f t="shared" si="434"/>
        <v>OPORTUNO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55</v>
      </c>
      <c r="C3846" t="s">
        <v>43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435"/>
        <v>15</v>
      </c>
      <c r="J3846" s="3">
        <f t="shared" si="436"/>
        <v>14</v>
      </c>
      <c r="K3846" s="3">
        <f t="shared" si="437"/>
        <v>1</v>
      </c>
      <c r="L3846" s="3" t="str">
        <f t="shared" si="434"/>
        <v>OPORTUNO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56</v>
      </c>
      <c r="C3847" t="s">
        <v>16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435"/>
        <v>25</v>
      </c>
      <c r="J3847" s="3">
        <f t="shared" si="436"/>
        <v>20</v>
      </c>
      <c r="K3847" s="3">
        <f t="shared" si="437"/>
        <v>5</v>
      </c>
      <c r="L3847" s="3" t="str">
        <f t="shared" si="434"/>
        <v>OPORTUNO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57</v>
      </c>
      <c r="C3848" t="s">
        <v>43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435"/>
        <v>18</v>
      </c>
      <c r="J3848" s="3">
        <f t="shared" si="436"/>
        <v>14</v>
      </c>
      <c r="K3848" s="3">
        <f t="shared" si="437"/>
        <v>4</v>
      </c>
      <c r="L3848" s="3" t="str">
        <f t="shared" si="434"/>
        <v>OPORTUNO</v>
      </c>
      <c r="N3848">
        <v>98.84</v>
      </c>
      <c r="O3848">
        <v>31.5018315018315</v>
      </c>
    </row>
    <row r="3849" spans="1:15" hidden="1" x14ac:dyDescent="0.25">
      <c r="A3849" s="11">
        <v>46121</v>
      </c>
      <c r="B3849" t="s">
        <v>58</v>
      </c>
      <c r="C3849" t="s">
        <v>43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435"/>
        <v>21</v>
      </c>
      <c r="J3849" s="3">
        <f t="shared" si="436"/>
        <v>14</v>
      </c>
      <c r="K3849" s="3">
        <f t="shared" si="437"/>
        <v>7</v>
      </c>
      <c r="L3849" s="3" t="str">
        <f t="shared" si="434"/>
        <v>MUITO BOM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59</v>
      </c>
      <c r="C3850" t="s">
        <v>23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435"/>
        <v>6</v>
      </c>
      <c r="J3850" s="3">
        <f t="shared" si="436"/>
        <v>7</v>
      </c>
      <c r="K3850" s="3">
        <f t="shared" si="437"/>
        <v>-1</v>
      </c>
      <c r="L3850" s="3" t="str">
        <f t="shared" si="434"/>
        <v>ATENÇÃO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60</v>
      </c>
      <c r="C3851" t="s">
        <v>20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435"/>
        <v>31</v>
      </c>
      <c r="J3851" s="3">
        <f t="shared" si="436"/>
        <v>16</v>
      </c>
      <c r="K3851" s="3">
        <f t="shared" si="437"/>
        <v>15</v>
      </c>
      <c r="L3851" s="3" t="str">
        <f t="shared" si="434"/>
        <v>MUITO BOM</v>
      </c>
      <c r="N3851">
        <v>98.32</v>
      </c>
      <c r="O3851">
        <v>26.618705035971221</v>
      </c>
    </row>
    <row r="3852" spans="1:15" hidden="1" x14ac:dyDescent="0.25">
      <c r="A3852" s="11">
        <v>46121</v>
      </c>
      <c r="B3852" t="s">
        <v>61</v>
      </c>
      <c r="C3852" t="s">
        <v>18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435"/>
        <v>30</v>
      </c>
      <c r="J3852" s="3">
        <f t="shared" si="436"/>
        <v>24</v>
      </c>
      <c r="K3852" s="3">
        <f t="shared" si="437"/>
        <v>6</v>
      </c>
      <c r="L3852" s="3" t="str">
        <f t="shared" si="434"/>
        <v>MUITO BOM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62</v>
      </c>
      <c r="C3853" t="s">
        <v>20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435"/>
        <v>15</v>
      </c>
      <c r="J3853" s="3">
        <f t="shared" si="436"/>
        <v>16</v>
      </c>
      <c r="K3853" s="3">
        <f t="shared" si="437"/>
        <v>-1</v>
      </c>
      <c r="L3853" s="3" t="str">
        <f t="shared" si="434"/>
        <v>ATENÇÃO</v>
      </c>
      <c r="N3853">
        <v>100</v>
      </c>
      <c r="O3853">
        <v>26.027397260273968</v>
      </c>
    </row>
    <row r="3854" spans="1:15" hidden="1" x14ac:dyDescent="0.25">
      <c r="A3854" s="11">
        <v>46121</v>
      </c>
      <c r="B3854" t="s">
        <v>63</v>
      </c>
      <c r="C3854" t="s">
        <v>18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435"/>
        <v>30</v>
      </c>
      <c r="J3854" s="3">
        <f t="shared" si="436"/>
        <v>24</v>
      </c>
      <c r="K3854" s="3">
        <f t="shared" si="437"/>
        <v>6</v>
      </c>
      <c r="L3854" s="3" t="str">
        <f t="shared" si="434"/>
        <v>MUITO BOM</v>
      </c>
      <c r="N3854">
        <v>99.21</v>
      </c>
      <c r="O3854">
        <v>24.937027707808561</v>
      </c>
    </row>
    <row r="3855" spans="1:15" hidden="1" x14ac:dyDescent="0.25">
      <c r="A3855" s="11">
        <v>46122</v>
      </c>
      <c r="B3855" t="s">
        <v>15</v>
      </c>
      <c r="C3855" t="s">
        <v>16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435"/>
        <v>8</v>
      </c>
      <c r="J3855" s="3">
        <f t="shared" si="436"/>
        <v>19</v>
      </c>
      <c r="K3855" s="3">
        <f t="shared" si="437"/>
        <v>-11</v>
      </c>
      <c r="L3855" s="3" t="str">
        <f t="shared" si="434"/>
        <v>CRÍTICO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17</v>
      </c>
      <c r="C3856" t="s">
        <v>18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 t="shared" si="434"/>
        <v>OPORTUNO</v>
      </c>
      <c r="N3856">
        <v>98.66</v>
      </c>
      <c r="O3856">
        <v>35.15625</v>
      </c>
    </row>
    <row r="3857" spans="1:15" hidden="1" x14ac:dyDescent="0.25">
      <c r="A3857" s="11">
        <v>46122</v>
      </c>
      <c r="B3857" t="s">
        <v>19</v>
      </c>
      <c r="C3857" t="s">
        <v>20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ref="I3857:I3864" si="438">E3857+G3857+H3857</f>
        <v>34</v>
      </c>
      <c r="J3857" s="3">
        <f t="shared" ref="J3857:J3864" si="439"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16</v>
      </c>
      <c r="K3857" s="3">
        <f t="shared" ref="K3857:K3864" si="440">I3857-J3857</f>
        <v>18</v>
      </c>
      <c r="L3857" s="3" t="str">
        <f t="shared" si="434"/>
        <v>MUITO BOM</v>
      </c>
      <c r="N3857">
        <v>99.32</v>
      </c>
      <c r="O3857">
        <v>30.45186640471513</v>
      </c>
    </row>
    <row r="3858" spans="1:15" hidden="1" x14ac:dyDescent="0.25">
      <c r="A3858" s="11">
        <v>46122</v>
      </c>
      <c r="B3858" t="s">
        <v>21</v>
      </c>
      <c r="C3858" t="s">
        <v>18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438"/>
        <v>31</v>
      </c>
      <c r="J3858" s="3">
        <f t="shared" si="439"/>
        <v>24</v>
      </c>
      <c r="K3858" s="3">
        <f t="shared" si="440"/>
        <v>7</v>
      </c>
      <c r="L3858" s="3" t="str">
        <f t="shared" si="434"/>
        <v>MUITO BOM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22</v>
      </c>
      <c r="C3859" t="s">
        <v>23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438"/>
        <v>14</v>
      </c>
      <c r="J3859" s="3">
        <f t="shared" si="439"/>
        <v>7</v>
      </c>
      <c r="K3859" s="3">
        <f t="shared" si="440"/>
        <v>7</v>
      </c>
      <c r="L3859" s="3" t="str">
        <f t="shared" si="434"/>
        <v>MUITO BOM</v>
      </c>
      <c r="N3859">
        <v>96.74</v>
      </c>
      <c r="O3859">
        <v>28.43137254901961</v>
      </c>
    </row>
    <row r="3860" spans="1:15" hidden="1" x14ac:dyDescent="0.25">
      <c r="A3860" s="11">
        <v>46122</v>
      </c>
      <c r="B3860" t="s">
        <v>24</v>
      </c>
      <c r="C3860" t="s">
        <v>16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438"/>
        <v>32</v>
      </c>
      <c r="J3860" s="3">
        <f t="shared" si="439"/>
        <v>19</v>
      </c>
      <c r="K3860" s="3">
        <f t="shared" si="440"/>
        <v>13</v>
      </c>
      <c r="L3860" s="3" t="str">
        <f t="shared" si="434"/>
        <v>MUITO BOM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25</v>
      </c>
      <c r="C3861" t="s">
        <v>16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438"/>
        <v>21</v>
      </c>
      <c r="J3861" s="3">
        <f t="shared" si="439"/>
        <v>19</v>
      </c>
      <c r="K3861" s="3">
        <f t="shared" si="440"/>
        <v>2</v>
      </c>
      <c r="L3861" s="3" t="str">
        <f t="shared" si="434"/>
        <v>OPORTUNO</v>
      </c>
      <c r="N3861">
        <v>98.2</v>
      </c>
      <c r="O3861">
        <v>26.890756302521009</v>
      </c>
    </row>
    <row r="3862" spans="1:15" hidden="1" x14ac:dyDescent="0.25">
      <c r="A3862" s="11">
        <v>46122</v>
      </c>
      <c r="B3862" t="s">
        <v>26</v>
      </c>
      <c r="C3862" t="s">
        <v>23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438"/>
        <v>6</v>
      </c>
      <c r="J3862" s="3">
        <f t="shared" si="439"/>
        <v>7</v>
      </c>
      <c r="K3862" s="3">
        <f t="shared" si="440"/>
        <v>-1</v>
      </c>
      <c r="L3862" s="3" t="str">
        <f t="shared" si="434"/>
        <v>ATENÇÃO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27</v>
      </c>
      <c r="C3863" t="s">
        <v>20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438"/>
        <v>30</v>
      </c>
      <c r="J3863" s="3">
        <f t="shared" si="439"/>
        <v>16</v>
      </c>
      <c r="K3863" s="3">
        <f t="shared" si="440"/>
        <v>14</v>
      </c>
      <c r="L3863" s="3" t="str">
        <f t="shared" si="434"/>
        <v>MUITO BOM</v>
      </c>
      <c r="N3863">
        <v>96.3</v>
      </c>
      <c r="O3863">
        <v>31.980906921241051</v>
      </c>
    </row>
    <row r="3864" spans="1:15" hidden="1" x14ac:dyDescent="0.25">
      <c r="A3864" s="11">
        <v>46122</v>
      </c>
      <c r="B3864" t="s">
        <v>28</v>
      </c>
      <c r="C3864" t="s">
        <v>18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438"/>
        <v>21</v>
      </c>
      <c r="J3864" s="3">
        <f t="shared" si="439"/>
        <v>24</v>
      </c>
      <c r="K3864" s="3">
        <f t="shared" si="440"/>
        <v>-3</v>
      </c>
      <c r="L3864" s="3" t="str">
        <f t="shared" si="434"/>
        <v>ATENÇÃO</v>
      </c>
      <c r="N3864">
        <v>93.75</v>
      </c>
      <c r="O3864">
        <v>26.628352490421459</v>
      </c>
    </row>
    <row r="3865" spans="1:15" hidden="1" x14ac:dyDescent="0.25">
      <c r="A3865" s="11">
        <v>46122</v>
      </c>
      <c r="B3865" t="s">
        <v>29</v>
      </c>
      <c r="C3865" t="s">
        <v>16</v>
      </c>
      <c r="D3865">
        <v>0</v>
      </c>
      <c r="E3865">
        <v>0</v>
      </c>
      <c r="F3865">
        <v>0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 t="shared" si="434"/>
        <v>OPORTUNO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30</v>
      </c>
      <c r="C3866" t="s">
        <v>20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16</v>
      </c>
      <c r="K3866" s="3">
        <f>I3866-J3866</f>
        <v>2</v>
      </c>
      <c r="L3866" s="3" t="str">
        <f t="shared" si="434"/>
        <v>OPORTUNO</v>
      </c>
      <c r="N3866">
        <v>100</v>
      </c>
      <c r="O3866">
        <v>36.231884057971023</v>
      </c>
    </row>
    <row r="3867" spans="1:15" hidden="1" x14ac:dyDescent="0.25">
      <c r="A3867" s="11">
        <v>46122</v>
      </c>
      <c r="B3867" t="s">
        <v>31</v>
      </c>
      <c r="C3867" t="s">
        <v>18</v>
      </c>
      <c r="D3867">
        <v>0</v>
      </c>
      <c r="E3867">
        <v>0</v>
      </c>
      <c r="F3867">
        <v>0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 t="shared" si="434"/>
        <v>OPORTUNO</v>
      </c>
      <c r="N3867">
        <v>100</v>
      </c>
      <c r="O3867">
        <v>38.269230769230766</v>
      </c>
    </row>
    <row r="3868" spans="1:15" hidden="1" x14ac:dyDescent="0.25">
      <c r="A3868" s="11">
        <v>46122</v>
      </c>
      <c r="B3868" t="s">
        <v>32</v>
      </c>
      <c r="C3868" t="s">
        <v>23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 t="shared" si="434"/>
        <v>ATENÇÃO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33</v>
      </c>
      <c r="C3869" t="s">
        <v>16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19</v>
      </c>
      <c r="K3869" s="3">
        <f>I3869-J3869</f>
        <v>4</v>
      </c>
      <c r="L3869" s="3" t="str">
        <f t="shared" si="434"/>
        <v>OPORTUNO</v>
      </c>
      <c r="N3869">
        <v>97.83</v>
      </c>
      <c r="O3869">
        <v>28.131868131868131</v>
      </c>
    </row>
    <row r="3870" spans="1:15" hidden="1" x14ac:dyDescent="0.25">
      <c r="A3870" s="11">
        <v>46122</v>
      </c>
      <c r="B3870" t="s">
        <v>34</v>
      </c>
      <c r="C3870" t="s">
        <v>18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24</v>
      </c>
      <c r="K3870" s="3">
        <f>I3870-J3870</f>
        <v>7</v>
      </c>
      <c r="L3870" s="3" t="str">
        <f t="shared" si="434"/>
        <v>MUITO BOM</v>
      </c>
      <c r="N3870">
        <v>99.26</v>
      </c>
      <c r="O3870">
        <v>29.57198443579767</v>
      </c>
    </row>
    <row r="3871" spans="1:15" hidden="1" x14ac:dyDescent="0.25">
      <c r="A3871" s="11">
        <v>46122</v>
      </c>
      <c r="B3871" t="s">
        <v>35</v>
      </c>
      <c r="C3871" t="s">
        <v>16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19</v>
      </c>
      <c r="K3871" s="3">
        <f>I3871-J3871</f>
        <v>2</v>
      </c>
      <c r="L3871" s="3" t="str">
        <f t="shared" si="434"/>
        <v>OPORTUNO</v>
      </c>
      <c r="N3871">
        <v>99.19</v>
      </c>
      <c r="O3871">
        <v>29.462365591397852</v>
      </c>
    </row>
    <row r="3872" spans="1:15" hidden="1" x14ac:dyDescent="0.25">
      <c r="A3872" s="11">
        <v>46167</v>
      </c>
      <c r="B3872" t="s">
        <v>40</v>
      </c>
      <c r="C3872" t="s">
        <v>16</v>
      </c>
      <c r="D3872">
        <v>21</v>
      </c>
      <c r="E3872">
        <v>17</v>
      </c>
      <c r="F3872">
        <v>17.190000000000001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 t="shared" si="434"/>
        <v>OPORTUNO</v>
      </c>
    </row>
    <row r="3873" spans="1:15" hidden="1" x14ac:dyDescent="0.25">
      <c r="A3873" s="11">
        <v>46122</v>
      </c>
      <c r="B3873" t="s">
        <v>37</v>
      </c>
      <c r="C3873" t="s">
        <v>16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 t="shared" si="434"/>
        <v>OPORTUNO</v>
      </c>
      <c r="N3873">
        <v>100</v>
      </c>
      <c r="O3873">
        <v>27.941176470588239</v>
      </c>
    </row>
    <row r="3874" spans="1:15" hidden="1" x14ac:dyDescent="0.25">
      <c r="A3874" s="11">
        <v>46122</v>
      </c>
      <c r="B3874" t="s">
        <v>38</v>
      </c>
      <c r="C3874" t="s">
        <v>18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24</v>
      </c>
      <c r="K3874" s="3">
        <f>I3874-J3874</f>
        <v>8</v>
      </c>
      <c r="L3874" s="3" t="str">
        <f t="shared" si="434"/>
        <v>MUITO BOM</v>
      </c>
      <c r="N3874">
        <v>99.57</v>
      </c>
      <c r="O3874">
        <v>29.913294797687861</v>
      </c>
    </row>
    <row r="3875" spans="1:15" hidden="1" x14ac:dyDescent="0.25">
      <c r="A3875" s="11">
        <v>46122</v>
      </c>
      <c r="B3875" t="s">
        <v>39</v>
      </c>
      <c r="C3875" t="s">
        <v>18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 t="shared" si="434"/>
        <v>OPORTUNO</v>
      </c>
      <c r="N3875">
        <v>95.65</v>
      </c>
      <c r="O3875">
        <v>31.081081081081081</v>
      </c>
    </row>
    <row r="3876" spans="1:15" hidden="1" x14ac:dyDescent="0.25">
      <c r="A3876" s="11">
        <v>46122</v>
      </c>
      <c r="B3876" t="s">
        <v>40</v>
      </c>
      <c r="C3876" t="s">
        <v>16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19</v>
      </c>
      <c r="K3876" s="3">
        <f>I3876-J3876</f>
        <v>-2</v>
      </c>
      <c r="L3876" s="3" t="str">
        <f t="shared" si="434"/>
        <v>ATENÇÃO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41</v>
      </c>
      <c r="C3877" t="s">
        <v>18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 t="shared" si="434"/>
        <v>OPORTUNO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42</v>
      </c>
      <c r="C3878" t="s">
        <v>43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14</v>
      </c>
      <c r="K3878" s="3">
        <f>I3878-J3878</f>
        <v>2</v>
      </c>
      <c r="L3878" s="3" t="str">
        <f t="shared" si="434"/>
        <v>OPORTUNO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44</v>
      </c>
      <c r="C3879" t="s">
        <v>18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24</v>
      </c>
      <c r="K3879" s="3">
        <f>I3879-J3879</f>
        <v>-9</v>
      </c>
      <c r="L3879" s="3" t="str">
        <f t="shared" si="434"/>
        <v>CRÍTICO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45</v>
      </c>
      <c r="C3880" t="s">
        <v>43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14</v>
      </c>
      <c r="K3880" s="3">
        <f>I3880-J3880</f>
        <v>-3</v>
      </c>
      <c r="L3880" s="3" t="str">
        <f t="shared" si="434"/>
        <v>ATENÇÃO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46</v>
      </c>
      <c r="C3881" t="s">
        <v>18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24</v>
      </c>
      <c r="K3881" s="3">
        <f>I3881-J3881</f>
        <v>2</v>
      </c>
      <c r="L3881" s="3" t="str">
        <f t="shared" si="434"/>
        <v>OPORTUNO</v>
      </c>
      <c r="N3881">
        <v>99.15</v>
      </c>
      <c r="O3881">
        <v>27.370689655172409</v>
      </c>
    </row>
    <row r="3882" spans="1:15" hidden="1" x14ac:dyDescent="0.25">
      <c r="A3882" s="11">
        <v>46122</v>
      </c>
      <c r="B3882" t="s">
        <v>47</v>
      </c>
      <c r="C3882" t="s">
        <v>16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19</v>
      </c>
      <c r="K3882" s="3">
        <f>I3882-J3882</f>
        <v>0</v>
      </c>
      <c r="L3882" s="3" t="str">
        <f t="shared" si="434"/>
        <v>OPORTUNO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48</v>
      </c>
      <c r="C3883" t="s">
        <v>16</v>
      </c>
      <c r="D3883">
        <v>0</v>
      </c>
      <c r="E3883">
        <v>0</v>
      </c>
      <c r="F3883">
        <v>0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 t="shared" si="434"/>
        <v>OPORTUNO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49</v>
      </c>
      <c r="C3884" t="s">
        <v>18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ref="I3884:I3899" si="441">E3884+G3884+H3884</f>
        <v>37</v>
      </c>
      <c r="J3884" s="3">
        <f t="shared" ref="J3884:J3899" si="442"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24</v>
      </c>
      <c r="K3884" s="3">
        <f t="shared" ref="K3884:K3899" si="443">I3884-J3884</f>
        <v>13</v>
      </c>
      <c r="L3884" s="3" t="str">
        <f t="shared" si="434"/>
        <v>MUITO BOM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50</v>
      </c>
      <c r="C3885" t="s">
        <v>20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441"/>
        <v>18</v>
      </c>
      <c r="J3885" s="3">
        <f t="shared" si="442"/>
        <v>16</v>
      </c>
      <c r="K3885" s="3">
        <f t="shared" si="443"/>
        <v>2</v>
      </c>
      <c r="L3885" s="3" t="str">
        <f t="shared" si="434"/>
        <v>OPORTUNO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51</v>
      </c>
      <c r="C3886" t="s">
        <v>23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441"/>
        <v>18</v>
      </c>
      <c r="J3886" s="3">
        <f t="shared" si="442"/>
        <v>7</v>
      </c>
      <c r="K3886" s="3">
        <f t="shared" si="443"/>
        <v>11</v>
      </c>
      <c r="L3886" s="3" t="str">
        <f t="shared" si="434"/>
        <v>MUITO BOM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52</v>
      </c>
      <c r="C3887" t="s">
        <v>18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441"/>
        <v>11</v>
      </c>
      <c r="J3887" s="3">
        <f t="shared" si="442"/>
        <v>24</v>
      </c>
      <c r="K3887" s="3">
        <f t="shared" si="443"/>
        <v>-13</v>
      </c>
      <c r="L3887" s="3" t="str">
        <f t="shared" si="434"/>
        <v>CRÍTICO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53</v>
      </c>
      <c r="C3888" t="s">
        <v>18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441"/>
        <v>23</v>
      </c>
      <c r="J3888" s="3">
        <f t="shared" si="442"/>
        <v>24</v>
      </c>
      <c r="K3888" s="3">
        <f t="shared" si="443"/>
        <v>-1</v>
      </c>
      <c r="L3888" s="3" t="str">
        <f t="shared" si="434"/>
        <v>ATENÇÃO</v>
      </c>
      <c r="N3888">
        <v>95.49</v>
      </c>
      <c r="O3888">
        <v>28.16901408450704</v>
      </c>
    </row>
    <row r="3889" spans="1:15" hidden="1" x14ac:dyDescent="0.25">
      <c r="A3889" s="11">
        <v>46122</v>
      </c>
      <c r="B3889" t="s">
        <v>54</v>
      </c>
      <c r="C3889" t="s">
        <v>23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441"/>
        <v>16</v>
      </c>
      <c r="J3889" s="3">
        <f t="shared" si="442"/>
        <v>7</v>
      </c>
      <c r="K3889" s="3">
        <f t="shared" si="443"/>
        <v>9</v>
      </c>
      <c r="L3889" s="3" t="str">
        <f t="shared" si="434"/>
        <v>MUITO BOM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55</v>
      </c>
      <c r="C3890" t="s">
        <v>43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441"/>
        <v>31</v>
      </c>
      <c r="J3890" s="3">
        <f t="shared" si="442"/>
        <v>14</v>
      </c>
      <c r="K3890" s="3">
        <f t="shared" si="443"/>
        <v>17</v>
      </c>
      <c r="L3890" s="3" t="str">
        <f t="shared" si="434"/>
        <v>MUITO BOM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56</v>
      </c>
      <c r="C3891" t="s">
        <v>16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441"/>
        <v>18</v>
      </c>
      <c r="J3891" s="3">
        <f t="shared" si="442"/>
        <v>19</v>
      </c>
      <c r="K3891" s="3">
        <f t="shared" si="443"/>
        <v>-1</v>
      </c>
      <c r="L3891" s="3" t="str">
        <f t="shared" si="434"/>
        <v>ATENÇÃO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57</v>
      </c>
      <c r="C3892" t="s">
        <v>43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441"/>
        <v>12</v>
      </c>
      <c r="J3892" s="3">
        <f t="shared" si="442"/>
        <v>14</v>
      </c>
      <c r="K3892" s="3">
        <f t="shared" si="443"/>
        <v>-2</v>
      </c>
      <c r="L3892" s="3" t="str">
        <f t="shared" si="434"/>
        <v>ATENÇÃO</v>
      </c>
      <c r="N3892">
        <v>98.84</v>
      </c>
      <c r="O3892">
        <v>31.5018315018315</v>
      </c>
    </row>
    <row r="3893" spans="1:15" hidden="1" x14ac:dyDescent="0.25">
      <c r="A3893" s="11">
        <v>46122</v>
      </c>
      <c r="B3893" t="s">
        <v>58</v>
      </c>
      <c r="C3893" t="s">
        <v>43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441"/>
        <v>20</v>
      </c>
      <c r="J3893" s="3">
        <f t="shared" si="442"/>
        <v>14</v>
      </c>
      <c r="K3893" s="3">
        <f t="shared" si="443"/>
        <v>6</v>
      </c>
      <c r="L3893" s="3" t="str">
        <f t="shared" si="434"/>
        <v>MUITO BOM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59</v>
      </c>
      <c r="C3894" t="s">
        <v>23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441"/>
        <v>7</v>
      </c>
      <c r="J3894" s="3">
        <f t="shared" si="442"/>
        <v>7</v>
      </c>
      <c r="K3894" s="3">
        <f t="shared" si="443"/>
        <v>0</v>
      </c>
      <c r="L3894" s="3" t="str">
        <f t="shared" si="434"/>
        <v>OPORTUNO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60</v>
      </c>
      <c r="C3895" t="s">
        <v>20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441"/>
        <v>25</v>
      </c>
      <c r="J3895" s="3">
        <f t="shared" si="442"/>
        <v>16</v>
      </c>
      <c r="K3895" s="3">
        <f t="shared" si="443"/>
        <v>9</v>
      </c>
      <c r="L3895" s="3" t="str">
        <f t="shared" si="434"/>
        <v>MUITO BOM</v>
      </c>
      <c r="N3895">
        <v>98.32</v>
      </c>
      <c r="O3895">
        <v>26.618705035971221</v>
      </c>
    </row>
    <row r="3896" spans="1:15" hidden="1" x14ac:dyDescent="0.25">
      <c r="A3896" s="11">
        <v>46122</v>
      </c>
      <c r="B3896" t="s">
        <v>61</v>
      </c>
      <c r="C3896" t="s">
        <v>18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441"/>
        <v>34</v>
      </c>
      <c r="J3896" s="3">
        <f t="shared" si="442"/>
        <v>24</v>
      </c>
      <c r="K3896" s="3">
        <f t="shared" si="443"/>
        <v>10</v>
      </c>
      <c r="L3896" s="3" t="str">
        <f t="shared" si="434"/>
        <v>MUITO BOM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62</v>
      </c>
      <c r="C3897" t="s">
        <v>20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441"/>
        <v>13</v>
      </c>
      <c r="J3897" s="3">
        <f t="shared" si="442"/>
        <v>16</v>
      </c>
      <c r="K3897" s="3">
        <f t="shared" si="443"/>
        <v>-3</v>
      </c>
      <c r="L3897" s="3" t="str">
        <f t="shared" si="434"/>
        <v>ATENÇÃO</v>
      </c>
      <c r="N3897">
        <v>100</v>
      </c>
      <c r="O3897">
        <v>26.027397260273968</v>
      </c>
    </row>
    <row r="3898" spans="1:15" hidden="1" x14ac:dyDescent="0.25">
      <c r="A3898" s="11">
        <v>46122</v>
      </c>
      <c r="B3898" t="s">
        <v>63</v>
      </c>
      <c r="C3898" t="s">
        <v>18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441"/>
        <v>11</v>
      </c>
      <c r="J3898" s="3">
        <f t="shared" si="442"/>
        <v>24</v>
      </c>
      <c r="K3898" s="3">
        <f t="shared" si="443"/>
        <v>-13</v>
      </c>
      <c r="L3898" s="3" t="str">
        <f t="shared" si="434"/>
        <v>CRÍTICO</v>
      </c>
      <c r="N3898">
        <v>99.21</v>
      </c>
      <c r="O3898">
        <v>24.937027707808561</v>
      </c>
    </row>
    <row r="3899" spans="1:15" hidden="1" x14ac:dyDescent="0.25">
      <c r="A3899" s="11">
        <v>46125</v>
      </c>
      <c r="B3899" t="s">
        <v>15</v>
      </c>
      <c r="C3899" t="s">
        <v>16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441"/>
        <v>15</v>
      </c>
      <c r="J3899" s="3">
        <f t="shared" si="442"/>
        <v>19</v>
      </c>
      <c r="K3899" s="3">
        <f t="shared" si="443"/>
        <v>-4</v>
      </c>
      <c r="L3899" s="3" t="str">
        <f t="shared" ref="L3899:L3962" si="444">IF(K3899&lt;-5,"CRÍTICO",IF(K3899&lt;0,"ATENÇÃO",IF(K3899&lt;=5,"OPORTUNO","MUITO BOM")))</f>
        <v>ATENÇÃO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17</v>
      </c>
      <c r="C3900" t="s">
        <v>18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 t="shared" si="444"/>
        <v>OPORTUNO</v>
      </c>
      <c r="N3900">
        <v>98.66</v>
      </c>
      <c r="O3900">
        <v>35.15625</v>
      </c>
    </row>
    <row r="3901" spans="1:15" hidden="1" x14ac:dyDescent="0.25">
      <c r="A3901" s="11">
        <v>46125</v>
      </c>
      <c r="B3901" t="s">
        <v>19</v>
      </c>
      <c r="C3901" t="s">
        <v>20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ref="I3901:I3908" si="445">E3901+G3901+H3901</f>
        <v>29</v>
      </c>
      <c r="J3901" s="3">
        <f t="shared" ref="J3901:J3908" si="446"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16</v>
      </c>
      <c r="K3901" s="3">
        <f t="shared" ref="K3901:K3908" si="447">I3901-J3901</f>
        <v>13</v>
      </c>
      <c r="L3901" s="3" t="str">
        <f t="shared" si="444"/>
        <v>MUITO BOM</v>
      </c>
      <c r="N3901">
        <v>99.32</v>
      </c>
      <c r="O3901">
        <v>30.45186640471513</v>
      </c>
    </row>
    <row r="3902" spans="1:15" hidden="1" x14ac:dyDescent="0.25">
      <c r="A3902" s="11">
        <v>46125</v>
      </c>
      <c r="B3902" t="s">
        <v>21</v>
      </c>
      <c r="C3902" t="s">
        <v>18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445"/>
        <v>13</v>
      </c>
      <c r="J3902" s="3">
        <f t="shared" si="446"/>
        <v>24</v>
      </c>
      <c r="K3902" s="3">
        <f t="shared" si="447"/>
        <v>-11</v>
      </c>
      <c r="L3902" s="3" t="str">
        <f t="shared" si="444"/>
        <v>CRÍTICO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22</v>
      </c>
      <c r="C3903" t="s">
        <v>23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445"/>
        <v>25</v>
      </c>
      <c r="J3903" s="3">
        <f t="shared" si="446"/>
        <v>7</v>
      </c>
      <c r="K3903" s="3">
        <f t="shared" si="447"/>
        <v>18</v>
      </c>
      <c r="L3903" s="3" t="str">
        <f t="shared" si="444"/>
        <v>MUITO BOM</v>
      </c>
      <c r="N3903">
        <v>96.74</v>
      </c>
      <c r="O3903">
        <v>28.43137254901961</v>
      </c>
    </row>
    <row r="3904" spans="1:15" hidden="1" x14ac:dyDescent="0.25">
      <c r="A3904" s="11">
        <v>46125</v>
      </c>
      <c r="B3904" t="s">
        <v>24</v>
      </c>
      <c r="C3904" t="s">
        <v>16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445"/>
        <v>27</v>
      </c>
      <c r="J3904" s="3">
        <f t="shared" si="446"/>
        <v>19</v>
      </c>
      <c r="K3904" s="3">
        <f t="shared" si="447"/>
        <v>8</v>
      </c>
      <c r="L3904" s="3" t="str">
        <f t="shared" si="444"/>
        <v>MUITO BOM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25</v>
      </c>
      <c r="C3905" t="s">
        <v>16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445"/>
        <v>14</v>
      </c>
      <c r="J3905" s="3">
        <f t="shared" si="446"/>
        <v>19</v>
      </c>
      <c r="K3905" s="3">
        <f t="shared" si="447"/>
        <v>-5</v>
      </c>
      <c r="L3905" s="3" t="str">
        <f t="shared" si="444"/>
        <v>ATENÇÃO</v>
      </c>
      <c r="N3905">
        <v>98.2</v>
      </c>
      <c r="O3905">
        <v>26.890756302521009</v>
      </c>
    </row>
    <row r="3906" spans="1:15" hidden="1" x14ac:dyDescent="0.25">
      <c r="A3906" s="11">
        <v>46125</v>
      </c>
      <c r="B3906" t="s">
        <v>26</v>
      </c>
      <c r="C3906" t="s">
        <v>23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445"/>
        <v>10</v>
      </c>
      <c r="J3906" s="3">
        <f t="shared" si="446"/>
        <v>7</v>
      </c>
      <c r="K3906" s="3">
        <f t="shared" si="447"/>
        <v>3</v>
      </c>
      <c r="L3906" s="3" t="str">
        <f t="shared" si="444"/>
        <v>OPORTUNO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27</v>
      </c>
      <c r="C3907" t="s">
        <v>20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445"/>
        <v>28</v>
      </c>
      <c r="J3907" s="3">
        <f t="shared" si="446"/>
        <v>16</v>
      </c>
      <c r="K3907" s="3">
        <f t="shared" si="447"/>
        <v>12</v>
      </c>
      <c r="L3907" s="3" t="str">
        <f t="shared" si="444"/>
        <v>MUITO BOM</v>
      </c>
      <c r="N3907">
        <v>96.3</v>
      </c>
      <c r="O3907">
        <v>31.980906921241051</v>
      </c>
    </row>
    <row r="3908" spans="1:15" hidden="1" x14ac:dyDescent="0.25">
      <c r="A3908" s="11">
        <v>46125</v>
      </c>
      <c r="B3908" t="s">
        <v>28</v>
      </c>
      <c r="C3908" t="s">
        <v>18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445"/>
        <v>28</v>
      </c>
      <c r="J3908" s="3">
        <f t="shared" si="446"/>
        <v>24</v>
      </c>
      <c r="K3908" s="3">
        <f t="shared" si="447"/>
        <v>4</v>
      </c>
      <c r="L3908" s="3" t="str">
        <f t="shared" si="444"/>
        <v>OPORTUNO</v>
      </c>
      <c r="N3908">
        <v>93.75</v>
      </c>
      <c r="O3908">
        <v>26.628352490421459</v>
      </c>
    </row>
    <row r="3909" spans="1:15" hidden="1" x14ac:dyDescent="0.25">
      <c r="A3909" s="11">
        <v>46125</v>
      </c>
      <c r="B3909" t="s">
        <v>29</v>
      </c>
      <c r="C3909" t="s">
        <v>16</v>
      </c>
      <c r="D3909">
        <v>0</v>
      </c>
      <c r="E3909">
        <v>0</v>
      </c>
      <c r="F3909">
        <v>0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 t="shared" si="444"/>
        <v>OPORTUNO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30</v>
      </c>
      <c r="C3910" t="s">
        <v>20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16</v>
      </c>
      <c r="K3910" s="3">
        <f>I3910-J3910</f>
        <v>-9</v>
      </c>
      <c r="L3910" s="3" t="str">
        <f t="shared" si="444"/>
        <v>CRÍTICO</v>
      </c>
      <c r="N3910">
        <v>100</v>
      </c>
      <c r="O3910">
        <v>36.231884057971023</v>
      </c>
    </row>
    <row r="3911" spans="1:15" hidden="1" x14ac:dyDescent="0.25">
      <c r="A3911" s="11">
        <v>46125</v>
      </c>
      <c r="B3911" t="s">
        <v>31</v>
      </c>
      <c r="C3911" t="s">
        <v>18</v>
      </c>
      <c r="D3911">
        <v>0</v>
      </c>
      <c r="E3911">
        <v>0</v>
      </c>
      <c r="F3911">
        <v>0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 t="shared" si="444"/>
        <v>OPORTUNO</v>
      </c>
      <c r="N3911">
        <v>100</v>
      </c>
      <c r="O3911">
        <v>38.269230769230766</v>
      </c>
    </row>
    <row r="3912" spans="1:15" hidden="1" x14ac:dyDescent="0.25">
      <c r="A3912" s="11">
        <v>46125</v>
      </c>
      <c r="B3912" t="s">
        <v>32</v>
      </c>
      <c r="C3912" t="s">
        <v>23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 t="shared" si="444"/>
        <v>ATENÇÃO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33</v>
      </c>
      <c r="C3913" t="s">
        <v>16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19</v>
      </c>
      <c r="K3913" s="3">
        <f>I3913-J3913</f>
        <v>7</v>
      </c>
      <c r="L3913" s="3" t="str">
        <f t="shared" si="444"/>
        <v>MUITO BOM</v>
      </c>
      <c r="N3913">
        <v>97.83</v>
      </c>
      <c r="O3913">
        <v>28.131868131868131</v>
      </c>
    </row>
    <row r="3914" spans="1:15" hidden="1" x14ac:dyDescent="0.25">
      <c r="A3914" s="11">
        <v>46125</v>
      </c>
      <c r="B3914" t="s">
        <v>34</v>
      </c>
      <c r="C3914" t="s">
        <v>18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24</v>
      </c>
      <c r="K3914" s="3">
        <f>I3914-J3914</f>
        <v>4</v>
      </c>
      <c r="L3914" s="3" t="str">
        <f t="shared" si="444"/>
        <v>OPORTUNO</v>
      </c>
      <c r="N3914">
        <v>99.26</v>
      </c>
      <c r="O3914">
        <v>29.57198443579767</v>
      </c>
    </row>
    <row r="3915" spans="1:15" hidden="1" x14ac:dyDescent="0.25">
      <c r="A3915" s="11">
        <v>46125</v>
      </c>
      <c r="B3915" t="s">
        <v>35</v>
      </c>
      <c r="C3915" t="s">
        <v>16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19</v>
      </c>
      <c r="K3915" s="3">
        <f>I3915-J3915</f>
        <v>-1</v>
      </c>
      <c r="L3915" s="3" t="str">
        <f t="shared" si="444"/>
        <v>ATENÇÃO</v>
      </c>
      <c r="N3915">
        <v>99.19</v>
      </c>
      <c r="O3915">
        <v>29.462365591397852</v>
      </c>
    </row>
    <row r="3916" spans="1:15" hidden="1" x14ac:dyDescent="0.25">
      <c r="A3916" s="11">
        <v>46167</v>
      </c>
      <c r="B3916" t="s">
        <v>47</v>
      </c>
      <c r="C3916" t="s">
        <v>16</v>
      </c>
      <c r="D3916">
        <v>24</v>
      </c>
      <c r="E3916">
        <v>24</v>
      </c>
      <c r="F3916">
        <v>20.36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 t="shared" si="444"/>
        <v>OPORTUNO</v>
      </c>
    </row>
    <row r="3917" spans="1:15" hidden="1" x14ac:dyDescent="0.25">
      <c r="A3917" s="11">
        <v>46125</v>
      </c>
      <c r="B3917" t="s">
        <v>37</v>
      </c>
      <c r="C3917" t="s">
        <v>16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 t="shared" si="444"/>
        <v>OPORTUNO</v>
      </c>
      <c r="N3917">
        <v>100</v>
      </c>
      <c r="O3917">
        <v>27.941176470588239</v>
      </c>
    </row>
    <row r="3918" spans="1:15" hidden="1" x14ac:dyDescent="0.25">
      <c r="A3918" s="11">
        <v>46125</v>
      </c>
      <c r="B3918" t="s">
        <v>38</v>
      </c>
      <c r="C3918" t="s">
        <v>18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24</v>
      </c>
      <c r="K3918" s="3">
        <f>I3918-J3918</f>
        <v>11</v>
      </c>
      <c r="L3918" s="3" t="str">
        <f t="shared" si="444"/>
        <v>MUITO BOM</v>
      </c>
      <c r="N3918">
        <v>99.57</v>
      </c>
      <c r="O3918">
        <v>29.913294797687861</v>
      </c>
    </row>
    <row r="3919" spans="1:15" hidden="1" x14ac:dyDescent="0.25">
      <c r="A3919" s="11">
        <v>46125</v>
      </c>
      <c r="B3919" t="s">
        <v>39</v>
      </c>
      <c r="C3919" t="s">
        <v>18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 t="shared" si="444"/>
        <v>OPORTUNO</v>
      </c>
      <c r="N3919">
        <v>95.65</v>
      </c>
      <c r="O3919">
        <v>31.081081081081081</v>
      </c>
    </row>
    <row r="3920" spans="1:15" hidden="1" x14ac:dyDescent="0.25">
      <c r="A3920" s="11">
        <v>46125</v>
      </c>
      <c r="B3920" t="s">
        <v>40</v>
      </c>
      <c r="C3920" t="s">
        <v>16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19</v>
      </c>
      <c r="K3920" s="3">
        <f>I3920-J3920</f>
        <v>3</v>
      </c>
      <c r="L3920" s="3" t="str">
        <f t="shared" si="444"/>
        <v>OPORTUNO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41</v>
      </c>
      <c r="C3921" t="s">
        <v>18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 t="shared" si="444"/>
        <v>OPORTUNO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42</v>
      </c>
      <c r="C3922" t="s">
        <v>43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14</v>
      </c>
      <c r="K3922" s="3">
        <f>I3922-J3922</f>
        <v>7</v>
      </c>
      <c r="L3922" s="3" t="str">
        <f t="shared" si="444"/>
        <v>MUITO BOM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44</v>
      </c>
      <c r="C3923" t="s">
        <v>18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24</v>
      </c>
      <c r="K3923" s="3">
        <f>I3923-J3923</f>
        <v>-9</v>
      </c>
      <c r="L3923" s="3" t="str">
        <f t="shared" si="444"/>
        <v>CRÍTICO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45</v>
      </c>
      <c r="C3924" t="s">
        <v>43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14</v>
      </c>
      <c r="K3924" s="3">
        <f>I3924-J3924</f>
        <v>3</v>
      </c>
      <c r="L3924" s="3" t="str">
        <f t="shared" si="444"/>
        <v>OPORTUNO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46</v>
      </c>
      <c r="C3925" t="s">
        <v>18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24</v>
      </c>
      <c r="K3925" s="3">
        <f>I3925-J3925</f>
        <v>-3</v>
      </c>
      <c r="L3925" s="3" t="str">
        <f t="shared" si="444"/>
        <v>ATENÇÃO</v>
      </c>
      <c r="N3925">
        <v>99.15</v>
      </c>
      <c r="O3925">
        <v>27.370689655172409</v>
      </c>
    </row>
    <row r="3926" spans="1:15" hidden="1" x14ac:dyDescent="0.25">
      <c r="A3926" s="11">
        <v>46125</v>
      </c>
      <c r="B3926" t="s">
        <v>47</v>
      </c>
      <c r="C3926" t="s">
        <v>16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19</v>
      </c>
      <c r="K3926" s="3">
        <f>I3926-J3926</f>
        <v>3</v>
      </c>
      <c r="L3926" s="3" t="str">
        <f t="shared" si="444"/>
        <v>OPORTUNO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48</v>
      </c>
      <c r="C3927" t="s">
        <v>16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 t="shared" si="444"/>
        <v>OPORTUNO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49</v>
      </c>
      <c r="C3928" t="s">
        <v>18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24</v>
      </c>
      <c r="K3928" s="3">
        <f>I3928-J3928</f>
        <v>7</v>
      </c>
      <c r="L3928" s="3" t="str">
        <f t="shared" si="444"/>
        <v>MUITO BOM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50</v>
      </c>
      <c r="C3929" t="s">
        <v>20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16</v>
      </c>
      <c r="K3929" s="3">
        <f>I3929-J3929</f>
        <v>9</v>
      </c>
      <c r="L3929" s="3" t="str">
        <f t="shared" si="444"/>
        <v>MUITO BOM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51</v>
      </c>
      <c r="C3930" t="s">
        <v>23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 t="shared" si="444"/>
        <v>OPORTUNO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52</v>
      </c>
      <c r="C3931" t="s">
        <v>18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43" si="448">E3931+G3931+H3931</f>
        <v>21</v>
      </c>
      <c r="J3931" s="3">
        <f t="shared" ref="J3931:J3943" si="449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24</v>
      </c>
      <c r="K3931" s="3">
        <f t="shared" ref="K3931:K3943" si="450">I3931-J3931</f>
        <v>-3</v>
      </c>
      <c r="L3931" s="3" t="str">
        <f t="shared" si="444"/>
        <v>ATENÇÃO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53</v>
      </c>
      <c r="C3932" t="s">
        <v>18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448"/>
        <v>29</v>
      </c>
      <c r="J3932" s="3">
        <f t="shared" si="449"/>
        <v>24</v>
      </c>
      <c r="K3932" s="3">
        <f t="shared" si="450"/>
        <v>5</v>
      </c>
      <c r="L3932" s="3" t="str">
        <f t="shared" si="444"/>
        <v>OPORTUNO</v>
      </c>
      <c r="N3932">
        <v>95.49</v>
      </c>
      <c r="O3932">
        <v>28.16901408450704</v>
      </c>
    </row>
    <row r="3933" spans="1:15" hidden="1" x14ac:dyDescent="0.25">
      <c r="A3933" s="11">
        <v>46125</v>
      </c>
      <c r="B3933" t="s">
        <v>54</v>
      </c>
      <c r="C3933" t="s">
        <v>23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448"/>
        <v>13</v>
      </c>
      <c r="J3933" s="3">
        <f t="shared" si="449"/>
        <v>7</v>
      </c>
      <c r="K3933" s="3">
        <f t="shared" si="450"/>
        <v>6</v>
      </c>
      <c r="L3933" s="3" t="str">
        <f t="shared" si="444"/>
        <v>MUITO BOM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55</v>
      </c>
      <c r="C3934" t="s">
        <v>43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448"/>
        <v>22</v>
      </c>
      <c r="J3934" s="3">
        <f t="shared" si="449"/>
        <v>14</v>
      </c>
      <c r="K3934" s="3">
        <f t="shared" si="450"/>
        <v>8</v>
      </c>
      <c r="L3934" s="3" t="str">
        <f t="shared" si="444"/>
        <v>MUITO BOM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56</v>
      </c>
      <c r="C3935" t="s">
        <v>16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448"/>
        <v>19</v>
      </c>
      <c r="J3935" s="3">
        <f t="shared" si="449"/>
        <v>19</v>
      </c>
      <c r="K3935" s="3">
        <f t="shared" si="450"/>
        <v>0</v>
      </c>
      <c r="L3935" s="3" t="str">
        <f t="shared" si="444"/>
        <v>OPORTUNO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57</v>
      </c>
      <c r="C3936" t="s">
        <v>43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448"/>
        <v>17</v>
      </c>
      <c r="J3936" s="3">
        <f t="shared" si="449"/>
        <v>14</v>
      </c>
      <c r="K3936" s="3">
        <f t="shared" si="450"/>
        <v>3</v>
      </c>
      <c r="L3936" s="3" t="str">
        <f t="shared" si="444"/>
        <v>OPORTUNO</v>
      </c>
      <c r="N3936">
        <v>98.84</v>
      </c>
      <c r="O3936">
        <v>31.5018315018315</v>
      </c>
    </row>
    <row r="3937" spans="1:15" hidden="1" x14ac:dyDescent="0.25">
      <c r="A3937" s="11">
        <v>46125</v>
      </c>
      <c r="B3937" t="s">
        <v>58</v>
      </c>
      <c r="C3937" t="s">
        <v>43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448"/>
        <v>22</v>
      </c>
      <c r="J3937" s="3">
        <f t="shared" si="449"/>
        <v>14</v>
      </c>
      <c r="K3937" s="3">
        <f t="shared" si="450"/>
        <v>8</v>
      </c>
      <c r="L3937" s="3" t="str">
        <f t="shared" si="444"/>
        <v>MUITO BOM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59</v>
      </c>
      <c r="C3938" t="s">
        <v>23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448"/>
        <v>3</v>
      </c>
      <c r="J3938" s="3">
        <f t="shared" si="449"/>
        <v>7</v>
      </c>
      <c r="K3938" s="3">
        <f t="shared" si="450"/>
        <v>-4</v>
      </c>
      <c r="L3938" s="3" t="str">
        <f t="shared" si="444"/>
        <v>ATENÇÃO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60</v>
      </c>
      <c r="C3939" t="s">
        <v>20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448"/>
        <v>20</v>
      </c>
      <c r="J3939" s="3">
        <f t="shared" si="449"/>
        <v>16</v>
      </c>
      <c r="K3939" s="3">
        <f t="shared" si="450"/>
        <v>4</v>
      </c>
      <c r="L3939" s="3" t="str">
        <f t="shared" si="444"/>
        <v>OPORTUNO</v>
      </c>
      <c r="N3939">
        <v>98.32</v>
      </c>
      <c r="O3939">
        <v>26.618705035971221</v>
      </c>
    </row>
    <row r="3940" spans="1:15" hidden="1" x14ac:dyDescent="0.25">
      <c r="A3940" s="11">
        <v>46125</v>
      </c>
      <c r="B3940" t="s">
        <v>61</v>
      </c>
      <c r="C3940" t="s">
        <v>18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448"/>
        <v>25</v>
      </c>
      <c r="J3940" s="3">
        <f t="shared" si="449"/>
        <v>24</v>
      </c>
      <c r="K3940" s="3">
        <f t="shared" si="450"/>
        <v>1</v>
      </c>
      <c r="L3940" s="3" t="str">
        <f t="shared" si="444"/>
        <v>OPORTUNO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62</v>
      </c>
      <c r="C3941" t="s">
        <v>20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448"/>
        <v>13</v>
      </c>
      <c r="J3941" s="3">
        <f t="shared" si="449"/>
        <v>16</v>
      </c>
      <c r="K3941" s="3">
        <f t="shared" si="450"/>
        <v>-3</v>
      </c>
      <c r="L3941" s="3" t="str">
        <f t="shared" si="444"/>
        <v>ATENÇÃO</v>
      </c>
      <c r="N3941">
        <v>100</v>
      </c>
      <c r="O3941">
        <v>26.027397260273968</v>
      </c>
    </row>
    <row r="3942" spans="1:15" hidden="1" x14ac:dyDescent="0.25">
      <c r="A3942" s="11">
        <v>46125</v>
      </c>
      <c r="B3942" t="s">
        <v>63</v>
      </c>
      <c r="C3942" t="s">
        <v>18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448"/>
        <v>20</v>
      </c>
      <c r="J3942" s="3">
        <f t="shared" si="449"/>
        <v>24</v>
      </c>
      <c r="K3942" s="3">
        <f t="shared" si="450"/>
        <v>-4</v>
      </c>
      <c r="L3942" s="3" t="str">
        <f t="shared" si="444"/>
        <v>ATENÇÃO</v>
      </c>
      <c r="N3942">
        <v>99.21</v>
      </c>
      <c r="O3942">
        <v>24.937027707808561</v>
      </c>
    </row>
    <row r="3943" spans="1:15" hidden="1" x14ac:dyDescent="0.25">
      <c r="A3943" s="11">
        <v>46126</v>
      </c>
      <c r="B3943" t="s">
        <v>15</v>
      </c>
      <c r="C3943" t="s">
        <v>16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448"/>
        <v>12</v>
      </c>
      <c r="J3943" s="3">
        <f t="shared" si="449"/>
        <v>23</v>
      </c>
      <c r="K3943" s="3">
        <f t="shared" si="450"/>
        <v>-11</v>
      </c>
      <c r="L3943" s="3" t="str">
        <f t="shared" si="444"/>
        <v>CRÍTICO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17</v>
      </c>
      <c r="C3944" t="s">
        <v>18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 t="shared" si="444"/>
        <v>OPORTUNO</v>
      </c>
      <c r="N3944">
        <v>98.66</v>
      </c>
      <c r="O3944">
        <v>35.15625</v>
      </c>
    </row>
    <row r="3945" spans="1:15" hidden="1" x14ac:dyDescent="0.25">
      <c r="A3945" s="11">
        <v>46126</v>
      </c>
      <c r="B3945" t="s">
        <v>19</v>
      </c>
      <c r="C3945" t="s">
        <v>20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ref="I3945:I3952" si="451">E3945+G3945+H3945</f>
        <v>15</v>
      </c>
      <c r="J3945" s="3">
        <f t="shared" ref="J3945:J3952" si="452"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19</v>
      </c>
      <c r="K3945" s="3">
        <f t="shared" ref="K3945:K3952" si="453">I3945-J3945</f>
        <v>-4</v>
      </c>
      <c r="L3945" s="3" t="str">
        <f t="shared" si="444"/>
        <v>ATENÇÃO</v>
      </c>
      <c r="N3945">
        <v>99.32</v>
      </c>
      <c r="O3945">
        <v>30.45186640471513</v>
      </c>
    </row>
    <row r="3946" spans="1:15" hidden="1" x14ac:dyDescent="0.25">
      <c r="A3946" s="11">
        <v>46126</v>
      </c>
      <c r="B3946" t="s">
        <v>21</v>
      </c>
      <c r="C3946" t="s">
        <v>18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451"/>
        <v>34</v>
      </c>
      <c r="J3946" s="3">
        <f t="shared" si="452"/>
        <v>28</v>
      </c>
      <c r="K3946" s="3">
        <f t="shared" si="453"/>
        <v>6</v>
      </c>
      <c r="L3946" s="3" t="str">
        <f t="shared" si="444"/>
        <v>MUITO BOM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22</v>
      </c>
      <c r="C3947" t="s">
        <v>23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451"/>
        <v>32</v>
      </c>
      <c r="J3947" s="3">
        <f t="shared" si="452"/>
        <v>8</v>
      </c>
      <c r="K3947" s="3">
        <f t="shared" si="453"/>
        <v>24</v>
      </c>
      <c r="L3947" s="3" t="str">
        <f t="shared" si="444"/>
        <v>MUITO BOM</v>
      </c>
      <c r="N3947">
        <v>96.74</v>
      </c>
      <c r="O3947">
        <v>28.43137254901961</v>
      </c>
    </row>
    <row r="3948" spans="1:15" hidden="1" x14ac:dyDescent="0.25">
      <c r="A3948" s="11">
        <v>46126</v>
      </c>
      <c r="B3948" t="s">
        <v>24</v>
      </c>
      <c r="C3948" t="s">
        <v>16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451"/>
        <v>31</v>
      </c>
      <c r="J3948" s="3">
        <f t="shared" si="452"/>
        <v>23</v>
      </c>
      <c r="K3948" s="3">
        <f t="shared" si="453"/>
        <v>8</v>
      </c>
      <c r="L3948" s="3" t="str">
        <f t="shared" si="444"/>
        <v>MUITO BOM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25</v>
      </c>
      <c r="C3949" t="s">
        <v>16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451"/>
        <v>16</v>
      </c>
      <c r="J3949" s="3">
        <f t="shared" si="452"/>
        <v>23</v>
      </c>
      <c r="K3949" s="3">
        <f t="shared" si="453"/>
        <v>-7</v>
      </c>
      <c r="L3949" s="3" t="str">
        <f t="shared" si="444"/>
        <v>CRÍTICO</v>
      </c>
      <c r="N3949">
        <v>98.2</v>
      </c>
      <c r="O3949">
        <v>26.890756302521009</v>
      </c>
    </row>
    <row r="3950" spans="1:15" hidden="1" x14ac:dyDescent="0.25">
      <c r="A3950" s="11">
        <v>46126</v>
      </c>
      <c r="B3950" t="s">
        <v>26</v>
      </c>
      <c r="C3950" t="s">
        <v>23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451"/>
        <v>6</v>
      </c>
      <c r="J3950" s="3">
        <f t="shared" si="452"/>
        <v>8</v>
      </c>
      <c r="K3950" s="3">
        <f t="shared" si="453"/>
        <v>-2</v>
      </c>
      <c r="L3950" s="3" t="str">
        <f t="shared" si="444"/>
        <v>ATENÇÃO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27</v>
      </c>
      <c r="C3951" t="s">
        <v>20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451"/>
        <v>25</v>
      </c>
      <c r="J3951" s="3">
        <f t="shared" si="452"/>
        <v>19</v>
      </c>
      <c r="K3951" s="3">
        <f t="shared" si="453"/>
        <v>6</v>
      </c>
      <c r="L3951" s="3" t="str">
        <f t="shared" si="444"/>
        <v>MUITO BOM</v>
      </c>
      <c r="N3951">
        <v>96.3</v>
      </c>
      <c r="O3951">
        <v>31.980906921241051</v>
      </c>
    </row>
    <row r="3952" spans="1:15" hidden="1" x14ac:dyDescent="0.25">
      <c r="A3952" s="11">
        <v>46126</v>
      </c>
      <c r="B3952" t="s">
        <v>28</v>
      </c>
      <c r="C3952" t="s">
        <v>18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451"/>
        <v>38</v>
      </c>
      <c r="J3952" s="3">
        <f t="shared" si="452"/>
        <v>28</v>
      </c>
      <c r="K3952" s="3">
        <f t="shared" si="453"/>
        <v>10</v>
      </c>
      <c r="L3952" s="3" t="str">
        <f t="shared" si="444"/>
        <v>MUITO BOM</v>
      </c>
      <c r="N3952">
        <v>93.75</v>
      </c>
      <c r="O3952">
        <v>26.628352490421459</v>
      </c>
    </row>
    <row r="3953" spans="1:15" hidden="1" x14ac:dyDescent="0.25">
      <c r="A3953" s="11">
        <v>46126</v>
      </c>
      <c r="B3953" t="s">
        <v>29</v>
      </c>
      <c r="C3953" t="s">
        <v>16</v>
      </c>
      <c r="D3953">
        <v>0</v>
      </c>
      <c r="E3953">
        <v>0</v>
      </c>
      <c r="F3953">
        <v>0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 t="shared" si="444"/>
        <v>OPORTUNO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30</v>
      </c>
      <c r="C3954" t="s">
        <v>20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19</v>
      </c>
      <c r="K3954" s="3">
        <f>I3954-J3954</f>
        <v>-2</v>
      </c>
      <c r="L3954" s="3" t="str">
        <f t="shared" si="444"/>
        <v>ATENÇÃO</v>
      </c>
      <c r="N3954">
        <v>100</v>
      </c>
      <c r="O3954">
        <v>36.231884057971023</v>
      </c>
    </row>
    <row r="3955" spans="1:15" hidden="1" x14ac:dyDescent="0.25">
      <c r="A3955" s="11">
        <v>46126</v>
      </c>
      <c r="B3955" t="s">
        <v>31</v>
      </c>
      <c r="C3955" t="s">
        <v>18</v>
      </c>
      <c r="D3955">
        <v>0</v>
      </c>
      <c r="E3955">
        <v>0</v>
      </c>
      <c r="F3955">
        <v>0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 t="shared" si="444"/>
        <v>OPORTUNO</v>
      </c>
      <c r="N3955">
        <v>100</v>
      </c>
      <c r="O3955">
        <v>38.269230769230766</v>
      </c>
    </row>
    <row r="3956" spans="1:15" hidden="1" x14ac:dyDescent="0.25">
      <c r="A3956" s="11">
        <v>46126</v>
      </c>
      <c r="B3956" t="s">
        <v>32</v>
      </c>
      <c r="C3956" t="s">
        <v>23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8</v>
      </c>
      <c r="K3956" s="3">
        <f>I3956-J3956</f>
        <v>2</v>
      </c>
      <c r="L3956" s="3" t="str">
        <f t="shared" si="444"/>
        <v>OPORTUNO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33</v>
      </c>
      <c r="C3957" t="s">
        <v>16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23</v>
      </c>
      <c r="K3957" s="3">
        <f>I3957-J3957</f>
        <v>-5</v>
      </c>
      <c r="L3957" s="3" t="str">
        <f t="shared" si="444"/>
        <v>ATENÇÃO</v>
      </c>
      <c r="N3957">
        <v>97.83</v>
      </c>
      <c r="O3957">
        <v>28.131868131868131</v>
      </c>
    </row>
    <row r="3958" spans="1:15" hidden="1" x14ac:dyDescent="0.25">
      <c r="A3958" s="11">
        <v>46126</v>
      </c>
      <c r="B3958" t="s">
        <v>34</v>
      </c>
      <c r="C3958" t="s">
        <v>18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28</v>
      </c>
      <c r="K3958" s="3">
        <f>I3958-J3958</f>
        <v>3</v>
      </c>
      <c r="L3958" s="3" t="str">
        <f t="shared" si="444"/>
        <v>OPORTUNO</v>
      </c>
      <c r="N3958">
        <v>99.26</v>
      </c>
      <c r="O3958">
        <v>29.57198443579767</v>
      </c>
    </row>
    <row r="3959" spans="1:15" hidden="1" x14ac:dyDescent="0.25">
      <c r="A3959" s="11">
        <v>46126</v>
      </c>
      <c r="B3959" t="s">
        <v>35</v>
      </c>
      <c r="C3959" t="s">
        <v>16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23</v>
      </c>
      <c r="K3959" s="3">
        <f>I3959-J3959</f>
        <v>8</v>
      </c>
      <c r="L3959" s="3" t="str">
        <f t="shared" si="444"/>
        <v>MUITO BOM</v>
      </c>
      <c r="N3959">
        <v>99.19</v>
      </c>
      <c r="O3959">
        <v>29.462365591397852</v>
      </c>
    </row>
    <row r="3960" spans="1:15" hidden="1" x14ac:dyDescent="0.25">
      <c r="A3960" s="11">
        <v>46167</v>
      </c>
      <c r="B3960" t="s">
        <v>48</v>
      </c>
      <c r="C3960" t="s">
        <v>16</v>
      </c>
      <c r="D3960">
        <v>19</v>
      </c>
      <c r="E3960">
        <v>15</v>
      </c>
      <c r="F3960">
        <v>24.06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 t="shared" si="444"/>
        <v>OPORTUNO</v>
      </c>
    </row>
    <row r="3961" spans="1:15" hidden="1" x14ac:dyDescent="0.25">
      <c r="A3961" s="11">
        <v>46126</v>
      </c>
      <c r="B3961" t="s">
        <v>37</v>
      </c>
      <c r="C3961" t="s">
        <v>16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 t="shared" si="444"/>
        <v>OPORTUNO</v>
      </c>
      <c r="N3961">
        <v>100</v>
      </c>
      <c r="O3961">
        <v>27.941176470588239</v>
      </c>
    </row>
    <row r="3962" spans="1:15" hidden="1" x14ac:dyDescent="0.25">
      <c r="A3962" s="11">
        <v>46126</v>
      </c>
      <c r="B3962" t="s">
        <v>38</v>
      </c>
      <c r="C3962" t="s">
        <v>18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28</v>
      </c>
      <c r="K3962" s="3">
        <f>I3962-J3962</f>
        <v>2</v>
      </c>
      <c r="L3962" s="3" t="str">
        <f t="shared" si="444"/>
        <v>OPORTUNO</v>
      </c>
      <c r="N3962">
        <v>99.57</v>
      </c>
      <c r="O3962">
        <v>29.913294797687861</v>
      </c>
    </row>
    <row r="3963" spans="1:15" hidden="1" x14ac:dyDescent="0.25">
      <c r="A3963" s="11">
        <v>46126</v>
      </c>
      <c r="B3963" t="s">
        <v>39</v>
      </c>
      <c r="C3963" t="s">
        <v>18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 t="shared" ref="L3963:L4026" si="454">IF(K3963&lt;-5,"CRÍTICO",IF(K3963&lt;0,"ATENÇÃO",IF(K3963&lt;=5,"OPORTUNO","MUITO BOM")))</f>
        <v>OPORTUNO</v>
      </c>
      <c r="N3963">
        <v>95.65</v>
      </c>
      <c r="O3963">
        <v>31.081081081081081</v>
      </c>
    </row>
    <row r="3964" spans="1:15" hidden="1" x14ac:dyDescent="0.25">
      <c r="A3964" s="11">
        <v>46126</v>
      </c>
      <c r="B3964" t="s">
        <v>40</v>
      </c>
      <c r="C3964" t="s">
        <v>16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23</v>
      </c>
      <c r="K3964" s="3">
        <f>I3964-J3964</f>
        <v>-11</v>
      </c>
      <c r="L3964" s="3" t="str">
        <f t="shared" si="454"/>
        <v>CRÍTICO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41</v>
      </c>
      <c r="C3965" t="s">
        <v>18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 t="shared" si="454"/>
        <v>OPORTUNO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42</v>
      </c>
      <c r="C3966" t="s">
        <v>43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16</v>
      </c>
      <c r="K3966" s="3">
        <f>I3966-J3966</f>
        <v>9</v>
      </c>
      <c r="L3966" s="3" t="str">
        <f t="shared" si="454"/>
        <v>MUITO BOM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44</v>
      </c>
      <c r="C3967" t="s">
        <v>18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28</v>
      </c>
      <c r="K3967" s="3">
        <f>I3967-J3967</f>
        <v>-6</v>
      </c>
      <c r="L3967" s="3" t="str">
        <f t="shared" si="454"/>
        <v>CRÍTICO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45</v>
      </c>
      <c r="C3968" t="s">
        <v>43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16</v>
      </c>
      <c r="K3968" s="3">
        <f>I3968-J3968</f>
        <v>-1</v>
      </c>
      <c r="L3968" s="3" t="str">
        <f t="shared" si="454"/>
        <v>ATENÇÃO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46</v>
      </c>
      <c r="C3969" t="s">
        <v>18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28</v>
      </c>
      <c r="K3969" s="3">
        <f>I3969-J3969</f>
        <v>0</v>
      </c>
      <c r="L3969" s="3" t="str">
        <f t="shared" si="454"/>
        <v>OPORTUNO</v>
      </c>
      <c r="N3969">
        <v>99.15</v>
      </c>
      <c r="O3969">
        <v>27.370689655172409</v>
      </c>
    </row>
    <row r="3970" spans="1:15" hidden="1" x14ac:dyDescent="0.25">
      <c r="A3970" s="11">
        <v>46126</v>
      </c>
      <c r="B3970" t="s">
        <v>47</v>
      </c>
      <c r="C3970" t="s">
        <v>16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23</v>
      </c>
      <c r="K3970" s="3">
        <f>I3970-J3970</f>
        <v>7</v>
      </c>
      <c r="L3970" s="3" t="str">
        <f t="shared" si="454"/>
        <v>MUITO BOM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48</v>
      </c>
      <c r="C3971" t="s">
        <v>16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 t="shared" si="454"/>
        <v>OPORTUNO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49</v>
      </c>
      <c r="C3972" t="s">
        <v>18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28</v>
      </c>
      <c r="K3972" s="3">
        <f>I3972-J3972</f>
        <v>-3</v>
      </c>
      <c r="L3972" s="3" t="str">
        <f t="shared" si="454"/>
        <v>ATENÇÃO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50</v>
      </c>
      <c r="C3973" t="s">
        <v>20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19</v>
      </c>
      <c r="K3973" s="3">
        <f>I3973-J3973</f>
        <v>1</v>
      </c>
      <c r="L3973" s="3" t="str">
        <f t="shared" si="454"/>
        <v>OPORTUNO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51</v>
      </c>
      <c r="C3974" t="s">
        <v>23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8</v>
      </c>
      <c r="K3974" s="3">
        <f>I3974-J3974</f>
        <v>2</v>
      </c>
      <c r="L3974" s="3" t="str">
        <f t="shared" si="454"/>
        <v>OPORTUNO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52</v>
      </c>
      <c r="C3975" t="s">
        <v>18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28</v>
      </c>
      <c r="K3975" s="3">
        <f>I3975-J3975</f>
        <v>-3</v>
      </c>
      <c r="L3975" s="3" t="str">
        <f t="shared" si="454"/>
        <v>ATENÇÃO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53</v>
      </c>
      <c r="C3976" t="s">
        <v>18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28</v>
      </c>
      <c r="K3976" s="3">
        <f>I3976-J3976</f>
        <v>9</v>
      </c>
      <c r="L3976" s="3" t="str">
        <f t="shared" si="454"/>
        <v>MUITO BOM</v>
      </c>
      <c r="N3976">
        <v>95.49</v>
      </c>
      <c r="O3976">
        <v>28.16901408450704</v>
      </c>
    </row>
    <row r="3977" spans="1:15" hidden="1" x14ac:dyDescent="0.25">
      <c r="A3977" s="11">
        <v>46126</v>
      </c>
      <c r="B3977" t="s">
        <v>54</v>
      </c>
      <c r="C3977" t="s">
        <v>23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 t="shared" si="454"/>
        <v>OPORTUNO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55</v>
      </c>
      <c r="C3978" t="s">
        <v>43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16</v>
      </c>
      <c r="K3978" s="3">
        <f>I3978-J3978</f>
        <v>19</v>
      </c>
      <c r="L3978" s="3" t="str">
        <f t="shared" si="454"/>
        <v>MUITO BOM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56</v>
      </c>
      <c r="C3979" t="s">
        <v>16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23</v>
      </c>
      <c r="K3979" s="3">
        <f>I3979-J3979</f>
        <v>7</v>
      </c>
      <c r="L3979" s="3" t="str">
        <f t="shared" si="454"/>
        <v>MUITO BOM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57</v>
      </c>
      <c r="C3980" t="s">
        <v>43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16</v>
      </c>
      <c r="K3980" s="3">
        <f>I3980-J3980</f>
        <v>8</v>
      </c>
      <c r="L3980" s="3" t="str">
        <f t="shared" si="454"/>
        <v>MUITO BOM</v>
      </c>
      <c r="N3980">
        <v>98.84</v>
      </c>
      <c r="O3980">
        <v>31.5018315018315</v>
      </c>
    </row>
    <row r="3981" spans="1:15" hidden="1" x14ac:dyDescent="0.25">
      <c r="A3981" s="11">
        <v>46126</v>
      </c>
      <c r="B3981" t="s">
        <v>58</v>
      </c>
      <c r="C3981" t="s">
        <v>43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16</v>
      </c>
      <c r="K3981" s="3">
        <f>I3981-J3981</f>
        <v>3</v>
      </c>
      <c r="L3981" s="3" t="str">
        <f t="shared" si="454"/>
        <v>OPORTUNO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59</v>
      </c>
      <c r="C3982" t="s">
        <v>23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 t="shared" si="454"/>
        <v>OPORTUNO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60</v>
      </c>
      <c r="C3983" t="s">
        <v>20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19</v>
      </c>
      <c r="K3983" s="3">
        <f>I3983-J3983</f>
        <v>10</v>
      </c>
      <c r="L3983" s="3" t="str">
        <f t="shared" si="454"/>
        <v>MUITO BOM</v>
      </c>
      <c r="N3983">
        <v>98.32</v>
      </c>
      <c r="O3983">
        <v>26.618705035971221</v>
      </c>
    </row>
    <row r="3984" spans="1:15" hidden="1" x14ac:dyDescent="0.25">
      <c r="A3984" s="11">
        <v>46126</v>
      </c>
      <c r="B3984" t="s">
        <v>61</v>
      </c>
      <c r="C3984" t="s">
        <v>18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28</v>
      </c>
      <c r="K3984" s="3">
        <f>I3984-J3984</f>
        <v>8</v>
      </c>
      <c r="L3984" s="3" t="str">
        <f t="shared" si="454"/>
        <v>MUITO BOM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62</v>
      </c>
      <c r="C3985" t="s">
        <v>20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19</v>
      </c>
      <c r="K3985" s="3">
        <f>I3985-J3985</f>
        <v>0</v>
      </c>
      <c r="L3985" s="3" t="str">
        <f t="shared" si="454"/>
        <v>OPORTUNO</v>
      </c>
      <c r="N3985">
        <v>100</v>
      </c>
      <c r="O3985">
        <v>26.027397260273968</v>
      </c>
    </row>
    <row r="3986" spans="1:15" hidden="1" x14ac:dyDescent="0.25">
      <c r="A3986" s="11">
        <v>46126</v>
      </c>
      <c r="B3986" t="s">
        <v>63</v>
      </c>
      <c r="C3986" t="s">
        <v>18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28</v>
      </c>
      <c r="K3986" s="3">
        <f>I3986-J3986</f>
        <v>-6</v>
      </c>
      <c r="L3986" s="3" t="str">
        <f t="shared" si="454"/>
        <v>CRÍTICO</v>
      </c>
      <c r="N3986">
        <v>99.21</v>
      </c>
      <c r="O3986">
        <v>24.937027707808561</v>
      </c>
    </row>
    <row r="3987" spans="1:15" hidden="1" x14ac:dyDescent="0.25">
      <c r="A3987" s="11">
        <v>46127</v>
      </c>
      <c r="B3987" t="s">
        <v>15</v>
      </c>
      <c r="C3987" t="s">
        <v>16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24</v>
      </c>
      <c r="K3987" s="3">
        <f>I3987-J3987</f>
        <v>2</v>
      </c>
      <c r="L3987" s="3" t="str">
        <f t="shared" si="454"/>
        <v>OPORTUNO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17</v>
      </c>
      <c r="C3988" t="s">
        <v>18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 t="shared" si="454"/>
        <v>OPORTUNO</v>
      </c>
      <c r="N3988">
        <v>98.66</v>
      </c>
      <c r="O3988">
        <v>35.15625</v>
      </c>
    </row>
    <row r="3989" spans="1:15" hidden="1" x14ac:dyDescent="0.25">
      <c r="A3989" s="11">
        <v>46127</v>
      </c>
      <c r="B3989" t="s">
        <v>19</v>
      </c>
      <c r="C3989" t="s">
        <v>20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ref="I3989:I3996" si="455">E3989+G3989+H3989</f>
        <v>31</v>
      </c>
      <c r="J3989" s="3">
        <f t="shared" ref="J3989:J3996" si="456"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20</v>
      </c>
      <c r="K3989" s="3">
        <f t="shared" ref="K3989:K3996" si="457">I3989-J3989</f>
        <v>11</v>
      </c>
      <c r="L3989" s="3" t="str">
        <f t="shared" si="454"/>
        <v>MUITO BOM</v>
      </c>
      <c r="N3989">
        <v>99.32</v>
      </c>
      <c r="O3989">
        <v>30.45186640471513</v>
      </c>
    </row>
    <row r="3990" spans="1:15" hidden="1" x14ac:dyDescent="0.25">
      <c r="A3990" s="11">
        <v>46127</v>
      </c>
      <c r="B3990" t="s">
        <v>21</v>
      </c>
      <c r="C3990" t="s">
        <v>18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455"/>
        <v>32</v>
      </c>
      <c r="J3990" s="3">
        <f t="shared" si="456"/>
        <v>30</v>
      </c>
      <c r="K3990" s="3">
        <f t="shared" si="457"/>
        <v>2</v>
      </c>
      <c r="L3990" s="3" t="str">
        <f t="shared" si="454"/>
        <v>OPORTUNO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22</v>
      </c>
      <c r="C3991" t="s">
        <v>23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455"/>
        <v>32</v>
      </c>
      <c r="J3991" s="3">
        <f t="shared" si="456"/>
        <v>9</v>
      </c>
      <c r="K3991" s="3">
        <f t="shared" si="457"/>
        <v>23</v>
      </c>
      <c r="L3991" s="3" t="str">
        <f t="shared" si="454"/>
        <v>MUITO BOM</v>
      </c>
      <c r="N3991">
        <v>96.74</v>
      </c>
      <c r="O3991">
        <v>28.43137254901961</v>
      </c>
    </row>
    <row r="3992" spans="1:15" hidden="1" x14ac:dyDescent="0.25">
      <c r="A3992" s="11">
        <v>46127</v>
      </c>
      <c r="B3992" t="s">
        <v>24</v>
      </c>
      <c r="C3992" t="s">
        <v>16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455"/>
        <v>36</v>
      </c>
      <c r="J3992" s="3">
        <f t="shared" si="456"/>
        <v>24</v>
      </c>
      <c r="K3992" s="3">
        <f t="shared" si="457"/>
        <v>12</v>
      </c>
      <c r="L3992" s="3" t="str">
        <f t="shared" si="454"/>
        <v>MUITO BOM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25</v>
      </c>
      <c r="C3993" t="s">
        <v>16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455"/>
        <v>20</v>
      </c>
      <c r="J3993" s="3">
        <f t="shared" si="456"/>
        <v>24</v>
      </c>
      <c r="K3993" s="3">
        <f t="shared" si="457"/>
        <v>-4</v>
      </c>
      <c r="L3993" s="3" t="str">
        <f t="shared" si="454"/>
        <v>ATENÇÃO</v>
      </c>
      <c r="N3993">
        <v>98.2</v>
      </c>
      <c r="O3993">
        <v>26.890756302521009</v>
      </c>
    </row>
    <row r="3994" spans="1:15" hidden="1" x14ac:dyDescent="0.25">
      <c r="A3994" s="11">
        <v>46127</v>
      </c>
      <c r="B3994" t="s">
        <v>26</v>
      </c>
      <c r="C3994" t="s">
        <v>23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455"/>
        <v>8</v>
      </c>
      <c r="J3994" s="3">
        <f t="shared" si="456"/>
        <v>9</v>
      </c>
      <c r="K3994" s="3">
        <f t="shared" si="457"/>
        <v>-1</v>
      </c>
      <c r="L3994" s="3" t="str">
        <f t="shared" si="454"/>
        <v>ATENÇÃO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27</v>
      </c>
      <c r="C3995" t="s">
        <v>20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si="455"/>
        <v>22</v>
      </c>
      <c r="J3995" s="3">
        <f t="shared" si="456"/>
        <v>20</v>
      </c>
      <c r="K3995" s="3">
        <f t="shared" si="457"/>
        <v>2</v>
      </c>
      <c r="L3995" s="3" t="str">
        <f t="shared" si="454"/>
        <v>OPORTUNO</v>
      </c>
      <c r="N3995">
        <v>96.3</v>
      </c>
      <c r="O3995">
        <v>31.980906921241051</v>
      </c>
    </row>
    <row r="3996" spans="1:15" hidden="1" x14ac:dyDescent="0.25">
      <c r="A3996" s="11">
        <v>46127</v>
      </c>
      <c r="B3996" t="s">
        <v>28</v>
      </c>
      <c r="C3996" t="s">
        <v>18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455"/>
        <v>41</v>
      </c>
      <c r="J3996" s="3">
        <f t="shared" si="456"/>
        <v>30</v>
      </c>
      <c r="K3996" s="3">
        <f t="shared" si="457"/>
        <v>11</v>
      </c>
      <c r="L3996" s="3" t="str">
        <f t="shared" si="454"/>
        <v>MUITO BOM</v>
      </c>
      <c r="N3996">
        <v>93.75</v>
      </c>
      <c r="O3996">
        <v>26.628352490421459</v>
      </c>
    </row>
    <row r="3997" spans="1:15" hidden="1" x14ac:dyDescent="0.25">
      <c r="A3997" s="11">
        <v>46127</v>
      </c>
      <c r="B3997" t="s">
        <v>29</v>
      </c>
      <c r="C3997" t="s">
        <v>16</v>
      </c>
      <c r="D3997">
        <v>0</v>
      </c>
      <c r="E3997">
        <v>0</v>
      </c>
      <c r="F3997">
        <v>0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 t="shared" si="454"/>
        <v>OPORTUNO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30</v>
      </c>
      <c r="C3998" t="s">
        <v>20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20</v>
      </c>
      <c r="K3998" s="3">
        <f>I3998-J3998</f>
        <v>8</v>
      </c>
      <c r="L3998" s="3" t="str">
        <f t="shared" si="454"/>
        <v>MUITO BOM</v>
      </c>
      <c r="N3998">
        <v>100</v>
      </c>
      <c r="O3998">
        <v>36.231884057971023</v>
      </c>
    </row>
    <row r="3999" spans="1:15" hidden="1" x14ac:dyDescent="0.25">
      <c r="A3999" s="11">
        <v>46127</v>
      </c>
      <c r="B3999" t="s">
        <v>31</v>
      </c>
      <c r="C3999" t="s">
        <v>18</v>
      </c>
      <c r="D3999">
        <v>0</v>
      </c>
      <c r="E3999">
        <v>0</v>
      </c>
      <c r="F3999">
        <v>0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 t="shared" si="454"/>
        <v>OPORTUNO</v>
      </c>
      <c r="N3999">
        <v>100</v>
      </c>
      <c r="O3999">
        <v>38.269230769230766</v>
      </c>
    </row>
    <row r="4000" spans="1:15" hidden="1" x14ac:dyDescent="0.25">
      <c r="A4000" s="11">
        <v>46127</v>
      </c>
      <c r="B4000" t="s">
        <v>32</v>
      </c>
      <c r="C4000" t="s">
        <v>23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 t="shared" si="454"/>
        <v>ATENÇÃO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33</v>
      </c>
      <c r="C4001" t="s">
        <v>16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24</v>
      </c>
      <c r="K4001" s="3">
        <f>I4001-J4001</f>
        <v>0</v>
      </c>
      <c r="L4001" s="3" t="str">
        <f t="shared" si="454"/>
        <v>OPORTUNO</v>
      </c>
      <c r="N4001">
        <v>97.83</v>
      </c>
      <c r="O4001">
        <v>28.131868131868131</v>
      </c>
    </row>
    <row r="4002" spans="1:15" hidden="1" x14ac:dyDescent="0.25">
      <c r="A4002" s="11">
        <v>46127</v>
      </c>
      <c r="B4002" t="s">
        <v>34</v>
      </c>
      <c r="C4002" t="s">
        <v>18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30</v>
      </c>
      <c r="K4002" s="3">
        <f>I4002-J4002</f>
        <v>-3</v>
      </c>
      <c r="L4002" s="3" t="str">
        <f t="shared" si="454"/>
        <v>ATENÇÃO</v>
      </c>
      <c r="N4002">
        <v>99.26</v>
      </c>
      <c r="O4002">
        <v>29.57198443579767</v>
      </c>
    </row>
    <row r="4003" spans="1:15" hidden="1" x14ac:dyDescent="0.25">
      <c r="A4003" s="11">
        <v>46127</v>
      </c>
      <c r="B4003" t="s">
        <v>35</v>
      </c>
      <c r="C4003" t="s">
        <v>16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24</v>
      </c>
      <c r="K4003" s="3">
        <f>I4003-J4003</f>
        <v>2</v>
      </c>
      <c r="L4003" s="3" t="str">
        <f t="shared" si="454"/>
        <v>OPORTUNO</v>
      </c>
      <c r="N4003">
        <v>99.19</v>
      </c>
      <c r="O4003">
        <v>29.462365591397852</v>
      </c>
    </row>
    <row r="4004" spans="1:15" hidden="1" x14ac:dyDescent="0.25">
      <c r="A4004" s="11">
        <v>46167</v>
      </c>
      <c r="B4004" t="s">
        <v>56</v>
      </c>
      <c r="C4004" t="s">
        <v>16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 t="shared" si="454"/>
        <v>OPORTUNO</v>
      </c>
    </row>
    <row r="4005" spans="1:15" hidden="1" x14ac:dyDescent="0.25">
      <c r="A4005" s="11">
        <v>46127</v>
      </c>
      <c r="B4005" t="s">
        <v>37</v>
      </c>
      <c r="C4005" t="s">
        <v>16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 t="shared" si="454"/>
        <v>OPORTUNO</v>
      </c>
      <c r="N4005">
        <v>100</v>
      </c>
      <c r="O4005">
        <v>27.941176470588239</v>
      </c>
    </row>
    <row r="4006" spans="1:15" hidden="1" x14ac:dyDescent="0.25">
      <c r="A4006" s="11">
        <v>46127</v>
      </c>
      <c r="B4006" t="s">
        <v>38</v>
      </c>
      <c r="C4006" t="s">
        <v>18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30</v>
      </c>
      <c r="K4006" s="3">
        <f>I4006-J4006</f>
        <v>12</v>
      </c>
      <c r="L4006" s="3" t="str">
        <f t="shared" si="454"/>
        <v>MUITO BOM</v>
      </c>
      <c r="N4006">
        <v>99.57</v>
      </c>
      <c r="O4006">
        <v>29.913294797687861</v>
      </c>
    </row>
    <row r="4007" spans="1:15" hidden="1" x14ac:dyDescent="0.25">
      <c r="A4007" s="11">
        <v>46127</v>
      </c>
      <c r="B4007" t="s">
        <v>39</v>
      </c>
      <c r="C4007" t="s">
        <v>18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 t="shared" si="454"/>
        <v>OPORTUNO</v>
      </c>
      <c r="N4007">
        <v>95.65</v>
      </c>
      <c r="O4007">
        <v>31.081081081081081</v>
      </c>
    </row>
    <row r="4008" spans="1:15" hidden="1" x14ac:dyDescent="0.25">
      <c r="A4008" s="11">
        <v>46127</v>
      </c>
      <c r="B4008" t="s">
        <v>40</v>
      </c>
      <c r="C4008" t="s">
        <v>16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24</v>
      </c>
      <c r="K4008" s="3">
        <f>I4008-J4008</f>
        <v>0</v>
      </c>
      <c r="L4008" s="3" t="str">
        <f t="shared" si="454"/>
        <v>OPORTUNO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41</v>
      </c>
      <c r="C4009" t="s">
        <v>18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 t="shared" si="454"/>
        <v>OPORTUNO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42</v>
      </c>
      <c r="C4010" t="s">
        <v>43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17</v>
      </c>
      <c r="K4010" s="3">
        <f>I4010-J4010</f>
        <v>4</v>
      </c>
      <c r="L4010" s="3" t="str">
        <f t="shared" si="454"/>
        <v>OPORTUNO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44</v>
      </c>
      <c r="C4011" t="s">
        <v>18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 t="shared" si="454"/>
        <v>OPORTUNO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45</v>
      </c>
      <c r="C4012" t="s">
        <v>43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17</v>
      </c>
      <c r="K4012" s="3">
        <f>I4012-J4012</f>
        <v>-4</v>
      </c>
      <c r="L4012" s="3" t="str">
        <f t="shared" si="454"/>
        <v>ATENÇÃO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46</v>
      </c>
      <c r="C4013" t="s">
        <v>18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30</v>
      </c>
      <c r="K4013" s="3">
        <f>I4013-J4013</f>
        <v>-2</v>
      </c>
      <c r="L4013" s="3" t="str">
        <f t="shared" si="454"/>
        <v>ATENÇÃO</v>
      </c>
      <c r="N4013">
        <v>99.15</v>
      </c>
      <c r="O4013">
        <v>27.370689655172409</v>
      </c>
    </row>
    <row r="4014" spans="1:15" hidden="1" x14ac:dyDescent="0.25">
      <c r="A4014" s="11">
        <v>46127</v>
      </c>
      <c r="B4014" t="s">
        <v>47</v>
      </c>
      <c r="C4014" t="s">
        <v>16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24</v>
      </c>
      <c r="K4014" s="3">
        <f>I4014-J4014</f>
        <v>3</v>
      </c>
      <c r="L4014" s="3" t="str">
        <f t="shared" si="454"/>
        <v>OPORTUNO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48</v>
      </c>
      <c r="C4015" t="s">
        <v>16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 t="shared" si="454"/>
        <v>OPORTUNO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49</v>
      </c>
      <c r="C4016" t="s">
        <v>18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ref="I4016:I4031" si="458">E4016+G4016+H4016</f>
        <v>33</v>
      </c>
      <c r="J4016" s="3">
        <f t="shared" ref="J4016:J4031" si="459"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30</v>
      </c>
      <c r="K4016" s="3">
        <f t="shared" ref="K4016:K4031" si="460">I4016-J4016</f>
        <v>3</v>
      </c>
      <c r="L4016" s="3" t="str">
        <f t="shared" si="454"/>
        <v>OPORTUNO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50</v>
      </c>
      <c r="C4017" t="s">
        <v>20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458"/>
        <v>20</v>
      </c>
      <c r="J4017" s="3">
        <f t="shared" si="459"/>
        <v>20</v>
      </c>
      <c r="K4017" s="3">
        <f t="shared" si="460"/>
        <v>0</v>
      </c>
      <c r="L4017" s="3" t="str">
        <f t="shared" si="454"/>
        <v>OPORTUNO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51</v>
      </c>
      <c r="C4018" t="s">
        <v>23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458"/>
        <v>18</v>
      </c>
      <c r="J4018" s="3">
        <f t="shared" si="459"/>
        <v>9</v>
      </c>
      <c r="K4018" s="3">
        <f t="shared" si="460"/>
        <v>9</v>
      </c>
      <c r="L4018" s="3" t="str">
        <f t="shared" si="454"/>
        <v>MUITO BOM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52</v>
      </c>
      <c r="C4019" t="s">
        <v>18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458"/>
        <v>28</v>
      </c>
      <c r="J4019" s="3">
        <f t="shared" si="459"/>
        <v>30</v>
      </c>
      <c r="K4019" s="3">
        <f t="shared" si="460"/>
        <v>-2</v>
      </c>
      <c r="L4019" s="3" t="str">
        <f t="shared" si="454"/>
        <v>ATENÇÃO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53</v>
      </c>
      <c r="C4020" t="s">
        <v>18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458"/>
        <v>34</v>
      </c>
      <c r="J4020" s="3">
        <f t="shared" si="459"/>
        <v>30</v>
      </c>
      <c r="K4020" s="3">
        <f t="shared" si="460"/>
        <v>4</v>
      </c>
      <c r="L4020" s="3" t="str">
        <f t="shared" si="454"/>
        <v>OPORTUNO</v>
      </c>
      <c r="N4020">
        <v>95.49</v>
      </c>
      <c r="O4020">
        <v>28.16901408450704</v>
      </c>
    </row>
    <row r="4021" spans="1:15" hidden="1" x14ac:dyDescent="0.25">
      <c r="A4021" s="11">
        <v>46127</v>
      </c>
      <c r="B4021" t="s">
        <v>54</v>
      </c>
      <c r="C4021" t="s">
        <v>23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458"/>
        <v>19</v>
      </c>
      <c r="J4021" s="3">
        <f t="shared" si="459"/>
        <v>9</v>
      </c>
      <c r="K4021" s="3">
        <f t="shared" si="460"/>
        <v>10</v>
      </c>
      <c r="L4021" s="3" t="str">
        <f t="shared" si="454"/>
        <v>MUITO BOM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55</v>
      </c>
      <c r="C4022" t="s">
        <v>43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458"/>
        <v>22</v>
      </c>
      <c r="J4022" s="3">
        <f t="shared" si="459"/>
        <v>17</v>
      </c>
      <c r="K4022" s="3">
        <f t="shared" si="460"/>
        <v>5</v>
      </c>
      <c r="L4022" s="3" t="str">
        <f t="shared" si="454"/>
        <v>OPORTUNO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56</v>
      </c>
      <c r="C4023" t="s">
        <v>16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458"/>
        <v>25</v>
      </c>
      <c r="J4023" s="3">
        <f t="shared" si="459"/>
        <v>24</v>
      </c>
      <c r="K4023" s="3">
        <f t="shared" si="460"/>
        <v>1</v>
      </c>
      <c r="L4023" s="3" t="str">
        <f t="shared" si="454"/>
        <v>OPORTUNO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57</v>
      </c>
      <c r="C4024" t="s">
        <v>43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458"/>
        <v>26</v>
      </c>
      <c r="J4024" s="3">
        <f t="shared" si="459"/>
        <v>17</v>
      </c>
      <c r="K4024" s="3">
        <f t="shared" si="460"/>
        <v>9</v>
      </c>
      <c r="L4024" s="3" t="str">
        <f t="shared" si="454"/>
        <v>MUITO BOM</v>
      </c>
      <c r="N4024">
        <v>98.84</v>
      </c>
      <c r="O4024">
        <v>31.5018315018315</v>
      </c>
    </row>
    <row r="4025" spans="1:15" hidden="1" x14ac:dyDescent="0.25">
      <c r="A4025" s="11">
        <v>46127</v>
      </c>
      <c r="B4025" t="s">
        <v>58</v>
      </c>
      <c r="C4025" t="s">
        <v>43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458"/>
        <v>22</v>
      </c>
      <c r="J4025" s="3">
        <f t="shared" si="459"/>
        <v>17</v>
      </c>
      <c r="K4025" s="3">
        <f t="shared" si="460"/>
        <v>5</v>
      </c>
      <c r="L4025" s="3" t="str">
        <f t="shared" si="454"/>
        <v>OPORTUNO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59</v>
      </c>
      <c r="C4026" t="s">
        <v>23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458"/>
        <v>11</v>
      </c>
      <c r="J4026" s="3">
        <f t="shared" si="459"/>
        <v>9</v>
      </c>
      <c r="K4026" s="3">
        <f t="shared" si="460"/>
        <v>2</v>
      </c>
      <c r="L4026" s="3" t="str">
        <f t="shared" si="454"/>
        <v>OPORTUNO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60</v>
      </c>
      <c r="C4027" t="s">
        <v>20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458"/>
        <v>23</v>
      </c>
      <c r="J4027" s="3">
        <f t="shared" si="459"/>
        <v>20</v>
      </c>
      <c r="K4027" s="3">
        <f t="shared" si="460"/>
        <v>3</v>
      </c>
      <c r="L4027" s="3" t="str">
        <f t="shared" ref="L4027:L4090" si="461">IF(K4027&lt;-5,"CRÍTICO",IF(K4027&lt;0,"ATENÇÃO",IF(K4027&lt;=5,"OPORTUNO","MUITO BOM")))</f>
        <v>OPORTUNO</v>
      </c>
      <c r="N4027">
        <v>98.32</v>
      </c>
      <c r="O4027">
        <v>26.618705035971221</v>
      </c>
    </row>
    <row r="4028" spans="1:15" hidden="1" x14ac:dyDescent="0.25">
      <c r="A4028" s="11">
        <v>46127</v>
      </c>
      <c r="B4028" t="s">
        <v>61</v>
      </c>
      <c r="C4028" t="s">
        <v>18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458"/>
        <v>24</v>
      </c>
      <c r="J4028" s="3">
        <f t="shared" si="459"/>
        <v>30</v>
      </c>
      <c r="K4028" s="3">
        <f t="shared" si="460"/>
        <v>-6</v>
      </c>
      <c r="L4028" s="3" t="str">
        <f t="shared" si="461"/>
        <v>CRÍTICO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62</v>
      </c>
      <c r="C4029" t="s">
        <v>20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458"/>
        <v>12</v>
      </c>
      <c r="J4029" s="3">
        <f t="shared" si="459"/>
        <v>20</v>
      </c>
      <c r="K4029" s="3">
        <f t="shared" si="460"/>
        <v>-8</v>
      </c>
      <c r="L4029" s="3" t="str">
        <f t="shared" si="461"/>
        <v>CRÍTICO</v>
      </c>
      <c r="N4029">
        <v>100</v>
      </c>
      <c r="O4029">
        <v>26.027397260273968</v>
      </c>
    </row>
    <row r="4030" spans="1:15" hidden="1" x14ac:dyDescent="0.25">
      <c r="A4030" s="11">
        <v>46127</v>
      </c>
      <c r="B4030" t="s">
        <v>63</v>
      </c>
      <c r="C4030" t="s">
        <v>18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458"/>
        <v>33</v>
      </c>
      <c r="J4030" s="3">
        <f t="shared" si="459"/>
        <v>30</v>
      </c>
      <c r="K4030" s="3">
        <f t="shared" si="460"/>
        <v>3</v>
      </c>
      <c r="L4030" s="3" t="str">
        <f t="shared" si="461"/>
        <v>OPORTUNO</v>
      </c>
      <c r="N4030">
        <v>99.21</v>
      </c>
      <c r="O4030">
        <v>24.937027707808561</v>
      </c>
    </row>
    <row r="4031" spans="1:15" hidden="1" x14ac:dyDescent="0.25">
      <c r="A4031" s="11">
        <v>46128</v>
      </c>
      <c r="B4031" t="s">
        <v>15</v>
      </c>
      <c r="C4031" t="s">
        <v>16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458"/>
        <v>13</v>
      </c>
      <c r="J4031" s="3">
        <f t="shared" si="459"/>
        <v>22</v>
      </c>
      <c r="K4031" s="3">
        <f t="shared" si="460"/>
        <v>-9</v>
      </c>
      <c r="L4031" s="3" t="str">
        <f t="shared" si="461"/>
        <v>CRÍTICO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17</v>
      </c>
      <c r="C4032" t="s">
        <v>18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 t="shared" si="461"/>
        <v>OPORTUNO</v>
      </c>
      <c r="N4032">
        <v>98.66</v>
      </c>
      <c r="O4032">
        <v>35.15625</v>
      </c>
    </row>
    <row r="4033" spans="1:15" hidden="1" x14ac:dyDescent="0.25">
      <c r="A4033" s="11">
        <v>46128</v>
      </c>
      <c r="B4033" t="s">
        <v>19</v>
      </c>
      <c r="C4033" t="s">
        <v>20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ref="I4033:I4040" si="462">E4033+G4033+H4033</f>
        <v>22</v>
      </c>
      <c r="J4033" s="3">
        <f t="shared" ref="J4033:J4040" si="463"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18</v>
      </c>
      <c r="K4033" s="3">
        <f t="shared" ref="K4033:K4040" si="464">I4033-J4033</f>
        <v>4</v>
      </c>
      <c r="L4033" s="3" t="str">
        <f t="shared" si="461"/>
        <v>OPORTUNO</v>
      </c>
      <c r="N4033">
        <v>99.32</v>
      </c>
      <c r="O4033">
        <v>30.45186640471513</v>
      </c>
    </row>
    <row r="4034" spans="1:15" hidden="1" x14ac:dyDescent="0.25">
      <c r="A4034" s="11">
        <v>46128</v>
      </c>
      <c r="B4034" t="s">
        <v>21</v>
      </c>
      <c r="C4034" t="s">
        <v>18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462"/>
        <v>16</v>
      </c>
      <c r="J4034" s="3">
        <f t="shared" si="463"/>
        <v>28</v>
      </c>
      <c r="K4034" s="3">
        <f t="shared" si="464"/>
        <v>-12</v>
      </c>
      <c r="L4034" s="3" t="str">
        <f t="shared" si="461"/>
        <v>CRÍTICO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22</v>
      </c>
      <c r="C4035" t="s">
        <v>23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462"/>
        <v>27</v>
      </c>
      <c r="J4035" s="3">
        <f t="shared" si="463"/>
        <v>8</v>
      </c>
      <c r="K4035" s="3">
        <f t="shared" si="464"/>
        <v>19</v>
      </c>
      <c r="L4035" s="3" t="str">
        <f t="shared" si="461"/>
        <v>MUITO BOM</v>
      </c>
      <c r="N4035">
        <v>96.74</v>
      </c>
      <c r="O4035">
        <v>28.43137254901961</v>
      </c>
    </row>
    <row r="4036" spans="1:15" hidden="1" x14ac:dyDescent="0.25">
      <c r="A4036" s="11">
        <v>46128</v>
      </c>
      <c r="B4036" t="s">
        <v>24</v>
      </c>
      <c r="C4036" t="s">
        <v>16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462"/>
        <v>42</v>
      </c>
      <c r="J4036" s="3">
        <f t="shared" si="463"/>
        <v>22</v>
      </c>
      <c r="K4036" s="3">
        <f t="shared" si="464"/>
        <v>20</v>
      </c>
      <c r="L4036" s="3" t="str">
        <f t="shared" si="461"/>
        <v>MUITO BOM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25</v>
      </c>
      <c r="C4037" t="s">
        <v>16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462"/>
        <v>24</v>
      </c>
      <c r="J4037" s="3">
        <f t="shared" si="463"/>
        <v>22</v>
      </c>
      <c r="K4037" s="3">
        <f t="shared" si="464"/>
        <v>2</v>
      </c>
      <c r="L4037" s="3" t="str">
        <f t="shared" si="461"/>
        <v>OPORTUNO</v>
      </c>
      <c r="N4037">
        <v>98.2</v>
      </c>
      <c r="O4037">
        <v>26.890756302521009</v>
      </c>
    </row>
    <row r="4038" spans="1:15" hidden="1" x14ac:dyDescent="0.25">
      <c r="A4038" s="11">
        <v>46128</v>
      </c>
      <c r="B4038" t="s">
        <v>26</v>
      </c>
      <c r="C4038" t="s">
        <v>23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462"/>
        <v>9</v>
      </c>
      <c r="J4038" s="3">
        <f t="shared" si="463"/>
        <v>8</v>
      </c>
      <c r="K4038" s="3">
        <f t="shared" si="464"/>
        <v>1</v>
      </c>
      <c r="L4038" s="3" t="str">
        <f t="shared" si="461"/>
        <v>OPORTUNO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27</v>
      </c>
      <c r="C4039" t="s">
        <v>20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462"/>
        <v>11</v>
      </c>
      <c r="J4039" s="3">
        <f t="shared" si="463"/>
        <v>18</v>
      </c>
      <c r="K4039" s="3">
        <f t="shared" si="464"/>
        <v>-7</v>
      </c>
      <c r="L4039" s="3" t="str">
        <f t="shared" si="461"/>
        <v>CRÍTICO</v>
      </c>
      <c r="N4039">
        <v>96.3</v>
      </c>
      <c r="O4039">
        <v>31.980906921241051</v>
      </c>
    </row>
    <row r="4040" spans="1:15" hidden="1" x14ac:dyDescent="0.25">
      <c r="A4040" s="11">
        <v>46128</v>
      </c>
      <c r="B4040" t="s">
        <v>28</v>
      </c>
      <c r="C4040" t="s">
        <v>18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462"/>
        <v>26</v>
      </c>
      <c r="J4040" s="3">
        <f t="shared" si="463"/>
        <v>28</v>
      </c>
      <c r="K4040" s="3">
        <f t="shared" si="464"/>
        <v>-2</v>
      </c>
      <c r="L4040" s="3" t="str">
        <f t="shared" si="461"/>
        <v>ATENÇÃO</v>
      </c>
      <c r="N4040">
        <v>93.75</v>
      </c>
      <c r="O4040">
        <v>26.628352490421459</v>
      </c>
    </row>
    <row r="4041" spans="1:15" hidden="1" x14ac:dyDescent="0.25">
      <c r="A4041" s="11">
        <v>46128</v>
      </c>
      <c r="B4041" t="s">
        <v>29</v>
      </c>
      <c r="C4041" t="s">
        <v>16</v>
      </c>
      <c r="D4041">
        <v>0</v>
      </c>
      <c r="E4041">
        <v>0</v>
      </c>
      <c r="F4041">
        <v>0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 t="shared" si="461"/>
        <v>OPORTUNO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30</v>
      </c>
      <c r="C4042" t="s">
        <v>20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18</v>
      </c>
      <c r="K4042" s="3">
        <f>I4042-J4042</f>
        <v>4</v>
      </c>
      <c r="L4042" s="3" t="str">
        <f t="shared" si="461"/>
        <v>OPORTUNO</v>
      </c>
      <c r="N4042">
        <v>100</v>
      </c>
      <c r="O4042">
        <v>36.231884057971023</v>
      </c>
    </row>
    <row r="4043" spans="1:15" hidden="1" x14ac:dyDescent="0.25">
      <c r="A4043" s="11">
        <v>46128</v>
      </c>
      <c r="B4043" t="s">
        <v>31</v>
      </c>
      <c r="C4043" t="s">
        <v>18</v>
      </c>
      <c r="D4043">
        <v>0</v>
      </c>
      <c r="E4043">
        <v>0</v>
      </c>
      <c r="F4043">
        <v>0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 t="shared" si="461"/>
        <v>OPORTUNO</v>
      </c>
      <c r="N4043">
        <v>100</v>
      </c>
      <c r="O4043">
        <v>38.269230769230766</v>
      </c>
    </row>
    <row r="4044" spans="1:15" hidden="1" x14ac:dyDescent="0.25">
      <c r="A4044" s="11">
        <v>46128</v>
      </c>
      <c r="B4044" t="s">
        <v>32</v>
      </c>
      <c r="C4044" t="s">
        <v>23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 t="shared" si="461"/>
        <v>ATENÇÃO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33</v>
      </c>
      <c r="C4045" t="s">
        <v>16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22</v>
      </c>
      <c r="K4045" s="3">
        <f>I4045-J4045</f>
        <v>3</v>
      </c>
      <c r="L4045" s="3" t="str">
        <f t="shared" si="461"/>
        <v>OPORTUNO</v>
      </c>
      <c r="N4045">
        <v>97.83</v>
      </c>
      <c r="O4045">
        <v>28.131868131868131</v>
      </c>
    </row>
    <row r="4046" spans="1:15" hidden="1" x14ac:dyDescent="0.25">
      <c r="A4046" s="11">
        <v>46128</v>
      </c>
      <c r="B4046" t="s">
        <v>34</v>
      </c>
      <c r="C4046" t="s">
        <v>18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28</v>
      </c>
      <c r="K4046" s="3">
        <f>I4046-J4046</f>
        <v>-9</v>
      </c>
      <c r="L4046" s="3" t="str">
        <f t="shared" si="461"/>
        <v>CRÍTICO</v>
      </c>
      <c r="N4046">
        <v>99.26</v>
      </c>
      <c r="O4046">
        <v>29.57198443579767</v>
      </c>
    </row>
    <row r="4047" spans="1:15" hidden="1" x14ac:dyDescent="0.25">
      <c r="A4047" s="11">
        <v>46128</v>
      </c>
      <c r="B4047" t="s">
        <v>35</v>
      </c>
      <c r="C4047" t="s">
        <v>16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22</v>
      </c>
      <c r="K4047" s="3">
        <f>I4047-J4047</f>
        <v>4</v>
      </c>
      <c r="L4047" s="3" t="str">
        <f t="shared" si="461"/>
        <v>OPORTUNO</v>
      </c>
      <c r="N4047">
        <v>99.19</v>
      </c>
      <c r="O4047">
        <v>29.462365591397852</v>
      </c>
    </row>
    <row r="4048" spans="1:15" hidden="1" x14ac:dyDescent="0.25">
      <c r="A4048" s="11">
        <v>46140</v>
      </c>
      <c r="B4048" t="s">
        <v>15</v>
      </c>
      <c r="C4048" t="s">
        <v>16</v>
      </c>
      <c r="D4048">
        <v>53</v>
      </c>
      <c r="E4048">
        <v>46</v>
      </c>
      <c r="F4048">
        <v>10.58</v>
      </c>
      <c r="G4048">
        <v>0</v>
      </c>
      <c r="H4048">
        <v>0</v>
      </c>
      <c r="I4048" s="3">
        <f>E4048+G4048+H4048</f>
        <v>46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25</v>
      </c>
      <c r="K4048" s="3">
        <f>I4048-J4048</f>
        <v>21</v>
      </c>
      <c r="L4048" s="3" t="str">
        <f t="shared" si="461"/>
        <v>MUITO BOM</v>
      </c>
      <c r="N4048">
        <v>100</v>
      </c>
      <c r="O4048">
        <v>32.764505119453922</v>
      </c>
    </row>
    <row r="4049" spans="1:15" hidden="1" x14ac:dyDescent="0.25">
      <c r="A4049" s="11">
        <v>46128</v>
      </c>
      <c r="B4049" t="s">
        <v>37</v>
      </c>
      <c r="C4049" t="s">
        <v>16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 t="shared" si="461"/>
        <v>OPORTUNO</v>
      </c>
      <c r="N4049">
        <v>100</v>
      </c>
      <c r="O4049">
        <v>27.941176470588239</v>
      </c>
    </row>
    <row r="4050" spans="1:15" hidden="1" x14ac:dyDescent="0.25">
      <c r="A4050" s="11">
        <v>46128</v>
      </c>
      <c r="B4050" t="s">
        <v>38</v>
      </c>
      <c r="C4050" t="s">
        <v>18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28</v>
      </c>
      <c r="K4050" s="3">
        <f>I4050-J4050</f>
        <v>6</v>
      </c>
      <c r="L4050" s="3" t="str">
        <f t="shared" si="461"/>
        <v>MUITO BOM</v>
      </c>
      <c r="N4050">
        <v>99.57</v>
      </c>
      <c r="O4050">
        <v>29.913294797687861</v>
      </c>
    </row>
    <row r="4051" spans="1:15" hidden="1" x14ac:dyDescent="0.25">
      <c r="A4051" s="11">
        <v>46128</v>
      </c>
      <c r="B4051" t="s">
        <v>39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 t="shared" si="461"/>
        <v>OPORTUNO</v>
      </c>
      <c r="N4051">
        <v>95.65</v>
      </c>
      <c r="O4051">
        <v>31.081081081081081</v>
      </c>
    </row>
    <row r="4052" spans="1:15" hidden="1" x14ac:dyDescent="0.25">
      <c r="A4052" s="11">
        <v>46128</v>
      </c>
      <c r="B4052" t="s">
        <v>40</v>
      </c>
      <c r="C4052" t="s">
        <v>16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22</v>
      </c>
      <c r="K4052" s="3">
        <f>I4052-J4052</f>
        <v>-12</v>
      </c>
      <c r="L4052" s="3" t="str">
        <f t="shared" si="461"/>
        <v>CRÍTICO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41</v>
      </c>
      <c r="C4053" t="s">
        <v>18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 t="shared" si="461"/>
        <v>OPORTUNO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42</v>
      </c>
      <c r="C4054" t="s">
        <v>43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16</v>
      </c>
      <c r="K4054" s="3">
        <f>I4054-J4054</f>
        <v>3</v>
      </c>
      <c r="L4054" s="3" t="str">
        <f t="shared" si="461"/>
        <v>OPORTUNO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44</v>
      </c>
      <c r="C4055" t="s">
        <v>18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 t="shared" si="461"/>
        <v>OPORTUNO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45</v>
      </c>
      <c r="C4056" t="s">
        <v>43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16</v>
      </c>
      <c r="K4056" s="3">
        <f>I4056-J4056</f>
        <v>-3</v>
      </c>
      <c r="L4056" s="3" t="str">
        <f t="shared" si="461"/>
        <v>ATENÇÃO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46</v>
      </c>
      <c r="C4057" t="s">
        <v>18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28</v>
      </c>
      <c r="K4057" s="3">
        <f>I4057-J4057</f>
        <v>-9</v>
      </c>
      <c r="L4057" s="3" t="str">
        <f t="shared" si="461"/>
        <v>CRÍTICO</v>
      </c>
      <c r="N4057">
        <v>99.15</v>
      </c>
      <c r="O4057">
        <v>27.370689655172409</v>
      </c>
    </row>
    <row r="4058" spans="1:15" hidden="1" x14ac:dyDescent="0.25">
      <c r="A4058" s="11">
        <v>46128</v>
      </c>
      <c r="B4058" t="s">
        <v>47</v>
      </c>
      <c r="C4058" t="s">
        <v>16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22</v>
      </c>
      <c r="K4058" s="3">
        <f>I4058-J4058</f>
        <v>7</v>
      </c>
      <c r="L4058" s="3" t="str">
        <f t="shared" si="461"/>
        <v>MUITO BOM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48</v>
      </c>
      <c r="C4059" t="s">
        <v>16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 t="shared" si="461"/>
        <v>OPORTUNO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49</v>
      </c>
      <c r="C4060" t="s">
        <v>18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ref="I4060:I4075" si="465">E4060+G4060+H4060</f>
        <v>14</v>
      </c>
      <c r="J4060" s="3">
        <f t="shared" ref="J4060:J4075" si="466"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28</v>
      </c>
      <c r="K4060" s="3">
        <f t="shared" ref="K4060:K4075" si="467">I4060-J4060</f>
        <v>-14</v>
      </c>
      <c r="L4060" s="3" t="str">
        <f t="shared" si="461"/>
        <v>CRÍTICO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50</v>
      </c>
      <c r="C4061" t="s">
        <v>20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465"/>
        <v>18</v>
      </c>
      <c r="J4061" s="3">
        <f t="shared" si="466"/>
        <v>18</v>
      </c>
      <c r="K4061" s="3">
        <f t="shared" si="467"/>
        <v>0</v>
      </c>
      <c r="L4061" s="3" t="str">
        <f t="shared" si="461"/>
        <v>OPORTUNO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51</v>
      </c>
      <c r="C4062" t="s">
        <v>23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465"/>
        <v>29</v>
      </c>
      <c r="J4062" s="3">
        <f t="shared" si="466"/>
        <v>8</v>
      </c>
      <c r="K4062" s="3">
        <f t="shared" si="467"/>
        <v>21</v>
      </c>
      <c r="L4062" s="3" t="str">
        <f t="shared" si="461"/>
        <v>MUITO BOM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52</v>
      </c>
      <c r="C4063" t="s">
        <v>18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465"/>
        <v>24</v>
      </c>
      <c r="J4063" s="3">
        <f t="shared" si="466"/>
        <v>28</v>
      </c>
      <c r="K4063" s="3">
        <f t="shared" si="467"/>
        <v>-4</v>
      </c>
      <c r="L4063" s="3" t="str">
        <f t="shared" si="461"/>
        <v>ATENÇÃO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53</v>
      </c>
      <c r="C4064" t="s">
        <v>18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465"/>
        <v>34</v>
      </c>
      <c r="J4064" s="3">
        <f t="shared" si="466"/>
        <v>28</v>
      </c>
      <c r="K4064" s="3">
        <f t="shared" si="467"/>
        <v>6</v>
      </c>
      <c r="L4064" s="3" t="str">
        <f t="shared" si="461"/>
        <v>MUITO BOM</v>
      </c>
      <c r="N4064">
        <v>95.49</v>
      </c>
      <c r="O4064">
        <v>28.16901408450704</v>
      </c>
    </row>
    <row r="4065" spans="1:15" hidden="1" x14ac:dyDescent="0.25">
      <c r="A4065" s="11">
        <v>46128</v>
      </c>
      <c r="B4065" t="s">
        <v>54</v>
      </c>
      <c r="C4065" t="s">
        <v>23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465"/>
        <v>16</v>
      </c>
      <c r="J4065" s="3">
        <f t="shared" si="466"/>
        <v>8</v>
      </c>
      <c r="K4065" s="3">
        <f t="shared" si="467"/>
        <v>8</v>
      </c>
      <c r="L4065" s="3" t="str">
        <f t="shared" si="461"/>
        <v>MUITO BOM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55</v>
      </c>
      <c r="C4066" t="s">
        <v>43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465"/>
        <v>25</v>
      </c>
      <c r="J4066" s="3">
        <f t="shared" si="466"/>
        <v>16</v>
      </c>
      <c r="K4066" s="3">
        <f t="shared" si="467"/>
        <v>9</v>
      </c>
      <c r="L4066" s="3" t="str">
        <f t="shared" si="461"/>
        <v>MUITO BOM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56</v>
      </c>
      <c r="C4067" t="s">
        <v>16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465"/>
        <v>19</v>
      </c>
      <c r="J4067" s="3">
        <f t="shared" si="466"/>
        <v>22</v>
      </c>
      <c r="K4067" s="3">
        <f t="shared" si="467"/>
        <v>-3</v>
      </c>
      <c r="L4067" s="3" t="str">
        <f t="shared" si="461"/>
        <v>ATENÇÃO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57</v>
      </c>
      <c r="C4068" t="s">
        <v>43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465"/>
        <v>11</v>
      </c>
      <c r="J4068" s="3">
        <f t="shared" si="466"/>
        <v>16</v>
      </c>
      <c r="K4068" s="3">
        <f t="shared" si="467"/>
        <v>-5</v>
      </c>
      <c r="L4068" s="3" t="str">
        <f t="shared" si="461"/>
        <v>ATENÇÃO</v>
      </c>
      <c r="N4068">
        <v>98.84</v>
      </c>
      <c r="O4068">
        <v>31.5018315018315</v>
      </c>
    </row>
    <row r="4069" spans="1:15" hidden="1" x14ac:dyDescent="0.25">
      <c r="A4069" s="11">
        <v>46128</v>
      </c>
      <c r="B4069" t="s">
        <v>58</v>
      </c>
      <c r="C4069" t="s">
        <v>43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465"/>
        <v>14</v>
      </c>
      <c r="J4069" s="3">
        <f t="shared" si="466"/>
        <v>16</v>
      </c>
      <c r="K4069" s="3">
        <f t="shared" si="467"/>
        <v>-2</v>
      </c>
      <c r="L4069" s="3" t="str">
        <f t="shared" si="461"/>
        <v>ATENÇÃO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59</v>
      </c>
      <c r="C4070" t="s">
        <v>23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465"/>
        <v>13</v>
      </c>
      <c r="J4070" s="3">
        <f t="shared" si="466"/>
        <v>8</v>
      </c>
      <c r="K4070" s="3">
        <f t="shared" si="467"/>
        <v>5</v>
      </c>
      <c r="L4070" s="3" t="str">
        <f t="shared" si="461"/>
        <v>OPORTUNO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60</v>
      </c>
      <c r="C4071" t="s">
        <v>20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465"/>
        <v>36</v>
      </c>
      <c r="J4071" s="3">
        <f t="shared" si="466"/>
        <v>18</v>
      </c>
      <c r="K4071" s="3">
        <f t="shared" si="467"/>
        <v>18</v>
      </c>
      <c r="L4071" s="3" t="str">
        <f t="shared" si="461"/>
        <v>MUITO BOM</v>
      </c>
      <c r="N4071">
        <v>98.32</v>
      </c>
      <c r="O4071">
        <v>26.618705035971221</v>
      </c>
    </row>
    <row r="4072" spans="1:15" hidden="1" x14ac:dyDescent="0.25">
      <c r="A4072" s="11">
        <v>46128</v>
      </c>
      <c r="B4072" t="s">
        <v>61</v>
      </c>
      <c r="C4072" t="s">
        <v>18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465"/>
        <v>34</v>
      </c>
      <c r="J4072" s="3">
        <f t="shared" si="466"/>
        <v>28</v>
      </c>
      <c r="K4072" s="3">
        <f t="shared" si="467"/>
        <v>6</v>
      </c>
      <c r="L4072" s="3" t="str">
        <f t="shared" si="461"/>
        <v>MUITO BOM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62</v>
      </c>
      <c r="C4073" t="s">
        <v>20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465"/>
        <v>18</v>
      </c>
      <c r="J4073" s="3">
        <f t="shared" si="466"/>
        <v>18</v>
      </c>
      <c r="K4073" s="3">
        <f t="shared" si="467"/>
        <v>0</v>
      </c>
      <c r="L4073" s="3" t="str">
        <f t="shared" si="461"/>
        <v>OPORTUNO</v>
      </c>
      <c r="N4073">
        <v>100</v>
      </c>
      <c r="O4073">
        <v>26.027397260273968</v>
      </c>
    </row>
    <row r="4074" spans="1:15" hidden="1" x14ac:dyDescent="0.25">
      <c r="A4074" s="11">
        <v>46128</v>
      </c>
      <c r="B4074" t="s">
        <v>63</v>
      </c>
      <c r="C4074" t="s">
        <v>18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465"/>
        <v>28</v>
      </c>
      <c r="J4074" s="3">
        <f t="shared" si="466"/>
        <v>28</v>
      </c>
      <c r="K4074" s="3">
        <f t="shared" si="467"/>
        <v>0</v>
      </c>
      <c r="L4074" s="3" t="str">
        <f t="shared" si="461"/>
        <v>OPORTUNO</v>
      </c>
      <c r="N4074">
        <v>99.21</v>
      </c>
      <c r="O4074">
        <v>24.937027707808561</v>
      </c>
    </row>
    <row r="4075" spans="1:15" hidden="1" x14ac:dyDescent="0.25">
      <c r="A4075" s="11">
        <v>46129</v>
      </c>
      <c r="B4075" t="s">
        <v>15</v>
      </c>
      <c r="C4075" t="s">
        <v>16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465"/>
        <v>21</v>
      </c>
      <c r="J4075" s="3">
        <f t="shared" si="466"/>
        <v>20</v>
      </c>
      <c r="K4075" s="3">
        <f t="shared" si="467"/>
        <v>1</v>
      </c>
      <c r="L4075" s="3" t="str">
        <f t="shared" si="461"/>
        <v>OPORTUNO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17</v>
      </c>
      <c r="C4076" t="s">
        <v>18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 t="shared" si="461"/>
        <v>OPORTUNO</v>
      </c>
      <c r="N4076">
        <v>98.66</v>
      </c>
      <c r="O4076">
        <v>35.15625</v>
      </c>
    </row>
    <row r="4077" spans="1:15" hidden="1" x14ac:dyDescent="0.25">
      <c r="A4077" s="11">
        <v>46129</v>
      </c>
      <c r="B4077" t="s">
        <v>19</v>
      </c>
      <c r="C4077" t="s">
        <v>20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17</v>
      </c>
      <c r="K4077" s="3">
        <f>I4077-J4077</f>
        <v>5</v>
      </c>
      <c r="L4077" s="3" t="str">
        <f t="shared" si="461"/>
        <v>OPORTUNO</v>
      </c>
      <c r="N4077">
        <v>99.32</v>
      </c>
      <c r="O4077">
        <v>30.45186640471513</v>
      </c>
    </row>
    <row r="4078" spans="1:15" hidden="1" x14ac:dyDescent="0.25">
      <c r="A4078" s="11">
        <v>46129</v>
      </c>
      <c r="B4078" t="s">
        <v>21</v>
      </c>
      <c r="C4078" t="s">
        <v>18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25</v>
      </c>
      <c r="K4078" s="3">
        <f>I4078-J4078</f>
        <v>-2</v>
      </c>
      <c r="L4078" s="3" t="str">
        <f t="shared" si="461"/>
        <v>ATENÇÃO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22</v>
      </c>
      <c r="C4079" t="s">
        <v>23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 t="shared" si="461"/>
        <v>OPORTUNO</v>
      </c>
      <c r="N4079">
        <v>96.74</v>
      </c>
      <c r="O4079">
        <v>28.43137254901961</v>
      </c>
    </row>
    <row r="4080" spans="1:15" hidden="1" x14ac:dyDescent="0.25">
      <c r="A4080" s="11">
        <v>46129</v>
      </c>
      <c r="B4080" t="s">
        <v>24</v>
      </c>
      <c r="C4080" t="s">
        <v>16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20</v>
      </c>
      <c r="K4080" s="3">
        <f>I4080-J4080</f>
        <v>12</v>
      </c>
      <c r="L4080" s="3" t="str">
        <f t="shared" si="461"/>
        <v>MUITO BOM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25</v>
      </c>
      <c r="C4081" t="s">
        <v>16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20</v>
      </c>
      <c r="K4081" s="3">
        <f>I4081-J4081</f>
        <v>-4</v>
      </c>
      <c r="L4081" s="3" t="str">
        <f t="shared" si="461"/>
        <v>ATENÇÃO</v>
      </c>
      <c r="N4081">
        <v>98.2</v>
      </c>
      <c r="O4081">
        <v>26.890756302521009</v>
      </c>
    </row>
    <row r="4082" spans="1:15" hidden="1" x14ac:dyDescent="0.25">
      <c r="A4082" s="11">
        <v>46129</v>
      </c>
      <c r="B4082" t="s">
        <v>26</v>
      </c>
      <c r="C4082" t="s">
        <v>23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7</v>
      </c>
      <c r="K4082" s="3">
        <f>I4082-J4082</f>
        <v>-1</v>
      </c>
      <c r="L4082" s="3" t="str">
        <f t="shared" si="461"/>
        <v>ATENÇÃO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27</v>
      </c>
      <c r="C4083" t="s">
        <v>20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17</v>
      </c>
      <c r="K4083" s="3">
        <f>I4083-J4083</f>
        <v>9</v>
      </c>
      <c r="L4083" s="3" t="str">
        <f t="shared" si="461"/>
        <v>MUITO BOM</v>
      </c>
      <c r="N4083">
        <v>96.3</v>
      </c>
      <c r="O4083">
        <v>31.980906921241051</v>
      </c>
    </row>
    <row r="4084" spans="1:15" hidden="1" x14ac:dyDescent="0.25">
      <c r="A4084" s="11">
        <v>46129</v>
      </c>
      <c r="B4084" t="s">
        <v>28</v>
      </c>
      <c r="C4084" t="s">
        <v>18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25</v>
      </c>
      <c r="K4084" s="3">
        <f>I4084-J4084</f>
        <v>2</v>
      </c>
      <c r="L4084" s="3" t="str">
        <f t="shared" si="461"/>
        <v>OPORTUNO</v>
      </c>
      <c r="N4084">
        <v>93.75</v>
      </c>
      <c r="O4084">
        <v>26.628352490421459</v>
      </c>
    </row>
    <row r="4085" spans="1:15" hidden="1" x14ac:dyDescent="0.25">
      <c r="A4085" s="11">
        <v>46129</v>
      </c>
      <c r="B4085" t="s">
        <v>29</v>
      </c>
      <c r="C4085" t="s">
        <v>16</v>
      </c>
      <c r="D4085">
        <v>0</v>
      </c>
      <c r="E4085">
        <v>0</v>
      </c>
      <c r="F4085">
        <v>0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 t="shared" si="461"/>
        <v>OPORTUNO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30</v>
      </c>
      <c r="C4086" t="s">
        <v>20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17</v>
      </c>
      <c r="K4086" s="3">
        <f>I4086-J4086</f>
        <v>6</v>
      </c>
      <c r="L4086" s="3" t="str">
        <f t="shared" si="461"/>
        <v>MUITO BOM</v>
      </c>
      <c r="N4086">
        <v>100</v>
      </c>
      <c r="O4086">
        <v>36.231884057971023</v>
      </c>
    </row>
    <row r="4087" spans="1:15" hidden="1" x14ac:dyDescent="0.25">
      <c r="A4087" s="11">
        <v>46129</v>
      </c>
      <c r="B4087" t="s">
        <v>31</v>
      </c>
      <c r="C4087" t="s">
        <v>18</v>
      </c>
      <c r="D4087">
        <v>0</v>
      </c>
      <c r="E4087">
        <v>0</v>
      </c>
      <c r="F4087">
        <v>0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 t="shared" si="461"/>
        <v>OPORTUNO</v>
      </c>
      <c r="N4087">
        <v>100</v>
      </c>
      <c r="O4087">
        <v>38.269230769230766</v>
      </c>
    </row>
    <row r="4088" spans="1:15" hidden="1" x14ac:dyDescent="0.25">
      <c r="A4088" s="11">
        <v>46129</v>
      </c>
      <c r="B4088" t="s">
        <v>32</v>
      </c>
      <c r="C4088" t="s">
        <v>23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7</v>
      </c>
      <c r="K4088" s="3">
        <f>I4088-J4088</f>
        <v>4</v>
      </c>
      <c r="L4088" s="3" t="str">
        <f t="shared" si="461"/>
        <v>OPORTUNO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33</v>
      </c>
      <c r="C4089" t="s">
        <v>16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20</v>
      </c>
      <c r="K4089" s="3">
        <f>I4089-J4089</f>
        <v>5</v>
      </c>
      <c r="L4089" s="3" t="str">
        <f t="shared" si="461"/>
        <v>OPORTUNO</v>
      </c>
      <c r="N4089">
        <v>97.83</v>
      </c>
      <c r="O4089">
        <v>28.131868131868131</v>
      </c>
    </row>
    <row r="4090" spans="1:15" hidden="1" x14ac:dyDescent="0.25">
      <c r="A4090" s="11">
        <v>46129</v>
      </c>
      <c r="B4090" t="s">
        <v>34</v>
      </c>
      <c r="C4090" t="s">
        <v>18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25</v>
      </c>
      <c r="K4090" s="3">
        <f>I4090-J4090</f>
        <v>2</v>
      </c>
      <c r="L4090" s="3" t="str">
        <f t="shared" si="461"/>
        <v>OPORTUNO</v>
      </c>
      <c r="N4090">
        <v>99.26</v>
      </c>
      <c r="O4090">
        <v>29.57198443579767</v>
      </c>
    </row>
    <row r="4091" spans="1:15" hidden="1" x14ac:dyDescent="0.25">
      <c r="A4091" s="11">
        <v>46129</v>
      </c>
      <c r="B4091" t="s">
        <v>35</v>
      </c>
      <c r="C4091" t="s">
        <v>16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20</v>
      </c>
      <c r="K4091" s="3">
        <f>I4091-J4091</f>
        <v>8</v>
      </c>
      <c r="L4091" s="3" t="str">
        <f t="shared" ref="L4091:L4154" si="468">IF(K4091&lt;-5,"CRÍTICO",IF(K4091&lt;0,"ATENÇÃO",IF(K4091&lt;=5,"OPORTUNO","MUITO BOM")))</f>
        <v>MUITO BOM</v>
      </c>
      <c r="N4091">
        <v>99.19</v>
      </c>
      <c r="O4091">
        <v>29.462365591397852</v>
      </c>
    </row>
    <row r="4092" spans="1:15" hidden="1" x14ac:dyDescent="0.25">
      <c r="A4092" s="11">
        <v>46140</v>
      </c>
      <c r="B4092" t="s">
        <v>24</v>
      </c>
      <c r="C4092" t="s">
        <v>16</v>
      </c>
      <c r="D4092">
        <v>34</v>
      </c>
      <c r="E4092">
        <v>34</v>
      </c>
      <c r="F4092">
        <v>13.45</v>
      </c>
      <c r="G4092">
        <v>0</v>
      </c>
      <c r="H4092">
        <v>0</v>
      </c>
      <c r="I4092" s="3">
        <f>E4092+G4092+H4092</f>
        <v>34</v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>25</v>
      </c>
      <c r="K4092" s="3">
        <f>I4092-J4092</f>
        <v>9</v>
      </c>
      <c r="L4092" s="3" t="str">
        <f t="shared" si="468"/>
        <v>MUITO BOM</v>
      </c>
      <c r="N4092">
        <v>98.82</v>
      </c>
      <c r="O4092">
        <v>30.741410488245929</v>
      </c>
    </row>
    <row r="4093" spans="1:15" hidden="1" x14ac:dyDescent="0.25">
      <c r="A4093" s="11">
        <v>46129</v>
      </c>
      <c r="B4093" t="s">
        <v>37</v>
      </c>
      <c r="C4093" t="s">
        <v>16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 t="shared" si="468"/>
        <v>OPORTUNO</v>
      </c>
      <c r="N4093">
        <v>100</v>
      </c>
      <c r="O4093">
        <v>27.941176470588239</v>
      </c>
    </row>
    <row r="4094" spans="1:15" hidden="1" x14ac:dyDescent="0.25">
      <c r="A4094" s="11">
        <v>46129</v>
      </c>
      <c r="B4094" t="s">
        <v>38</v>
      </c>
      <c r="C4094" t="s">
        <v>18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25</v>
      </c>
      <c r="K4094" s="3">
        <f>I4094-J4094</f>
        <v>3</v>
      </c>
      <c r="L4094" s="3" t="str">
        <f t="shared" si="468"/>
        <v>OPORTUNO</v>
      </c>
      <c r="N4094">
        <v>99.57</v>
      </c>
      <c r="O4094">
        <v>29.913294797687861</v>
      </c>
    </row>
    <row r="4095" spans="1:15" hidden="1" x14ac:dyDescent="0.25">
      <c r="A4095" s="11">
        <v>46129</v>
      </c>
      <c r="B4095" t="s">
        <v>39</v>
      </c>
      <c r="C4095" t="s">
        <v>18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 t="shared" si="468"/>
        <v>OPORTUNO</v>
      </c>
      <c r="N4095">
        <v>95.65</v>
      </c>
      <c r="O4095">
        <v>31.081081081081081</v>
      </c>
    </row>
    <row r="4096" spans="1:15" hidden="1" x14ac:dyDescent="0.25">
      <c r="A4096" s="11">
        <v>46129</v>
      </c>
      <c r="B4096" t="s">
        <v>40</v>
      </c>
      <c r="C4096" t="s">
        <v>16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20</v>
      </c>
      <c r="K4096" s="3">
        <f>I4096-J4096</f>
        <v>1</v>
      </c>
      <c r="L4096" s="3" t="str">
        <f t="shared" si="468"/>
        <v>OPORTUNO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41</v>
      </c>
      <c r="C4097" t="s">
        <v>18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 t="shared" si="468"/>
        <v>OPORTUNO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42</v>
      </c>
      <c r="C4098" t="s">
        <v>43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14</v>
      </c>
      <c r="K4098" s="3">
        <f>I4098-J4098</f>
        <v>7</v>
      </c>
      <c r="L4098" s="3" t="str">
        <f t="shared" si="468"/>
        <v>MUITO BOM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44</v>
      </c>
      <c r="C4099" t="s">
        <v>18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 t="shared" si="468"/>
        <v>OPORTUNO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45</v>
      </c>
      <c r="C4100" t="s">
        <v>43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14</v>
      </c>
      <c r="K4100" s="3">
        <f>I4100-J4100</f>
        <v>-6</v>
      </c>
      <c r="L4100" s="3" t="str">
        <f t="shared" si="468"/>
        <v>CRÍTICO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46</v>
      </c>
      <c r="C4101" t="s">
        <v>18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25</v>
      </c>
      <c r="K4101" s="3">
        <f>I4101-J4101</f>
        <v>-3</v>
      </c>
      <c r="L4101" s="3" t="str">
        <f t="shared" si="468"/>
        <v>ATENÇÃO</v>
      </c>
      <c r="N4101">
        <v>99.15</v>
      </c>
      <c r="O4101">
        <v>27.370689655172409</v>
      </c>
    </row>
    <row r="4102" spans="1:15" hidden="1" x14ac:dyDescent="0.25">
      <c r="A4102" s="11">
        <v>46129</v>
      </c>
      <c r="B4102" t="s">
        <v>47</v>
      </c>
      <c r="C4102" t="s">
        <v>16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20</v>
      </c>
      <c r="K4102" s="3">
        <f>I4102-J4102</f>
        <v>7</v>
      </c>
      <c r="L4102" s="3" t="str">
        <f t="shared" si="468"/>
        <v>MUITO BOM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48</v>
      </c>
      <c r="C4103" t="s">
        <v>16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468"/>
        <v>OPORTUNO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49</v>
      </c>
      <c r="C4104" t="s">
        <v>18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 t="shared" si="468"/>
        <v>OPORTUNO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50</v>
      </c>
      <c r="C4105" t="s">
        <v>20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ref="I4105:I4117" si="469">E4105+G4105+H4105</f>
        <v>20</v>
      </c>
      <c r="J4105" s="3">
        <f t="shared" ref="J4105:J4117" si="470"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17</v>
      </c>
      <c r="K4105" s="3">
        <f t="shared" ref="K4105:K4117" si="471">I4105-J4105</f>
        <v>3</v>
      </c>
      <c r="L4105" s="3" t="str">
        <f t="shared" si="468"/>
        <v>OPORTUNO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51</v>
      </c>
      <c r="C4106" t="s">
        <v>23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469"/>
        <v>28</v>
      </c>
      <c r="J4106" s="3">
        <f t="shared" si="470"/>
        <v>7</v>
      </c>
      <c r="K4106" s="3">
        <f t="shared" si="471"/>
        <v>21</v>
      </c>
      <c r="L4106" s="3" t="str">
        <f t="shared" si="468"/>
        <v>MUITO BOM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52</v>
      </c>
      <c r="C4107" t="s">
        <v>18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469"/>
        <v>29</v>
      </c>
      <c r="J4107" s="3">
        <f t="shared" si="470"/>
        <v>25</v>
      </c>
      <c r="K4107" s="3">
        <f t="shared" si="471"/>
        <v>4</v>
      </c>
      <c r="L4107" s="3" t="str">
        <f t="shared" si="468"/>
        <v>OPORTUNO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53</v>
      </c>
      <c r="C4108" t="s">
        <v>18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469"/>
        <v>28</v>
      </c>
      <c r="J4108" s="3">
        <f t="shared" si="470"/>
        <v>25</v>
      </c>
      <c r="K4108" s="3">
        <f t="shared" si="471"/>
        <v>3</v>
      </c>
      <c r="L4108" s="3" t="str">
        <f t="shared" si="468"/>
        <v>OPORTUNO</v>
      </c>
      <c r="N4108">
        <v>95.49</v>
      </c>
      <c r="O4108">
        <v>28.16901408450704</v>
      </c>
    </row>
    <row r="4109" spans="1:15" hidden="1" x14ac:dyDescent="0.25">
      <c r="A4109" s="11">
        <v>46129</v>
      </c>
      <c r="B4109" t="s">
        <v>54</v>
      </c>
      <c r="C4109" t="s">
        <v>23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469"/>
        <v>12</v>
      </c>
      <c r="J4109" s="3">
        <f t="shared" si="470"/>
        <v>7</v>
      </c>
      <c r="K4109" s="3">
        <f t="shared" si="471"/>
        <v>5</v>
      </c>
      <c r="L4109" s="3" t="str">
        <f t="shared" si="468"/>
        <v>OPORTUNO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55</v>
      </c>
      <c r="C4110" t="s">
        <v>43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469"/>
        <v>31</v>
      </c>
      <c r="J4110" s="3">
        <f t="shared" si="470"/>
        <v>14</v>
      </c>
      <c r="K4110" s="3">
        <f t="shared" si="471"/>
        <v>17</v>
      </c>
      <c r="L4110" s="3" t="str">
        <f t="shared" si="468"/>
        <v>MUITO BOM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56</v>
      </c>
      <c r="C4111" t="s">
        <v>16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469"/>
        <v>25</v>
      </c>
      <c r="J4111" s="3">
        <f t="shared" si="470"/>
        <v>20</v>
      </c>
      <c r="K4111" s="3">
        <f t="shared" si="471"/>
        <v>5</v>
      </c>
      <c r="L4111" s="3" t="str">
        <f t="shared" si="468"/>
        <v>OPORTUNO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57</v>
      </c>
      <c r="C4112" t="s">
        <v>43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469"/>
        <v>17</v>
      </c>
      <c r="J4112" s="3">
        <f t="shared" si="470"/>
        <v>14</v>
      </c>
      <c r="K4112" s="3">
        <f t="shared" si="471"/>
        <v>3</v>
      </c>
      <c r="L4112" s="3" t="str">
        <f t="shared" si="468"/>
        <v>OPORTUNO</v>
      </c>
      <c r="N4112">
        <v>98.84</v>
      </c>
      <c r="O4112">
        <v>31.5018315018315</v>
      </c>
    </row>
    <row r="4113" spans="1:15" hidden="1" x14ac:dyDescent="0.25">
      <c r="A4113" s="11">
        <v>46129</v>
      </c>
      <c r="B4113" t="s">
        <v>58</v>
      </c>
      <c r="C4113" t="s">
        <v>43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469"/>
        <v>14</v>
      </c>
      <c r="J4113" s="3">
        <f t="shared" si="470"/>
        <v>14</v>
      </c>
      <c r="K4113" s="3">
        <f t="shared" si="471"/>
        <v>0</v>
      </c>
      <c r="L4113" s="3" t="str">
        <f t="shared" si="468"/>
        <v>OPORTUNO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59</v>
      </c>
      <c r="C4114" t="s">
        <v>23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469"/>
        <v>14</v>
      </c>
      <c r="J4114" s="3">
        <f t="shared" si="470"/>
        <v>7</v>
      </c>
      <c r="K4114" s="3">
        <f t="shared" si="471"/>
        <v>7</v>
      </c>
      <c r="L4114" s="3" t="str">
        <f t="shared" si="468"/>
        <v>MUITO BOM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60</v>
      </c>
      <c r="C4115" t="s">
        <v>20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469"/>
        <v>26</v>
      </c>
      <c r="J4115" s="3">
        <f t="shared" si="470"/>
        <v>17</v>
      </c>
      <c r="K4115" s="3">
        <f t="shared" si="471"/>
        <v>9</v>
      </c>
      <c r="L4115" s="3" t="str">
        <f t="shared" si="468"/>
        <v>MUITO BOM</v>
      </c>
      <c r="N4115">
        <v>98.32</v>
      </c>
      <c r="O4115">
        <v>26.618705035971221</v>
      </c>
    </row>
    <row r="4116" spans="1:15" hidden="1" x14ac:dyDescent="0.25">
      <c r="A4116" s="11">
        <v>46129</v>
      </c>
      <c r="B4116" t="s">
        <v>61</v>
      </c>
      <c r="C4116" t="s">
        <v>18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469"/>
        <v>31</v>
      </c>
      <c r="J4116" s="3">
        <f t="shared" si="470"/>
        <v>25</v>
      </c>
      <c r="K4116" s="3">
        <f t="shared" si="471"/>
        <v>6</v>
      </c>
      <c r="L4116" s="3" t="str">
        <f t="shared" si="468"/>
        <v>MUITO BOM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62</v>
      </c>
      <c r="C4117" t="s">
        <v>20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469"/>
        <v>17</v>
      </c>
      <c r="J4117" s="3">
        <f t="shared" si="470"/>
        <v>17</v>
      </c>
      <c r="K4117" s="3">
        <f t="shared" si="471"/>
        <v>0</v>
      </c>
      <c r="L4117" s="3" t="str">
        <f t="shared" si="468"/>
        <v>OPORTUNO</v>
      </c>
      <c r="N4117">
        <v>100</v>
      </c>
      <c r="O4117">
        <v>26.027397260273968</v>
      </c>
    </row>
    <row r="4118" spans="1:15" hidden="1" x14ac:dyDescent="0.25">
      <c r="A4118" s="11">
        <v>46129</v>
      </c>
      <c r="B4118" t="s">
        <v>63</v>
      </c>
      <c r="C4118" t="s">
        <v>18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 t="shared" si="468"/>
        <v>OPORTUNO</v>
      </c>
      <c r="N4118">
        <v>99.21</v>
      </c>
      <c r="O4118">
        <v>24.937027707808561</v>
      </c>
    </row>
    <row r="4119" spans="1:15" hidden="1" x14ac:dyDescent="0.25">
      <c r="A4119" s="11">
        <v>46132</v>
      </c>
      <c r="B4119" t="s">
        <v>15</v>
      </c>
      <c r="C4119" t="s">
        <v>16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15</v>
      </c>
      <c r="K4119" s="3">
        <f>I4119-J4119</f>
        <v>12</v>
      </c>
      <c r="L4119" s="3" t="str">
        <f t="shared" si="468"/>
        <v>MUITO BOM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17</v>
      </c>
      <c r="C4120" t="s">
        <v>18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 t="shared" si="468"/>
        <v>OPORTUNO</v>
      </c>
      <c r="N4120">
        <v>98.66</v>
      </c>
      <c r="O4120">
        <v>35.15625</v>
      </c>
    </row>
    <row r="4121" spans="1:15" hidden="1" x14ac:dyDescent="0.25">
      <c r="A4121" s="11">
        <v>46132</v>
      </c>
      <c r="B4121" t="s">
        <v>19</v>
      </c>
      <c r="C4121" t="s">
        <v>20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ref="I4121:I4128" si="472">E4121+G4121+H4121</f>
        <v>24</v>
      </c>
      <c r="J4121" s="3">
        <f t="shared" ref="J4121:J4128" si="473"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12</v>
      </c>
      <c r="K4121" s="3">
        <f t="shared" ref="K4121:K4128" si="474">I4121-J4121</f>
        <v>12</v>
      </c>
      <c r="L4121" s="3" t="str">
        <f t="shared" si="468"/>
        <v>MUITO BOM</v>
      </c>
      <c r="N4121">
        <v>99.32</v>
      </c>
      <c r="O4121">
        <v>30.45186640471513</v>
      </c>
    </row>
    <row r="4122" spans="1:15" hidden="1" x14ac:dyDescent="0.25">
      <c r="A4122" s="11">
        <v>46132</v>
      </c>
      <c r="B4122" t="s">
        <v>21</v>
      </c>
      <c r="C4122" t="s">
        <v>18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472"/>
        <v>15</v>
      </c>
      <c r="J4122" s="3">
        <f t="shared" si="473"/>
        <v>19</v>
      </c>
      <c r="K4122" s="3">
        <f t="shared" si="474"/>
        <v>-4</v>
      </c>
      <c r="L4122" s="3" t="str">
        <f t="shared" si="468"/>
        <v>ATENÇÃO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22</v>
      </c>
      <c r="C4123" t="s">
        <v>23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si="472"/>
        <v>11</v>
      </c>
      <c r="J4123" s="3">
        <f t="shared" si="473"/>
        <v>5</v>
      </c>
      <c r="K4123" s="3">
        <f t="shared" si="474"/>
        <v>6</v>
      </c>
      <c r="L4123" s="3" t="str">
        <f t="shared" si="468"/>
        <v>MUITO BOM</v>
      </c>
      <c r="N4123">
        <v>96.74</v>
      </c>
      <c r="O4123">
        <v>28.43137254901961</v>
      </c>
    </row>
    <row r="4124" spans="1:15" hidden="1" x14ac:dyDescent="0.25">
      <c r="A4124" s="11">
        <v>46132</v>
      </c>
      <c r="B4124" t="s">
        <v>24</v>
      </c>
      <c r="C4124" t="s">
        <v>16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472"/>
        <v>30</v>
      </c>
      <c r="J4124" s="3">
        <f t="shared" si="473"/>
        <v>15</v>
      </c>
      <c r="K4124" s="3">
        <f t="shared" si="474"/>
        <v>15</v>
      </c>
      <c r="L4124" s="3" t="str">
        <f t="shared" si="468"/>
        <v>MUITO BOM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25</v>
      </c>
      <c r="C4125" t="s">
        <v>16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472"/>
        <v>25</v>
      </c>
      <c r="J4125" s="3">
        <f t="shared" si="473"/>
        <v>15</v>
      </c>
      <c r="K4125" s="3">
        <f t="shared" si="474"/>
        <v>10</v>
      </c>
      <c r="L4125" s="3" t="str">
        <f t="shared" si="468"/>
        <v>MUITO BOM</v>
      </c>
      <c r="N4125">
        <v>98.2</v>
      </c>
      <c r="O4125">
        <v>26.890756302521009</v>
      </c>
    </row>
    <row r="4126" spans="1:15" hidden="1" x14ac:dyDescent="0.25">
      <c r="A4126" s="11">
        <v>46132</v>
      </c>
      <c r="B4126" t="s">
        <v>26</v>
      </c>
      <c r="C4126" t="s">
        <v>23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472"/>
        <v>1</v>
      </c>
      <c r="J4126" s="3">
        <f t="shared" si="473"/>
        <v>5</v>
      </c>
      <c r="K4126" s="3">
        <f t="shared" si="474"/>
        <v>-4</v>
      </c>
      <c r="L4126" s="3" t="str">
        <f t="shared" si="468"/>
        <v>ATENÇÃO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27</v>
      </c>
      <c r="C4127" t="s">
        <v>20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472"/>
        <v>19</v>
      </c>
      <c r="J4127" s="3">
        <f t="shared" si="473"/>
        <v>12</v>
      </c>
      <c r="K4127" s="3">
        <f t="shared" si="474"/>
        <v>7</v>
      </c>
      <c r="L4127" s="3" t="str">
        <f t="shared" si="468"/>
        <v>MUITO BOM</v>
      </c>
      <c r="N4127">
        <v>96.3</v>
      </c>
      <c r="O4127">
        <v>31.980906921241051</v>
      </c>
    </row>
    <row r="4128" spans="1:15" hidden="1" x14ac:dyDescent="0.25">
      <c r="A4128" s="11">
        <v>46132</v>
      </c>
      <c r="B4128" t="s">
        <v>28</v>
      </c>
      <c r="C4128" t="s">
        <v>18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472"/>
        <v>21</v>
      </c>
      <c r="J4128" s="3">
        <f t="shared" si="473"/>
        <v>19</v>
      </c>
      <c r="K4128" s="3">
        <f t="shared" si="474"/>
        <v>2</v>
      </c>
      <c r="L4128" s="3" t="str">
        <f t="shared" si="468"/>
        <v>OPORTUNO</v>
      </c>
      <c r="N4128">
        <v>93.75</v>
      </c>
      <c r="O4128">
        <v>26.628352490421459</v>
      </c>
    </row>
    <row r="4129" spans="1:15" hidden="1" x14ac:dyDescent="0.25">
      <c r="A4129" s="11">
        <v>46132</v>
      </c>
      <c r="B4129" t="s">
        <v>29</v>
      </c>
      <c r="C4129" t="s">
        <v>16</v>
      </c>
      <c r="D4129">
        <v>0</v>
      </c>
      <c r="E4129">
        <v>0</v>
      </c>
      <c r="F4129">
        <v>0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 t="shared" si="468"/>
        <v>OPORTUNO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30</v>
      </c>
      <c r="C4130" t="s">
        <v>20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12</v>
      </c>
      <c r="K4130" s="3">
        <f>I4130-J4130</f>
        <v>5</v>
      </c>
      <c r="L4130" s="3" t="str">
        <f t="shared" si="468"/>
        <v>OPORTUNO</v>
      </c>
      <c r="N4130">
        <v>100</v>
      </c>
      <c r="O4130">
        <v>36.231884057971023</v>
      </c>
    </row>
    <row r="4131" spans="1:15" hidden="1" x14ac:dyDescent="0.25">
      <c r="A4131" s="11">
        <v>46132</v>
      </c>
      <c r="B4131" t="s">
        <v>31</v>
      </c>
      <c r="C4131" t="s">
        <v>18</v>
      </c>
      <c r="D4131">
        <v>0</v>
      </c>
      <c r="E4131">
        <v>0</v>
      </c>
      <c r="F4131">
        <v>0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 t="shared" si="468"/>
        <v>OPORTUNO</v>
      </c>
      <c r="N4131">
        <v>100</v>
      </c>
      <c r="O4131">
        <v>38.269230769230766</v>
      </c>
    </row>
    <row r="4132" spans="1:15" hidden="1" x14ac:dyDescent="0.25">
      <c r="A4132" s="11">
        <v>46132</v>
      </c>
      <c r="B4132" t="s">
        <v>32</v>
      </c>
      <c r="C4132" t="s">
        <v>23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5</v>
      </c>
      <c r="K4132" s="3">
        <f>I4132-J4132</f>
        <v>1</v>
      </c>
      <c r="L4132" s="3" t="str">
        <f t="shared" si="468"/>
        <v>OPORTUNO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33</v>
      </c>
      <c r="C4133" t="s">
        <v>16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15</v>
      </c>
      <c r="K4133" s="3">
        <f>I4133-J4133</f>
        <v>10</v>
      </c>
      <c r="L4133" s="3" t="str">
        <f t="shared" si="468"/>
        <v>MUITO BOM</v>
      </c>
      <c r="N4133">
        <v>97.83</v>
      </c>
      <c r="O4133">
        <v>28.131868131868131</v>
      </c>
    </row>
    <row r="4134" spans="1:15" hidden="1" x14ac:dyDescent="0.25">
      <c r="A4134" s="11">
        <v>46132</v>
      </c>
      <c r="B4134" t="s">
        <v>34</v>
      </c>
      <c r="C4134" t="s">
        <v>18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19</v>
      </c>
      <c r="K4134" s="3">
        <f>I4134-J4134</f>
        <v>4</v>
      </c>
      <c r="L4134" s="3" t="str">
        <f t="shared" si="468"/>
        <v>OPORTUNO</v>
      </c>
      <c r="N4134">
        <v>99.26</v>
      </c>
      <c r="O4134">
        <v>29.57198443579767</v>
      </c>
    </row>
    <row r="4135" spans="1:15" hidden="1" x14ac:dyDescent="0.25">
      <c r="A4135" s="11">
        <v>46132</v>
      </c>
      <c r="B4135" t="s">
        <v>35</v>
      </c>
      <c r="C4135" t="s">
        <v>16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15</v>
      </c>
      <c r="K4135" s="3">
        <f>I4135-J4135</f>
        <v>-6</v>
      </c>
      <c r="L4135" s="3" t="str">
        <f t="shared" si="468"/>
        <v>CRÍTICO</v>
      </c>
      <c r="N4135">
        <v>99.19</v>
      </c>
      <c r="O4135">
        <v>29.462365591397852</v>
      </c>
    </row>
    <row r="4136" spans="1:15" hidden="1" x14ac:dyDescent="0.25">
      <c r="A4136" s="11">
        <v>46140</v>
      </c>
      <c r="B4136" t="s">
        <v>25</v>
      </c>
      <c r="C4136" t="s">
        <v>16</v>
      </c>
      <c r="D4136">
        <v>24</v>
      </c>
      <c r="E4136">
        <v>23</v>
      </c>
      <c r="F4136">
        <v>25.57</v>
      </c>
      <c r="G4136">
        <v>0</v>
      </c>
      <c r="H4136">
        <v>0</v>
      </c>
      <c r="I4136" s="3">
        <f>E4136+G4136+H4136</f>
        <v>23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25</v>
      </c>
      <c r="K4136" s="3">
        <f>I4136-J4136</f>
        <v>-2</v>
      </c>
      <c r="L4136" s="3" t="str">
        <f t="shared" si="468"/>
        <v>ATENÇÃO</v>
      </c>
      <c r="N4136">
        <v>98.2</v>
      </c>
      <c r="O4136">
        <v>26.890756302521009</v>
      </c>
    </row>
    <row r="4137" spans="1:15" hidden="1" x14ac:dyDescent="0.25">
      <c r="A4137" s="11">
        <v>46132</v>
      </c>
      <c r="B4137" t="s">
        <v>37</v>
      </c>
      <c r="C4137" t="s">
        <v>16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 t="shared" si="468"/>
        <v>OPORTUNO</v>
      </c>
      <c r="N4137">
        <v>100</v>
      </c>
      <c r="O4137">
        <v>27.941176470588239</v>
      </c>
    </row>
    <row r="4138" spans="1:15" hidden="1" x14ac:dyDescent="0.25">
      <c r="A4138" s="11">
        <v>46132</v>
      </c>
      <c r="B4138" t="s">
        <v>38</v>
      </c>
      <c r="C4138" t="s">
        <v>18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19</v>
      </c>
      <c r="K4138" s="3">
        <f>I4138-J4138</f>
        <v>11</v>
      </c>
      <c r="L4138" s="3" t="str">
        <f t="shared" si="468"/>
        <v>MUITO BOM</v>
      </c>
      <c r="N4138">
        <v>99.57</v>
      </c>
      <c r="O4138">
        <v>29.913294797687861</v>
      </c>
    </row>
    <row r="4139" spans="1:15" hidden="1" x14ac:dyDescent="0.25">
      <c r="A4139" s="11">
        <v>46132</v>
      </c>
      <c r="B4139" t="s">
        <v>39</v>
      </c>
      <c r="C4139" t="s">
        <v>18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 t="shared" si="468"/>
        <v>OPORTUNO</v>
      </c>
      <c r="N4139">
        <v>95.65</v>
      </c>
      <c r="O4139">
        <v>31.081081081081081</v>
      </c>
    </row>
    <row r="4140" spans="1:15" hidden="1" x14ac:dyDescent="0.25">
      <c r="A4140" s="11">
        <v>46132</v>
      </c>
      <c r="B4140" t="s">
        <v>40</v>
      </c>
      <c r="C4140" t="s">
        <v>16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15</v>
      </c>
      <c r="K4140" s="3">
        <f>I4140-J4140</f>
        <v>8</v>
      </c>
      <c r="L4140" s="3" t="str">
        <f t="shared" si="468"/>
        <v>MUITO BOM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41</v>
      </c>
      <c r="C4141" t="s">
        <v>18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 t="shared" si="468"/>
        <v>OPORTUNO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42</v>
      </c>
      <c r="C4142" t="s">
        <v>43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11</v>
      </c>
      <c r="K4142" s="3">
        <f>I4142-J4142</f>
        <v>-5</v>
      </c>
      <c r="L4142" s="3" t="str">
        <f t="shared" si="468"/>
        <v>ATENÇÃO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44</v>
      </c>
      <c r="C4143" t="s">
        <v>18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 t="shared" si="468"/>
        <v>OPORTUNO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45</v>
      </c>
      <c r="C4144" t="s">
        <v>43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11</v>
      </c>
      <c r="K4144" s="3">
        <f>I4144-J4144</f>
        <v>-3</v>
      </c>
      <c r="L4144" s="3" t="str">
        <f t="shared" si="468"/>
        <v>ATENÇÃO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46</v>
      </c>
      <c r="C4145" t="s">
        <v>18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19</v>
      </c>
      <c r="K4145" s="3">
        <f>I4145-J4145</f>
        <v>4</v>
      </c>
      <c r="L4145" s="3" t="str">
        <f t="shared" si="468"/>
        <v>OPORTUNO</v>
      </c>
      <c r="N4145">
        <v>99.15</v>
      </c>
      <c r="O4145">
        <v>27.370689655172409</v>
      </c>
    </row>
    <row r="4146" spans="1:15" hidden="1" x14ac:dyDescent="0.25">
      <c r="A4146" s="11">
        <v>46132</v>
      </c>
      <c r="B4146" t="s">
        <v>47</v>
      </c>
      <c r="C4146" t="s">
        <v>16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15</v>
      </c>
      <c r="K4146" s="3">
        <f>I4146-J4146</f>
        <v>4</v>
      </c>
      <c r="L4146" s="3" t="str">
        <f t="shared" si="468"/>
        <v>OPORTUNO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48</v>
      </c>
      <c r="C4147" t="s">
        <v>16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468"/>
        <v>OPORTUNO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49</v>
      </c>
      <c r="C4148" t="s">
        <v>18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 t="shared" si="468"/>
        <v>OPORTUNO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50</v>
      </c>
      <c r="C4149" t="s">
        <v>20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12</v>
      </c>
      <c r="K4149" s="3">
        <f>I4149-J4149</f>
        <v>-1</v>
      </c>
      <c r="L4149" s="3" t="str">
        <f t="shared" si="468"/>
        <v>ATENÇÃO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51</v>
      </c>
      <c r="C4150" t="s">
        <v>23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5</v>
      </c>
      <c r="K4150" s="3">
        <f>I4150-J4150</f>
        <v>5</v>
      </c>
      <c r="L4150" s="3" t="str">
        <f t="shared" si="468"/>
        <v>OPORTUNO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52</v>
      </c>
      <c r="C4151" t="s">
        <v>18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19</v>
      </c>
      <c r="K4151" s="3">
        <f>I4151-J4151</f>
        <v>2</v>
      </c>
      <c r="L4151" s="3" t="str">
        <f t="shared" si="468"/>
        <v>OPORTUNO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53</v>
      </c>
      <c r="C4152" t="s">
        <v>18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19</v>
      </c>
      <c r="K4152" s="3">
        <f>I4152-J4152</f>
        <v>7</v>
      </c>
      <c r="L4152" s="3" t="str">
        <f t="shared" si="468"/>
        <v>MUITO BOM</v>
      </c>
      <c r="N4152">
        <v>95.49</v>
      </c>
      <c r="O4152">
        <v>28.16901408450704</v>
      </c>
    </row>
    <row r="4153" spans="1:15" hidden="1" x14ac:dyDescent="0.25">
      <c r="A4153" s="11">
        <v>46132</v>
      </c>
      <c r="B4153" t="s">
        <v>54</v>
      </c>
      <c r="C4153" t="s">
        <v>23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 t="shared" si="468"/>
        <v>OPORTUNO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55</v>
      </c>
      <c r="C4154" t="s">
        <v>43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ref="I4154:I4163" si="475">E4154+G4154+H4154</f>
        <v>8</v>
      </c>
      <c r="J4154" s="3">
        <f t="shared" ref="J4154:J4163" si="476"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11</v>
      </c>
      <c r="K4154" s="3">
        <f t="shared" ref="K4154:K4163" si="477">I4154-J4154</f>
        <v>-3</v>
      </c>
      <c r="L4154" s="3" t="str">
        <f t="shared" si="468"/>
        <v>ATENÇÃO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56</v>
      </c>
      <c r="C4155" t="s">
        <v>16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475"/>
        <v>12</v>
      </c>
      <c r="J4155" s="3">
        <f t="shared" si="476"/>
        <v>15</v>
      </c>
      <c r="K4155" s="3">
        <f t="shared" si="477"/>
        <v>-3</v>
      </c>
      <c r="L4155" s="3" t="str">
        <f t="shared" ref="L4155:L4218" si="478">IF(K4155&lt;-5,"CRÍTICO",IF(K4155&lt;0,"ATENÇÃO",IF(K4155&lt;=5,"OPORTUNO","MUITO BOM")))</f>
        <v>ATENÇÃO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57</v>
      </c>
      <c r="C4156" t="s">
        <v>43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475"/>
        <v>10</v>
      </c>
      <c r="J4156" s="3">
        <f t="shared" si="476"/>
        <v>11</v>
      </c>
      <c r="K4156" s="3">
        <f t="shared" si="477"/>
        <v>-1</v>
      </c>
      <c r="L4156" s="3" t="str">
        <f t="shared" si="478"/>
        <v>ATENÇÃO</v>
      </c>
      <c r="N4156">
        <v>98.84</v>
      </c>
      <c r="O4156">
        <v>31.5018315018315</v>
      </c>
    </row>
    <row r="4157" spans="1:15" hidden="1" x14ac:dyDescent="0.25">
      <c r="A4157" s="11">
        <v>46132</v>
      </c>
      <c r="B4157" t="s">
        <v>58</v>
      </c>
      <c r="C4157" t="s">
        <v>43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475"/>
        <v>9</v>
      </c>
      <c r="J4157" s="3">
        <f t="shared" si="476"/>
        <v>11</v>
      </c>
      <c r="K4157" s="3">
        <f t="shared" si="477"/>
        <v>-2</v>
      </c>
      <c r="L4157" s="3" t="str">
        <f t="shared" si="478"/>
        <v>ATENÇÃO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59</v>
      </c>
      <c r="C4158" t="s">
        <v>23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475"/>
        <v>6</v>
      </c>
      <c r="J4158" s="3">
        <f t="shared" si="476"/>
        <v>5</v>
      </c>
      <c r="K4158" s="3">
        <f t="shared" si="477"/>
        <v>1</v>
      </c>
      <c r="L4158" s="3" t="str">
        <f t="shared" si="478"/>
        <v>OPORTUNO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60</v>
      </c>
      <c r="C4159" t="s">
        <v>20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475"/>
        <v>11</v>
      </c>
      <c r="J4159" s="3">
        <f t="shared" si="476"/>
        <v>12</v>
      </c>
      <c r="K4159" s="3">
        <f t="shared" si="477"/>
        <v>-1</v>
      </c>
      <c r="L4159" s="3" t="str">
        <f t="shared" si="478"/>
        <v>ATENÇÃO</v>
      </c>
      <c r="N4159">
        <v>98.32</v>
      </c>
      <c r="O4159">
        <v>26.618705035971221</v>
      </c>
    </row>
    <row r="4160" spans="1:15" hidden="1" x14ac:dyDescent="0.25">
      <c r="A4160" s="11">
        <v>46132</v>
      </c>
      <c r="B4160" t="s">
        <v>61</v>
      </c>
      <c r="C4160" t="s">
        <v>18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475"/>
        <v>30</v>
      </c>
      <c r="J4160" s="3">
        <f t="shared" si="476"/>
        <v>19</v>
      </c>
      <c r="K4160" s="3">
        <f t="shared" si="477"/>
        <v>11</v>
      </c>
      <c r="L4160" s="3" t="str">
        <f t="shared" si="478"/>
        <v>MUITO BOM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62</v>
      </c>
      <c r="C4161" t="s">
        <v>20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475"/>
        <v>7</v>
      </c>
      <c r="J4161" s="3">
        <f t="shared" si="476"/>
        <v>12</v>
      </c>
      <c r="K4161" s="3">
        <f t="shared" si="477"/>
        <v>-5</v>
      </c>
      <c r="L4161" s="3" t="str">
        <f t="shared" si="478"/>
        <v>ATENÇÃO</v>
      </c>
      <c r="N4161">
        <v>100</v>
      </c>
      <c r="O4161">
        <v>26.027397260273968</v>
      </c>
    </row>
    <row r="4162" spans="1:15" hidden="1" x14ac:dyDescent="0.25">
      <c r="A4162" s="11">
        <v>46132</v>
      </c>
      <c r="B4162" t="s">
        <v>63</v>
      </c>
      <c r="C4162" t="s">
        <v>18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475"/>
        <v>23</v>
      </c>
      <c r="J4162" s="3">
        <f t="shared" si="476"/>
        <v>19</v>
      </c>
      <c r="K4162" s="3">
        <f t="shared" si="477"/>
        <v>4</v>
      </c>
      <c r="L4162" s="3" t="str">
        <f t="shared" si="478"/>
        <v>OPORTUNO</v>
      </c>
      <c r="N4162">
        <v>99.21</v>
      </c>
      <c r="O4162">
        <v>24.937027707808561</v>
      </c>
    </row>
    <row r="4163" spans="1:15" hidden="1" x14ac:dyDescent="0.25">
      <c r="A4163" s="11">
        <v>46134</v>
      </c>
      <c r="B4163" t="s">
        <v>15</v>
      </c>
      <c r="C4163" t="s">
        <v>16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475"/>
        <v>38</v>
      </c>
      <c r="J4163" s="3">
        <f t="shared" si="476"/>
        <v>17</v>
      </c>
      <c r="K4163" s="3">
        <f t="shared" si="477"/>
        <v>21</v>
      </c>
      <c r="L4163" s="3" t="str">
        <f t="shared" si="478"/>
        <v>MUITO BOM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17</v>
      </c>
      <c r="C4164" t="s">
        <v>18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 t="shared" si="478"/>
        <v>OPORTUNO</v>
      </c>
      <c r="N4164">
        <v>98.66</v>
      </c>
      <c r="O4164">
        <v>35.15625</v>
      </c>
    </row>
    <row r="4165" spans="1:15" hidden="1" x14ac:dyDescent="0.25">
      <c r="A4165" s="11">
        <v>46134</v>
      </c>
      <c r="B4165" t="s">
        <v>19</v>
      </c>
      <c r="C4165" t="s">
        <v>20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14</v>
      </c>
      <c r="K4165" s="3">
        <f>I4165-J4165</f>
        <v>16</v>
      </c>
      <c r="L4165" s="3" t="str">
        <f t="shared" si="478"/>
        <v>MUITO BOM</v>
      </c>
      <c r="N4165">
        <v>99.32</v>
      </c>
      <c r="O4165">
        <v>30.45186640471513</v>
      </c>
    </row>
    <row r="4166" spans="1:15" hidden="1" x14ac:dyDescent="0.25">
      <c r="A4166" s="11">
        <v>46134</v>
      </c>
      <c r="B4166" t="s">
        <v>21</v>
      </c>
      <c r="C4166" t="s">
        <v>18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21</v>
      </c>
      <c r="K4166" s="3">
        <f>I4166-J4166</f>
        <v>-6</v>
      </c>
      <c r="L4166" s="3" t="str">
        <f t="shared" si="478"/>
        <v>CRÍTICO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22</v>
      </c>
      <c r="C4167" t="s">
        <v>23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6</v>
      </c>
      <c r="K4167" s="3">
        <f>I4167-J4167</f>
        <v>19</v>
      </c>
      <c r="L4167" s="3" t="str">
        <f t="shared" si="478"/>
        <v>MUITO BOM</v>
      </c>
      <c r="N4167">
        <v>96.74</v>
      </c>
      <c r="O4167">
        <v>28.43137254901961</v>
      </c>
    </row>
    <row r="4168" spans="1:15" hidden="1" x14ac:dyDescent="0.25">
      <c r="A4168" s="11">
        <v>46134</v>
      </c>
      <c r="B4168" t="s">
        <v>24</v>
      </c>
      <c r="C4168" t="s">
        <v>16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478"/>
        <v>OPORTUNO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25</v>
      </c>
      <c r="C4169" t="s">
        <v>16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 t="shared" si="478"/>
        <v>OPORTUNO</v>
      </c>
      <c r="N4169">
        <v>98.2</v>
      </c>
      <c r="O4169">
        <v>26.890756302521009</v>
      </c>
    </row>
    <row r="4170" spans="1:15" hidden="1" x14ac:dyDescent="0.25">
      <c r="A4170" s="11">
        <v>46134</v>
      </c>
      <c r="B4170" t="s">
        <v>26</v>
      </c>
      <c r="C4170" t="s">
        <v>23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6</v>
      </c>
      <c r="K4170" s="3">
        <f>I4170-J4170</f>
        <v>-1</v>
      </c>
      <c r="L4170" s="3" t="str">
        <f t="shared" si="478"/>
        <v>ATENÇÃO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27</v>
      </c>
      <c r="C4171" t="s">
        <v>20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14</v>
      </c>
      <c r="K4171" s="3">
        <f>I4171-J4171</f>
        <v>-1</v>
      </c>
      <c r="L4171" s="3" t="str">
        <f t="shared" si="478"/>
        <v>ATENÇÃO</v>
      </c>
      <c r="N4171">
        <v>96.3</v>
      </c>
      <c r="O4171">
        <v>31.980906921241051</v>
      </c>
    </row>
    <row r="4172" spans="1:15" hidden="1" x14ac:dyDescent="0.25">
      <c r="A4172" s="11">
        <v>46134</v>
      </c>
      <c r="B4172" t="s">
        <v>28</v>
      </c>
      <c r="C4172" t="s">
        <v>18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21</v>
      </c>
      <c r="K4172" s="3">
        <f>I4172-J4172</f>
        <v>2</v>
      </c>
      <c r="L4172" s="3" t="str">
        <f t="shared" si="478"/>
        <v>OPORTUNO</v>
      </c>
      <c r="N4172">
        <v>93.75</v>
      </c>
      <c r="O4172">
        <v>26.628352490421459</v>
      </c>
    </row>
    <row r="4173" spans="1:15" hidden="1" x14ac:dyDescent="0.25">
      <c r="A4173" s="11">
        <v>46134</v>
      </c>
      <c r="B4173" t="s">
        <v>29</v>
      </c>
      <c r="C4173" t="s">
        <v>16</v>
      </c>
      <c r="D4173">
        <v>0</v>
      </c>
      <c r="E4173">
        <v>0</v>
      </c>
      <c r="F4173">
        <v>0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 t="shared" si="478"/>
        <v>OPORTUNO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30</v>
      </c>
      <c r="C4174" t="s">
        <v>20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14</v>
      </c>
      <c r="K4174" s="3">
        <f>I4174-J4174</f>
        <v>2</v>
      </c>
      <c r="L4174" s="3" t="str">
        <f t="shared" si="478"/>
        <v>OPORTUNO</v>
      </c>
      <c r="N4174">
        <v>100</v>
      </c>
      <c r="O4174">
        <v>36.231884057971023</v>
      </c>
    </row>
    <row r="4175" spans="1:15" hidden="1" x14ac:dyDescent="0.25">
      <c r="A4175" s="11">
        <v>46134</v>
      </c>
      <c r="B4175" t="s">
        <v>31</v>
      </c>
      <c r="C4175" t="s">
        <v>18</v>
      </c>
      <c r="D4175">
        <v>0</v>
      </c>
      <c r="E4175">
        <v>0</v>
      </c>
      <c r="F4175">
        <v>0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 t="shared" si="478"/>
        <v>OPORTUNO</v>
      </c>
      <c r="N4175">
        <v>100</v>
      </c>
      <c r="O4175">
        <v>38.269230769230766</v>
      </c>
    </row>
    <row r="4176" spans="1:15" hidden="1" x14ac:dyDescent="0.25">
      <c r="A4176" s="11">
        <v>46134</v>
      </c>
      <c r="B4176" t="s">
        <v>32</v>
      </c>
      <c r="C4176" t="s">
        <v>23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>E4176+G4176+H4176</f>
        <v>7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6</v>
      </c>
      <c r="K4176" s="3">
        <f>I4176-J4176</f>
        <v>1</v>
      </c>
      <c r="L4176" s="3" t="str">
        <f t="shared" si="478"/>
        <v>OPORTUNO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33</v>
      </c>
      <c r="C4177" t="s">
        <v>16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>E4177+G4177+H4177</f>
        <v>29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17</v>
      </c>
      <c r="K4177" s="3">
        <f>I4177-J4177</f>
        <v>12</v>
      </c>
      <c r="L4177" s="3" t="str">
        <f t="shared" si="478"/>
        <v>MUITO BOM</v>
      </c>
      <c r="N4177">
        <v>97.83</v>
      </c>
      <c r="O4177">
        <v>28.131868131868131</v>
      </c>
    </row>
    <row r="4178" spans="1:15" hidden="1" x14ac:dyDescent="0.25">
      <c r="A4178" s="11">
        <v>46134</v>
      </c>
      <c r="B4178" t="s">
        <v>34</v>
      </c>
      <c r="C4178" t="s">
        <v>18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21</v>
      </c>
      <c r="K4178" s="3">
        <f>I4178-J4178</f>
        <v>-2</v>
      </c>
      <c r="L4178" s="3" t="str">
        <f t="shared" si="478"/>
        <v>ATENÇÃO</v>
      </c>
      <c r="N4178">
        <v>99.26</v>
      </c>
      <c r="O4178">
        <v>29.57198443579767</v>
      </c>
    </row>
    <row r="4179" spans="1:15" hidden="1" x14ac:dyDescent="0.25">
      <c r="A4179" s="11">
        <v>46134</v>
      </c>
      <c r="B4179" t="s">
        <v>35</v>
      </c>
      <c r="C4179" t="s">
        <v>16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>E4179+G4179+H4179</f>
        <v>19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17</v>
      </c>
      <c r="K4179" s="3">
        <f>I4179-J4179</f>
        <v>2</v>
      </c>
      <c r="L4179" s="3" t="str">
        <f t="shared" si="478"/>
        <v>OPORTUNO</v>
      </c>
      <c r="N4179">
        <v>99.19</v>
      </c>
      <c r="O4179">
        <v>29.462365591397852</v>
      </c>
    </row>
    <row r="4180" spans="1:15" hidden="1" x14ac:dyDescent="0.25">
      <c r="A4180" s="11">
        <v>46140</v>
      </c>
      <c r="B4180" t="s">
        <v>29</v>
      </c>
      <c r="C4180" t="s">
        <v>16</v>
      </c>
      <c r="D4180">
        <v>0</v>
      </c>
      <c r="E4180">
        <v>0</v>
      </c>
      <c r="F4180">
        <v>0</v>
      </c>
      <c r="G4180">
        <v>0</v>
      </c>
      <c r="H4180">
        <v>0</v>
      </c>
      <c r="I4180" s="3">
        <v>0</v>
      </c>
      <c r="J4180" s="3">
        <v>0</v>
      </c>
      <c r="K4180" s="3">
        <v>0</v>
      </c>
      <c r="L4180" s="3" t="str">
        <f t="shared" si="478"/>
        <v>OPORTUNO</v>
      </c>
      <c r="N4180">
        <v>97.86</v>
      </c>
      <c r="O4180">
        <v>31.018518518518519</v>
      </c>
    </row>
    <row r="4181" spans="1:15" hidden="1" x14ac:dyDescent="0.25">
      <c r="A4181" s="11">
        <v>46134</v>
      </c>
      <c r="B4181" t="s">
        <v>37</v>
      </c>
      <c r="C4181" t="s">
        <v>16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>E4181+G4181+H4181</f>
        <v>18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17</v>
      </c>
      <c r="K4181" s="3">
        <f>I4181-J4181</f>
        <v>1</v>
      </c>
      <c r="L4181" s="3" t="str">
        <f t="shared" si="478"/>
        <v>OPORTUNO</v>
      </c>
      <c r="N4181">
        <v>100</v>
      </c>
      <c r="O4181">
        <v>27.941176470588239</v>
      </c>
    </row>
    <row r="4182" spans="1:15" hidden="1" x14ac:dyDescent="0.25">
      <c r="A4182" s="11">
        <v>46134</v>
      </c>
      <c r="B4182" t="s">
        <v>38</v>
      </c>
      <c r="C4182" t="s">
        <v>18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>E4182+G4182+H4182</f>
        <v>30</v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>21</v>
      </c>
      <c r="K4182" s="3">
        <f>I4182-J4182</f>
        <v>9</v>
      </c>
      <c r="L4182" s="3" t="str">
        <f t="shared" si="478"/>
        <v>MUITO BOM</v>
      </c>
      <c r="N4182">
        <v>99.57</v>
      </c>
      <c r="O4182">
        <v>29.913294797687861</v>
      </c>
    </row>
    <row r="4183" spans="1:15" hidden="1" x14ac:dyDescent="0.25">
      <c r="A4183" s="11">
        <v>46134</v>
      </c>
      <c r="B4183" t="s">
        <v>39</v>
      </c>
      <c r="C4183" t="s">
        <v>18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 t="shared" si="478"/>
        <v>OPORTUNO</v>
      </c>
      <c r="N4183">
        <v>95.65</v>
      </c>
      <c r="O4183">
        <v>31.081081081081081</v>
      </c>
    </row>
    <row r="4184" spans="1:15" hidden="1" x14ac:dyDescent="0.25">
      <c r="A4184" s="11">
        <v>46134</v>
      </c>
      <c r="B4184" t="s">
        <v>40</v>
      </c>
      <c r="C4184" t="s">
        <v>16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17</v>
      </c>
      <c r="K4184" s="3">
        <f>I4184-J4184</f>
        <v>4</v>
      </c>
      <c r="L4184" s="3" t="str">
        <f t="shared" si="478"/>
        <v>OPORTUNO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41</v>
      </c>
      <c r="C4185" t="s">
        <v>18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 t="shared" si="478"/>
        <v>OPORTUNO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42</v>
      </c>
      <c r="C4186" t="s">
        <v>43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12</v>
      </c>
      <c r="K4186" s="3">
        <f>I4186-J4186</f>
        <v>-3</v>
      </c>
      <c r="L4186" s="3" t="str">
        <f t="shared" si="478"/>
        <v>ATENÇÃO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44</v>
      </c>
      <c r="C4187" t="s">
        <v>18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 t="shared" si="478"/>
        <v>OPORTUNO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45</v>
      </c>
      <c r="C4188" t="s">
        <v>43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12</v>
      </c>
      <c r="K4188" s="3">
        <f>I4188-J4188</f>
        <v>-7</v>
      </c>
      <c r="L4188" s="3" t="str">
        <f t="shared" si="478"/>
        <v>CRÍTICO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46</v>
      </c>
      <c r="C4189" t="s">
        <v>18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21</v>
      </c>
      <c r="K4189" s="3">
        <f>I4189-J4189</f>
        <v>2</v>
      </c>
      <c r="L4189" s="3" t="str">
        <f t="shared" si="478"/>
        <v>OPORTUNO</v>
      </c>
      <c r="N4189">
        <v>99.15</v>
      </c>
      <c r="O4189">
        <v>27.370689655172409</v>
      </c>
    </row>
    <row r="4190" spans="1:15" hidden="1" x14ac:dyDescent="0.25">
      <c r="A4190" s="11">
        <v>46134</v>
      </c>
      <c r="B4190" t="s">
        <v>47</v>
      </c>
      <c r="C4190" t="s">
        <v>16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17</v>
      </c>
      <c r="K4190" s="3">
        <f>I4190-J4190</f>
        <v>4</v>
      </c>
      <c r="L4190" s="3" t="str">
        <f t="shared" si="478"/>
        <v>OPORTUNO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48</v>
      </c>
      <c r="C4191" t="s">
        <v>16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478"/>
        <v>OPORTUNO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49</v>
      </c>
      <c r="C4192" t="s">
        <v>18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 t="shared" si="478"/>
        <v>OPORTUNO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50</v>
      </c>
      <c r="C4193" t="s">
        <v>20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ref="I4193:I4207" si="479">E4193+G4193+H4193</f>
        <v>19</v>
      </c>
      <c r="J4193" s="3">
        <f t="shared" ref="J4193:J4207" si="480"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14</v>
      </c>
      <c r="K4193" s="3">
        <f t="shared" ref="K4193:K4207" si="481">I4193-J4193</f>
        <v>5</v>
      </c>
      <c r="L4193" s="3" t="str">
        <f t="shared" si="478"/>
        <v>OPORTUNO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51</v>
      </c>
      <c r="C4194" t="s">
        <v>23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479"/>
        <v>2</v>
      </c>
      <c r="J4194" s="3">
        <f t="shared" si="480"/>
        <v>6</v>
      </c>
      <c r="K4194" s="3">
        <f t="shared" si="481"/>
        <v>-4</v>
      </c>
      <c r="L4194" s="3" t="str">
        <f t="shared" si="478"/>
        <v>ATENÇÃO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52</v>
      </c>
      <c r="C4195" t="s">
        <v>18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479"/>
        <v>21</v>
      </c>
      <c r="J4195" s="3">
        <f t="shared" si="480"/>
        <v>21</v>
      </c>
      <c r="K4195" s="3">
        <f t="shared" si="481"/>
        <v>0</v>
      </c>
      <c r="L4195" s="3" t="str">
        <f t="shared" si="478"/>
        <v>OPORTUNO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53</v>
      </c>
      <c r="C4196" t="s">
        <v>18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479"/>
        <v>23</v>
      </c>
      <c r="J4196" s="3">
        <f t="shared" si="480"/>
        <v>21</v>
      </c>
      <c r="K4196" s="3">
        <f t="shared" si="481"/>
        <v>2</v>
      </c>
      <c r="L4196" s="3" t="str">
        <f t="shared" si="478"/>
        <v>OPORTUNO</v>
      </c>
      <c r="N4196">
        <v>95.49</v>
      </c>
      <c r="O4196">
        <v>28.16901408450704</v>
      </c>
    </row>
    <row r="4197" spans="1:15" hidden="1" x14ac:dyDescent="0.25">
      <c r="A4197" s="11">
        <v>46134</v>
      </c>
      <c r="B4197" t="s">
        <v>54</v>
      </c>
      <c r="C4197" t="s">
        <v>23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479"/>
        <v>18</v>
      </c>
      <c r="J4197" s="3">
        <f t="shared" si="480"/>
        <v>6</v>
      </c>
      <c r="K4197" s="3">
        <f t="shared" si="481"/>
        <v>12</v>
      </c>
      <c r="L4197" s="3" t="str">
        <f t="shared" si="478"/>
        <v>MUITO BOM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55</v>
      </c>
      <c r="C4198" t="s">
        <v>43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479"/>
        <v>18</v>
      </c>
      <c r="J4198" s="3">
        <f t="shared" si="480"/>
        <v>12</v>
      </c>
      <c r="K4198" s="3">
        <f t="shared" si="481"/>
        <v>6</v>
      </c>
      <c r="L4198" s="3" t="str">
        <f t="shared" si="478"/>
        <v>MUITO BOM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56</v>
      </c>
      <c r="C4199" t="s">
        <v>16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479"/>
        <v>8</v>
      </c>
      <c r="J4199" s="3">
        <f t="shared" si="480"/>
        <v>17</v>
      </c>
      <c r="K4199" s="3">
        <f t="shared" si="481"/>
        <v>-9</v>
      </c>
      <c r="L4199" s="3" t="str">
        <f t="shared" si="478"/>
        <v>CRÍTICO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57</v>
      </c>
      <c r="C4200" t="s">
        <v>43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479"/>
        <v>4</v>
      </c>
      <c r="J4200" s="3">
        <f t="shared" si="480"/>
        <v>12</v>
      </c>
      <c r="K4200" s="3">
        <f t="shared" si="481"/>
        <v>-8</v>
      </c>
      <c r="L4200" s="3" t="str">
        <f t="shared" si="478"/>
        <v>CRÍTICO</v>
      </c>
      <c r="N4200">
        <v>98.84</v>
      </c>
      <c r="O4200">
        <v>31.5018315018315</v>
      </c>
    </row>
    <row r="4201" spans="1:15" hidden="1" x14ac:dyDescent="0.25">
      <c r="A4201" s="11">
        <v>46134</v>
      </c>
      <c r="B4201" t="s">
        <v>58</v>
      </c>
      <c r="C4201" t="s">
        <v>43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479"/>
        <v>7</v>
      </c>
      <c r="J4201" s="3">
        <f t="shared" si="480"/>
        <v>12</v>
      </c>
      <c r="K4201" s="3">
        <f t="shared" si="481"/>
        <v>-5</v>
      </c>
      <c r="L4201" s="3" t="str">
        <f t="shared" si="478"/>
        <v>ATENÇÃO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59</v>
      </c>
      <c r="C4202" t="s">
        <v>23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479"/>
        <v>7</v>
      </c>
      <c r="J4202" s="3">
        <f t="shared" si="480"/>
        <v>6</v>
      </c>
      <c r="K4202" s="3">
        <f t="shared" si="481"/>
        <v>1</v>
      </c>
      <c r="L4202" s="3" t="str">
        <f t="shared" si="478"/>
        <v>OPORTUNO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60</v>
      </c>
      <c r="C4203" t="s">
        <v>20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479"/>
        <v>18</v>
      </c>
      <c r="J4203" s="3">
        <f t="shared" si="480"/>
        <v>14</v>
      </c>
      <c r="K4203" s="3">
        <f t="shared" si="481"/>
        <v>4</v>
      </c>
      <c r="L4203" s="3" t="str">
        <f t="shared" si="478"/>
        <v>OPORTUNO</v>
      </c>
      <c r="N4203">
        <v>98.32</v>
      </c>
      <c r="O4203">
        <v>26.618705035971221</v>
      </c>
    </row>
    <row r="4204" spans="1:15" hidden="1" x14ac:dyDescent="0.25">
      <c r="A4204" s="11">
        <v>46134</v>
      </c>
      <c r="B4204" t="s">
        <v>61</v>
      </c>
      <c r="C4204" t="s">
        <v>18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479"/>
        <v>28</v>
      </c>
      <c r="J4204" s="3">
        <f t="shared" si="480"/>
        <v>21</v>
      </c>
      <c r="K4204" s="3">
        <f t="shared" si="481"/>
        <v>7</v>
      </c>
      <c r="L4204" s="3" t="str">
        <f t="shared" si="478"/>
        <v>MUITO BOM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62</v>
      </c>
      <c r="C4205" t="s">
        <v>20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479"/>
        <v>17</v>
      </c>
      <c r="J4205" s="3">
        <f t="shared" si="480"/>
        <v>14</v>
      </c>
      <c r="K4205" s="3">
        <f t="shared" si="481"/>
        <v>3</v>
      </c>
      <c r="L4205" s="3" t="str">
        <f t="shared" si="478"/>
        <v>OPORTUNO</v>
      </c>
      <c r="N4205">
        <v>100</v>
      </c>
      <c r="O4205">
        <v>26.027397260273968</v>
      </c>
    </row>
    <row r="4206" spans="1:15" hidden="1" x14ac:dyDescent="0.25">
      <c r="A4206" s="11">
        <v>46134</v>
      </c>
      <c r="B4206" t="s">
        <v>63</v>
      </c>
      <c r="C4206" t="s">
        <v>18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479"/>
        <v>23</v>
      </c>
      <c r="J4206" s="3">
        <f t="shared" si="480"/>
        <v>21</v>
      </c>
      <c r="K4206" s="3">
        <f t="shared" si="481"/>
        <v>2</v>
      </c>
      <c r="L4206" s="3" t="str">
        <f t="shared" si="478"/>
        <v>OPORTUNO</v>
      </c>
      <c r="N4206">
        <v>99.21</v>
      </c>
      <c r="O4206">
        <v>24.937027707808561</v>
      </c>
    </row>
    <row r="4207" spans="1:15" hidden="1" x14ac:dyDescent="0.25">
      <c r="A4207" s="11">
        <v>46135</v>
      </c>
      <c r="B4207" t="s">
        <v>15</v>
      </c>
      <c r="C4207" t="s">
        <v>16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479"/>
        <v>24</v>
      </c>
      <c r="J4207" s="3">
        <f t="shared" si="480"/>
        <v>19</v>
      </c>
      <c r="K4207" s="3">
        <f t="shared" si="481"/>
        <v>5</v>
      </c>
      <c r="L4207" s="3" t="str">
        <f t="shared" si="478"/>
        <v>OPORTUNO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17</v>
      </c>
      <c r="C4208" t="s">
        <v>18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 t="shared" si="478"/>
        <v>OPORTUNO</v>
      </c>
      <c r="N4208">
        <v>98.66</v>
      </c>
      <c r="O4208">
        <v>35.15625</v>
      </c>
    </row>
    <row r="4209" spans="1:15" hidden="1" x14ac:dyDescent="0.25">
      <c r="A4209" s="11">
        <v>46135</v>
      </c>
      <c r="B4209" t="s">
        <v>19</v>
      </c>
      <c r="C4209" t="s">
        <v>20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15</v>
      </c>
      <c r="K4209" s="3">
        <f>I4209-J4209</f>
        <v>12</v>
      </c>
      <c r="L4209" s="3" t="str">
        <f t="shared" si="478"/>
        <v>MUITO BOM</v>
      </c>
      <c r="N4209">
        <v>99.32</v>
      </c>
      <c r="O4209">
        <v>30.45186640471513</v>
      </c>
    </row>
    <row r="4210" spans="1:15" hidden="1" x14ac:dyDescent="0.25">
      <c r="A4210" s="11">
        <v>46135</v>
      </c>
      <c r="B4210" t="s">
        <v>21</v>
      </c>
      <c r="C4210" t="s">
        <v>18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23</v>
      </c>
      <c r="K4210" s="3">
        <f>I4210-J4210</f>
        <v>-4</v>
      </c>
      <c r="L4210" s="3" t="str">
        <f t="shared" si="478"/>
        <v>ATENÇÃO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22</v>
      </c>
      <c r="C4211" t="s">
        <v>23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 t="shared" si="478"/>
        <v>MUITO BOM</v>
      </c>
      <c r="N4211">
        <v>96.74</v>
      </c>
      <c r="O4211">
        <v>28.43137254901961</v>
      </c>
    </row>
    <row r="4212" spans="1:15" hidden="1" x14ac:dyDescent="0.25">
      <c r="A4212" s="11">
        <v>46135</v>
      </c>
      <c r="B4212" t="s">
        <v>24</v>
      </c>
      <c r="C4212" t="s">
        <v>16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478"/>
        <v>OPORTUNO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25</v>
      </c>
      <c r="C4213" t="s">
        <v>16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 t="shared" si="478"/>
        <v>OPORTUNO</v>
      </c>
      <c r="N4213">
        <v>98.2</v>
      </c>
      <c r="O4213">
        <v>26.890756302521009</v>
      </c>
    </row>
    <row r="4214" spans="1:15" hidden="1" x14ac:dyDescent="0.25">
      <c r="A4214" s="11">
        <v>46135</v>
      </c>
      <c r="B4214" t="s">
        <v>26</v>
      </c>
      <c r="C4214" t="s">
        <v>23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 t="shared" si="478"/>
        <v>OPORTUNO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27</v>
      </c>
      <c r="C4215" t="s">
        <v>20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15</v>
      </c>
      <c r="K4215" s="3">
        <f>I4215-J4215</f>
        <v>-2</v>
      </c>
      <c r="L4215" s="3" t="str">
        <f t="shared" si="478"/>
        <v>ATENÇÃO</v>
      </c>
      <c r="N4215">
        <v>96.3</v>
      </c>
      <c r="O4215">
        <v>31.980906921241051</v>
      </c>
    </row>
    <row r="4216" spans="1:15" hidden="1" x14ac:dyDescent="0.25">
      <c r="A4216" s="11">
        <v>46135</v>
      </c>
      <c r="B4216" t="s">
        <v>28</v>
      </c>
      <c r="C4216" t="s">
        <v>18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23</v>
      </c>
      <c r="K4216" s="3">
        <f>I4216-J4216</f>
        <v>-2</v>
      </c>
      <c r="L4216" s="3" t="str">
        <f t="shared" si="478"/>
        <v>ATENÇÃO</v>
      </c>
      <c r="N4216">
        <v>93.75</v>
      </c>
      <c r="O4216">
        <v>26.628352490421459</v>
      </c>
    </row>
    <row r="4217" spans="1:15" hidden="1" x14ac:dyDescent="0.25">
      <c r="A4217" s="11">
        <v>46135</v>
      </c>
      <c r="B4217" t="s">
        <v>29</v>
      </c>
      <c r="C4217" t="s">
        <v>16</v>
      </c>
      <c r="D4217">
        <v>0</v>
      </c>
      <c r="E4217">
        <v>0</v>
      </c>
      <c r="F4217">
        <v>0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 t="shared" si="478"/>
        <v>OPORTUNO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30</v>
      </c>
      <c r="C4218" t="s">
        <v>20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15</v>
      </c>
      <c r="K4218" s="3">
        <f>I4218-J4218</f>
        <v>3</v>
      </c>
      <c r="L4218" s="3" t="str">
        <f t="shared" si="478"/>
        <v>OPORTUNO</v>
      </c>
      <c r="N4218">
        <v>100</v>
      </c>
      <c r="O4218">
        <v>36.231884057971023</v>
      </c>
    </row>
    <row r="4219" spans="1:15" hidden="1" x14ac:dyDescent="0.25">
      <c r="A4219" s="11">
        <v>46135</v>
      </c>
      <c r="B4219" t="s">
        <v>31</v>
      </c>
      <c r="C4219" t="s">
        <v>18</v>
      </c>
      <c r="D4219">
        <v>0</v>
      </c>
      <c r="E4219">
        <v>0</v>
      </c>
      <c r="F4219">
        <v>0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 t="shared" ref="L4219:L4282" si="482">IF(K4219&lt;-5,"CRÍTICO",IF(K4219&lt;0,"ATENÇÃO",IF(K4219&lt;=5,"OPORTUNO","MUITO BOM")))</f>
        <v>OPORTUNO</v>
      </c>
      <c r="N4219">
        <v>100</v>
      </c>
      <c r="O4219">
        <v>38.269230769230766</v>
      </c>
    </row>
    <row r="4220" spans="1:15" hidden="1" x14ac:dyDescent="0.25">
      <c r="A4220" s="11">
        <v>46135</v>
      </c>
      <c r="B4220" t="s">
        <v>32</v>
      </c>
      <c r="C4220" t="s">
        <v>23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ref="I4220:I4226" si="483">E4220+G4220+H4220</f>
        <v>9</v>
      </c>
      <c r="J4220" s="3">
        <f t="shared" ref="J4220:J4226" si="484"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 t="shared" ref="K4220:K4226" si="485">I4220-J4220</f>
        <v>2</v>
      </c>
      <c r="L4220" s="3" t="str">
        <f t="shared" si="482"/>
        <v>OPORTUNO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33</v>
      </c>
      <c r="C4221" t="s">
        <v>16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483"/>
        <v>22</v>
      </c>
      <c r="J4221" s="3">
        <f t="shared" si="484"/>
        <v>19</v>
      </c>
      <c r="K4221" s="3">
        <f t="shared" si="485"/>
        <v>3</v>
      </c>
      <c r="L4221" s="3" t="str">
        <f t="shared" si="482"/>
        <v>OPORTUNO</v>
      </c>
      <c r="N4221">
        <v>97.83</v>
      </c>
      <c r="O4221">
        <v>28.131868131868131</v>
      </c>
    </row>
    <row r="4222" spans="1:15" hidden="1" x14ac:dyDescent="0.25">
      <c r="A4222" s="11">
        <v>46135</v>
      </c>
      <c r="B4222" t="s">
        <v>34</v>
      </c>
      <c r="C4222" t="s">
        <v>18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483"/>
        <v>25</v>
      </c>
      <c r="J4222" s="3">
        <f t="shared" si="484"/>
        <v>23</v>
      </c>
      <c r="K4222" s="3">
        <f t="shared" si="485"/>
        <v>2</v>
      </c>
      <c r="L4222" s="3" t="str">
        <f t="shared" si="482"/>
        <v>OPORTUNO</v>
      </c>
      <c r="N4222">
        <v>99.26</v>
      </c>
      <c r="O4222">
        <v>29.57198443579767</v>
      </c>
    </row>
    <row r="4223" spans="1:15" hidden="1" x14ac:dyDescent="0.25">
      <c r="A4223" s="11">
        <v>46135</v>
      </c>
      <c r="B4223" t="s">
        <v>35</v>
      </c>
      <c r="C4223" t="s">
        <v>16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483"/>
        <v>32</v>
      </c>
      <c r="J4223" s="3">
        <f t="shared" si="484"/>
        <v>19</v>
      </c>
      <c r="K4223" s="3">
        <f t="shared" si="485"/>
        <v>13</v>
      </c>
      <c r="L4223" s="3" t="str">
        <f t="shared" si="482"/>
        <v>MUITO BOM</v>
      </c>
      <c r="N4223">
        <v>99.19</v>
      </c>
      <c r="O4223">
        <v>29.462365591397852</v>
      </c>
    </row>
    <row r="4224" spans="1:15" hidden="1" x14ac:dyDescent="0.25">
      <c r="A4224" s="11">
        <v>46140</v>
      </c>
      <c r="B4224" t="s">
        <v>33</v>
      </c>
      <c r="C4224" t="s">
        <v>16</v>
      </c>
      <c r="D4224">
        <v>27</v>
      </c>
      <c r="E4224">
        <v>27</v>
      </c>
      <c r="F4224">
        <v>18.350000000000001</v>
      </c>
      <c r="G4224">
        <v>0</v>
      </c>
      <c r="H4224">
        <v>0</v>
      </c>
      <c r="I4224" s="3">
        <f t="shared" si="483"/>
        <v>27</v>
      </c>
      <c r="J4224" s="3">
        <f t="shared" si="484"/>
        <v>25</v>
      </c>
      <c r="K4224" s="3">
        <f t="shared" si="485"/>
        <v>2</v>
      </c>
      <c r="L4224" s="3" t="str">
        <f t="shared" si="482"/>
        <v>OPORTUNO</v>
      </c>
      <c r="N4224">
        <v>97.83</v>
      </c>
      <c r="O4224">
        <v>28.131868131868131</v>
      </c>
    </row>
    <row r="4225" spans="1:15" hidden="1" x14ac:dyDescent="0.25">
      <c r="A4225" s="11">
        <v>46135</v>
      </c>
      <c r="B4225" t="s">
        <v>37</v>
      </c>
      <c r="C4225" t="s">
        <v>16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483"/>
        <v>18</v>
      </c>
      <c r="J4225" s="3">
        <f t="shared" si="484"/>
        <v>19</v>
      </c>
      <c r="K4225" s="3">
        <f t="shared" si="485"/>
        <v>-1</v>
      </c>
      <c r="L4225" s="3" t="str">
        <f t="shared" si="482"/>
        <v>ATENÇÃO</v>
      </c>
      <c r="N4225">
        <v>100</v>
      </c>
      <c r="O4225">
        <v>27.941176470588239</v>
      </c>
    </row>
    <row r="4226" spans="1:15" hidden="1" x14ac:dyDescent="0.25">
      <c r="A4226" s="11">
        <v>46135</v>
      </c>
      <c r="B4226" t="s">
        <v>38</v>
      </c>
      <c r="C4226" t="s">
        <v>18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483"/>
        <v>28</v>
      </c>
      <c r="J4226" s="3">
        <f t="shared" si="484"/>
        <v>23</v>
      </c>
      <c r="K4226" s="3">
        <f t="shared" si="485"/>
        <v>5</v>
      </c>
      <c r="L4226" s="3" t="str">
        <f t="shared" si="482"/>
        <v>OPORTUNO</v>
      </c>
      <c r="N4226">
        <v>99.57</v>
      </c>
      <c r="O4226">
        <v>29.913294797687861</v>
      </c>
    </row>
    <row r="4227" spans="1:15" hidden="1" x14ac:dyDescent="0.25">
      <c r="A4227" s="11">
        <v>46135</v>
      </c>
      <c r="B4227" t="s">
        <v>39</v>
      </c>
      <c r="C4227" t="s">
        <v>18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 t="shared" si="482"/>
        <v>OPORTUNO</v>
      </c>
      <c r="N4227">
        <v>95.65</v>
      </c>
      <c r="O4227">
        <v>31.081081081081081</v>
      </c>
    </row>
    <row r="4228" spans="1:15" hidden="1" x14ac:dyDescent="0.25">
      <c r="A4228" s="11">
        <v>46135</v>
      </c>
      <c r="B4228" t="s">
        <v>40</v>
      </c>
      <c r="C4228" t="s">
        <v>16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19</v>
      </c>
      <c r="K4228" s="3">
        <f>I4228-J4228</f>
        <v>4</v>
      </c>
      <c r="L4228" s="3" t="str">
        <f t="shared" si="482"/>
        <v>OPORTUNO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41</v>
      </c>
      <c r="C4229" t="s">
        <v>18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 t="shared" si="482"/>
        <v>OPORTUNO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42</v>
      </c>
      <c r="C4230" t="s">
        <v>43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13</v>
      </c>
      <c r="K4230" s="3">
        <f>I4230-J4230</f>
        <v>-6</v>
      </c>
      <c r="L4230" s="3" t="str">
        <f t="shared" si="482"/>
        <v>CRÍTICO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44</v>
      </c>
      <c r="C4231" t="s">
        <v>18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 t="shared" si="482"/>
        <v>OPORTUNO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45</v>
      </c>
      <c r="C4232" t="s">
        <v>43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13</v>
      </c>
      <c r="K4232" s="3">
        <f>I4232-J4232</f>
        <v>5</v>
      </c>
      <c r="L4232" s="3" t="str">
        <f t="shared" si="482"/>
        <v>OPORTUNO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46</v>
      </c>
      <c r="C4233" t="s">
        <v>18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23</v>
      </c>
      <c r="K4233" s="3">
        <f>I4233-J4233</f>
        <v>-1</v>
      </c>
      <c r="L4233" s="3" t="str">
        <f t="shared" si="482"/>
        <v>ATENÇÃO</v>
      </c>
      <c r="N4233">
        <v>99.15</v>
      </c>
      <c r="O4233">
        <v>27.370689655172409</v>
      </c>
    </row>
    <row r="4234" spans="1:15" hidden="1" x14ac:dyDescent="0.25">
      <c r="A4234" s="11">
        <v>46135</v>
      </c>
      <c r="B4234" t="s">
        <v>47</v>
      </c>
      <c r="C4234" t="s">
        <v>16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19</v>
      </c>
      <c r="K4234" s="3">
        <f>I4234-J4234</f>
        <v>2</v>
      </c>
      <c r="L4234" s="3" t="str">
        <f t="shared" si="482"/>
        <v>OPORTUNO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48</v>
      </c>
      <c r="C4235" t="s">
        <v>16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482"/>
        <v>OPORTUNO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49</v>
      </c>
      <c r="C4236" t="s">
        <v>18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 t="shared" si="482"/>
        <v>OPORTUNO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50</v>
      </c>
      <c r="C4237" t="s">
        <v>20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ref="I4237:I4242" si="486">E4237+G4237+H4237</f>
        <v>20</v>
      </c>
      <c r="J4237" s="3">
        <f t="shared" ref="J4237:J4242" si="487"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15</v>
      </c>
      <c r="K4237" s="3">
        <f t="shared" ref="K4237:K4242" si="488">I4237-J4237</f>
        <v>5</v>
      </c>
      <c r="L4237" s="3" t="str">
        <f t="shared" si="482"/>
        <v>OPORTUNO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51</v>
      </c>
      <c r="C4238" t="s">
        <v>23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486"/>
        <v>16</v>
      </c>
      <c r="J4238" s="3">
        <f t="shared" si="487"/>
        <v>7</v>
      </c>
      <c r="K4238" s="3">
        <f t="shared" si="488"/>
        <v>9</v>
      </c>
      <c r="L4238" s="3" t="str">
        <f t="shared" si="482"/>
        <v>MUITO BOM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52</v>
      </c>
      <c r="C4239" t="s">
        <v>18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486"/>
        <v>17</v>
      </c>
      <c r="J4239" s="3">
        <f t="shared" si="487"/>
        <v>23</v>
      </c>
      <c r="K4239" s="3">
        <f t="shared" si="488"/>
        <v>-6</v>
      </c>
      <c r="L4239" s="3" t="str">
        <f t="shared" si="482"/>
        <v>CRÍTICO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53</v>
      </c>
      <c r="C4240" t="s">
        <v>18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486"/>
        <v>23</v>
      </c>
      <c r="J4240" s="3">
        <f t="shared" si="487"/>
        <v>23</v>
      </c>
      <c r="K4240" s="3">
        <f t="shared" si="488"/>
        <v>0</v>
      </c>
      <c r="L4240" s="3" t="str">
        <f t="shared" si="482"/>
        <v>OPORTUNO</v>
      </c>
      <c r="N4240">
        <v>95.49</v>
      </c>
      <c r="O4240">
        <v>28.16901408450704</v>
      </c>
    </row>
    <row r="4241" spans="1:15" hidden="1" x14ac:dyDescent="0.25">
      <c r="A4241" s="11">
        <v>46135</v>
      </c>
      <c r="B4241" t="s">
        <v>54</v>
      </c>
      <c r="C4241" t="s">
        <v>23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486"/>
        <v>12</v>
      </c>
      <c r="J4241" s="3">
        <f t="shared" si="487"/>
        <v>7</v>
      </c>
      <c r="K4241" s="3">
        <f t="shared" si="488"/>
        <v>5</v>
      </c>
      <c r="L4241" s="3" t="str">
        <f t="shared" si="482"/>
        <v>OPORTUNO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55</v>
      </c>
      <c r="C4242" t="s">
        <v>43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486"/>
        <v>19</v>
      </c>
      <c r="J4242" s="3">
        <f t="shared" si="487"/>
        <v>13</v>
      </c>
      <c r="K4242" s="3">
        <f t="shared" si="488"/>
        <v>6</v>
      </c>
      <c r="L4242" s="3" t="str">
        <f t="shared" si="482"/>
        <v>MUITO BOM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56</v>
      </c>
      <c r="C4243" t="s">
        <v>16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482"/>
        <v>OPORTUNO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57</v>
      </c>
      <c r="C4244" t="s">
        <v>43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 t="shared" si="482"/>
        <v>OPORTUNO</v>
      </c>
      <c r="N4244">
        <v>98.84</v>
      </c>
      <c r="O4244">
        <v>31.5018315018315</v>
      </c>
    </row>
    <row r="4245" spans="1:15" hidden="1" x14ac:dyDescent="0.25">
      <c r="A4245" s="11">
        <v>46135</v>
      </c>
      <c r="B4245" t="s">
        <v>58</v>
      </c>
      <c r="C4245" t="s">
        <v>43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ref="I4245:I4251" si="489">E4245+G4245+H4245</f>
        <v>11</v>
      </c>
      <c r="J4245" s="3">
        <f t="shared" ref="J4245:J4251" si="490"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13</v>
      </c>
      <c r="K4245" s="3">
        <f t="shared" ref="K4245:K4251" si="491">I4245-J4245</f>
        <v>-2</v>
      </c>
      <c r="L4245" s="3" t="str">
        <f t="shared" si="482"/>
        <v>ATENÇÃO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59</v>
      </c>
      <c r="C4246" t="s">
        <v>23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489"/>
        <v>5</v>
      </c>
      <c r="J4246" s="3">
        <f t="shared" si="490"/>
        <v>7</v>
      </c>
      <c r="K4246" s="3">
        <f t="shared" si="491"/>
        <v>-2</v>
      </c>
      <c r="L4246" s="3" t="str">
        <f t="shared" si="482"/>
        <v>ATENÇÃO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60</v>
      </c>
      <c r="C4247" t="s">
        <v>20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489"/>
        <v>27</v>
      </c>
      <c r="J4247" s="3">
        <f t="shared" si="490"/>
        <v>15</v>
      </c>
      <c r="K4247" s="3">
        <f t="shared" si="491"/>
        <v>12</v>
      </c>
      <c r="L4247" s="3" t="str">
        <f t="shared" si="482"/>
        <v>MUITO BOM</v>
      </c>
      <c r="N4247">
        <v>98.32</v>
      </c>
      <c r="O4247">
        <v>26.618705035971221</v>
      </c>
    </row>
    <row r="4248" spans="1:15" hidden="1" x14ac:dyDescent="0.25">
      <c r="A4248" s="11">
        <v>46135</v>
      </c>
      <c r="B4248" t="s">
        <v>61</v>
      </c>
      <c r="C4248" t="s">
        <v>18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489"/>
        <v>30</v>
      </c>
      <c r="J4248" s="3">
        <f t="shared" si="490"/>
        <v>23</v>
      </c>
      <c r="K4248" s="3">
        <f t="shared" si="491"/>
        <v>7</v>
      </c>
      <c r="L4248" s="3" t="str">
        <f t="shared" si="482"/>
        <v>MUITO BOM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62</v>
      </c>
      <c r="C4249" t="s">
        <v>20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489"/>
        <v>17</v>
      </c>
      <c r="J4249" s="3">
        <f t="shared" si="490"/>
        <v>15</v>
      </c>
      <c r="K4249" s="3">
        <f t="shared" si="491"/>
        <v>2</v>
      </c>
      <c r="L4249" s="3" t="str">
        <f t="shared" si="482"/>
        <v>OPORTUNO</v>
      </c>
      <c r="N4249">
        <v>100</v>
      </c>
      <c r="O4249">
        <v>26.027397260273968</v>
      </c>
    </row>
    <row r="4250" spans="1:15" hidden="1" x14ac:dyDescent="0.25">
      <c r="A4250" s="11">
        <v>46135</v>
      </c>
      <c r="B4250" t="s">
        <v>63</v>
      </c>
      <c r="C4250" t="s">
        <v>18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489"/>
        <v>23</v>
      </c>
      <c r="J4250" s="3">
        <f t="shared" si="490"/>
        <v>23</v>
      </c>
      <c r="K4250" s="3">
        <f t="shared" si="491"/>
        <v>0</v>
      </c>
      <c r="L4250" s="3" t="str">
        <f t="shared" si="482"/>
        <v>OPORTUNO</v>
      </c>
      <c r="N4250">
        <v>99.21</v>
      </c>
      <c r="O4250">
        <v>24.937027707808561</v>
      </c>
    </row>
    <row r="4251" spans="1:15" hidden="1" x14ac:dyDescent="0.25">
      <c r="A4251" s="11">
        <v>46136</v>
      </c>
      <c r="B4251" t="s">
        <v>15</v>
      </c>
      <c r="C4251" t="s">
        <v>16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si="489"/>
        <v>28</v>
      </c>
      <c r="J4251" s="3">
        <f t="shared" si="490"/>
        <v>18</v>
      </c>
      <c r="K4251" s="3">
        <f t="shared" si="491"/>
        <v>10</v>
      </c>
      <c r="L4251" s="3" t="str">
        <f t="shared" si="482"/>
        <v>MUITO BOM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17</v>
      </c>
      <c r="C4252" t="s">
        <v>18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 t="shared" si="482"/>
        <v>OPORTUNO</v>
      </c>
      <c r="N4252">
        <v>98.66</v>
      </c>
      <c r="O4252">
        <v>35.15625</v>
      </c>
    </row>
    <row r="4253" spans="1:15" hidden="1" x14ac:dyDescent="0.25">
      <c r="A4253" s="11">
        <v>46136</v>
      </c>
      <c r="B4253" t="s">
        <v>19</v>
      </c>
      <c r="C4253" t="s">
        <v>20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14</v>
      </c>
      <c r="K4253" s="3">
        <f>I4253-J4253</f>
        <v>9</v>
      </c>
      <c r="L4253" s="3" t="str">
        <f t="shared" si="482"/>
        <v>MUITO BOM</v>
      </c>
      <c r="N4253">
        <v>99.32</v>
      </c>
      <c r="O4253">
        <v>30.45186640471513</v>
      </c>
    </row>
    <row r="4254" spans="1:15" hidden="1" x14ac:dyDescent="0.25">
      <c r="A4254" s="11">
        <v>46136</v>
      </c>
      <c r="B4254" t="s">
        <v>21</v>
      </c>
      <c r="C4254" t="s">
        <v>18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22</v>
      </c>
      <c r="K4254" s="3">
        <f>I4254-J4254</f>
        <v>0</v>
      </c>
      <c r="L4254" s="3" t="str">
        <f t="shared" si="482"/>
        <v>OPORTUNO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22</v>
      </c>
      <c r="C4255" t="s">
        <v>23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 t="shared" si="482"/>
        <v>MUITO BOM</v>
      </c>
      <c r="N4255">
        <v>96.74</v>
      </c>
      <c r="O4255">
        <v>28.43137254901961</v>
      </c>
    </row>
    <row r="4256" spans="1:15" hidden="1" x14ac:dyDescent="0.25">
      <c r="A4256" s="11">
        <v>46136</v>
      </c>
      <c r="B4256" t="s">
        <v>24</v>
      </c>
      <c r="C4256" t="s">
        <v>16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482"/>
        <v>OPORTUNO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25</v>
      </c>
      <c r="C4257" t="s">
        <v>16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 t="shared" si="482"/>
        <v>OPORTUNO</v>
      </c>
      <c r="N4257">
        <v>98.2</v>
      </c>
      <c r="O4257">
        <v>26.890756302521009</v>
      </c>
    </row>
    <row r="4258" spans="1:15" hidden="1" x14ac:dyDescent="0.25">
      <c r="A4258" s="11">
        <v>46136</v>
      </c>
      <c r="B4258" t="s">
        <v>26</v>
      </c>
      <c r="C4258" t="s">
        <v>23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 t="shared" si="482"/>
        <v>OPORTUNO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27</v>
      </c>
      <c r="C4259" t="s">
        <v>20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14</v>
      </c>
      <c r="K4259" s="3">
        <f>I4259-J4259</f>
        <v>-2</v>
      </c>
      <c r="L4259" s="3" t="str">
        <f t="shared" si="482"/>
        <v>ATENÇÃO</v>
      </c>
      <c r="N4259">
        <v>96.3</v>
      </c>
      <c r="O4259">
        <v>31.980906921241051</v>
      </c>
    </row>
    <row r="4260" spans="1:15" hidden="1" x14ac:dyDescent="0.25">
      <c r="A4260" s="11">
        <v>46136</v>
      </c>
      <c r="B4260" t="s">
        <v>28</v>
      </c>
      <c r="C4260" t="s">
        <v>18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22</v>
      </c>
      <c r="K4260" s="3">
        <f>I4260-J4260</f>
        <v>1</v>
      </c>
      <c r="L4260" s="3" t="str">
        <f t="shared" si="482"/>
        <v>OPORTUNO</v>
      </c>
      <c r="N4260">
        <v>93.75</v>
      </c>
      <c r="O4260">
        <v>26.628352490421459</v>
      </c>
    </row>
    <row r="4261" spans="1:15" hidden="1" x14ac:dyDescent="0.25">
      <c r="A4261" s="11">
        <v>46136</v>
      </c>
      <c r="B4261" t="s">
        <v>29</v>
      </c>
      <c r="C4261" t="s">
        <v>16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 t="shared" si="482"/>
        <v>OPORTUNO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30</v>
      </c>
      <c r="C4262" t="s">
        <v>20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14</v>
      </c>
      <c r="K4262" s="3">
        <f>I4262-J4262</f>
        <v>9</v>
      </c>
      <c r="L4262" s="3" t="str">
        <f t="shared" si="482"/>
        <v>MUITO BOM</v>
      </c>
      <c r="N4262">
        <v>100</v>
      </c>
      <c r="O4262">
        <v>36.231884057971023</v>
      </c>
    </row>
    <row r="4263" spans="1:15" hidden="1" x14ac:dyDescent="0.25">
      <c r="A4263" s="11">
        <v>46136</v>
      </c>
      <c r="B4263" t="s">
        <v>31</v>
      </c>
      <c r="C4263" t="s">
        <v>18</v>
      </c>
      <c r="D4263">
        <v>0</v>
      </c>
      <c r="E4263">
        <v>0</v>
      </c>
      <c r="F4263">
        <v>0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 t="shared" si="482"/>
        <v>OPORTUNO</v>
      </c>
      <c r="N4263">
        <v>100</v>
      </c>
      <c r="O4263">
        <v>38.269230769230766</v>
      </c>
    </row>
    <row r="4264" spans="1:15" hidden="1" x14ac:dyDescent="0.25">
      <c r="A4264" s="11">
        <v>46136</v>
      </c>
      <c r="B4264" t="s">
        <v>32</v>
      </c>
      <c r="C4264" t="s">
        <v>23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ref="I4264:I4270" si="492">E4264+G4264+H4264</f>
        <v>8</v>
      </c>
      <c r="J4264" s="3">
        <f t="shared" ref="J4264:J4270" si="493"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 t="shared" ref="K4264:K4270" si="494">I4264-J4264</f>
        <v>2</v>
      </c>
      <c r="L4264" s="3" t="str">
        <f t="shared" si="482"/>
        <v>OPORTUNO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33</v>
      </c>
      <c r="C4265" t="s">
        <v>16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492"/>
        <v>23</v>
      </c>
      <c r="J4265" s="3">
        <f t="shared" si="493"/>
        <v>18</v>
      </c>
      <c r="K4265" s="3">
        <f t="shared" si="494"/>
        <v>5</v>
      </c>
      <c r="L4265" s="3" t="str">
        <f t="shared" si="482"/>
        <v>OPORTUNO</v>
      </c>
      <c r="N4265">
        <v>97.83</v>
      </c>
      <c r="O4265">
        <v>28.131868131868131</v>
      </c>
    </row>
    <row r="4266" spans="1:15" hidden="1" x14ac:dyDescent="0.25">
      <c r="A4266" s="11">
        <v>46136</v>
      </c>
      <c r="B4266" t="s">
        <v>34</v>
      </c>
      <c r="C4266" t="s">
        <v>18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492"/>
        <v>23</v>
      </c>
      <c r="J4266" s="3">
        <f t="shared" si="493"/>
        <v>22</v>
      </c>
      <c r="K4266" s="3">
        <f t="shared" si="494"/>
        <v>1</v>
      </c>
      <c r="L4266" s="3" t="str">
        <f t="shared" si="482"/>
        <v>OPORTUNO</v>
      </c>
      <c r="N4266">
        <v>99.26</v>
      </c>
      <c r="O4266">
        <v>29.57198443579767</v>
      </c>
    </row>
    <row r="4267" spans="1:15" hidden="1" x14ac:dyDescent="0.25">
      <c r="A4267" s="11">
        <v>46136</v>
      </c>
      <c r="B4267" t="s">
        <v>35</v>
      </c>
      <c r="C4267" t="s">
        <v>16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492"/>
        <v>25</v>
      </c>
      <c r="J4267" s="3">
        <f t="shared" si="493"/>
        <v>18</v>
      </c>
      <c r="K4267" s="3">
        <f t="shared" si="494"/>
        <v>7</v>
      </c>
      <c r="L4267" s="3" t="str">
        <f t="shared" si="482"/>
        <v>MUITO BOM</v>
      </c>
      <c r="N4267">
        <v>99.19</v>
      </c>
      <c r="O4267">
        <v>29.462365591397852</v>
      </c>
    </row>
    <row r="4268" spans="1:15" hidden="1" x14ac:dyDescent="0.25">
      <c r="A4268" s="11">
        <v>46140</v>
      </c>
      <c r="B4268" t="s">
        <v>35</v>
      </c>
      <c r="C4268" t="s">
        <v>16</v>
      </c>
      <c r="D4268">
        <v>29</v>
      </c>
      <c r="E4268">
        <v>25</v>
      </c>
      <c r="F4268">
        <v>20.23</v>
      </c>
      <c r="G4268">
        <v>0</v>
      </c>
      <c r="H4268">
        <v>0</v>
      </c>
      <c r="I4268" s="3">
        <f t="shared" si="492"/>
        <v>25</v>
      </c>
      <c r="J4268" s="3">
        <f t="shared" si="493"/>
        <v>25</v>
      </c>
      <c r="K4268" s="3">
        <f t="shared" si="494"/>
        <v>0</v>
      </c>
      <c r="L4268" s="3" t="str">
        <f t="shared" si="482"/>
        <v>OPORTUNO</v>
      </c>
      <c r="N4268">
        <v>99.19</v>
      </c>
      <c r="O4268">
        <v>29.462365591397852</v>
      </c>
    </row>
    <row r="4269" spans="1:15" hidden="1" x14ac:dyDescent="0.25">
      <c r="A4269" s="11">
        <v>46136</v>
      </c>
      <c r="B4269" t="s">
        <v>37</v>
      </c>
      <c r="C4269" t="s">
        <v>16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492"/>
        <v>19</v>
      </c>
      <c r="J4269" s="3">
        <f t="shared" si="493"/>
        <v>18</v>
      </c>
      <c r="K4269" s="3">
        <f t="shared" si="494"/>
        <v>1</v>
      </c>
      <c r="L4269" s="3" t="str">
        <f t="shared" si="482"/>
        <v>OPORTUNO</v>
      </c>
      <c r="N4269">
        <v>100</v>
      </c>
      <c r="O4269">
        <v>27.941176470588239</v>
      </c>
    </row>
    <row r="4270" spans="1:15" hidden="1" x14ac:dyDescent="0.25">
      <c r="A4270" s="11">
        <v>46136</v>
      </c>
      <c r="B4270" t="s">
        <v>38</v>
      </c>
      <c r="C4270" t="s">
        <v>18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492"/>
        <v>35</v>
      </c>
      <c r="J4270" s="3">
        <f t="shared" si="493"/>
        <v>22</v>
      </c>
      <c r="K4270" s="3">
        <f t="shared" si="494"/>
        <v>13</v>
      </c>
      <c r="L4270" s="3" t="str">
        <f t="shared" si="482"/>
        <v>MUITO BOM</v>
      </c>
      <c r="N4270">
        <v>99.57</v>
      </c>
      <c r="O4270">
        <v>29.913294797687861</v>
      </c>
    </row>
    <row r="4271" spans="1:15" hidden="1" x14ac:dyDescent="0.25">
      <c r="A4271" s="11">
        <v>46136</v>
      </c>
      <c r="B4271" t="s">
        <v>39</v>
      </c>
      <c r="C4271" t="s">
        <v>18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 t="shared" si="482"/>
        <v>OPORTUNO</v>
      </c>
      <c r="N4271">
        <v>95.65</v>
      </c>
      <c r="O4271">
        <v>31.081081081081081</v>
      </c>
    </row>
    <row r="4272" spans="1:15" hidden="1" x14ac:dyDescent="0.25">
      <c r="A4272" s="11">
        <v>46136</v>
      </c>
      <c r="B4272" t="s">
        <v>40</v>
      </c>
      <c r="C4272" t="s">
        <v>16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 t="shared" si="482"/>
        <v>ATENÇÃO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41</v>
      </c>
      <c r="C4273" t="s">
        <v>18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 t="shared" si="482"/>
        <v>OPORTUNO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42</v>
      </c>
      <c r="C4274" t="s">
        <v>43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 t="shared" si="482"/>
        <v>OPORTUNO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44</v>
      </c>
      <c r="C4275" t="s">
        <v>18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 t="shared" si="482"/>
        <v>OPORTUNO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45</v>
      </c>
      <c r="C4276" t="s">
        <v>43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 t="shared" si="482"/>
        <v>ATENÇÃO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46</v>
      </c>
      <c r="C4277" t="s">
        <v>18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22</v>
      </c>
      <c r="K4277" s="3">
        <f>I4277-J4277</f>
        <v>-3</v>
      </c>
      <c r="L4277" s="3" t="str">
        <f t="shared" si="482"/>
        <v>ATENÇÃO</v>
      </c>
      <c r="N4277">
        <v>99.15</v>
      </c>
      <c r="O4277">
        <v>27.370689655172409</v>
      </c>
    </row>
    <row r="4278" spans="1:15" hidden="1" x14ac:dyDescent="0.25">
      <c r="A4278" s="11">
        <v>46136</v>
      </c>
      <c r="B4278" t="s">
        <v>47</v>
      </c>
      <c r="C4278" t="s">
        <v>16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 t="shared" si="482"/>
        <v>OPORTUNO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48</v>
      </c>
      <c r="C4279" t="s">
        <v>16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482"/>
        <v>OPORTUNO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49</v>
      </c>
      <c r="C4280" t="s">
        <v>18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 t="shared" si="482"/>
        <v>OPORTUNO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50</v>
      </c>
      <c r="C4281" t="s">
        <v>20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ref="I4281:I4295" si="495">E4281+G4281+H4281</f>
        <v>12</v>
      </c>
      <c r="J4281" s="3">
        <f t="shared" ref="J4281:J4295" si="496"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14</v>
      </c>
      <c r="K4281" s="3">
        <f t="shared" ref="K4281:K4295" si="497">I4281-J4281</f>
        <v>-2</v>
      </c>
      <c r="L4281" s="3" t="str">
        <f t="shared" si="482"/>
        <v>ATENÇÃO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51</v>
      </c>
      <c r="C4282" t="s">
        <v>23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495"/>
        <v>16</v>
      </c>
      <c r="J4282" s="3">
        <f t="shared" si="496"/>
        <v>6</v>
      </c>
      <c r="K4282" s="3">
        <f t="shared" si="497"/>
        <v>10</v>
      </c>
      <c r="L4282" s="3" t="str">
        <f t="shared" si="482"/>
        <v>MUITO BOM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52</v>
      </c>
      <c r="C4283" t="s">
        <v>18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495"/>
        <v>12</v>
      </c>
      <c r="J4283" s="3">
        <f t="shared" si="496"/>
        <v>22</v>
      </c>
      <c r="K4283" s="3">
        <f t="shared" si="497"/>
        <v>-10</v>
      </c>
      <c r="L4283" s="3" t="str">
        <f t="shared" ref="L4283:L4346" si="498">IF(K4283&lt;-5,"CRÍTICO",IF(K4283&lt;0,"ATENÇÃO",IF(K4283&lt;=5,"OPORTUNO","MUITO BOM")))</f>
        <v>CRÍTICO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53</v>
      </c>
      <c r="C4284" t="s">
        <v>18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495"/>
        <v>28</v>
      </c>
      <c r="J4284" s="3">
        <f t="shared" si="496"/>
        <v>22</v>
      </c>
      <c r="K4284" s="3">
        <f t="shared" si="497"/>
        <v>6</v>
      </c>
      <c r="L4284" s="3" t="str">
        <f t="shared" si="498"/>
        <v>MUITO BOM</v>
      </c>
      <c r="N4284">
        <v>95.49</v>
      </c>
      <c r="O4284">
        <v>28.16901408450704</v>
      </c>
    </row>
    <row r="4285" spans="1:15" hidden="1" x14ac:dyDescent="0.25">
      <c r="A4285" s="11">
        <v>46136</v>
      </c>
      <c r="B4285" t="s">
        <v>54</v>
      </c>
      <c r="C4285" t="s">
        <v>23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495"/>
        <v>3</v>
      </c>
      <c r="J4285" s="3">
        <f t="shared" si="496"/>
        <v>6</v>
      </c>
      <c r="K4285" s="3">
        <f t="shared" si="497"/>
        <v>-3</v>
      </c>
      <c r="L4285" s="3" t="str">
        <f t="shared" si="498"/>
        <v>ATENÇÃO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55</v>
      </c>
      <c r="C4286" t="s">
        <v>43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495"/>
        <v>13</v>
      </c>
      <c r="J4286" s="3">
        <f t="shared" si="496"/>
        <v>13</v>
      </c>
      <c r="K4286" s="3">
        <f t="shared" si="497"/>
        <v>0</v>
      </c>
      <c r="L4286" s="3" t="str">
        <f t="shared" si="498"/>
        <v>OPORTUNO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56</v>
      </c>
      <c r="C4287" t="s">
        <v>16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495"/>
        <v>20</v>
      </c>
      <c r="J4287" s="3">
        <f t="shared" si="496"/>
        <v>18</v>
      </c>
      <c r="K4287" s="3">
        <f t="shared" si="497"/>
        <v>2</v>
      </c>
      <c r="L4287" s="3" t="str">
        <f t="shared" si="498"/>
        <v>OPORTUNO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57</v>
      </c>
      <c r="C4288" t="s">
        <v>43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495"/>
        <v>17</v>
      </c>
      <c r="J4288" s="3">
        <f t="shared" si="496"/>
        <v>13</v>
      </c>
      <c r="K4288" s="3">
        <f t="shared" si="497"/>
        <v>4</v>
      </c>
      <c r="L4288" s="3" t="str">
        <f t="shared" si="498"/>
        <v>OPORTUNO</v>
      </c>
      <c r="N4288">
        <v>98.84</v>
      </c>
      <c r="O4288">
        <v>31.5018315018315</v>
      </c>
    </row>
    <row r="4289" spans="1:15" hidden="1" x14ac:dyDescent="0.25">
      <c r="A4289" s="11">
        <v>46136</v>
      </c>
      <c r="B4289" t="s">
        <v>58</v>
      </c>
      <c r="C4289" t="s">
        <v>43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495"/>
        <v>23</v>
      </c>
      <c r="J4289" s="3">
        <f t="shared" si="496"/>
        <v>13</v>
      </c>
      <c r="K4289" s="3">
        <f t="shared" si="497"/>
        <v>10</v>
      </c>
      <c r="L4289" s="3" t="str">
        <f t="shared" si="498"/>
        <v>MUITO BOM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59</v>
      </c>
      <c r="C4290" t="s">
        <v>23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495"/>
        <v>9</v>
      </c>
      <c r="J4290" s="3">
        <f t="shared" si="496"/>
        <v>6</v>
      </c>
      <c r="K4290" s="3">
        <f t="shared" si="497"/>
        <v>3</v>
      </c>
      <c r="L4290" s="3" t="str">
        <f t="shared" si="498"/>
        <v>OPORTUNO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60</v>
      </c>
      <c r="C4291" t="s">
        <v>20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495"/>
        <v>17</v>
      </c>
      <c r="J4291" s="3">
        <f t="shared" si="496"/>
        <v>14</v>
      </c>
      <c r="K4291" s="3">
        <f t="shared" si="497"/>
        <v>3</v>
      </c>
      <c r="L4291" s="3" t="str">
        <f t="shared" si="498"/>
        <v>OPORTUNO</v>
      </c>
      <c r="N4291">
        <v>98.32</v>
      </c>
      <c r="O4291">
        <v>26.618705035971221</v>
      </c>
    </row>
    <row r="4292" spans="1:15" hidden="1" x14ac:dyDescent="0.25">
      <c r="A4292" s="11">
        <v>46136</v>
      </c>
      <c r="B4292" t="s">
        <v>61</v>
      </c>
      <c r="C4292" t="s">
        <v>18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495"/>
        <v>25</v>
      </c>
      <c r="J4292" s="3">
        <f t="shared" si="496"/>
        <v>22</v>
      </c>
      <c r="K4292" s="3">
        <f t="shared" si="497"/>
        <v>3</v>
      </c>
      <c r="L4292" s="3" t="str">
        <f t="shared" si="498"/>
        <v>OPORTUNO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62</v>
      </c>
      <c r="C4293" t="s">
        <v>20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495"/>
        <v>16</v>
      </c>
      <c r="J4293" s="3">
        <f t="shared" si="496"/>
        <v>14</v>
      </c>
      <c r="K4293" s="3">
        <f t="shared" si="497"/>
        <v>2</v>
      </c>
      <c r="L4293" s="3" t="str">
        <f t="shared" si="498"/>
        <v>OPORTUNO</v>
      </c>
      <c r="N4293">
        <v>100</v>
      </c>
      <c r="O4293">
        <v>26.027397260273968</v>
      </c>
    </row>
    <row r="4294" spans="1:15" hidden="1" x14ac:dyDescent="0.25">
      <c r="A4294" s="11">
        <v>46136</v>
      </c>
      <c r="B4294" t="s">
        <v>63</v>
      </c>
      <c r="C4294" t="s">
        <v>18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495"/>
        <v>18</v>
      </c>
      <c r="J4294" s="3">
        <f t="shared" si="496"/>
        <v>22</v>
      </c>
      <c r="K4294" s="3">
        <f t="shared" si="497"/>
        <v>-4</v>
      </c>
      <c r="L4294" s="3" t="str">
        <f t="shared" si="498"/>
        <v>ATENÇÃO</v>
      </c>
      <c r="N4294">
        <v>99.21</v>
      </c>
      <c r="O4294">
        <v>24.937027707808561</v>
      </c>
    </row>
    <row r="4295" spans="1:15" hidden="1" x14ac:dyDescent="0.25">
      <c r="A4295" s="11">
        <v>46139</v>
      </c>
      <c r="B4295" t="s">
        <v>15</v>
      </c>
      <c r="C4295" t="s">
        <v>16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495"/>
        <v>11</v>
      </c>
      <c r="J4295" s="3">
        <f t="shared" si="496"/>
        <v>11</v>
      </c>
      <c r="K4295" s="3">
        <f t="shared" si="497"/>
        <v>0</v>
      </c>
      <c r="L4295" s="3" t="str">
        <f t="shared" si="498"/>
        <v>OPORTUNO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17</v>
      </c>
      <c r="C4296" t="s">
        <v>18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 t="shared" si="498"/>
        <v>OPORTUNO</v>
      </c>
      <c r="N4296">
        <v>98.66</v>
      </c>
      <c r="O4296">
        <v>35.15625</v>
      </c>
    </row>
    <row r="4297" spans="1:15" hidden="1" x14ac:dyDescent="0.25">
      <c r="A4297" s="11">
        <v>46139</v>
      </c>
      <c r="B4297" t="s">
        <v>19</v>
      </c>
      <c r="C4297" t="s">
        <v>20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ref="I4297:I4304" si="499">E4297+G4297+H4297</f>
        <v>9</v>
      </c>
      <c r="J4297" s="3">
        <f t="shared" ref="J4297:J4304" si="500"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 t="shared" ref="K4297:K4304" si="501">I4297-J4297</f>
        <v>0</v>
      </c>
      <c r="L4297" s="3" t="str">
        <f t="shared" si="498"/>
        <v>OPORTUNO</v>
      </c>
      <c r="N4297">
        <v>99.32</v>
      </c>
      <c r="O4297">
        <v>30.45186640471513</v>
      </c>
    </row>
    <row r="4298" spans="1:15" hidden="1" x14ac:dyDescent="0.25">
      <c r="A4298" s="11">
        <v>46139</v>
      </c>
      <c r="B4298" t="s">
        <v>21</v>
      </c>
      <c r="C4298" t="s">
        <v>18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499"/>
        <v>10</v>
      </c>
      <c r="J4298" s="3">
        <f t="shared" si="500"/>
        <v>14</v>
      </c>
      <c r="K4298" s="3">
        <f t="shared" si="501"/>
        <v>-4</v>
      </c>
      <c r="L4298" s="3" t="str">
        <f t="shared" si="498"/>
        <v>ATENÇÃO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22</v>
      </c>
      <c r="C4299" t="s">
        <v>23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499"/>
        <v>14</v>
      </c>
      <c r="J4299" s="3">
        <f t="shared" si="500"/>
        <v>4</v>
      </c>
      <c r="K4299" s="3">
        <f t="shared" si="501"/>
        <v>10</v>
      </c>
      <c r="L4299" s="3" t="str">
        <f t="shared" si="498"/>
        <v>MUITO BOM</v>
      </c>
      <c r="N4299">
        <v>96.74</v>
      </c>
      <c r="O4299">
        <v>28.43137254901961</v>
      </c>
    </row>
    <row r="4300" spans="1:15" hidden="1" x14ac:dyDescent="0.25">
      <c r="A4300" s="11">
        <v>46139</v>
      </c>
      <c r="B4300" t="s">
        <v>24</v>
      </c>
      <c r="C4300" t="s">
        <v>16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499"/>
        <v>13</v>
      </c>
      <c r="J4300" s="3">
        <f t="shared" si="500"/>
        <v>11</v>
      </c>
      <c r="K4300" s="3">
        <f t="shared" si="501"/>
        <v>2</v>
      </c>
      <c r="L4300" s="3" t="str">
        <f t="shared" si="498"/>
        <v>OPORTUNO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25</v>
      </c>
      <c r="C4301" t="s">
        <v>16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499"/>
        <v>12</v>
      </c>
      <c r="J4301" s="3">
        <f t="shared" si="500"/>
        <v>11</v>
      </c>
      <c r="K4301" s="3">
        <f t="shared" si="501"/>
        <v>1</v>
      </c>
      <c r="L4301" s="3" t="str">
        <f t="shared" si="498"/>
        <v>OPORTUNO</v>
      </c>
      <c r="N4301">
        <v>98.2</v>
      </c>
      <c r="O4301">
        <v>26.890756302521009</v>
      </c>
    </row>
    <row r="4302" spans="1:15" hidden="1" x14ac:dyDescent="0.25">
      <c r="A4302" s="11">
        <v>46139</v>
      </c>
      <c r="B4302" t="s">
        <v>26</v>
      </c>
      <c r="C4302" t="s">
        <v>23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499"/>
        <v>8</v>
      </c>
      <c r="J4302" s="3">
        <f t="shared" si="500"/>
        <v>4</v>
      </c>
      <c r="K4302" s="3">
        <f t="shared" si="501"/>
        <v>4</v>
      </c>
      <c r="L4302" s="3" t="str">
        <f t="shared" si="498"/>
        <v>OPORTUNO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27</v>
      </c>
      <c r="C4303" t="s">
        <v>20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499"/>
        <v>3</v>
      </c>
      <c r="J4303" s="3">
        <f t="shared" si="500"/>
        <v>9</v>
      </c>
      <c r="K4303" s="3">
        <f t="shared" si="501"/>
        <v>-6</v>
      </c>
      <c r="L4303" s="3" t="str">
        <f t="shared" si="498"/>
        <v>CRÍTICO</v>
      </c>
      <c r="N4303">
        <v>96.3</v>
      </c>
      <c r="O4303">
        <v>31.980906921241051</v>
      </c>
    </row>
    <row r="4304" spans="1:15" hidden="1" x14ac:dyDescent="0.25">
      <c r="A4304" s="11">
        <v>46139</v>
      </c>
      <c r="B4304" t="s">
        <v>28</v>
      </c>
      <c r="C4304" t="s">
        <v>18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499"/>
        <v>14</v>
      </c>
      <c r="J4304" s="3">
        <f t="shared" si="500"/>
        <v>14</v>
      </c>
      <c r="K4304" s="3">
        <f t="shared" si="501"/>
        <v>0</v>
      </c>
      <c r="L4304" s="3" t="str">
        <f t="shared" si="498"/>
        <v>OPORTUNO</v>
      </c>
      <c r="N4304">
        <v>93.75</v>
      </c>
      <c r="O4304">
        <v>26.628352490421459</v>
      </c>
    </row>
    <row r="4305" spans="1:15" hidden="1" x14ac:dyDescent="0.25">
      <c r="A4305" s="11">
        <v>46139</v>
      </c>
      <c r="B4305" t="s">
        <v>29</v>
      </c>
      <c r="C4305" t="s">
        <v>16</v>
      </c>
      <c r="D4305">
        <v>0</v>
      </c>
      <c r="E4305">
        <v>0</v>
      </c>
      <c r="F4305">
        <v>0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 t="shared" si="498"/>
        <v>OPORTUNO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30</v>
      </c>
      <c r="C4306" t="s">
        <v>20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 t="shared" si="498"/>
        <v>OPORTUNO</v>
      </c>
      <c r="N4306">
        <v>100</v>
      </c>
      <c r="O4306">
        <v>36.231884057971023</v>
      </c>
    </row>
    <row r="4307" spans="1:15" hidden="1" x14ac:dyDescent="0.25">
      <c r="A4307" s="11">
        <v>46139</v>
      </c>
      <c r="B4307" t="s">
        <v>31</v>
      </c>
      <c r="C4307" t="s">
        <v>18</v>
      </c>
      <c r="D4307">
        <v>0</v>
      </c>
      <c r="E4307">
        <v>0</v>
      </c>
      <c r="F4307">
        <v>0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 t="shared" si="498"/>
        <v>OPORTUNO</v>
      </c>
      <c r="N4307">
        <v>100</v>
      </c>
      <c r="O4307">
        <v>38.269230769230766</v>
      </c>
    </row>
    <row r="4308" spans="1:15" hidden="1" x14ac:dyDescent="0.25">
      <c r="A4308" s="11">
        <v>46139</v>
      </c>
      <c r="B4308" t="s">
        <v>32</v>
      </c>
      <c r="C4308" t="s">
        <v>23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 t="shared" ref="I4308:I4316" si="502">E4308+G4308+H4308</f>
        <v>9</v>
      </c>
      <c r="J4308" s="3">
        <f t="shared" ref="J4308:J4316" si="503"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 t="shared" ref="K4308:K4316" si="504">I4308-J4308</f>
        <v>5</v>
      </c>
      <c r="L4308" s="3" t="str">
        <f t="shared" si="498"/>
        <v>OPORTUNO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33</v>
      </c>
      <c r="C4309" t="s">
        <v>16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 t="shared" si="502"/>
        <v>16</v>
      </c>
      <c r="J4309" s="3">
        <f t="shared" si="503"/>
        <v>11</v>
      </c>
      <c r="K4309" s="3">
        <f t="shared" si="504"/>
        <v>5</v>
      </c>
      <c r="L4309" s="3" t="str">
        <f t="shared" si="498"/>
        <v>OPORTUNO</v>
      </c>
      <c r="N4309">
        <v>97.83</v>
      </c>
      <c r="O4309">
        <v>28.131868131868131</v>
      </c>
    </row>
    <row r="4310" spans="1:15" hidden="1" x14ac:dyDescent="0.25">
      <c r="A4310" s="11">
        <v>46139</v>
      </c>
      <c r="B4310" t="s">
        <v>34</v>
      </c>
      <c r="C4310" t="s">
        <v>18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 t="shared" si="502"/>
        <v>15</v>
      </c>
      <c r="J4310" s="3">
        <f t="shared" si="503"/>
        <v>14</v>
      </c>
      <c r="K4310" s="3">
        <f t="shared" si="504"/>
        <v>1</v>
      </c>
      <c r="L4310" s="3" t="str">
        <f t="shared" si="498"/>
        <v>OPORTUNO</v>
      </c>
      <c r="N4310">
        <v>99.26</v>
      </c>
      <c r="O4310">
        <v>29.57198443579767</v>
      </c>
    </row>
    <row r="4311" spans="1:15" hidden="1" x14ac:dyDescent="0.25">
      <c r="A4311" s="11">
        <v>46139</v>
      </c>
      <c r="B4311" t="s">
        <v>35</v>
      </c>
      <c r="C4311" t="s">
        <v>16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 t="shared" si="502"/>
        <v>14</v>
      </c>
      <c r="J4311" s="3">
        <f t="shared" si="503"/>
        <v>11</v>
      </c>
      <c r="K4311" s="3">
        <f t="shared" si="504"/>
        <v>3</v>
      </c>
      <c r="L4311" s="3" t="str">
        <f t="shared" si="498"/>
        <v>OPORTUNO</v>
      </c>
      <c r="N4311">
        <v>99.19</v>
      </c>
      <c r="O4311">
        <v>29.462365591397852</v>
      </c>
    </row>
    <row r="4312" spans="1:15" hidden="1" x14ac:dyDescent="0.25">
      <c r="A4312" s="11">
        <v>46140</v>
      </c>
      <c r="B4312" t="s">
        <v>37</v>
      </c>
      <c r="C4312" t="s">
        <v>16</v>
      </c>
      <c r="D4312">
        <v>37</v>
      </c>
      <c r="E4312">
        <v>36</v>
      </c>
      <c r="F4312">
        <v>15.51</v>
      </c>
      <c r="G4312">
        <v>0</v>
      </c>
      <c r="H4312">
        <v>0</v>
      </c>
      <c r="I4312" s="3">
        <f t="shared" si="502"/>
        <v>36</v>
      </c>
      <c r="J4312" s="3">
        <f t="shared" si="503"/>
        <v>25</v>
      </c>
      <c r="K4312" s="3">
        <f t="shared" si="504"/>
        <v>11</v>
      </c>
      <c r="L4312" s="3" t="str">
        <f t="shared" si="498"/>
        <v>MUITO BOM</v>
      </c>
      <c r="N4312">
        <v>100</v>
      </c>
      <c r="O4312">
        <v>27.941176470588239</v>
      </c>
    </row>
    <row r="4313" spans="1:15" hidden="1" x14ac:dyDescent="0.25">
      <c r="A4313" s="11">
        <v>46139</v>
      </c>
      <c r="B4313" t="s">
        <v>37</v>
      </c>
      <c r="C4313" t="s">
        <v>16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 t="shared" si="502"/>
        <v>11</v>
      </c>
      <c r="J4313" s="3">
        <f t="shared" si="503"/>
        <v>11</v>
      </c>
      <c r="K4313" s="3">
        <f t="shared" si="504"/>
        <v>0</v>
      </c>
      <c r="L4313" s="3" t="str">
        <f t="shared" si="498"/>
        <v>OPORTUNO</v>
      </c>
      <c r="N4313">
        <v>100</v>
      </c>
      <c r="O4313">
        <v>27.941176470588239</v>
      </c>
    </row>
    <row r="4314" spans="1:15" hidden="1" x14ac:dyDescent="0.25">
      <c r="A4314" s="11">
        <v>46139</v>
      </c>
      <c r="B4314" t="s">
        <v>38</v>
      </c>
      <c r="C4314" t="s">
        <v>18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 t="shared" si="502"/>
        <v>19</v>
      </c>
      <c r="J4314" s="3">
        <f t="shared" si="503"/>
        <v>14</v>
      </c>
      <c r="K4314" s="3">
        <f t="shared" si="504"/>
        <v>5</v>
      </c>
      <c r="L4314" s="3" t="str">
        <f t="shared" si="498"/>
        <v>OPORTUNO</v>
      </c>
      <c r="N4314">
        <v>99.57</v>
      </c>
      <c r="O4314">
        <v>29.913294797687861</v>
      </c>
    </row>
    <row r="4315" spans="1:15" hidden="1" x14ac:dyDescent="0.25">
      <c r="A4315" s="11">
        <v>46139</v>
      </c>
      <c r="B4315" t="s">
        <v>39</v>
      </c>
      <c r="C4315" t="s">
        <v>18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 t="shared" si="502"/>
        <v>13</v>
      </c>
      <c r="J4315" s="3">
        <f t="shared" si="503"/>
        <v>14</v>
      </c>
      <c r="K4315" s="3">
        <f t="shared" si="504"/>
        <v>-1</v>
      </c>
      <c r="L4315" s="3" t="str">
        <f t="shared" si="498"/>
        <v>ATENÇÃO</v>
      </c>
      <c r="N4315">
        <v>95.65</v>
      </c>
      <c r="O4315">
        <v>31.081081081081081</v>
      </c>
    </row>
    <row r="4316" spans="1:15" hidden="1" x14ac:dyDescent="0.25">
      <c r="A4316" s="11">
        <v>46139</v>
      </c>
      <c r="B4316" t="s">
        <v>40</v>
      </c>
      <c r="C4316" t="s">
        <v>16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 t="shared" si="502"/>
        <v>13</v>
      </c>
      <c r="J4316" s="3">
        <f t="shared" si="503"/>
        <v>11</v>
      </c>
      <c r="K4316" s="3">
        <f t="shared" si="504"/>
        <v>2</v>
      </c>
      <c r="L4316" s="3" t="str">
        <f t="shared" si="498"/>
        <v>OPORTUNO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41</v>
      </c>
      <c r="C4317" t="s">
        <v>18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 t="shared" si="498"/>
        <v>OPORTUNO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42</v>
      </c>
      <c r="C4318" t="s">
        <v>43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 t="shared" si="498"/>
        <v>ATENÇÃO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44</v>
      </c>
      <c r="C4319" t="s">
        <v>18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 t="shared" si="498"/>
        <v>OPORTUNO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45</v>
      </c>
      <c r="C4320" t="s">
        <v>43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 t="shared" si="498"/>
        <v>OPORTUNO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46</v>
      </c>
      <c r="C4321" t="s">
        <v>18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 t="shared" si="498"/>
        <v>ATENÇÃO</v>
      </c>
      <c r="N4321">
        <v>99.15</v>
      </c>
      <c r="O4321">
        <v>27.370689655172409</v>
      </c>
    </row>
    <row r="4322" spans="1:15" hidden="1" x14ac:dyDescent="0.25">
      <c r="A4322" s="11">
        <v>46139</v>
      </c>
      <c r="B4322" t="s">
        <v>47</v>
      </c>
      <c r="C4322" t="s">
        <v>16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11</v>
      </c>
      <c r="K4322" s="3">
        <f>I4322-J4322</f>
        <v>-9</v>
      </c>
      <c r="L4322" s="3" t="str">
        <f t="shared" si="498"/>
        <v>CRÍTICO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48</v>
      </c>
      <c r="C4323" t="s">
        <v>16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498"/>
        <v>OPORTUNO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49</v>
      </c>
      <c r="C4324" t="s">
        <v>18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 t="shared" si="498"/>
        <v>OPORTUNO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50</v>
      </c>
      <c r="C4325" t="s">
        <v>20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 t="shared" si="498"/>
        <v>OPORTUNO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51</v>
      </c>
      <c r="C4326" t="s">
        <v>23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 t="shared" si="498"/>
        <v>OPORTUNO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52</v>
      </c>
      <c r="C4327" t="s">
        <v>18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498"/>
        <v>OPORTUNO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53</v>
      </c>
      <c r="C4328" t="s">
        <v>18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 t="shared" si="498"/>
        <v>OPORTUNO</v>
      </c>
      <c r="N4328">
        <v>95.49</v>
      </c>
      <c r="O4328">
        <v>28.16901408450704</v>
      </c>
    </row>
    <row r="4329" spans="1:15" hidden="1" x14ac:dyDescent="0.25">
      <c r="A4329" s="11">
        <v>46139</v>
      </c>
      <c r="B4329" t="s">
        <v>54</v>
      </c>
      <c r="C4329" t="s">
        <v>23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 t="shared" si="498"/>
        <v>OPORTUNO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55</v>
      </c>
      <c r="C4330" t="s">
        <v>43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 t="shared" si="498"/>
        <v>OPORTUNO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56</v>
      </c>
      <c r="C4331" t="s">
        <v>16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ref="I4331:I4340" si="505">E4331+G4331+H4331</f>
        <v>8</v>
      </c>
      <c r="J4331" s="3">
        <f t="shared" ref="J4331:J4340" si="506"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11</v>
      </c>
      <c r="K4331" s="3">
        <f t="shared" ref="K4331:K4340" si="507">I4331-J4331</f>
        <v>-3</v>
      </c>
      <c r="L4331" s="3" t="str">
        <f t="shared" si="498"/>
        <v>ATENÇÃO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57</v>
      </c>
      <c r="C4332" t="s">
        <v>43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505"/>
        <v>8</v>
      </c>
      <c r="J4332" s="3">
        <f t="shared" si="506"/>
        <v>8</v>
      </c>
      <c r="K4332" s="3">
        <f t="shared" si="507"/>
        <v>0</v>
      </c>
      <c r="L4332" s="3" t="str">
        <f t="shared" si="498"/>
        <v>OPORTUNO</v>
      </c>
      <c r="N4332">
        <v>98.84</v>
      </c>
      <c r="O4332">
        <v>31.5018315018315</v>
      </c>
    </row>
    <row r="4333" spans="1:15" hidden="1" x14ac:dyDescent="0.25">
      <c r="A4333" s="11">
        <v>46139</v>
      </c>
      <c r="B4333" t="s">
        <v>58</v>
      </c>
      <c r="C4333" t="s">
        <v>43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505"/>
        <v>10</v>
      </c>
      <c r="J4333" s="3">
        <f t="shared" si="506"/>
        <v>8</v>
      </c>
      <c r="K4333" s="3">
        <f t="shared" si="507"/>
        <v>2</v>
      </c>
      <c r="L4333" s="3" t="str">
        <f t="shared" si="498"/>
        <v>OPORTUNO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59</v>
      </c>
      <c r="C4334" t="s">
        <v>23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505"/>
        <v>4</v>
      </c>
      <c r="J4334" s="3">
        <f t="shared" si="506"/>
        <v>4</v>
      </c>
      <c r="K4334" s="3">
        <f t="shared" si="507"/>
        <v>0</v>
      </c>
      <c r="L4334" s="3" t="str">
        <f t="shared" si="498"/>
        <v>OPORTUNO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60</v>
      </c>
      <c r="C4335" t="s">
        <v>20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505"/>
        <v>14</v>
      </c>
      <c r="J4335" s="3">
        <f t="shared" si="506"/>
        <v>9</v>
      </c>
      <c r="K4335" s="3">
        <f t="shared" si="507"/>
        <v>5</v>
      </c>
      <c r="L4335" s="3" t="str">
        <f t="shared" si="498"/>
        <v>OPORTUNO</v>
      </c>
      <c r="N4335">
        <v>98.32</v>
      </c>
      <c r="O4335">
        <v>26.618705035971221</v>
      </c>
    </row>
    <row r="4336" spans="1:15" hidden="1" x14ac:dyDescent="0.25">
      <c r="A4336" s="11">
        <v>46139</v>
      </c>
      <c r="B4336" t="s">
        <v>61</v>
      </c>
      <c r="C4336" t="s">
        <v>18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505"/>
        <v>16</v>
      </c>
      <c r="J4336" s="3">
        <f t="shared" si="506"/>
        <v>14</v>
      </c>
      <c r="K4336" s="3">
        <f t="shared" si="507"/>
        <v>2</v>
      </c>
      <c r="L4336" s="3" t="str">
        <f t="shared" si="498"/>
        <v>OPORTUNO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62</v>
      </c>
      <c r="C4337" t="s">
        <v>20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505"/>
        <v>10</v>
      </c>
      <c r="J4337" s="3">
        <f t="shared" si="506"/>
        <v>9</v>
      </c>
      <c r="K4337" s="3">
        <f t="shared" si="507"/>
        <v>1</v>
      </c>
      <c r="L4337" s="3" t="str">
        <f t="shared" si="498"/>
        <v>OPORTUNO</v>
      </c>
      <c r="N4337">
        <v>100</v>
      </c>
      <c r="O4337">
        <v>26.027397260273968</v>
      </c>
    </row>
    <row r="4338" spans="1:15" hidden="1" x14ac:dyDescent="0.25">
      <c r="A4338" s="11">
        <v>46139</v>
      </c>
      <c r="B4338" t="s">
        <v>63</v>
      </c>
      <c r="C4338" t="s">
        <v>18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505"/>
        <v>15</v>
      </c>
      <c r="J4338" s="3">
        <f t="shared" si="506"/>
        <v>14</v>
      </c>
      <c r="K4338" s="3">
        <f t="shared" si="507"/>
        <v>1</v>
      </c>
      <c r="L4338" s="3" t="str">
        <f t="shared" si="498"/>
        <v>OPORTUNO</v>
      </c>
      <c r="N4338">
        <v>99.21</v>
      </c>
      <c r="O4338">
        <v>24.937027707808561</v>
      </c>
    </row>
    <row r="4339" spans="1:15" hidden="1" x14ac:dyDescent="0.25">
      <c r="A4339" s="11">
        <v>46140</v>
      </c>
      <c r="B4339" t="s">
        <v>40</v>
      </c>
      <c r="C4339" t="s">
        <v>16</v>
      </c>
      <c r="D4339">
        <v>29</v>
      </c>
      <c r="E4339">
        <v>25</v>
      </c>
      <c r="F4339">
        <v>17.3</v>
      </c>
      <c r="G4339">
        <v>0</v>
      </c>
      <c r="H4339">
        <v>0</v>
      </c>
      <c r="I4339" s="3">
        <f t="shared" si="505"/>
        <v>25</v>
      </c>
      <c r="J4339" s="3">
        <f t="shared" si="506"/>
        <v>25</v>
      </c>
      <c r="K4339" s="3">
        <f t="shared" si="507"/>
        <v>0</v>
      </c>
      <c r="L4339" s="3" t="str">
        <f t="shared" si="498"/>
        <v>OPORTUNO</v>
      </c>
      <c r="N4339">
        <v>98.81</v>
      </c>
      <c r="O4339">
        <v>26.256983240223459</v>
      </c>
    </row>
    <row r="4340" spans="1:15" hidden="1" x14ac:dyDescent="0.25">
      <c r="A4340" s="11">
        <v>46140</v>
      </c>
      <c r="B4340" t="s">
        <v>47</v>
      </c>
      <c r="C4340" t="s">
        <v>16</v>
      </c>
      <c r="D4340">
        <v>20</v>
      </c>
      <c r="E4340">
        <v>19</v>
      </c>
      <c r="F4340">
        <v>21.45</v>
      </c>
      <c r="G4340">
        <v>0</v>
      </c>
      <c r="H4340">
        <v>0</v>
      </c>
      <c r="I4340" s="3">
        <f t="shared" si="505"/>
        <v>19</v>
      </c>
      <c r="J4340" s="3">
        <f t="shared" si="506"/>
        <v>25</v>
      </c>
      <c r="K4340" s="3">
        <f t="shared" si="507"/>
        <v>-6</v>
      </c>
      <c r="L4340" s="3" t="str">
        <f t="shared" si="498"/>
        <v>CRÍTICO</v>
      </c>
      <c r="N4340">
        <v>99.17</v>
      </c>
      <c r="O4340">
        <v>29.75206611570248</v>
      </c>
    </row>
    <row r="4341" spans="1:15" hidden="1" x14ac:dyDescent="0.25">
      <c r="A4341" s="11">
        <v>46140</v>
      </c>
      <c r="B4341" t="s">
        <v>48</v>
      </c>
      <c r="C4341" t="s">
        <v>16</v>
      </c>
      <c r="D4341">
        <v>0</v>
      </c>
      <c r="E4341">
        <v>0</v>
      </c>
      <c r="F4341">
        <v>0</v>
      </c>
      <c r="G4341">
        <v>0</v>
      </c>
      <c r="H4341">
        <v>0</v>
      </c>
      <c r="I4341" s="3">
        <v>0</v>
      </c>
      <c r="J4341" s="3">
        <v>0</v>
      </c>
      <c r="K4341" s="3">
        <v>0</v>
      </c>
      <c r="L4341" s="3" t="str">
        <f t="shared" si="498"/>
        <v>OPORTUNO</v>
      </c>
      <c r="N4341">
        <v>98.73</v>
      </c>
      <c r="O4341">
        <v>28.961748633879779</v>
      </c>
    </row>
    <row r="4342" spans="1:15" hidden="1" x14ac:dyDescent="0.25">
      <c r="A4342" s="11">
        <v>46140</v>
      </c>
      <c r="B4342" t="s">
        <v>56</v>
      </c>
      <c r="C4342" t="s">
        <v>16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v>0</v>
      </c>
      <c r="J4342" s="3">
        <v>0</v>
      </c>
      <c r="K4342" s="3">
        <v>0</v>
      </c>
      <c r="L4342" s="3" t="str">
        <f t="shared" si="498"/>
        <v>OPORTUNO</v>
      </c>
      <c r="N4342">
        <v>99.02</v>
      </c>
      <c r="O4342">
        <v>34.797297297297298</v>
      </c>
    </row>
    <row r="4343" spans="1:15" hidden="1" x14ac:dyDescent="0.25">
      <c r="A4343" s="11">
        <v>46141</v>
      </c>
      <c r="B4343" t="s">
        <v>15</v>
      </c>
      <c r="C4343" t="s">
        <v>16</v>
      </c>
      <c r="D4343">
        <v>43</v>
      </c>
      <c r="E4343">
        <v>35</v>
      </c>
      <c r="F4343">
        <v>10.15</v>
      </c>
      <c r="G4343">
        <v>0</v>
      </c>
      <c r="H4343">
        <v>0</v>
      </c>
      <c r="I4343" s="3">
        <f>E4343+G4343+H4343</f>
        <v>35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27</v>
      </c>
      <c r="K4343" s="3">
        <f>I4343-J4343</f>
        <v>8</v>
      </c>
      <c r="L4343" s="3" t="str">
        <f t="shared" si="498"/>
        <v>MUITO BOM</v>
      </c>
      <c r="N4343">
        <v>100</v>
      </c>
      <c r="O4343">
        <v>32.764505119453922</v>
      </c>
    </row>
    <row r="4344" spans="1:15" hidden="1" x14ac:dyDescent="0.25">
      <c r="A4344" s="11">
        <v>46141</v>
      </c>
      <c r="B4344" t="s">
        <v>24</v>
      </c>
      <c r="C4344" t="s">
        <v>16</v>
      </c>
      <c r="D4344">
        <v>38</v>
      </c>
      <c r="E4344">
        <v>31</v>
      </c>
      <c r="F4344">
        <v>11.5</v>
      </c>
      <c r="G4344">
        <v>0</v>
      </c>
      <c r="H4344">
        <v>0</v>
      </c>
      <c r="I4344" s="3">
        <f>E4344+G4344+H4344</f>
        <v>31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27</v>
      </c>
      <c r="K4344" s="3">
        <f>I4344-J4344</f>
        <v>4</v>
      </c>
      <c r="L4344" s="3" t="str">
        <f t="shared" si="498"/>
        <v>OPORTUNO</v>
      </c>
      <c r="N4344">
        <v>98.82</v>
      </c>
      <c r="O4344">
        <v>30.741410488245929</v>
      </c>
    </row>
    <row r="4345" spans="1:15" hidden="1" x14ac:dyDescent="0.25">
      <c r="A4345" s="11">
        <v>46141</v>
      </c>
      <c r="B4345" t="s">
        <v>25</v>
      </c>
      <c r="C4345" t="s">
        <v>16</v>
      </c>
      <c r="D4345">
        <v>24</v>
      </c>
      <c r="E4345">
        <v>23</v>
      </c>
      <c r="F4345">
        <v>25.46</v>
      </c>
      <c r="G4345">
        <v>0</v>
      </c>
      <c r="H4345">
        <v>0</v>
      </c>
      <c r="I4345" s="3">
        <f>E4345+G4345+H4345</f>
        <v>23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27</v>
      </c>
      <c r="K4345" s="3">
        <f>I4345-J4345</f>
        <v>-4</v>
      </c>
      <c r="L4345" s="3" t="str">
        <f t="shared" si="498"/>
        <v>ATENÇÃO</v>
      </c>
      <c r="N4345">
        <v>98.2</v>
      </c>
      <c r="O4345">
        <v>26.890756302521009</v>
      </c>
    </row>
    <row r="4346" spans="1:15" hidden="1" x14ac:dyDescent="0.25">
      <c r="A4346" s="11">
        <v>46141</v>
      </c>
      <c r="B4346" t="s">
        <v>29</v>
      </c>
      <c r="C4346" t="s">
        <v>16</v>
      </c>
      <c r="D4346">
        <v>0</v>
      </c>
      <c r="E4346">
        <v>0</v>
      </c>
      <c r="F4346">
        <v>0</v>
      </c>
      <c r="G4346">
        <v>0</v>
      </c>
      <c r="H4346">
        <v>0</v>
      </c>
      <c r="I4346" s="3">
        <v>0</v>
      </c>
      <c r="J4346" s="3">
        <v>0</v>
      </c>
      <c r="K4346" s="3">
        <v>0</v>
      </c>
      <c r="L4346" s="3" t="str">
        <f t="shared" si="498"/>
        <v>OPORTUNO</v>
      </c>
      <c r="N4346">
        <v>97.86</v>
      </c>
      <c r="O4346">
        <v>31.018518518518519</v>
      </c>
    </row>
    <row r="4347" spans="1:15" hidden="1" x14ac:dyDescent="0.25">
      <c r="A4347" s="11">
        <v>46141</v>
      </c>
      <c r="B4347" t="s">
        <v>33</v>
      </c>
      <c r="C4347" t="s">
        <v>16</v>
      </c>
      <c r="D4347">
        <v>31</v>
      </c>
      <c r="E4347">
        <v>28</v>
      </c>
      <c r="F4347">
        <v>18.260000000000002</v>
      </c>
      <c r="G4347">
        <v>0</v>
      </c>
      <c r="H4347">
        <v>0</v>
      </c>
      <c r="I4347" s="3">
        <f>E4347+G4347+H4347</f>
        <v>28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27</v>
      </c>
      <c r="K4347" s="3">
        <f>I4347-J4347</f>
        <v>1</v>
      </c>
      <c r="L4347" s="3" t="str">
        <f t="shared" ref="L4347:L4410" si="508">IF(K4347&lt;-5,"CRÍTICO",IF(K4347&lt;0,"ATENÇÃO",IF(K4347&lt;=5,"OPORTUNO","MUITO BOM")))</f>
        <v>OPORTUNO</v>
      </c>
      <c r="N4347">
        <v>97.83</v>
      </c>
      <c r="O4347">
        <v>28.131868131868131</v>
      </c>
    </row>
    <row r="4348" spans="1:15" hidden="1" x14ac:dyDescent="0.25">
      <c r="A4348" s="11">
        <v>46141</v>
      </c>
      <c r="B4348" t="s">
        <v>35</v>
      </c>
      <c r="C4348" t="s">
        <v>16</v>
      </c>
      <c r="D4348">
        <v>36</v>
      </c>
      <c r="E4348">
        <v>34</v>
      </c>
      <c r="F4348">
        <v>15.24</v>
      </c>
      <c r="G4348">
        <v>0</v>
      </c>
      <c r="H4348">
        <v>0</v>
      </c>
      <c r="I4348" s="3">
        <f>E4348+G4348+H4348</f>
        <v>34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27</v>
      </c>
      <c r="K4348" s="3">
        <f>I4348-J4348</f>
        <v>7</v>
      </c>
      <c r="L4348" s="3" t="str">
        <f t="shared" si="508"/>
        <v>MUITO BOM</v>
      </c>
      <c r="N4348">
        <v>99.19</v>
      </c>
      <c r="O4348">
        <v>29.462365591397852</v>
      </c>
    </row>
    <row r="4349" spans="1:15" hidden="1" x14ac:dyDescent="0.25">
      <c r="A4349" s="11">
        <v>46141</v>
      </c>
      <c r="B4349" t="s">
        <v>37</v>
      </c>
      <c r="C4349" t="s">
        <v>16</v>
      </c>
      <c r="D4349">
        <v>29</v>
      </c>
      <c r="E4349">
        <v>26</v>
      </c>
      <c r="F4349">
        <v>18.329999999999998</v>
      </c>
      <c r="G4349">
        <v>0</v>
      </c>
      <c r="H4349">
        <v>0</v>
      </c>
      <c r="I4349" s="3">
        <f>E4349+G4349+H4349</f>
        <v>26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27</v>
      </c>
      <c r="K4349" s="3">
        <f>I4349-J4349</f>
        <v>-1</v>
      </c>
      <c r="L4349" s="3" t="str">
        <f t="shared" si="508"/>
        <v>ATENÇÃO</v>
      </c>
      <c r="N4349">
        <v>100</v>
      </c>
      <c r="O4349">
        <v>27.941176470588239</v>
      </c>
    </row>
    <row r="4350" spans="1:15" hidden="1" x14ac:dyDescent="0.25">
      <c r="A4350" s="11">
        <v>46141</v>
      </c>
      <c r="B4350" t="s">
        <v>40</v>
      </c>
      <c r="C4350" t="s">
        <v>16</v>
      </c>
      <c r="D4350">
        <v>39</v>
      </c>
      <c r="E4350">
        <v>28</v>
      </c>
      <c r="F4350">
        <v>10.24</v>
      </c>
      <c r="G4350">
        <v>0</v>
      </c>
      <c r="H4350">
        <v>0</v>
      </c>
      <c r="I4350" s="3">
        <f>E4350+G4350+H4350</f>
        <v>28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27</v>
      </c>
      <c r="K4350" s="3">
        <f>I4350-J4350</f>
        <v>1</v>
      </c>
      <c r="L4350" s="3" t="str">
        <f t="shared" si="508"/>
        <v>OPORTUNO</v>
      </c>
      <c r="N4350">
        <v>98.81</v>
      </c>
      <c r="O4350">
        <v>26.256983240223459</v>
      </c>
    </row>
    <row r="4351" spans="1:15" hidden="1" x14ac:dyDescent="0.25">
      <c r="A4351" s="11">
        <v>46141</v>
      </c>
      <c r="B4351" t="s">
        <v>47</v>
      </c>
      <c r="C4351" t="s">
        <v>16</v>
      </c>
      <c r="D4351">
        <v>37</v>
      </c>
      <c r="E4351">
        <v>35</v>
      </c>
      <c r="F4351">
        <v>15.55</v>
      </c>
      <c r="G4351">
        <v>0</v>
      </c>
      <c r="H4351">
        <v>0</v>
      </c>
      <c r="I4351" s="3">
        <f>E4351+G4351+H4351</f>
        <v>35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27</v>
      </c>
      <c r="K4351" s="3">
        <f>I4351-J4351</f>
        <v>8</v>
      </c>
      <c r="L4351" s="3" t="str">
        <f t="shared" si="508"/>
        <v>MUITO BOM</v>
      </c>
      <c r="N4351">
        <v>99.17</v>
      </c>
      <c r="O4351">
        <v>29.75206611570248</v>
      </c>
    </row>
    <row r="4352" spans="1:15" hidden="1" x14ac:dyDescent="0.25">
      <c r="A4352" s="11">
        <v>46141</v>
      </c>
      <c r="B4352" t="s">
        <v>48</v>
      </c>
      <c r="C4352" t="s">
        <v>16</v>
      </c>
      <c r="D4352">
        <v>0</v>
      </c>
      <c r="E4352">
        <v>0</v>
      </c>
      <c r="F4352">
        <v>0</v>
      </c>
      <c r="G4352">
        <v>0</v>
      </c>
      <c r="H4352">
        <v>0</v>
      </c>
      <c r="I4352" s="3">
        <v>0</v>
      </c>
      <c r="J4352" s="3">
        <v>0</v>
      </c>
      <c r="K4352" s="3">
        <v>0</v>
      </c>
      <c r="L4352" s="3" t="str">
        <f t="shared" si="508"/>
        <v>OPORTUNO</v>
      </c>
      <c r="N4352">
        <v>98.73</v>
      </c>
      <c r="O4352">
        <v>28.961748633879779</v>
      </c>
    </row>
    <row r="4353" spans="1:15" hidden="1" x14ac:dyDescent="0.25">
      <c r="A4353" s="11">
        <v>46141</v>
      </c>
      <c r="B4353" t="s">
        <v>56</v>
      </c>
      <c r="C4353" t="s">
        <v>16</v>
      </c>
      <c r="D4353">
        <v>0</v>
      </c>
      <c r="E4353">
        <v>0</v>
      </c>
      <c r="F4353">
        <v>0</v>
      </c>
      <c r="G4353">
        <v>0</v>
      </c>
      <c r="H4353">
        <v>0</v>
      </c>
      <c r="I4353" s="3">
        <v>0</v>
      </c>
      <c r="J4353" s="3">
        <v>0</v>
      </c>
      <c r="K4353" s="3">
        <v>0</v>
      </c>
      <c r="L4353" s="3" t="str">
        <f t="shared" si="508"/>
        <v>OPORTUNO</v>
      </c>
      <c r="N4353">
        <v>99.02</v>
      </c>
      <c r="O4353">
        <v>34.797297297297298</v>
      </c>
    </row>
    <row r="4354" spans="1:15" hidden="1" x14ac:dyDescent="0.25">
      <c r="A4354" s="11">
        <v>46142</v>
      </c>
      <c r="B4354" t="s">
        <v>15</v>
      </c>
      <c r="C4354" t="s">
        <v>16</v>
      </c>
      <c r="D4354">
        <v>12</v>
      </c>
      <c r="E4354">
        <v>10</v>
      </c>
      <c r="F4354">
        <v>9.1199999999999992</v>
      </c>
      <c r="G4354">
        <v>0</v>
      </c>
      <c r="H4354">
        <v>0</v>
      </c>
      <c r="I4354" s="3">
        <f>E4354+G4354+H4354</f>
        <v>10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24</v>
      </c>
      <c r="K4354" s="3">
        <f>I4354-J4354</f>
        <v>-14</v>
      </c>
      <c r="L4354" s="3" t="str">
        <f t="shared" si="508"/>
        <v>CRÍTICO</v>
      </c>
      <c r="N4354">
        <v>100</v>
      </c>
      <c r="O4354">
        <v>32.764505119453922</v>
      </c>
    </row>
    <row r="4355" spans="1:15" hidden="1" x14ac:dyDescent="0.25">
      <c r="A4355" s="11">
        <v>46142</v>
      </c>
      <c r="B4355" t="s">
        <v>24</v>
      </c>
      <c r="C4355" t="s">
        <v>16</v>
      </c>
      <c r="D4355">
        <v>32</v>
      </c>
      <c r="E4355">
        <v>31</v>
      </c>
      <c r="F4355">
        <v>13.5</v>
      </c>
      <c r="G4355">
        <v>0</v>
      </c>
      <c r="H4355">
        <v>0</v>
      </c>
      <c r="I4355" s="3">
        <f>E4355+G4355+H4355</f>
        <v>31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24</v>
      </c>
      <c r="K4355" s="3">
        <f>I4355-J4355</f>
        <v>7</v>
      </c>
      <c r="L4355" s="3" t="str">
        <f t="shared" si="508"/>
        <v>MUITO BOM</v>
      </c>
      <c r="N4355">
        <v>98.82</v>
      </c>
      <c r="O4355">
        <v>30.741410488245929</v>
      </c>
    </row>
    <row r="4356" spans="1:15" hidden="1" x14ac:dyDescent="0.25">
      <c r="A4356" s="11">
        <v>46142</v>
      </c>
      <c r="B4356" t="s">
        <v>25</v>
      </c>
      <c r="C4356" t="s">
        <v>16</v>
      </c>
      <c r="D4356">
        <v>32</v>
      </c>
      <c r="E4356">
        <v>30</v>
      </c>
      <c r="F4356">
        <v>15.09</v>
      </c>
      <c r="G4356">
        <v>0</v>
      </c>
      <c r="H4356">
        <v>0</v>
      </c>
      <c r="I4356" s="3">
        <f>E4356+G4356+H4356</f>
        <v>30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24</v>
      </c>
      <c r="K4356" s="3">
        <f>I4356-J4356</f>
        <v>6</v>
      </c>
      <c r="L4356" s="3" t="str">
        <f t="shared" si="508"/>
        <v>MUITO BOM</v>
      </c>
      <c r="N4356">
        <v>98.2</v>
      </c>
      <c r="O4356">
        <v>26.890756302521009</v>
      </c>
    </row>
    <row r="4357" spans="1:15" hidden="1" x14ac:dyDescent="0.25">
      <c r="A4357" s="11">
        <v>46142</v>
      </c>
      <c r="B4357" t="s">
        <v>29</v>
      </c>
      <c r="C4357" t="s">
        <v>16</v>
      </c>
      <c r="D4357">
        <v>0</v>
      </c>
      <c r="E4357">
        <v>0</v>
      </c>
      <c r="F4357">
        <v>0</v>
      </c>
      <c r="G4357">
        <v>0</v>
      </c>
      <c r="H4357">
        <v>0</v>
      </c>
      <c r="I4357" s="3">
        <v>0</v>
      </c>
      <c r="J4357" s="3">
        <v>0</v>
      </c>
      <c r="K4357" s="3">
        <v>0</v>
      </c>
      <c r="L4357" s="3" t="str">
        <f t="shared" si="508"/>
        <v>OPORTUNO</v>
      </c>
      <c r="N4357">
        <v>97.86</v>
      </c>
      <c r="O4357">
        <v>31.018518518518519</v>
      </c>
    </row>
    <row r="4358" spans="1:15" hidden="1" x14ac:dyDescent="0.25">
      <c r="A4358" s="11">
        <v>46142</v>
      </c>
      <c r="B4358" t="s">
        <v>33</v>
      </c>
      <c r="C4358" t="s">
        <v>16</v>
      </c>
      <c r="D4358">
        <v>38</v>
      </c>
      <c r="E4358">
        <v>38</v>
      </c>
      <c r="F4358">
        <v>15.02</v>
      </c>
      <c r="G4358">
        <v>0</v>
      </c>
      <c r="H4358">
        <v>0</v>
      </c>
      <c r="I4358" s="3">
        <f>E4358+G4358+H4358</f>
        <v>38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24</v>
      </c>
      <c r="K4358" s="3">
        <f>I4358-J4358</f>
        <v>14</v>
      </c>
      <c r="L4358" s="3" t="str">
        <f t="shared" si="508"/>
        <v>MUITO BOM</v>
      </c>
      <c r="N4358">
        <v>97.83</v>
      </c>
      <c r="O4358">
        <v>28.131868131868131</v>
      </c>
    </row>
    <row r="4359" spans="1:15" hidden="1" x14ac:dyDescent="0.25">
      <c r="A4359" s="11">
        <v>46142</v>
      </c>
      <c r="B4359" t="s">
        <v>35</v>
      </c>
      <c r="C4359" t="s">
        <v>16</v>
      </c>
      <c r="D4359">
        <v>42</v>
      </c>
      <c r="E4359">
        <v>42</v>
      </c>
      <c r="F4359">
        <v>16.41</v>
      </c>
      <c r="G4359">
        <v>0</v>
      </c>
      <c r="H4359">
        <v>0</v>
      </c>
      <c r="I4359" s="3">
        <f>E4359+G4359+H4359</f>
        <v>42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24</v>
      </c>
      <c r="K4359" s="3">
        <f>I4359-J4359</f>
        <v>18</v>
      </c>
      <c r="L4359" s="3" t="str">
        <f t="shared" si="508"/>
        <v>MUITO BOM</v>
      </c>
      <c r="N4359">
        <v>99.19</v>
      </c>
      <c r="O4359">
        <v>29.462365591397852</v>
      </c>
    </row>
    <row r="4360" spans="1:15" hidden="1" x14ac:dyDescent="0.25">
      <c r="A4360" s="11">
        <v>46142</v>
      </c>
      <c r="B4360" t="s">
        <v>37</v>
      </c>
      <c r="C4360" t="s">
        <v>16</v>
      </c>
      <c r="D4360">
        <v>25</v>
      </c>
      <c r="E4360">
        <v>25</v>
      </c>
      <c r="F4360">
        <v>18.5</v>
      </c>
      <c r="G4360">
        <v>0</v>
      </c>
      <c r="H4360">
        <v>0</v>
      </c>
      <c r="I4360" s="3">
        <f>E4360+G4360+H4360</f>
        <v>25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24</v>
      </c>
      <c r="K4360" s="3">
        <f>I4360-J4360</f>
        <v>1</v>
      </c>
      <c r="L4360" s="3" t="str">
        <f t="shared" si="508"/>
        <v>OPORTUNO</v>
      </c>
      <c r="N4360">
        <v>100</v>
      </c>
      <c r="O4360">
        <v>27.941176470588239</v>
      </c>
    </row>
    <row r="4361" spans="1:15" hidden="1" x14ac:dyDescent="0.25">
      <c r="A4361" s="11">
        <v>46142</v>
      </c>
      <c r="B4361" t="s">
        <v>40</v>
      </c>
      <c r="C4361" t="s">
        <v>16</v>
      </c>
      <c r="D4361">
        <v>21</v>
      </c>
      <c r="E4361">
        <v>16</v>
      </c>
      <c r="F4361">
        <v>11.48</v>
      </c>
      <c r="G4361">
        <v>0</v>
      </c>
      <c r="H4361">
        <v>0</v>
      </c>
      <c r="I4361" s="3">
        <f>E4361+G4361+H4361</f>
        <v>16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24</v>
      </c>
      <c r="K4361" s="3">
        <f>I4361-J4361</f>
        <v>-8</v>
      </c>
      <c r="L4361" s="3" t="str">
        <f t="shared" si="508"/>
        <v>CRÍTICO</v>
      </c>
      <c r="N4361">
        <v>98.81</v>
      </c>
      <c r="O4361">
        <v>26.256983240223459</v>
      </c>
    </row>
    <row r="4362" spans="1:15" hidden="1" x14ac:dyDescent="0.25">
      <c r="A4362" s="11">
        <v>46142</v>
      </c>
      <c r="B4362" t="s">
        <v>47</v>
      </c>
      <c r="C4362" t="s">
        <v>16</v>
      </c>
      <c r="D4362">
        <v>18</v>
      </c>
      <c r="E4362">
        <v>17</v>
      </c>
      <c r="F4362">
        <v>21.44</v>
      </c>
      <c r="G4362">
        <v>0</v>
      </c>
      <c r="H4362">
        <v>0</v>
      </c>
      <c r="I4362" s="3">
        <f>E4362+G4362+H4362</f>
        <v>17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24</v>
      </c>
      <c r="K4362" s="3">
        <f>I4362-J4362</f>
        <v>-7</v>
      </c>
      <c r="L4362" s="3" t="str">
        <f t="shared" si="508"/>
        <v>CRÍTICO</v>
      </c>
      <c r="N4362">
        <v>99.17</v>
      </c>
      <c r="O4362">
        <v>29.75206611570248</v>
      </c>
    </row>
    <row r="4363" spans="1:15" hidden="1" x14ac:dyDescent="0.25">
      <c r="A4363" s="11">
        <v>46142</v>
      </c>
      <c r="B4363" t="s">
        <v>48</v>
      </c>
      <c r="C4363" t="s">
        <v>16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v>0</v>
      </c>
      <c r="J4363" s="3">
        <v>0</v>
      </c>
      <c r="K4363" s="3">
        <v>0</v>
      </c>
      <c r="L4363" s="3" t="str">
        <f t="shared" si="508"/>
        <v>OPORTUNO</v>
      </c>
      <c r="N4363">
        <v>98.73</v>
      </c>
      <c r="O4363">
        <v>28.961748633879779</v>
      </c>
    </row>
    <row r="4364" spans="1:15" hidden="1" x14ac:dyDescent="0.25">
      <c r="A4364" s="11">
        <v>46142</v>
      </c>
      <c r="B4364" t="s">
        <v>56</v>
      </c>
      <c r="C4364" t="s">
        <v>16</v>
      </c>
      <c r="D4364">
        <v>31</v>
      </c>
      <c r="E4364">
        <v>27</v>
      </c>
      <c r="F4364">
        <v>15.42</v>
      </c>
      <c r="G4364">
        <v>0</v>
      </c>
      <c r="H4364">
        <v>0</v>
      </c>
      <c r="I4364" s="3">
        <f>E4364+G4364+H4364</f>
        <v>27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24</v>
      </c>
      <c r="K4364" s="3">
        <f>I4364-J4364</f>
        <v>3</v>
      </c>
      <c r="L4364" s="3" t="str">
        <f t="shared" si="508"/>
        <v>OPORTUNO</v>
      </c>
      <c r="N4364">
        <v>99.02</v>
      </c>
      <c r="O4364">
        <v>34.797297297297298</v>
      </c>
    </row>
    <row r="4365" spans="1:15" hidden="1" x14ac:dyDescent="0.25">
      <c r="A4365" s="11">
        <v>46168</v>
      </c>
      <c r="B4365" t="s">
        <v>15</v>
      </c>
      <c r="C4365" t="s">
        <v>16</v>
      </c>
      <c r="D4365">
        <v>28</v>
      </c>
      <c r="E4365">
        <v>21</v>
      </c>
      <c r="F4365">
        <v>15.57</v>
      </c>
      <c r="G4365">
        <v>2</v>
      </c>
    </row>
    <row r="4366" spans="1:15" hidden="1" x14ac:dyDescent="0.25">
      <c r="A4366" s="11">
        <v>46168</v>
      </c>
      <c r="B4366" t="s">
        <v>24</v>
      </c>
      <c r="C4366" t="s">
        <v>16</v>
      </c>
      <c r="D4366">
        <v>27</v>
      </c>
      <c r="E4366">
        <v>22</v>
      </c>
      <c r="F4366">
        <v>14.06</v>
      </c>
      <c r="G4366">
        <v>4</v>
      </c>
    </row>
    <row r="4367" spans="1:15" hidden="1" x14ac:dyDescent="0.25">
      <c r="A4367" s="11">
        <v>46168</v>
      </c>
      <c r="B4367" t="s">
        <v>25</v>
      </c>
      <c r="C4367" t="s">
        <v>16</v>
      </c>
      <c r="D4367">
        <v>28</v>
      </c>
      <c r="E4367">
        <v>26</v>
      </c>
      <c r="F4367">
        <v>20.21</v>
      </c>
      <c r="G4367">
        <v>2</v>
      </c>
    </row>
    <row r="4368" spans="1:15" hidden="1" x14ac:dyDescent="0.25">
      <c r="A4368" s="11">
        <v>46168</v>
      </c>
      <c r="B4368" t="s">
        <v>29</v>
      </c>
      <c r="C4368" t="s">
        <v>16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</row>
    <row r="4369" spans="1:15" hidden="1" x14ac:dyDescent="0.25">
      <c r="A4369" s="11">
        <v>46168</v>
      </c>
      <c r="B4369" t="s">
        <v>33</v>
      </c>
      <c r="C4369" t="s">
        <v>16</v>
      </c>
      <c r="D4369">
        <v>21</v>
      </c>
      <c r="E4369">
        <v>21</v>
      </c>
      <c r="F4369">
        <v>13.22</v>
      </c>
      <c r="G4369">
        <v>1</v>
      </c>
    </row>
    <row r="4370" spans="1:15" hidden="1" x14ac:dyDescent="0.25">
      <c r="A4370" s="11">
        <v>46168</v>
      </c>
      <c r="B4370" t="s">
        <v>35</v>
      </c>
      <c r="C4370" t="s">
        <v>16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</row>
    <row r="4371" spans="1:15" hidden="1" x14ac:dyDescent="0.25">
      <c r="A4371" s="11">
        <v>46168</v>
      </c>
      <c r="B4371" t="s">
        <v>37</v>
      </c>
      <c r="C4371" t="s">
        <v>16</v>
      </c>
      <c r="D4371">
        <v>24</v>
      </c>
      <c r="E4371">
        <v>23</v>
      </c>
      <c r="F4371">
        <v>15.03</v>
      </c>
      <c r="G4371">
        <v>1</v>
      </c>
    </row>
    <row r="4372" spans="1:15" hidden="1" x14ac:dyDescent="0.25">
      <c r="A4372" s="11">
        <v>46168</v>
      </c>
      <c r="B4372" t="s">
        <v>40</v>
      </c>
      <c r="C4372" t="s">
        <v>16</v>
      </c>
      <c r="D4372">
        <v>34</v>
      </c>
      <c r="E4372">
        <v>20</v>
      </c>
      <c r="F4372">
        <v>7.25</v>
      </c>
      <c r="G4372">
        <v>0</v>
      </c>
    </row>
    <row r="4373" spans="1:15" hidden="1" x14ac:dyDescent="0.25">
      <c r="A4373" s="11">
        <v>46168</v>
      </c>
      <c r="B4373" t="s">
        <v>47</v>
      </c>
      <c r="C4373" t="s">
        <v>16</v>
      </c>
      <c r="D4373">
        <v>21</v>
      </c>
      <c r="E4373">
        <v>20</v>
      </c>
      <c r="F4373">
        <v>20.39</v>
      </c>
      <c r="G4373">
        <v>0</v>
      </c>
    </row>
    <row r="4374" spans="1:15" hidden="1" x14ac:dyDescent="0.25">
      <c r="A4374" s="11">
        <v>46168</v>
      </c>
      <c r="B4374" t="s">
        <v>48</v>
      </c>
      <c r="C4374" t="s">
        <v>16</v>
      </c>
      <c r="D4374">
        <v>18</v>
      </c>
      <c r="E4374">
        <v>17</v>
      </c>
      <c r="F4374">
        <v>22.25</v>
      </c>
      <c r="G4374">
        <v>0</v>
      </c>
    </row>
    <row r="4375" spans="1:15" hidden="1" x14ac:dyDescent="0.25">
      <c r="A4375" s="11">
        <v>46168</v>
      </c>
      <c r="B4375" t="s">
        <v>56</v>
      </c>
      <c r="C4375" t="s">
        <v>16</v>
      </c>
      <c r="D4375">
        <v>0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</row>
    <row r="4376" spans="1:15" hidden="1" x14ac:dyDescent="0.25">
      <c r="A4376" s="5">
        <v>46146</v>
      </c>
      <c r="B4376" s="6" t="s">
        <v>19</v>
      </c>
      <c r="C4376" s="3" t="s">
        <v>20</v>
      </c>
      <c r="D4376" s="3">
        <v>41</v>
      </c>
      <c r="E4376" s="3">
        <v>39</v>
      </c>
      <c r="F4376" s="3">
        <v>17.309999999999999</v>
      </c>
      <c r="G4376" s="3">
        <v>1</v>
      </c>
      <c r="H4376" s="3">
        <v>0</v>
      </c>
      <c r="I4376" s="3">
        <f t="shared" ref="I4376:I4404" si="509">E4376+G4376+H4376</f>
        <v>40</v>
      </c>
      <c r="J4376" s="3">
        <f t="shared" ref="J4376:J4404" si="510"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23</v>
      </c>
      <c r="K4376" s="3">
        <f t="shared" ref="K4376:K4404" si="511">I4376-J4376</f>
        <v>17</v>
      </c>
      <c r="L4376" s="3" t="str">
        <f t="shared" ref="L4376:L4407" si="512">IF(K4376&lt;-5,"CRÍTICO",IF(K4376&lt;0,"ATENÇÃO",IF(K4376&lt;=5,"BOM","EXCELENTE")))</f>
        <v>EXCELENTE</v>
      </c>
      <c r="M4376" s="9">
        <v>35</v>
      </c>
      <c r="N4376" s="9">
        <v>95.38</v>
      </c>
      <c r="O4376" s="9">
        <v>21.5962441314554</v>
      </c>
    </row>
    <row r="4377" spans="1:15" hidden="1" x14ac:dyDescent="0.25">
      <c r="A4377" s="5">
        <v>46146</v>
      </c>
      <c r="B4377" s="6" t="s">
        <v>27</v>
      </c>
      <c r="C4377" s="3" t="s">
        <v>20</v>
      </c>
      <c r="D4377" s="3">
        <v>32</v>
      </c>
      <c r="E4377" s="3">
        <v>26</v>
      </c>
      <c r="F4377" s="3">
        <v>15.13</v>
      </c>
      <c r="G4377" s="3">
        <v>6</v>
      </c>
      <c r="H4377" s="3">
        <v>0</v>
      </c>
      <c r="I4377" s="3">
        <f t="shared" si="509"/>
        <v>32</v>
      </c>
      <c r="J4377" s="3">
        <f t="shared" si="510"/>
        <v>23</v>
      </c>
      <c r="K4377" s="3">
        <f t="shared" si="511"/>
        <v>9</v>
      </c>
      <c r="L4377" s="3" t="str">
        <f t="shared" si="512"/>
        <v>EXCELENTE</v>
      </c>
      <c r="M4377" s="9">
        <v>29</v>
      </c>
      <c r="N4377" s="9">
        <v>96.88</v>
      </c>
      <c r="O4377" s="9">
        <v>19.526627218934909</v>
      </c>
    </row>
    <row r="4378" spans="1:15" hidden="1" x14ac:dyDescent="0.25">
      <c r="A4378" s="5">
        <v>46146</v>
      </c>
      <c r="B4378" s="6" t="s">
        <v>30</v>
      </c>
      <c r="C4378" s="3" t="s">
        <v>20</v>
      </c>
      <c r="D4378" s="3">
        <v>28</v>
      </c>
      <c r="E4378" s="3">
        <v>27</v>
      </c>
      <c r="F4378" s="3">
        <v>17.14</v>
      </c>
      <c r="G4378" s="3">
        <v>0</v>
      </c>
      <c r="H4378" s="3">
        <v>0</v>
      </c>
      <c r="I4378" s="3">
        <f t="shared" si="509"/>
        <v>27</v>
      </c>
      <c r="J4378" s="3">
        <f t="shared" si="510"/>
        <v>23</v>
      </c>
      <c r="K4378" s="3">
        <f t="shared" si="511"/>
        <v>4</v>
      </c>
      <c r="L4378" s="3" t="str">
        <f t="shared" si="512"/>
        <v>BOM</v>
      </c>
      <c r="M4378" s="9">
        <v>16</v>
      </c>
      <c r="N4378" s="9">
        <v>100</v>
      </c>
      <c r="O4378" s="9">
        <v>18.14516129032258</v>
      </c>
    </row>
    <row r="4379" spans="1:15" hidden="1" x14ac:dyDescent="0.25">
      <c r="A4379" s="5">
        <v>46146</v>
      </c>
      <c r="B4379" s="6" t="s">
        <v>50</v>
      </c>
      <c r="C4379" s="3" t="s">
        <v>20</v>
      </c>
      <c r="D4379" s="3">
        <v>25</v>
      </c>
      <c r="E4379" s="3">
        <v>21</v>
      </c>
      <c r="F4379" s="3">
        <v>17.18</v>
      </c>
      <c r="G4379" s="3">
        <v>4</v>
      </c>
      <c r="H4379" s="3">
        <v>0</v>
      </c>
      <c r="I4379" s="3">
        <f t="shared" si="509"/>
        <v>25</v>
      </c>
      <c r="J4379" s="3">
        <f t="shared" si="510"/>
        <v>23</v>
      </c>
      <c r="K4379" s="3">
        <f t="shared" si="511"/>
        <v>2</v>
      </c>
      <c r="L4379" s="3" t="str">
        <f t="shared" si="512"/>
        <v>BOM</v>
      </c>
      <c r="M4379" s="9">
        <v>26</v>
      </c>
      <c r="N4379" s="9">
        <v>93.26</v>
      </c>
      <c r="O4379" s="9">
        <v>19.93957703927493</v>
      </c>
    </row>
    <row r="4380" spans="1:15" hidden="1" x14ac:dyDescent="0.25">
      <c r="A4380" s="5">
        <v>46146</v>
      </c>
      <c r="B4380" s="6" t="s">
        <v>60</v>
      </c>
      <c r="C4380" s="3" t="s">
        <v>20</v>
      </c>
      <c r="D4380" s="3">
        <v>27</v>
      </c>
      <c r="E4380" s="3">
        <v>23</v>
      </c>
      <c r="F4380" s="3">
        <v>14.07</v>
      </c>
      <c r="G4380" s="3">
        <v>4</v>
      </c>
      <c r="H4380" s="3">
        <v>0</v>
      </c>
      <c r="I4380" s="3">
        <f t="shared" si="509"/>
        <v>27</v>
      </c>
      <c r="J4380" s="3">
        <f t="shared" si="510"/>
        <v>23</v>
      </c>
      <c r="K4380" s="3">
        <f t="shared" si="511"/>
        <v>4</v>
      </c>
      <c r="L4380" s="3" t="str">
        <f t="shared" si="512"/>
        <v>BOM</v>
      </c>
      <c r="M4380" s="9">
        <v>20</v>
      </c>
      <c r="N4380" s="9">
        <v>97.56</v>
      </c>
      <c r="O4380" s="9">
        <v>19.28783382789317</v>
      </c>
    </row>
    <row r="4381" spans="1:15" hidden="1" x14ac:dyDescent="0.25">
      <c r="A4381" s="5">
        <v>46146</v>
      </c>
      <c r="B4381" s="6" t="s">
        <v>62</v>
      </c>
      <c r="C4381" s="3" t="s">
        <v>20</v>
      </c>
      <c r="D4381" s="3">
        <v>20</v>
      </c>
      <c r="E4381" s="3">
        <v>20</v>
      </c>
      <c r="F4381" s="3">
        <v>25.29</v>
      </c>
      <c r="G4381" s="3">
        <v>0</v>
      </c>
      <c r="H4381" s="3">
        <v>0</v>
      </c>
      <c r="I4381" s="3">
        <f t="shared" si="509"/>
        <v>20</v>
      </c>
      <c r="J4381" s="3">
        <f t="shared" si="510"/>
        <v>23</v>
      </c>
      <c r="K4381" s="3">
        <f t="shared" si="511"/>
        <v>-3</v>
      </c>
      <c r="L4381" s="3" t="str">
        <f t="shared" si="512"/>
        <v>ATENÇÃO</v>
      </c>
      <c r="M4381" s="9">
        <v>20</v>
      </c>
      <c r="N4381" s="9">
        <v>100</v>
      </c>
      <c r="O4381" s="9">
        <v>16.97247706422019</v>
      </c>
    </row>
    <row r="4382" spans="1:15" hidden="1" x14ac:dyDescent="0.25">
      <c r="A4382" s="5">
        <v>46147</v>
      </c>
      <c r="B4382" t="s">
        <v>19</v>
      </c>
      <c r="C4382" s="3" t="s">
        <v>20</v>
      </c>
      <c r="D4382" s="3">
        <v>30</v>
      </c>
      <c r="E4382" s="3">
        <v>30</v>
      </c>
      <c r="F4382" s="3">
        <v>17.010000000000002</v>
      </c>
      <c r="G4382" s="3">
        <v>7</v>
      </c>
      <c r="H4382" s="3">
        <v>0</v>
      </c>
      <c r="I4382" s="3">
        <f t="shared" si="509"/>
        <v>37</v>
      </c>
      <c r="J4382" s="3">
        <f t="shared" si="510"/>
        <v>23</v>
      </c>
      <c r="K4382" s="3">
        <f t="shared" si="511"/>
        <v>14</v>
      </c>
      <c r="L4382" s="3" t="str">
        <f t="shared" si="512"/>
        <v>EXCELENTE</v>
      </c>
      <c r="M4382" s="3">
        <v>36</v>
      </c>
      <c r="N4382" s="3">
        <v>95.38</v>
      </c>
      <c r="O4382" s="3">
        <v>21.5962441314554</v>
      </c>
    </row>
    <row r="4383" spans="1:15" hidden="1" x14ac:dyDescent="0.25">
      <c r="A4383" s="5">
        <v>46147</v>
      </c>
      <c r="B4383" s="6" t="s">
        <v>27</v>
      </c>
      <c r="C4383" s="3" t="s">
        <v>20</v>
      </c>
      <c r="D4383" s="3">
        <v>122</v>
      </c>
      <c r="E4383" s="3">
        <v>28</v>
      </c>
      <c r="F4383" s="3">
        <v>3.47</v>
      </c>
      <c r="G4383" s="3">
        <v>1</v>
      </c>
      <c r="H4383" s="3">
        <v>0</v>
      </c>
      <c r="I4383" s="3">
        <f t="shared" si="509"/>
        <v>29</v>
      </c>
      <c r="J4383" s="3">
        <f t="shared" si="510"/>
        <v>23</v>
      </c>
      <c r="K4383" s="3">
        <f t="shared" si="511"/>
        <v>6</v>
      </c>
      <c r="L4383" s="3" t="str">
        <f t="shared" si="512"/>
        <v>EXCELENTE</v>
      </c>
      <c r="M4383" s="3">
        <v>16</v>
      </c>
      <c r="N4383" s="3">
        <v>96.88</v>
      </c>
      <c r="O4383" s="3">
        <v>19.526627218934909</v>
      </c>
    </row>
    <row r="4384" spans="1:15" hidden="1" x14ac:dyDescent="0.25">
      <c r="A4384" s="5">
        <v>46147</v>
      </c>
      <c r="B4384" s="6" t="s">
        <v>30</v>
      </c>
      <c r="C4384" s="3" t="s">
        <v>20</v>
      </c>
      <c r="D4384" s="3">
        <v>12</v>
      </c>
      <c r="E4384" s="3">
        <v>12</v>
      </c>
      <c r="F4384" s="3">
        <v>28.25</v>
      </c>
      <c r="G4384" s="3">
        <v>10</v>
      </c>
      <c r="H4384" s="3">
        <v>0</v>
      </c>
      <c r="I4384" s="3">
        <f t="shared" si="509"/>
        <v>22</v>
      </c>
      <c r="J4384" s="3">
        <f t="shared" si="510"/>
        <v>23</v>
      </c>
      <c r="K4384" s="3">
        <f t="shared" si="511"/>
        <v>-1</v>
      </c>
      <c r="L4384" s="3" t="str">
        <f t="shared" si="512"/>
        <v>ATENÇÃO</v>
      </c>
      <c r="M4384" s="3">
        <v>18</v>
      </c>
      <c r="N4384" s="3">
        <v>100</v>
      </c>
      <c r="O4384" s="3">
        <v>18.14516129032258</v>
      </c>
    </row>
    <row r="4385" spans="1:15" hidden="1" x14ac:dyDescent="0.25">
      <c r="A4385" s="5">
        <v>46147</v>
      </c>
      <c r="B4385" s="6" t="s">
        <v>50</v>
      </c>
      <c r="C4385" s="3" t="s">
        <v>20</v>
      </c>
      <c r="D4385" s="3">
        <v>31</v>
      </c>
      <c r="E4385" s="3">
        <v>28</v>
      </c>
      <c r="F4385" s="3">
        <v>17.329999999999998</v>
      </c>
      <c r="G4385" s="3">
        <v>1</v>
      </c>
      <c r="H4385" s="3">
        <v>0</v>
      </c>
      <c r="I4385" s="3">
        <f t="shared" si="509"/>
        <v>29</v>
      </c>
      <c r="J4385" s="3">
        <f t="shared" si="510"/>
        <v>23</v>
      </c>
      <c r="K4385" s="3">
        <f t="shared" si="511"/>
        <v>6</v>
      </c>
      <c r="L4385" s="3" t="str">
        <f t="shared" si="512"/>
        <v>EXCELENTE</v>
      </c>
      <c r="M4385" s="3">
        <v>30</v>
      </c>
      <c r="N4385" s="3">
        <v>93.26</v>
      </c>
      <c r="O4385" s="3">
        <v>19.93957703927493</v>
      </c>
    </row>
    <row r="4386" spans="1:15" hidden="1" x14ac:dyDescent="0.25">
      <c r="A4386" s="5">
        <v>46147</v>
      </c>
      <c r="B4386" s="6" t="s">
        <v>60</v>
      </c>
      <c r="C4386" s="3" t="s">
        <v>20</v>
      </c>
      <c r="D4386" s="3">
        <v>31</v>
      </c>
      <c r="E4386" s="3">
        <v>26</v>
      </c>
      <c r="F4386" s="3">
        <v>13.5</v>
      </c>
      <c r="G4386" s="3">
        <v>10</v>
      </c>
      <c r="H4386" s="3">
        <v>0</v>
      </c>
      <c r="I4386" s="3">
        <f t="shared" si="509"/>
        <v>36</v>
      </c>
      <c r="J4386" s="3">
        <f t="shared" si="510"/>
        <v>23</v>
      </c>
      <c r="K4386" s="3">
        <f t="shared" si="511"/>
        <v>13</v>
      </c>
      <c r="L4386" s="3" t="str">
        <f t="shared" si="512"/>
        <v>EXCELENTE</v>
      </c>
      <c r="M4386" s="3">
        <v>21</v>
      </c>
      <c r="N4386" s="3">
        <v>97.56</v>
      </c>
      <c r="O4386" s="3">
        <v>19.28783382789317</v>
      </c>
    </row>
    <row r="4387" spans="1:15" hidden="1" x14ac:dyDescent="0.25">
      <c r="A4387" s="5">
        <v>46147</v>
      </c>
      <c r="B4387" s="6" t="s">
        <v>62</v>
      </c>
      <c r="C4387" s="3" t="s">
        <v>20</v>
      </c>
      <c r="D4387" s="3">
        <v>14</v>
      </c>
      <c r="E4387" s="3">
        <v>14</v>
      </c>
      <c r="F4387" s="3">
        <v>35.53</v>
      </c>
      <c r="G4387" s="3">
        <v>3</v>
      </c>
      <c r="H4387" s="3">
        <v>0</v>
      </c>
      <c r="I4387" s="3">
        <f t="shared" si="509"/>
        <v>17</v>
      </c>
      <c r="J4387" s="3">
        <f t="shared" si="510"/>
        <v>23</v>
      </c>
      <c r="K4387" s="3">
        <f t="shared" si="511"/>
        <v>-6</v>
      </c>
      <c r="L4387" s="3" t="str">
        <f t="shared" si="512"/>
        <v>CRÍTICO</v>
      </c>
      <c r="M4387" s="3">
        <v>10</v>
      </c>
      <c r="N4387" s="3">
        <v>100</v>
      </c>
      <c r="O4387" s="3">
        <v>16.97247706422019</v>
      </c>
    </row>
    <row r="4388" spans="1:15" hidden="1" x14ac:dyDescent="0.25">
      <c r="A4388" s="5">
        <v>46148</v>
      </c>
      <c r="B4388" s="6" t="s">
        <v>19</v>
      </c>
      <c r="C4388" s="3" t="s">
        <v>20</v>
      </c>
      <c r="D4388" s="3">
        <v>50</v>
      </c>
      <c r="E4388" s="3">
        <v>43</v>
      </c>
      <c r="F4388">
        <v>14.05</v>
      </c>
      <c r="G4388" s="3">
        <v>6</v>
      </c>
      <c r="H4388" s="3">
        <v>0</v>
      </c>
      <c r="I4388" s="3">
        <f t="shared" si="509"/>
        <v>49</v>
      </c>
      <c r="J4388" s="3">
        <f t="shared" si="510"/>
        <v>23</v>
      </c>
      <c r="K4388" s="3">
        <f t="shared" si="511"/>
        <v>26</v>
      </c>
      <c r="L4388" s="3" t="str">
        <f t="shared" si="512"/>
        <v>EXCELENTE</v>
      </c>
      <c r="M4388" s="3">
        <v>43</v>
      </c>
      <c r="N4388" s="3">
        <v>95.38</v>
      </c>
      <c r="O4388" s="3">
        <v>21.5962441314554</v>
      </c>
    </row>
    <row r="4389" spans="1:15" hidden="1" x14ac:dyDescent="0.25">
      <c r="A4389" s="5">
        <v>46148</v>
      </c>
      <c r="B4389" s="6" t="s">
        <v>27</v>
      </c>
      <c r="C4389" s="3" t="s">
        <v>20</v>
      </c>
      <c r="D4389" s="3">
        <v>24</v>
      </c>
      <c r="E4389" s="3">
        <v>23</v>
      </c>
      <c r="F4389">
        <v>17.07</v>
      </c>
      <c r="G4389" s="3">
        <v>9</v>
      </c>
      <c r="H4389" s="3">
        <v>0</v>
      </c>
      <c r="I4389" s="3">
        <f t="shared" si="509"/>
        <v>32</v>
      </c>
      <c r="J4389" s="3">
        <f t="shared" si="510"/>
        <v>23</v>
      </c>
      <c r="K4389" s="3">
        <f t="shared" si="511"/>
        <v>9</v>
      </c>
      <c r="L4389" s="3" t="str">
        <f t="shared" si="512"/>
        <v>EXCELENTE</v>
      </c>
      <c r="M4389" s="3">
        <v>30</v>
      </c>
      <c r="N4389" s="3">
        <v>96.88</v>
      </c>
      <c r="O4389" s="3">
        <v>19.526627218934909</v>
      </c>
    </row>
    <row r="4390" spans="1:15" hidden="1" x14ac:dyDescent="0.25">
      <c r="A4390" s="5">
        <v>46148</v>
      </c>
      <c r="B4390" s="6" t="s">
        <v>30</v>
      </c>
      <c r="C4390" s="3" t="s">
        <v>20</v>
      </c>
      <c r="D4390" s="3">
        <v>19</v>
      </c>
      <c r="E4390" s="3">
        <v>16</v>
      </c>
      <c r="F4390">
        <v>16.510000000000002</v>
      </c>
      <c r="G4390" s="3">
        <v>0</v>
      </c>
      <c r="H4390" s="3">
        <v>0</v>
      </c>
      <c r="I4390" s="3">
        <f t="shared" si="509"/>
        <v>16</v>
      </c>
      <c r="J4390" s="3">
        <f t="shared" si="510"/>
        <v>23</v>
      </c>
      <c r="K4390" s="3">
        <f t="shared" si="511"/>
        <v>-7</v>
      </c>
      <c r="L4390" s="3" t="str">
        <f t="shared" si="512"/>
        <v>CRÍTICO</v>
      </c>
      <c r="M4390" s="3">
        <v>13</v>
      </c>
      <c r="N4390" s="3">
        <v>100</v>
      </c>
      <c r="O4390" s="3">
        <v>18.14516129032258</v>
      </c>
    </row>
    <row r="4391" spans="1:15" hidden="1" x14ac:dyDescent="0.25">
      <c r="A4391" s="5">
        <v>46148</v>
      </c>
      <c r="B4391" s="6" t="s">
        <v>50</v>
      </c>
      <c r="C4391" s="3" t="s">
        <v>20</v>
      </c>
      <c r="D4391" s="3">
        <v>31</v>
      </c>
      <c r="E4391" s="3">
        <v>30</v>
      </c>
      <c r="F4391">
        <v>17.329999999999998</v>
      </c>
      <c r="G4391" s="3">
        <v>8</v>
      </c>
      <c r="H4391" s="3">
        <v>0</v>
      </c>
      <c r="I4391" s="3">
        <f t="shared" si="509"/>
        <v>38</v>
      </c>
      <c r="J4391" s="3">
        <f t="shared" si="510"/>
        <v>23</v>
      </c>
      <c r="K4391" s="3">
        <f t="shared" si="511"/>
        <v>15</v>
      </c>
      <c r="L4391" s="3" t="str">
        <f t="shared" si="512"/>
        <v>EXCELENTE</v>
      </c>
      <c r="M4391" s="3">
        <v>36</v>
      </c>
      <c r="N4391" s="3">
        <v>93.26</v>
      </c>
      <c r="O4391" s="3">
        <v>19.93957703927493</v>
      </c>
    </row>
    <row r="4392" spans="1:15" hidden="1" x14ac:dyDescent="0.25">
      <c r="A4392" s="5">
        <v>46148</v>
      </c>
      <c r="B4392" s="6" t="s">
        <v>60</v>
      </c>
      <c r="C4392" s="3" t="s">
        <v>20</v>
      </c>
      <c r="D4392" s="3">
        <v>34</v>
      </c>
      <c r="E4392" s="3">
        <v>30</v>
      </c>
      <c r="F4392">
        <v>13.25</v>
      </c>
      <c r="G4392" s="3">
        <v>5</v>
      </c>
      <c r="H4392" s="3">
        <v>0</v>
      </c>
      <c r="I4392" s="3">
        <f t="shared" si="509"/>
        <v>35</v>
      </c>
      <c r="J4392" s="3">
        <f t="shared" si="510"/>
        <v>23</v>
      </c>
      <c r="K4392" s="3">
        <f t="shared" si="511"/>
        <v>12</v>
      </c>
      <c r="L4392" s="3" t="str">
        <f t="shared" si="512"/>
        <v>EXCELENTE</v>
      </c>
      <c r="M4392" s="3">
        <v>23</v>
      </c>
      <c r="N4392" s="3">
        <v>97.56</v>
      </c>
      <c r="O4392" s="3">
        <v>19.28783382789317</v>
      </c>
    </row>
    <row r="4393" spans="1:15" hidden="1" x14ac:dyDescent="0.25">
      <c r="A4393" s="5">
        <v>46148</v>
      </c>
      <c r="B4393" s="6" t="s">
        <v>62</v>
      </c>
      <c r="C4393" s="3" t="s">
        <v>20</v>
      </c>
      <c r="D4393" s="3">
        <v>19</v>
      </c>
      <c r="E4393" s="3">
        <v>18</v>
      </c>
      <c r="F4393">
        <v>26.43</v>
      </c>
      <c r="G4393" s="3">
        <v>1</v>
      </c>
      <c r="H4393" s="3">
        <v>0</v>
      </c>
      <c r="I4393" s="3">
        <f t="shared" si="509"/>
        <v>19</v>
      </c>
      <c r="J4393" s="3">
        <f t="shared" si="510"/>
        <v>23</v>
      </c>
      <c r="K4393" s="3">
        <f t="shared" si="511"/>
        <v>-4</v>
      </c>
      <c r="L4393" s="3" t="str">
        <f t="shared" si="512"/>
        <v>ATENÇÃO</v>
      </c>
      <c r="M4393" s="3">
        <v>18</v>
      </c>
      <c r="N4393" s="3">
        <v>100</v>
      </c>
      <c r="O4393" s="3">
        <v>16.97247706422019</v>
      </c>
    </row>
    <row r="4394" spans="1:15" hidden="1" x14ac:dyDescent="0.25">
      <c r="A4394" s="5">
        <v>46149</v>
      </c>
      <c r="B4394" s="6" t="s">
        <v>19</v>
      </c>
      <c r="C4394" s="3" t="s">
        <v>20</v>
      </c>
      <c r="D4394" s="3">
        <v>31</v>
      </c>
      <c r="E4394" s="3">
        <v>28</v>
      </c>
      <c r="F4394">
        <v>15.11</v>
      </c>
      <c r="G4394" s="3">
        <v>10</v>
      </c>
      <c r="H4394" s="3">
        <v>0</v>
      </c>
      <c r="I4394" s="3">
        <f t="shared" si="509"/>
        <v>38</v>
      </c>
      <c r="J4394" s="3">
        <f t="shared" si="510"/>
        <v>22</v>
      </c>
      <c r="K4394" s="3">
        <f t="shared" si="511"/>
        <v>16</v>
      </c>
      <c r="L4394" s="3" t="str">
        <f t="shared" si="512"/>
        <v>EXCELENTE</v>
      </c>
      <c r="M4394" s="3">
        <v>36</v>
      </c>
      <c r="N4394" s="3">
        <v>95.38</v>
      </c>
      <c r="O4394" s="3">
        <v>21.5962441314554</v>
      </c>
    </row>
    <row r="4395" spans="1:15" hidden="1" x14ac:dyDescent="0.25">
      <c r="A4395" s="5">
        <v>46149</v>
      </c>
      <c r="B4395" s="6" t="s">
        <v>27</v>
      </c>
      <c r="C4395" s="3" t="s">
        <v>20</v>
      </c>
      <c r="D4395" s="3">
        <v>25</v>
      </c>
      <c r="E4395" s="3">
        <v>23</v>
      </c>
      <c r="F4395">
        <v>16.559999999999999</v>
      </c>
      <c r="G4395" s="3">
        <v>1</v>
      </c>
      <c r="H4395" s="3">
        <v>0</v>
      </c>
      <c r="I4395" s="3">
        <f t="shared" si="509"/>
        <v>24</v>
      </c>
      <c r="J4395" s="3">
        <f t="shared" si="510"/>
        <v>22</v>
      </c>
      <c r="K4395" s="3">
        <f t="shared" si="511"/>
        <v>2</v>
      </c>
      <c r="L4395" s="3" t="str">
        <f t="shared" si="512"/>
        <v>BOM</v>
      </c>
      <c r="M4395" s="3">
        <v>22</v>
      </c>
      <c r="N4395" s="3">
        <v>96.88</v>
      </c>
      <c r="O4395" s="3">
        <v>19.526627218934909</v>
      </c>
    </row>
    <row r="4396" spans="1:15" hidden="1" x14ac:dyDescent="0.25">
      <c r="A4396" s="5">
        <v>46149</v>
      </c>
      <c r="B4396" s="6" t="s">
        <v>30</v>
      </c>
      <c r="C4396" s="3" t="s">
        <v>20</v>
      </c>
      <c r="D4396" s="3">
        <v>17</v>
      </c>
      <c r="E4396" s="3">
        <v>17</v>
      </c>
      <c r="F4396">
        <v>16.5</v>
      </c>
      <c r="G4396" s="3">
        <v>7</v>
      </c>
      <c r="H4396" s="3">
        <v>0</v>
      </c>
      <c r="I4396" s="3">
        <f t="shared" si="509"/>
        <v>24</v>
      </c>
      <c r="J4396" s="3">
        <f t="shared" si="510"/>
        <v>22</v>
      </c>
      <c r="K4396" s="3">
        <f t="shared" si="511"/>
        <v>2</v>
      </c>
      <c r="L4396" s="3" t="str">
        <f t="shared" si="512"/>
        <v>BOM</v>
      </c>
      <c r="M4396" s="3">
        <v>19</v>
      </c>
      <c r="N4396" s="3">
        <v>100</v>
      </c>
      <c r="O4396" s="3">
        <v>18.14516129032258</v>
      </c>
    </row>
    <row r="4397" spans="1:15" hidden="1" x14ac:dyDescent="0.25">
      <c r="A4397" s="5">
        <v>46149</v>
      </c>
      <c r="B4397" s="6" t="s">
        <v>50</v>
      </c>
      <c r="C4397" s="3" t="s">
        <v>20</v>
      </c>
      <c r="D4397" s="3">
        <v>25</v>
      </c>
      <c r="E4397" s="3">
        <v>25</v>
      </c>
      <c r="F4397">
        <v>25.28</v>
      </c>
      <c r="G4397" s="3">
        <v>1</v>
      </c>
      <c r="H4397" s="3">
        <v>0</v>
      </c>
      <c r="I4397" s="3">
        <f t="shared" si="509"/>
        <v>26</v>
      </c>
      <c r="J4397" s="3">
        <f t="shared" si="510"/>
        <v>22</v>
      </c>
      <c r="K4397" s="3">
        <f t="shared" si="511"/>
        <v>4</v>
      </c>
      <c r="L4397" s="3" t="str">
        <f t="shared" si="512"/>
        <v>BOM</v>
      </c>
      <c r="M4397" s="3">
        <v>25</v>
      </c>
      <c r="N4397" s="3">
        <v>93.26</v>
      </c>
      <c r="O4397" s="3">
        <v>19.93957703927493</v>
      </c>
    </row>
    <row r="4398" spans="1:15" hidden="1" x14ac:dyDescent="0.25">
      <c r="A4398" s="5">
        <v>46149</v>
      </c>
      <c r="B4398" s="6" t="s">
        <v>60</v>
      </c>
      <c r="C4398" s="3" t="s">
        <v>20</v>
      </c>
      <c r="D4398" s="3">
        <v>31</v>
      </c>
      <c r="E4398" s="3">
        <v>26</v>
      </c>
      <c r="F4398">
        <v>11.59</v>
      </c>
      <c r="G4398" s="3">
        <v>14</v>
      </c>
      <c r="H4398" s="3">
        <v>0</v>
      </c>
      <c r="I4398" s="3">
        <f t="shared" si="509"/>
        <v>40</v>
      </c>
      <c r="J4398" s="3">
        <f t="shared" si="510"/>
        <v>22</v>
      </c>
      <c r="K4398" s="3">
        <f t="shared" si="511"/>
        <v>18</v>
      </c>
      <c r="L4398" s="3" t="str">
        <f t="shared" si="512"/>
        <v>EXCELENTE</v>
      </c>
      <c r="M4398" s="3">
        <v>23</v>
      </c>
      <c r="N4398" s="3">
        <v>97.56</v>
      </c>
      <c r="O4398" s="3">
        <v>19.28783382789317</v>
      </c>
    </row>
    <row r="4399" spans="1:15" hidden="1" x14ac:dyDescent="0.25">
      <c r="A4399" s="5">
        <v>46149</v>
      </c>
      <c r="B4399" s="6" t="s">
        <v>62</v>
      </c>
      <c r="C4399" s="3" t="s">
        <v>20</v>
      </c>
      <c r="D4399" s="3">
        <v>14</v>
      </c>
      <c r="E4399" s="3">
        <v>14</v>
      </c>
      <c r="F4399">
        <v>33.450000000000003</v>
      </c>
      <c r="G4399" s="3">
        <v>6</v>
      </c>
      <c r="H4399" s="3">
        <v>0</v>
      </c>
      <c r="I4399" s="3">
        <f t="shared" si="509"/>
        <v>20</v>
      </c>
      <c r="J4399" s="3">
        <f t="shared" si="510"/>
        <v>22</v>
      </c>
      <c r="K4399" s="3">
        <f t="shared" si="511"/>
        <v>-2</v>
      </c>
      <c r="L4399" s="3" t="str">
        <f t="shared" si="512"/>
        <v>ATENÇÃO</v>
      </c>
      <c r="M4399" s="3">
        <v>20</v>
      </c>
      <c r="N4399" s="3">
        <v>100</v>
      </c>
      <c r="O4399" s="3">
        <v>16.97247706422019</v>
      </c>
    </row>
    <row r="4400" spans="1:15" hidden="1" x14ac:dyDescent="0.25">
      <c r="A4400" s="5">
        <v>46150</v>
      </c>
      <c r="B4400" s="6" t="s">
        <v>19</v>
      </c>
      <c r="C4400" s="3" t="s">
        <v>20</v>
      </c>
      <c r="D4400" s="3">
        <v>26</v>
      </c>
      <c r="E4400" s="3">
        <v>25</v>
      </c>
      <c r="F4400">
        <v>22.39</v>
      </c>
      <c r="G4400" s="3">
        <v>0</v>
      </c>
      <c r="H4400" s="3">
        <v>0</v>
      </c>
      <c r="I4400" s="3">
        <f t="shared" si="509"/>
        <v>25</v>
      </c>
      <c r="J4400" s="3">
        <f t="shared" si="510"/>
        <v>19</v>
      </c>
      <c r="K4400" s="3">
        <f t="shared" si="511"/>
        <v>6</v>
      </c>
      <c r="L4400" s="3" t="str">
        <f t="shared" si="512"/>
        <v>EXCELENTE</v>
      </c>
      <c r="M4400" s="3">
        <v>24</v>
      </c>
      <c r="N4400" s="3">
        <v>95.38</v>
      </c>
      <c r="O4400" s="3">
        <v>21.5962441314554</v>
      </c>
    </row>
    <row r="4401" spans="1:15" hidden="1" x14ac:dyDescent="0.25">
      <c r="A4401" s="5">
        <v>46150</v>
      </c>
      <c r="B4401" s="6" t="s">
        <v>27</v>
      </c>
      <c r="C4401" s="3" t="s">
        <v>20</v>
      </c>
      <c r="D4401" s="3">
        <v>25</v>
      </c>
      <c r="E4401" s="3">
        <v>24</v>
      </c>
      <c r="F4401">
        <v>17.350000000000001</v>
      </c>
      <c r="G4401" s="3">
        <v>6</v>
      </c>
      <c r="H4401" s="3">
        <v>0</v>
      </c>
      <c r="I4401" s="3">
        <f t="shared" si="509"/>
        <v>30</v>
      </c>
      <c r="J4401" s="3">
        <f t="shared" si="510"/>
        <v>19</v>
      </c>
      <c r="K4401" s="3">
        <f t="shared" si="511"/>
        <v>11</v>
      </c>
      <c r="L4401" s="3" t="str">
        <f t="shared" si="512"/>
        <v>EXCELENTE</v>
      </c>
      <c r="M4401">
        <v>27</v>
      </c>
      <c r="N4401">
        <v>96.88</v>
      </c>
      <c r="O4401">
        <v>19.526627218934909</v>
      </c>
    </row>
    <row r="4402" spans="1:15" hidden="1" x14ac:dyDescent="0.25">
      <c r="A4402" s="5">
        <v>46150</v>
      </c>
      <c r="B4402" s="6" t="s">
        <v>30</v>
      </c>
      <c r="C4402" s="3" t="s">
        <v>20</v>
      </c>
      <c r="D4402" s="3">
        <v>16</v>
      </c>
      <c r="E4402" s="3">
        <v>16</v>
      </c>
      <c r="F4402">
        <v>23.51</v>
      </c>
      <c r="G4402" s="3">
        <v>0</v>
      </c>
      <c r="H4402" s="3">
        <v>0</v>
      </c>
      <c r="I4402" s="3">
        <f t="shared" si="509"/>
        <v>16</v>
      </c>
      <c r="J4402" s="3">
        <f t="shared" si="510"/>
        <v>19</v>
      </c>
      <c r="K4402" s="3">
        <f t="shared" si="511"/>
        <v>-3</v>
      </c>
      <c r="L4402" s="3" t="str">
        <f t="shared" si="512"/>
        <v>ATENÇÃO</v>
      </c>
      <c r="M4402">
        <v>11</v>
      </c>
      <c r="N4402">
        <v>100</v>
      </c>
      <c r="O4402">
        <v>18.14516129032258</v>
      </c>
    </row>
    <row r="4403" spans="1:15" hidden="1" x14ac:dyDescent="0.25">
      <c r="A4403" s="5">
        <v>46150</v>
      </c>
      <c r="B4403" s="6" t="s">
        <v>50</v>
      </c>
      <c r="C4403" s="3" t="s">
        <v>20</v>
      </c>
      <c r="D4403" s="3">
        <v>18</v>
      </c>
      <c r="E4403" s="3">
        <v>17</v>
      </c>
      <c r="F4403">
        <v>25.06</v>
      </c>
      <c r="G4403" s="3">
        <v>6</v>
      </c>
      <c r="H4403" s="3">
        <v>0</v>
      </c>
      <c r="I4403" s="3">
        <f t="shared" si="509"/>
        <v>23</v>
      </c>
      <c r="J4403" s="3">
        <f t="shared" si="510"/>
        <v>19</v>
      </c>
      <c r="K4403" s="3">
        <f t="shared" si="511"/>
        <v>4</v>
      </c>
      <c r="L4403" s="3" t="str">
        <f t="shared" si="512"/>
        <v>BOM</v>
      </c>
      <c r="M4403">
        <v>23</v>
      </c>
      <c r="N4403">
        <v>93.26</v>
      </c>
      <c r="O4403">
        <v>19.93957703927493</v>
      </c>
    </row>
    <row r="4404" spans="1:15" hidden="1" x14ac:dyDescent="0.25">
      <c r="A4404" s="5">
        <v>46150</v>
      </c>
      <c r="B4404" s="6" t="s">
        <v>60</v>
      </c>
      <c r="C4404" s="3" t="s">
        <v>20</v>
      </c>
      <c r="D4404" s="3">
        <v>39</v>
      </c>
      <c r="E4404" s="3">
        <v>34</v>
      </c>
      <c r="F4404">
        <v>12.08</v>
      </c>
      <c r="G4404" s="3">
        <v>2</v>
      </c>
      <c r="H4404" s="3">
        <v>0</v>
      </c>
      <c r="I4404" s="3">
        <f t="shared" si="509"/>
        <v>36</v>
      </c>
      <c r="J4404" s="3">
        <f t="shared" si="510"/>
        <v>19</v>
      </c>
      <c r="K4404" s="3">
        <f t="shared" si="511"/>
        <v>17</v>
      </c>
      <c r="L4404" s="3" t="str">
        <f t="shared" si="512"/>
        <v>EXCELENTE</v>
      </c>
      <c r="M4404">
        <v>32</v>
      </c>
      <c r="N4404">
        <v>97.56</v>
      </c>
      <c r="O4404">
        <v>19.28783382789317</v>
      </c>
    </row>
    <row r="4405" spans="1:15" hidden="1" x14ac:dyDescent="0.25">
      <c r="A4405" s="5">
        <v>46150</v>
      </c>
      <c r="B4405" s="6" t="s">
        <v>62</v>
      </c>
      <c r="C4405" s="3" t="s">
        <v>20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 t="shared" si="512"/>
        <v>BOM</v>
      </c>
      <c r="M4405" s="9">
        <v>0</v>
      </c>
      <c r="N4405" s="9">
        <v>100</v>
      </c>
      <c r="O4405" s="9">
        <v>16.97247706422019</v>
      </c>
    </row>
    <row r="4406" spans="1:15" hidden="1" x14ac:dyDescent="0.25">
      <c r="A4406" s="5">
        <v>46153</v>
      </c>
      <c r="B4406" s="6" t="s">
        <v>19</v>
      </c>
      <c r="C4406" s="3" t="s">
        <v>20</v>
      </c>
      <c r="D4406" s="3">
        <v>40</v>
      </c>
      <c r="E4406" s="3">
        <v>38</v>
      </c>
      <c r="F4406">
        <v>13.44</v>
      </c>
      <c r="G4406" s="3">
        <v>8</v>
      </c>
      <c r="H4406" s="3">
        <v>0</v>
      </c>
      <c r="I4406" s="3">
        <f t="shared" ref="I4406:I4437" si="513">E4406+G4406+H4406</f>
        <v>46</v>
      </c>
      <c r="J4406" s="3">
        <f t="shared" ref="J4406:J4437" si="514"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 t="shared" ref="K4406:K4437" si="515">I4406-J4406</f>
        <v>26</v>
      </c>
      <c r="L4406" s="3" t="str">
        <f t="shared" si="512"/>
        <v>EXCELENTE</v>
      </c>
      <c r="M4406" s="3">
        <v>38</v>
      </c>
      <c r="N4406" s="3">
        <v>95.38</v>
      </c>
      <c r="O4406" s="3">
        <v>21.5962441314554</v>
      </c>
    </row>
    <row r="4407" spans="1:15" hidden="1" x14ac:dyDescent="0.25">
      <c r="A4407" s="5">
        <v>46153</v>
      </c>
      <c r="B4407" s="6" t="s">
        <v>27</v>
      </c>
      <c r="C4407" s="3" t="s">
        <v>20</v>
      </c>
      <c r="D4407" s="3">
        <v>24</v>
      </c>
      <c r="E4407" s="3">
        <v>23</v>
      </c>
      <c r="F4407">
        <v>18.57</v>
      </c>
      <c r="G4407" s="3">
        <v>2</v>
      </c>
      <c r="H4407" s="3">
        <v>0</v>
      </c>
      <c r="I4407" s="3">
        <f t="shared" si="513"/>
        <v>25</v>
      </c>
      <c r="J4407" s="3">
        <f t="shared" si="514"/>
        <v>20</v>
      </c>
      <c r="K4407" s="3">
        <f t="shared" si="515"/>
        <v>5</v>
      </c>
      <c r="L4407" s="3" t="str">
        <f t="shared" si="512"/>
        <v>BOM</v>
      </c>
      <c r="M4407">
        <v>21</v>
      </c>
      <c r="N4407">
        <v>96.88</v>
      </c>
      <c r="O4407">
        <v>19.526627218934909</v>
      </c>
    </row>
    <row r="4408" spans="1:15" hidden="1" x14ac:dyDescent="0.25">
      <c r="A4408" s="5">
        <v>46153</v>
      </c>
      <c r="B4408" s="6" t="s">
        <v>30</v>
      </c>
      <c r="C4408" s="3" t="s">
        <v>20</v>
      </c>
      <c r="D4408" s="3">
        <v>24</v>
      </c>
      <c r="E4408" s="3">
        <v>20</v>
      </c>
      <c r="F4408">
        <v>13.37</v>
      </c>
      <c r="G4408" s="3">
        <v>2</v>
      </c>
      <c r="H4408" s="3">
        <v>0</v>
      </c>
      <c r="I4408" s="3">
        <f t="shared" si="513"/>
        <v>22</v>
      </c>
      <c r="J4408" s="3">
        <f t="shared" si="514"/>
        <v>20</v>
      </c>
      <c r="K4408" s="3">
        <f t="shared" si="515"/>
        <v>2</v>
      </c>
      <c r="L4408" s="3" t="str">
        <f t="shared" ref="L4408:L4439" si="516">IF(K4408&lt;-5,"CRÍTICO",IF(K4408&lt;0,"ATENÇÃO",IF(K4408&lt;=5,"BOM","EXCELENTE")))</f>
        <v>BOM</v>
      </c>
      <c r="M4408">
        <v>19</v>
      </c>
      <c r="N4408">
        <v>100</v>
      </c>
      <c r="O4408">
        <v>18.14516129032258</v>
      </c>
    </row>
    <row r="4409" spans="1:15" hidden="1" x14ac:dyDescent="0.25">
      <c r="A4409" s="5">
        <v>46153</v>
      </c>
      <c r="B4409" s="6" t="s">
        <v>50</v>
      </c>
      <c r="C4409" s="3" t="s">
        <v>20</v>
      </c>
      <c r="D4409" s="3">
        <v>24</v>
      </c>
      <c r="E4409" s="3">
        <v>23</v>
      </c>
      <c r="F4409">
        <v>17.22</v>
      </c>
      <c r="G4409" s="3">
        <v>1</v>
      </c>
      <c r="H4409" s="3">
        <v>0</v>
      </c>
      <c r="I4409" s="3">
        <f t="shared" si="513"/>
        <v>24</v>
      </c>
      <c r="J4409" s="3">
        <f t="shared" si="514"/>
        <v>20</v>
      </c>
      <c r="K4409" s="3">
        <f t="shared" si="515"/>
        <v>4</v>
      </c>
      <c r="L4409" s="3" t="str">
        <f t="shared" si="516"/>
        <v>BOM</v>
      </c>
      <c r="M4409">
        <v>25</v>
      </c>
      <c r="N4409">
        <v>93.26</v>
      </c>
      <c r="O4409">
        <v>19.93957703927493</v>
      </c>
    </row>
    <row r="4410" spans="1:15" hidden="1" x14ac:dyDescent="0.25">
      <c r="A4410" s="5">
        <v>46153</v>
      </c>
      <c r="B4410" s="6" t="s">
        <v>60</v>
      </c>
      <c r="C4410" s="3" t="s">
        <v>20</v>
      </c>
      <c r="D4410" s="3">
        <v>29</v>
      </c>
      <c r="E4410" s="3">
        <v>25</v>
      </c>
      <c r="F4410">
        <v>22.14</v>
      </c>
      <c r="G4410" s="3">
        <v>6</v>
      </c>
      <c r="H4410" s="3">
        <v>0</v>
      </c>
      <c r="I4410" s="3">
        <f t="shared" si="513"/>
        <v>31</v>
      </c>
      <c r="J4410" s="3">
        <f t="shared" si="514"/>
        <v>20</v>
      </c>
      <c r="K4410" s="3">
        <f t="shared" si="515"/>
        <v>11</v>
      </c>
      <c r="L4410" s="3" t="str">
        <f t="shared" si="516"/>
        <v>EXCELENTE</v>
      </c>
      <c r="M4410">
        <v>24</v>
      </c>
      <c r="N4410">
        <v>97.56</v>
      </c>
      <c r="O4410">
        <v>19.28783382789317</v>
      </c>
    </row>
    <row r="4411" spans="1:15" hidden="1" x14ac:dyDescent="0.25">
      <c r="A4411" s="5">
        <v>46153</v>
      </c>
      <c r="B4411" s="6" t="s">
        <v>62</v>
      </c>
      <c r="C4411" s="3" t="s">
        <v>20</v>
      </c>
      <c r="D4411" s="3">
        <v>16</v>
      </c>
      <c r="E4411" s="3">
        <v>16</v>
      </c>
      <c r="F4411">
        <v>33.21</v>
      </c>
      <c r="G4411" s="3">
        <v>1</v>
      </c>
      <c r="H4411" s="3">
        <v>0</v>
      </c>
      <c r="I4411" s="3">
        <f t="shared" si="513"/>
        <v>17</v>
      </c>
      <c r="J4411" s="3">
        <f t="shared" si="514"/>
        <v>20</v>
      </c>
      <c r="K4411" s="3">
        <f t="shared" si="515"/>
        <v>-3</v>
      </c>
      <c r="L4411" s="3" t="str">
        <f t="shared" si="516"/>
        <v>ATENÇÃO</v>
      </c>
      <c r="M4411">
        <v>15</v>
      </c>
      <c r="N4411">
        <v>100</v>
      </c>
      <c r="O4411">
        <v>16.97247706422019</v>
      </c>
    </row>
    <row r="4412" spans="1:15" hidden="1" x14ac:dyDescent="0.25">
      <c r="A4412" s="5">
        <v>46154</v>
      </c>
      <c r="B4412" s="6" t="s">
        <v>19</v>
      </c>
      <c r="C4412" s="3" t="s">
        <v>20</v>
      </c>
      <c r="D4412" s="3">
        <v>31</v>
      </c>
      <c r="E4412" s="3">
        <v>29</v>
      </c>
      <c r="F4412">
        <v>17.38</v>
      </c>
      <c r="G4412" s="3">
        <v>2</v>
      </c>
      <c r="H4412" s="3">
        <v>0</v>
      </c>
      <c r="I4412" s="3">
        <f t="shared" si="513"/>
        <v>31</v>
      </c>
      <c r="J4412" s="3">
        <f t="shared" si="514"/>
        <v>21</v>
      </c>
      <c r="K4412" s="3">
        <f t="shared" si="515"/>
        <v>10</v>
      </c>
      <c r="L4412" s="3" t="str">
        <f t="shared" si="516"/>
        <v>EXCELENTE</v>
      </c>
      <c r="M4412" s="3">
        <v>27</v>
      </c>
      <c r="N4412" s="3">
        <v>95.38</v>
      </c>
      <c r="O4412" s="3">
        <v>21.5962441314554</v>
      </c>
    </row>
    <row r="4413" spans="1:15" hidden="1" x14ac:dyDescent="0.25">
      <c r="A4413" s="5">
        <v>46154</v>
      </c>
      <c r="B4413" s="6" t="s">
        <v>27</v>
      </c>
      <c r="C4413" s="3" t="s">
        <v>20</v>
      </c>
      <c r="D4413" s="3">
        <v>24</v>
      </c>
      <c r="E4413" s="3">
        <v>23</v>
      </c>
      <c r="F4413">
        <v>13.58</v>
      </c>
      <c r="G4413" s="3">
        <v>5</v>
      </c>
      <c r="H4413" s="3">
        <v>0</v>
      </c>
      <c r="I4413" s="3">
        <f t="shared" si="513"/>
        <v>28</v>
      </c>
      <c r="J4413" s="3">
        <f t="shared" si="514"/>
        <v>21</v>
      </c>
      <c r="K4413" s="3">
        <f t="shared" si="515"/>
        <v>7</v>
      </c>
      <c r="L4413" s="3" t="str">
        <f t="shared" si="516"/>
        <v>EXCELENTE</v>
      </c>
      <c r="M4413">
        <v>25</v>
      </c>
      <c r="N4413">
        <v>96.88</v>
      </c>
      <c r="O4413">
        <v>19.526627218934909</v>
      </c>
    </row>
    <row r="4414" spans="1:15" hidden="1" x14ac:dyDescent="0.25">
      <c r="A4414" s="5">
        <v>46154</v>
      </c>
      <c r="B4414" s="6" t="s">
        <v>30</v>
      </c>
      <c r="C4414" s="3" t="s">
        <v>20</v>
      </c>
      <c r="D4414" s="3">
        <v>28</v>
      </c>
      <c r="E4414" s="3">
        <v>26</v>
      </c>
      <c r="F4414">
        <v>11.47</v>
      </c>
      <c r="G4414" s="3">
        <v>0</v>
      </c>
      <c r="H4414" s="3">
        <v>0</v>
      </c>
      <c r="I4414" s="3">
        <f t="shared" si="513"/>
        <v>26</v>
      </c>
      <c r="J4414" s="3">
        <f t="shared" si="514"/>
        <v>21</v>
      </c>
      <c r="K4414" s="3">
        <f t="shared" si="515"/>
        <v>5</v>
      </c>
      <c r="L4414" s="3" t="str">
        <f t="shared" si="516"/>
        <v>BOM</v>
      </c>
      <c r="M4414">
        <v>17</v>
      </c>
      <c r="N4414">
        <v>100</v>
      </c>
      <c r="O4414">
        <v>18.14516129032258</v>
      </c>
    </row>
    <row r="4415" spans="1:15" hidden="1" x14ac:dyDescent="0.25">
      <c r="A4415" s="5">
        <v>46154</v>
      </c>
      <c r="B4415" s="6" t="s">
        <v>50</v>
      </c>
      <c r="C4415" s="3" t="s">
        <v>20</v>
      </c>
      <c r="D4415" s="3">
        <v>24</v>
      </c>
      <c r="E4415" s="3">
        <v>20</v>
      </c>
      <c r="F4415">
        <v>19.149999999999999</v>
      </c>
      <c r="G4415" s="3">
        <v>4</v>
      </c>
      <c r="H4415" s="3">
        <v>0</v>
      </c>
      <c r="I4415" s="3">
        <f t="shared" si="513"/>
        <v>24</v>
      </c>
      <c r="J4415" s="3">
        <f t="shared" si="514"/>
        <v>21</v>
      </c>
      <c r="K4415" s="3">
        <f t="shared" si="515"/>
        <v>3</v>
      </c>
      <c r="L4415" s="3" t="str">
        <f t="shared" si="516"/>
        <v>BOM</v>
      </c>
      <c r="M4415">
        <v>22</v>
      </c>
      <c r="N4415">
        <v>93.26</v>
      </c>
      <c r="O4415">
        <v>19.93957703927493</v>
      </c>
    </row>
    <row r="4416" spans="1:15" hidden="1" x14ac:dyDescent="0.25">
      <c r="A4416" s="5">
        <v>46154</v>
      </c>
      <c r="B4416" s="6" t="s">
        <v>60</v>
      </c>
      <c r="C4416" s="3" t="s">
        <v>20</v>
      </c>
      <c r="D4416" s="3">
        <v>27</v>
      </c>
      <c r="E4416" s="3">
        <v>26</v>
      </c>
      <c r="F4416">
        <v>17.2</v>
      </c>
      <c r="G4416" s="3">
        <v>1</v>
      </c>
      <c r="H4416" s="3">
        <v>0</v>
      </c>
      <c r="I4416" s="3">
        <f t="shared" si="513"/>
        <v>27</v>
      </c>
      <c r="J4416" s="3">
        <f t="shared" si="514"/>
        <v>21</v>
      </c>
      <c r="K4416" s="3">
        <f t="shared" si="515"/>
        <v>6</v>
      </c>
      <c r="L4416" s="3" t="str">
        <f t="shared" si="516"/>
        <v>EXCELENTE</v>
      </c>
      <c r="M4416">
        <v>20</v>
      </c>
      <c r="N4416">
        <v>97.56</v>
      </c>
      <c r="O4416">
        <v>19.28783382789317</v>
      </c>
    </row>
    <row r="4417" spans="1:15" hidden="1" x14ac:dyDescent="0.25">
      <c r="A4417" s="5">
        <v>46154</v>
      </c>
      <c r="B4417" s="6" t="s">
        <v>62</v>
      </c>
      <c r="C4417" s="3" t="s">
        <v>20</v>
      </c>
      <c r="D4417" s="3">
        <v>19</v>
      </c>
      <c r="E4417" s="3">
        <v>19</v>
      </c>
      <c r="F4417">
        <v>30.07</v>
      </c>
      <c r="G4417" s="3">
        <v>0</v>
      </c>
      <c r="H4417" s="3">
        <v>0</v>
      </c>
      <c r="I4417" s="3">
        <f t="shared" si="513"/>
        <v>19</v>
      </c>
      <c r="J4417" s="3">
        <f t="shared" si="514"/>
        <v>21</v>
      </c>
      <c r="K4417" s="3">
        <f t="shared" si="515"/>
        <v>-2</v>
      </c>
      <c r="L4417" s="3" t="str">
        <f t="shared" si="516"/>
        <v>ATENÇÃO</v>
      </c>
      <c r="M4417">
        <v>19</v>
      </c>
      <c r="N4417">
        <v>100</v>
      </c>
      <c r="O4417">
        <v>16.97247706422019</v>
      </c>
    </row>
    <row r="4418" spans="1:15" hidden="1" x14ac:dyDescent="0.25">
      <c r="A4418" s="5">
        <v>46155</v>
      </c>
      <c r="B4418" s="6" t="s">
        <v>19</v>
      </c>
      <c r="C4418" s="3" t="s">
        <v>20</v>
      </c>
      <c r="D4418" s="3">
        <v>25</v>
      </c>
      <c r="E4418" s="3">
        <v>21</v>
      </c>
      <c r="F4418">
        <v>22.22</v>
      </c>
      <c r="G4418" s="3">
        <v>7</v>
      </c>
      <c r="H4418" s="3">
        <v>0</v>
      </c>
      <c r="I4418" s="3">
        <f t="shared" si="513"/>
        <v>28</v>
      </c>
      <c r="J4418" s="3">
        <f t="shared" si="514"/>
        <v>19</v>
      </c>
      <c r="K4418" s="3">
        <f t="shared" si="515"/>
        <v>9</v>
      </c>
      <c r="L4418" s="3" t="str">
        <f t="shared" si="516"/>
        <v>EXCELENTE</v>
      </c>
      <c r="M4418" s="3">
        <v>26</v>
      </c>
      <c r="N4418" s="3">
        <v>95.38</v>
      </c>
      <c r="O4418" s="3">
        <v>21.5962441314554</v>
      </c>
    </row>
    <row r="4419" spans="1:15" hidden="1" x14ac:dyDescent="0.25">
      <c r="A4419" s="5">
        <v>46155</v>
      </c>
      <c r="B4419" s="6" t="s">
        <v>27</v>
      </c>
      <c r="C4419" s="3" t="s">
        <v>20</v>
      </c>
      <c r="D4419" s="3">
        <v>37</v>
      </c>
      <c r="E4419" s="3">
        <v>32</v>
      </c>
      <c r="F4419">
        <v>15.32</v>
      </c>
      <c r="G4419" s="3">
        <v>3</v>
      </c>
      <c r="H4419" s="3">
        <v>0</v>
      </c>
      <c r="I4419" s="3">
        <f t="shared" si="513"/>
        <v>35</v>
      </c>
      <c r="J4419" s="3">
        <f t="shared" si="514"/>
        <v>19</v>
      </c>
      <c r="K4419" s="3">
        <f t="shared" si="515"/>
        <v>16</v>
      </c>
      <c r="L4419" s="3" t="str">
        <f t="shared" si="516"/>
        <v>EXCELENTE</v>
      </c>
      <c r="M4419">
        <v>26</v>
      </c>
      <c r="N4419">
        <v>96.88</v>
      </c>
      <c r="O4419">
        <v>19.526627218934909</v>
      </c>
    </row>
    <row r="4420" spans="1:15" hidden="1" x14ac:dyDescent="0.25">
      <c r="A4420" s="5">
        <v>46155</v>
      </c>
      <c r="B4420" s="6" t="s">
        <v>30</v>
      </c>
      <c r="C4420" s="3" t="s">
        <v>20</v>
      </c>
      <c r="D4420" s="3">
        <v>17</v>
      </c>
      <c r="E4420" s="3">
        <v>16</v>
      </c>
      <c r="F4420">
        <v>21.54</v>
      </c>
      <c r="G4420" s="3">
        <v>5</v>
      </c>
      <c r="H4420" s="3">
        <v>0</v>
      </c>
      <c r="I4420" s="3">
        <f t="shared" si="513"/>
        <v>21</v>
      </c>
      <c r="J4420" s="3">
        <f t="shared" si="514"/>
        <v>19</v>
      </c>
      <c r="K4420" s="3">
        <f t="shared" si="515"/>
        <v>2</v>
      </c>
      <c r="L4420" s="3" t="str">
        <f t="shared" si="516"/>
        <v>BOM</v>
      </c>
      <c r="M4420">
        <v>19</v>
      </c>
      <c r="N4420">
        <v>100</v>
      </c>
      <c r="O4420">
        <v>18.14516129032258</v>
      </c>
    </row>
    <row r="4421" spans="1:15" hidden="1" x14ac:dyDescent="0.25">
      <c r="A4421" s="5">
        <v>46155</v>
      </c>
      <c r="B4421" s="6" t="s">
        <v>50</v>
      </c>
      <c r="C4421" s="3" t="s">
        <v>20</v>
      </c>
      <c r="D4421" s="3">
        <v>24</v>
      </c>
      <c r="E4421" s="3">
        <v>22</v>
      </c>
      <c r="F4421">
        <v>20.170000000000002</v>
      </c>
      <c r="G4421" s="3">
        <v>1</v>
      </c>
      <c r="H4421" s="3">
        <v>0</v>
      </c>
      <c r="I4421" s="3">
        <f t="shared" si="513"/>
        <v>23</v>
      </c>
      <c r="J4421" s="3">
        <f t="shared" si="514"/>
        <v>19</v>
      </c>
      <c r="K4421" s="3">
        <f t="shared" si="515"/>
        <v>4</v>
      </c>
      <c r="L4421" s="3" t="str">
        <f t="shared" si="516"/>
        <v>BOM</v>
      </c>
      <c r="M4421">
        <v>22</v>
      </c>
      <c r="N4421">
        <v>93.26</v>
      </c>
      <c r="O4421">
        <v>19.93957703927493</v>
      </c>
    </row>
    <row r="4422" spans="1:15" hidden="1" x14ac:dyDescent="0.25">
      <c r="A4422" s="5">
        <v>46155</v>
      </c>
      <c r="B4422" s="6" t="s">
        <v>60</v>
      </c>
      <c r="C4422" s="3" t="s">
        <v>20</v>
      </c>
      <c r="D4422" s="3">
        <v>33</v>
      </c>
      <c r="E4422" s="3">
        <v>31</v>
      </c>
      <c r="F4422">
        <v>13.48</v>
      </c>
      <c r="G4422" s="3">
        <v>7</v>
      </c>
      <c r="H4422" s="3">
        <v>0</v>
      </c>
      <c r="I4422" s="3">
        <f t="shared" si="513"/>
        <v>38</v>
      </c>
      <c r="J4422" s="3">
        <f t="shared" si="514"/>
        <v>19</v>
      </c>
      <c r="K4422" s="3">
        <f t="shared" si="515"/>
        <v>19</v>
      </c>
      <c r="L4422" s="3" t="str">
        <f t="shared" si="516"/>
        <v>EXCELENTE</v>
      </c>
      <c r="M4422">
        <v>31</v>
      </c>
      <c r="N4422">
        <v>97.56</v>
      </c>
      <c r="O4422">
        <v>19.28783382789317</v>
      </c>
    </row>
    <row r="4423" spans="1:15" hidden="1" x14ac:dyDescent="0.25">
      <c r="A4423" s="5">
        <v>46155</v>
      </c>
      <c r="B4423" s="6" t="s">
        <v>62</v>
      </c>
      <c r="C4423" s="3" t="s">
        <v>20</v>
      </c>
      <c r="D4423" s="3">
        <v>11</v>
      </c>
      <c r="E4423" s="3">
        <v>10</v>
      </c>
      <c r="F4423">
        <v>33.26</v>
      </c>
      <c r="G4423" s="3">
        <v>5</v>
      </c>
      <c r="H4423" s="3">
        <v>0</v>
      </c>
      <c r="I4423" s="3">
        <f t="shared" si="513"/>
        <v>15</v>
      </c>
      <c r="J4423" s="3">
        <f t="shared" si="514"/>
        <v>19</v>
      </c>
      <c r="K4423" s="3">
        <f t="shared" si="515"/>
        <v>-4</v>
      </c>
      <c r="L4423" s="3" t="str">
        <f t="shared" si="516"/>
        <v>ATENÇÃO</v>
      </c>
      <c r="M4423">
        <v>16</v>
      </c>
      <c r="N4423">
        <v>100</v>
      </c>
      <c r="O4423">
        <v>16.97247706422019</v>
      </c>
    </row>
    <row r="4424" spans="1:15" hidden="1" x14ac:dyDescent="0.25">
      <c r="A4424" s="5">
        <v>46156</v>
      </c>
      <c r="B4424" s="6" t="s">
        <v>19</v>
      </c>
      <c r="C4424" s="3" t="s">
        <v>20</v>
      </c>
      <c r="D4424" s="3">
        <v>27</v>
      </c>
      <c r="E4424" s="3">
        <v>25</v>
      </c>
      <c r="F4424">
        <v>18.510000000000002</v>
      </c>
      <c r="G4424" s="3">
        <v>1</v>
      </c>
      <c r="H4424" s="3">
        <v>0</v>
      </c>
      <c r="I4424" s="3">
        <f t="shared" si="513"/>
        <v>26</v>
      </c>
      <c r="J4424" s="3">
        <f t="shared" si="514"/>
        <v>19</v>
      </c>
      <c r="K4424" s="3">
        <f t="shared" si="515"/>
        <v>7</v>
      </c>
      <c r="L4424" s="3" t="str">
        <f t="shared" si="516"/>
        <v>EXCELENTE</v>
      </c>
      <c r="M4424" s="3">
        <v>23</v>
      </c>
      <c r="N4424" s="3">
        <v>95.38</v>
      </c>
      <c r="O4424" s="3">
        <v>21.5962441314554</v>
      </c>
    </row>
    <row r="4425" spans="1:15" hidden="1" x14ac:dyDescent="0.25">
      <c r="A4425" s="5">
        <v>46156</v>
      </c>
      <c r="B4425" s="6" t="s">
        <v>27</v>
      </c>
      <c r="C4425" s="3" t="s">
        <v>20</v>
      </c>
      <c r="D4425" s="3">
        <v>33</v>
      </c>
      <c r="E4425" s="3">
        <v>29</v>
      </c>
      <c r="F4425">
        <v>11.54</v>
      </c>
      <c r="G4425" s="3">
        <v>7</v>
      </c>
      <c r="H4425" s="3">
        <v>0</v>
      </c>
      <c r="I4425" s="3">
        <f t="shared" si="513"/>
        <v>36</v>
      </c>
      <c r="J4425" s="3">
        <f t="shared" si="514"/>
        <v>19</v>
      </c>
      <c r="K4425" s="3">
        <f t="shared" si="515"/>
        <v>17</v>
      </c>
      <c r="L4425" s="3" t="str">
        <f t="shared" si="516"/>
        <v>EXCELENTE</v>
      </c>
      <c r="M4425">
        <v>30</v>
      </c>
      <c r="N4425">
        <v>96.88</v>
      </c>
      <c r="O4425">
        <v>19.526627218934909</v>
      </c>
    </row>
    <row r="4426" spans="1:15" hidden="1" x14ac:dyDescent="0.25">
      <c r="A4426" s="5">
        <v>46156</v>
      </c>
      <c r="B4426" s="6" t="s">
        <v>30</v>
      </c>
      <c r="C4426" s="3" t="s">
        <v>20</v>
      </c>
      <c r="D4426" s="3">
        <v>30</v>
      </c>
      <c r="E4426" s="3">
        <v>28</v>
      </c>
      <c r="F4426">
        <v>18.25</v>
      </c>
      <c r="G4426" s="3">
        <v>1</v>
      </c>
      <c r="H4426" s="3">
        <v>0</v>
      </c>
      <c r="I4426" s="3">
        <f t="shared" si="513"/>
        <v>29</v>
      </c>
      <c r="J4426" s="3">
        <f t="shared" si="514"/>
        <v>19</v>
      </c>
      <c r="K4426" s="3">
        <f t="shared" si="515"/>
        <v>10</v>
      </c>
      <c r="L4426" s="3" t="str">
        <f t="shared" si="516"/>
        <v>EXCELENTE</v>
      </c>
      <c r="M4426">
        <v>20</v>
      </c>
      <c r="N4426">
        <v>100</v>
      </c>
      <c r="O4426">
        <v>18.14516129032258</v>
      </c>
    </row>
    <row r="4427" spans="1:15" hidden="1" x14ac:dyDescent="0.25">
      <c r="A4427" s="5">
        <v>46156</v>
      </c>
      <c r="B4427" s="6" t="s">
        <v>50</v>
      </c>
      <c r="C4427" s="3" t="s">
        <v>20</v>
      </c>
      <c r="D4427" s="3">
        <v>11</v>
      </c>
      <c r="E4427" s="3">
        <v>11</v>
      </c>
      <c r="F4427">
        <v>33.21</v>
      </c>
      <c r="G4427" s="3">
        <v>4</v>
      </c>
      <c r="H4427" s="3">
        <v>0</v>
      </c>
      <c r="I4427" s="3">
        <f t="shared" si="513"/>
        <v>15</v>
      </c>
      <c r="J4427" s="3">
        <f t="shared" si="514"/>
        <v>19</v>
      </c>
      <c r="K4427" s="3">
        <f t="shared" si="515"/>
        <v>-4</v>
      </c>
      <c r="L4427" s="3" t="str">
        <f t="shared" si="516"/>
        <v>ATENÇÃO</v>
      </c>
      <c r="M4427">
        <v>16</v>
      </c>
      <c r="N4427">
        <v>93.26</v>
      </c>
      <c r="O4427">
        <v>19.93957703927493</v>
      </c>
    </row>
    <row r="4428" spans="1:15" hidden="1" x14ac:dyDescent="0.25">
      <c r="A4428" s="5">
        <v>46156</v>
      </c>
      <c r="B4428" s="6" t="s">
        <v>60</v>
      </c>
      <c r="C4428" s="3" t="s">
        <v>20</v>
      </c>
      <c r="D4428" s="3">
        <v>26</v>
      </c>
      <c r="E4428" s="3">
        <v>25</v>
      </c>
      <c r="F4428">
        <v>15.24</v>
      </c>
      <c r="G4428" s="3">
        <v>1</v>
      </c>
      <c r="H4428" s="3">
        <v>0</v>
      </c>
      <c r="I4428" s="3">
        <f t="shared" si="513"/>
        <v>26</v>
      </c>
      <c r="J4428" s="3">
        <f t="shared" si="514"/>
        <v>19</v>
      </c>
      <c r="K4428" s="3">
        <f t="shared" si="515"/>
        <v>7</v>
      </c>
      <c r="L4428" s="3" t="str">
        <f t="shared" si="516"/>
        <v>EXCELENTE</v>
      </c>
      <c r="M4428">
        <v>24</v>
      </c>
      <c r="N4428">
        <v>97.56</v>
      </c>
      <c r="O4428">
        <v>19.28783382789317</v>
      </c>
    </row>
    <row r="4429" spans="1:15" hidden="1" x14ac:dyDescent="0.25">
      <c r="A4429" s="5">
        <v>46156</v>
      </c>
      <c r="B4429" s="6" t="s">
        <v>62</v>
      </c>
      <c r="C4429" s="3" t="s">
        <v>20</v>
      </c>
      <c r="D4429" s="3">
        <v>20</v>
      </c>
      <c r="E4429" s="3">
        <v>19</v>
      </c>
      <c r="F4429">
        <v>20.29</v>
      </c>
      <c r="G4429" s="3">
        <v>0</v>
      </c>
      <c r="H4429" s="3">
        <v>0</v>
      </c>
      <c r="I4429" s="3">
        <f t="shared" si="513"/>
        <v>19</v>
      </c>
      <c r="J4429" s="3">
        <f t="shared" si="514"/>
        <v>19</v>
      </c>
      <c r="K4429" s="3">
        <f t="shared" si="515"/>
        <v>0</v>
      </c>
      <c r="L4429" s="3" t="str">
        <f t="shared" si="516"/>
        <v>BOM</v>
      </c>
      <c r="M4429">
        <v>17</v>
      </c>
      <c r="N4429">
        <v>100</v>
      </c>
      <c r="O4429">
        <v>16.97247706422019</v>
      </c>
    </row>
    <row r="4430" spans="1:15" hidden="1" x14ac:dyDescent="0.25">
      <c r="A4430" s="5">
        <v>46157</v>
      </c>
      <c r="B4430" s="6" t="s">
        <v>19</v>
      </c>
      <c r="C4430" s="3" t="s">
        <v>20</v>
      </c>
      <c r="D4430" s="3">
        <v>40</v>
      </c>
      <c r="E4430" s="3">
        <v>38</v>
      </c>
      <c r="F4430">
        <v>15.24</v>
      </c>
      <c r="G4430" s="3">
        <v>5</v>
      </c>
      <c r="H4430" s="3">
        <v>0</v>
      </c>
      <c r="I4430" s="3">
        <f t="shared" si="513"/>
        <v>43</v>
      </c>
      <c r="J4430" s="3">
        <f t="shared" si="514"/>
        <v>19</v>
      </c>
      <c r="K4430" s="3">
        <f t="shared" si="515"/>
        <v>24</v>
      </c>
      <c r="L4430" s="3" t="str">
        <f t="shared" si="516"/>
        <v>EXCELENTE</v>
      </c>
      <c r="M4430" s="3">
        <v>36</v>
      </c>
      <c r="N4430" s="3">
        <v>95.38</v>
      </c>
      <c r="O4430" s="3">
        <v>21.5962441314554</v>
      </c>
    </row>
    <row r="4431" spans="1:15" hidden="1" x14ac:dyDescent="0.25">
      <c r="A4431" s="5">
        <v>46157</v>
      </c>
      <c r="B4431" s="6" t="s">
        <v>27</v>
      </c>
      <c r="C4431" s="3" t="s">
        <v>20</v>
      </c>
      <c r="D4431" s="3">
        <v>24</v>
      </c>
      <c r="E4431" s="3">
        <v>20</v>
      </c>
      <c r="F4431">
        <v>19.190000000000001</v>
      </c>
      <c r="G4431" s="3">
        <v>3</v>
      </c>
      <c r="H4431" s="3">
        <v>0</v>
      </c>
      <c r="I4431" s="3">
        <f t="shared" si="513"/>
        <v>23</v>
      </c>
      <c r="J4431" s="3">
        <f t="shared" si="514"/>
        <v>19</v>
      </c>
      <c r="K4431" s="3">
        <f t="shared" si="515"/>
        <v>4</v>
      </c>
      <c r="L4431" s="3" t="str">
        <f t="shared" si="516"/>
        <v>BOM</v>
      </c>
      <c r="M4431">
        <v>20</v>
      </c>
      <c r="N4431">
        <v>96.88</v>
      </c>
      <c r="O4431">
        <v>19.526627218934909</v>
      </c>
    </row>
    <row r="4432" spans="1:15" hidden="1" x14ac:dyDescent="0.25">
      <c r="A4432" s="5">
        <v>46157</v>
      </c>
      <c r="B4432" s="6" t="s">
        <v>30</v>
      </c>
      <c r="C4432" s="3" t="s">
        <v>20</v>
      </c>
      <c r="D4432" s="3">
        <v>18</v>
      </c>
      <c r="E4432" s="3">
        <v>18</v>
      </c>
      <c r="F4432">
        <v>25.25</v>
      </c>
      <c r="G4432" s="3">
        <v>3</v>
      </c>
      <c r="H4432" s="3">
        <v>0</v>
      </c>
      <c r="I4432" s="3">
        <f t="shared" si="513"/>
        <v>21</v>
      </c>
      <c r="J4432" s="3">
        <f t="shared" si="514"/>
        <v>19</v>
      </c>
      <c r="K4432" s="3">
        <f t="shared" si="515"/>
        <v>2</v>
      </c>
      <c r="L4432" s="3" t="str">
        <f t="shared" si="516"/>
        <v>BOM</v>
      </c>
      <c r="M4432">
        <v>19</v>
      </c>
      <c r="N4432">
        <v>100</v>
      </c>
      <c r="O4432">
        <v>18.14516129032258</v>
      </c>
    </row>
    <row r="4433" spans="1:15" hidden="1" x14ac:dyDescent="0.25">
      <c r="A4433" s="5">
        <v>46157</v>
      </c>
      <c r="B4433" s="6" t="s">
        <v>50</v>
      </c>
      <c r="C4433" s="3" t="s">
        <v>20</v>
      </c>
      <c r="D4433" s="3">
        <v>24</v>
      </c>
      <c r="E4433" s="3">
        <v>21</v>
      </c>
      <c r="F4433">
        <v>20.350000000000001</v>
      </c>
      <c r="G4433" s="3">
        <v>2</v>
      </c>
      <c r="H4433" s="3">
        <v>0</v>
      </c>
      <c r="I4433" s="3">
        <f t="shared" si="513"/>
        <v>23</v>
      </c>
      <c r="J4433" s="3">
        <f t="shared" si="514"/>
        <v>19</v>
      </c>
      <c r="K4433" s="3">
        <f t="shared" si="515"/>
        <v>4</v>
      </c>
      <c r="L4433" s="3" t="str">
        <f t="shared" si="516"/>
        <v>BOM</v>
      </c>
      <c r="M4433">
        <v>24</v>
      </c>
      <c r="N4433">
        <v>93.26</v>
      </c>
      <c r="O4433">
        <v>19.93957703927493</v>
      </c>
    </row>
    <row r="4434" spans="1:15" hidden="1" x14ac:dyDescent="0.25">
      <c r="A4434" s="5">
        <v>46157</v>
      </c>
      <c r="B4434" s="6" t="s">
        <v>60</v>
      </c>
      <c r="C4434" s="3" t="s">
        <v>20</v>
      </c>
      <c r="D4434" s="3">
        <v>28</v>
      </c>
      <c r="E4434" s="3">
        <v>25</v>
      </c>
      <c r="F4434">
        <v>13.57</v>
      </c>
      <c r="G4434" s="3">
        <v>5</v>
      </c>
      <c r="H4434" s="3">
        <v>0</v>
      </c>
      <c r="I4434" s="3">
        <f t="shared" si="513"/>
        <v>30</v>
      </c>
      <c r="J4434" s="3">
        <f t="shared" si="514"/>
        <v>19</v>
      </c>
      <c r="K4434" s="3">
        <f t="shared" si="515"/>
        <v>11</v>
      </c>
      <c r="L4434" s="3" t="str">
        <f t="shared" si="516"/>
        <v>EXCELENTE</v>
      </c>
      <c r="M4434">
        <v>23</v>
      </c>
      <c r="N4434">
        <v>97.56</v>
      </c>
      <c r="O4434">
        <v>19.28783382789317</v>
      </c>
    </row>
    <row r="4435" spans="1:15" hidden="1" x14ac:dyDescent="0.25">
      <c r="A4435" s="5">
        <v>46157</v>
      </c>
      <c r="B4435" s="6" t="s">
        <v>62</v>
      </c>
      <c r="C4435" s="3" t="s">
        <v>20</v>
      </c>
      <c r="D4435" s="3">
        <v>18</v>
      </c>
      <c r="E4435" s="3">
        <v>17</v>
      </c>
      <c r="F4435">
        <v>35.31</v>
      </c>
      <c r="G4435" s="3">
        <v>3</v>
      </c>
      <c r="H4435" s="3">
        <v>0</v>
      </c>
      <c r="I4435" s="3">
        <f t="shared" si="513"/>
        <v>20</v>
      </c>
      <c r="J4435" s="3">
        <f t="shared" si="514"/>
        <v>19</v>
      </c>
      <c r="K4435" s="3">
        <f t="shared" si="515"/>
        <v>1</v>
      </c>
      <c r="L4435" s="3" t="str">
        <f t="shared" si="516"/>
        <v>BOM</v>
      </c>
      <c r="M4435">
        <v>14</v>
      </c>
      <c r="N4435">
        <v>100</v>
      </c>
      <c r="O4435">
        <v>16.97247706422019</v>
      </c>
    </row>
    <row r="4436" spans="1:15" hidden="1" x14ac:dyDescent="0.25">
      <c r="A4436" s="5">
        <v>46160</v>
      </c>
      <c r="B4436" s="6" t="s">
        <v>19</v>
      </c>
      <c r="C4436" s="3" t="s">
        <v>20</v>
      </c>
      <c r="D4436" s="3">
        <v>18</v>
      </c>
      <c r="E4436" s="3">
        <v>17</v>
      </c>
      <c r="F4436">
        <v>20.190000000000001</v>
      </c>
      <c r="G4436" s="3">
        <v>2</v>
      </c>
      <c r="H4436" s="3">
        <v>0</v>
      </c>
      <c r="I4436" s="3">
        <f t="shared" si="513"/>
        <v>19</v>
      </c>
      <c r="J4436" s="3">
        <f t="shared" si="514"/>
        <v>17</v>
      </c>
      <c r="K4436" s="3">
        <f t="shared" si="515"/>
        <v>2</v>
      </c>
      <c r="L4436" s="3" t="str">
        <f t="shared" si="516"/>
        <v>BOM</v>
      </c>
      <c r="M4436" s="3">
        <v>18</v>
      </c>
      <c r="N4436" s="3">
        <v>95.38</v>
      </c>
      <c r="O4436" s="3">
        <v>21.5962441314554</v>
      </c>
    </row>
    <row r="4437" spans="1:15" hidden="1" x14ac:dyDescent="0.25">
      <c r="A4437" s="5">
        <v>46160</v>
      </c>
      <c r="B4437" s="6" t="s">
        <v>27</v>
      </c>
      <c r="C4437" s="3" t="s">
        <v>20</v>
      </c>
      <c r="D4437" s="3">
        <v>22</v>
      </c>
      <c r="E4437" s="3">
        <v>21</v>
      </c>
      <c r="F4437">
        <v>20.04</v>
      </c>
      <c r="G4437" s="3">
        <v>3</v>
      </c>
      <c r="H4437" s="3">
        <v>0</v>
      </c>
      <c r="I4437" s="3">
        <f t="shared" si="513"/>
        <v>24</v>
      </c>
      <c r="J4437" s="3">
        <f t="shared" si="514"/>
        <v>17</v>
      </c>
      <c r="K4437" s="3">
        <f t="shared" si="515"/>
        <v>7</v>
      </c>
      <c r="L4437" s="3" t="str">
        <f t="shared" si="516"/>
        <v>EXCELENTE</v>
      </c>
      <c r="M4437">
        <v>22</v>
      </c>
      <c r="N4437">
        <v>96.88</v>
      </c>
      <c r="O4437">
        <v>19.526627218934909</v>
      </c>
    </row>
    <row r="4438" spans="1:15" hidden="1" x14ac:dyDescent="0.25">
      <c r="A4438" s="5">
        <v>46160</v>
      </c>
      <c r="B4438" s="6" t="s">
        <v>30</v>
      </c>
      <c r="C4438" s="3" t="s">
        <v>20</v>
      </c>
      <c r="D4438" s="3">
        <v>20</v>
      </c>
      <c r="E4438" s="3">
        <v>19</v>
      </c>
      <c r="F4438">
        <v>18.52</v>
      </c>
      <c r="G4438" s="3">
        <v>3</v>
      </c>
      <c r="H4438" s="3">
        <v>0</v>
      </c>
      <c r="I4438" s="3">
        <f t="shared" ref="I4438:I4469" si="517">E4438+G4438+H4438</f>
        <v>22</v>
      </c>
      <c r="J4438" s="3">
        <f t="shared" ref="J4438:J4465" si="518"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 t="shared" ref="K4438:K4469" si="519">I4438-J4438</f>
        <v>5</v>
      </c>
      <c r="L4438" s="3" t="str">
        <f t="shared" si="516"/>
        <v>BOM</v>
      </c>
      <c r="M4438">
        <v>18</v>
      </c>
      <c r="N4438">
        <v>100</v>
      </c>
      <c r="O4438">
        <v>18.14516129032258</v>
      </c>
    </row>
    <row r="4439" spans="1:15" hidden="1" x14ac:dyDescent="0.25">
      <c r="A4439" s="5">
        <v>46160</v>
      </c>
      <c r="B4439" s="6" t="s">
        <v>50</v>
      </c>
      <c r="C4439" s="3" t="s">
        <v>20</v>
      </c>
      <c r="D4439" s="3">
        <v>21</v>
      </c>
      <c r="E4439" s="3">
        <v>20</v>
      </c>
      <c r="F4439">
        <v>17.02</v>
      </c>
      <c r="G4439" s="3">
        <v>2</v>
      </c>
      <c r="H4439" s="3">
        <v>0</v>
      </c>
      <c r="I4439" s="3">
        <f t="shared" si="517"/>
        <v>22</v>
      </c>
      <c r="J4439" s="3">
        <f t="shared" si="518"/>
        <v>17</v>
      </c>
      <c r="K4439" s="3">
        <f t="shared" si="519"/>
        <v>5</v>
      </c>
      <c r="L4439" s="3" t="str">
        <f t="shared" si="516"/>
        <v>BOM</v>
      </c>
      <c r="M4439">
        <v>20</v>
      </c>
      <c r="N4439">
        <v>93.26</v>
      </c>
      <c r="O4439">
        <v>19.93957703927493</v>
      </c>
    </row>
    <row r="4440" spans="1:15" hidden="1" x14ac:dyDescent="0.25">
      <c r="A4440" s="5">
        <v>46160</v>
      </c>
      <c r="B4440" s="6" t="s">
        <v>60</v>
      </c>
      <c r="C4440" s="3" t="s">
        <v>20</v>
      </c>
      <c r="D4440" s="3">
        <v>28</v>
      </c>
      <c r="E4440" s="3">
        <v>25</v>
      </c>
      <c r="F4440">
        <v>14.02</v>
      </c>
      <c r="G4440" s="3">
        <v>1</v>
      </c>
      <c r="H4440" s="3">
        <v>0</v>
      </c>
      <c r="I4440" s="3">
        <f t="shared" si="517"/>
        <v>26</v>
      </c>
      <c r="J4440" s="3">
        <f t="shared" si="518"/>
        <v>17</v>
      </c>
      <c r="K4440" s="3">
        <f t="shared" si="519"/>
        <v>9</v>
      </c>
      <c r="L4440" s="3" t="str">
        <f t="shared" ref="L4440:L4471" si="520">IF(K4440&lt;-5,"CRÍTICO",IF(K4440&lt;0,"ATENÇÃO",IF(K4440&lt;=5,"BOM","EXCELENTE")))</f>
        <v>EXCELENTE</v>
      </c>
      <c r="M4440">
        <v>20</v>
      </c>
      <c r="N4440">
        <v>97.56</v>
      </c>
      <c r="O4440">
        <v>19.28783382789317</v>
      </c>
    </row>
    <row r="4441" spans="1:15" hidden="1" x14ac:dyDescent="0.25">
      <c r="A4441" s="5">
        <v>46160</v>
      </c>
      <c r="B4441" s="6" t="s">
        <v>62</v>
      </c>
      <c r="C4441" s="3" t="s">
        <v>20</v>
      </c>
      <c r="D4441" s="3">
        <v>23</v>
      </c>
      <c r="E4441" s="3">
        <v>19</v>
      </c>
      <c r="F4441">
        <v>23.58</v>
      </c>
      <c r="G4441" s="3">
        <v>3</v>
      </c>
      <c r="H4441" s="3">
        <v>0</v>
      </c>
      <c r="I4441" s="3">
        <f t="shared" si="517"/>
        <v>22</v>
      </c>
      <c r="J4441" s="3">
        <f t="shared" si="518"/>
        <v>17</v>
      </c>
      <c r="K4441" s="3">
        <f t="shared" si="519"/>
        <v>5</v>
      </c>
      <c r="L4441" s="3" t="str">
        <f t="shared" si="520"/>
        <v>BOM</v>
      </c>
      <c r="M4441">
        <v>18</v>
      </c>
      <c r="N4441">
        <v>100</v>
      </c>
      <c r="O4441">
        <v>16.97247706422019</v>
      </c>
    </row>
    <row r="4442" spans="1:15" hidden="1" x14ac:dyDescent="0.25">
      <c r="A4442" s="7">
        <v>46161</v>
      </c>
      <c r="B4442" s="8" t="s">
        <v>19</v>
      </c>
      <c r="C4442" s="9" t="s">
        <v>20</v>
      </c>
      <c r="D4442" s="3">
        <v>30</v>
      </c>
      <c r="E4442" s="3">
        <v>29</v>
      </c>
      <c r="F4442">
        <v>15.36</v>
      </c>
      <c r="G4442" s="3">
        <v>1</v>
      </c>
      <c r="H4442" s="3">
        <v>0</v>
      </c>
      <c r="I4442" s="3">
        <f t="shared" si="517"/>
        <v>30</v>
      </c>
      <c r="J4442" s="3">
        <f t="shared" si="518"/>
        <v>19</v>
      </c>
      <c r="K4442" s="3">
        <f t="shared" si="519"/>
        <v>11</v>
      </c>
      <c r="L4442" s="3" t="str">
        <f t="shared" si="520"/>
        <v>EXCELENTE</v>
      </c>
      <c r="M4442" s="3">
        <v>29</v>
      </c>
      <c r="N4442" s="3">
        <v>95.38</v>
      </c>
      <c r="O4442" s="3">
        <v>21.5962441314554</v>
      </c>
    </row>
    <row r="4443" spans="1:15" hidden="1" x14ac:dyDescent="0.25">
      <c r="A4443" s="7">
        <v>46161</v>
      </c>
      <c r="B4443" s="8" t="s">
        <v>27</v>
      </c>
      <c r="C4443" s="9" t="s">
        <v>20</v>
      </c>
      <c r="D4443" s="3">
        <v>26</v>
      </c>
      <c r="E4443" s="3">
        <v>25</v>
      </c>
      <c r="F4443">
        <v>15.02</v>
      </c>
      <c r="G4443" s="3">
        <v>1</v>
      </c>
      <c r="H4443" s="3">
        <v>0</v>
      </c>
      <c r="I4443" s="3">
        <f t="shared" si="517"/>
        <v>26</v>
      </c>
      <c r="J4443" s="3">
        <f t="shared" si="518"/>
        <v>19</v>
      </c>
      <c r="K4443" s="3">
        <f t="shared" si="519"/>
        <v>7</v>
      </c>
      <c r="L4443" s="3" t="str">
        <f t="shared" si="520"/>
        <v>EXCELENTE</v>
      </c>
      <c r="M4443">
        <v>19</v>
      </c>
      <c r="N4443">
        <v>96.88</v>
      </c>
      <c r="O4443">
        <v>19.526627218934909</v>
      </c>
    </row>
    <row r="4444" spans="1:15" hidden="1" x14ac:dyDescent="0.25">
      <c r="A4444" s="7">
        <v>46161</v>
      </c>
      <c r="B4444" s="8" t="s">
        <v>30</v>
      </c>
      <c r="C4444" s="9" t="s">
        <v>20</v>
      </c>
      <c r="D4444" s="3">
        <v>21</v>
      </c>
      <c r="E4444" s="3">
        <v>20</v>
      </c>
      <c r="F4444">
        <v>12.3</v>
      </c>
      <c r="G4444" s="3">
        <v>1</v>
      </c>
      <c r="H4444" s="3">
        <v>0</v>
      </c>
      <c r="I4444" s="3">
        <f t="shared" si="517"/>
        <v>21</v>
      </c>
      <c r="J4444" s="3">
        <f t="shared" si="518"/>
        <v>19</v>
      </c>
      <c r="K4444" s="3">
        <f t="shared" si="519"/>
        <v>2</v>
      </c>
      <c r="L4444" s="3" t="str">
        <f t="shared" si="520"/>
        <v>BOM</v>
      </c>
      <c r="M4444">
        <v>15</v>
      </c>
      <c r="N4444">
        <v>100</v>
      </c>
      <c r="O4444">
        <v>18.14516129032258</v>
      </c>
    </row>
    <row r="4445" spans="1:15" hidden="1" x14ac:dyDescent="0.25">
      <c r="A4445" s="7">
        <v>46161</v>
      </c>
      <c r="B4445" s="8" t="s">
        <v>50</v>
      </c>
      <c r="C4445" s="9" t="s">
        <v>20</v>
      </c>
      <c r="D4445" s="3">
        <v>18</v>
      </c>
      <c r="E4445" s="3">
        <v>17</v>
      </c>
      <c r="F4445">
        <v>25.09</v>
      </c>
      <c r="G4445" s="3">
        <v>2</v>
      </c>
      <c r="H4445" s="3">
        <v>0</v>
      </c>
      <c r="I4445" s="3">
        <f t="shared" si="517"/>
        <v>19</v>
      </c>
      <c r="J4445" s="3">
        <f t="shared" si="518"/>
        <v>19</v>
      </c>
      <c r="K4445" s="3">
        <f t="shared" si="519"/>
        <v>0</v>
      </c>
      <c r="L4445" s="3" t="str">
        <f t="shared" si="520"/>
        <v>BOM</v>
      </c>
      <c r="M4445">
        <v>18</v>
      </c>
      <c r="N4445">
        <v>93.26</v>
      </c>
      <c r="O4445">
        <v>19.93957703927493</v>
      </c>
    </row>
    <row r="4446" spans="1:15" hidden="1" x14ac:dyDescent="0.25">
      <c r="A4446" s="7">
        <v>46161</v>
      </c>
      <c r="B4446" s="8" t="s">
        <v>60</v>
      </c>
      <c r="C4446" s="9" t="s">
        <v>20</v>
      </c>
      <c r="D4446" s="3">
        <v>35</v>
      </c>
      <c r="E4446" s="3">
        <v>31</v>
      </c>
      <c r="F4446">
        <v>13.24</v>
      </c>
      <c r="G4446" s="3">
        <v>2</v>
      </c>
      <c r="H4446" s="3">
        <v>0</v>
      </c>
      <c r="I4446" s="3">
        <f t="shared" si="517"/>
        <v>33</v>
      </c>
      <c r="J4446" s="3">
        <f t="shared" si="518"/>
        <v>19</v>
      </c>
      <c r="K4446" s="3">
        <f t="shared" si="519"/>
        <v>14</v>
      </c>
      <c r="L4446" s="3" t="str">
        <f t="shared" si="520"/>
        <v>EXCELENTE</v>
      </c>
      <c r="M4446">
        <v>26</v>
      </c>
      <c r="N4446">
        <v>97.56</v>
      </c>
      <c r="O4446">
        <v>19.28783382789317</v>
      </c>
    </row>
    <row r="4447" spans="1:15" hidden="1" x14ac:dyDescent="0.25">
      <c r="A4447" s="7">
        <v>46161</v>
      </c>
      <c r="B4447" s="8" t="s">
        <v>62</v>
      </c>
      <c r="C4447" s="9" t="s">
        <v>20</v>
      </c>
      <c r="D4447" s="3">
        <v>18</v>
      </c>
      <c r="E4447" s="3">
        <v>18</v>
      </c>
      <c r="F4447">
        <v>25.39</v>
      </c>
      <c r="G4447" s="3">
        <v>0</v>
      </c>
      <c r="H4447" s="3">
        <v>0</v>
      </c>
      <c r="I4447" s="3">
        <f t="shared" si="517"/>
        <v>18</v>
      </c>
      <c r="J4447" s="3">
        <f t="shared" si="518"/>
        <v>19</v>
      </c>
      <c r="K4447" s="3">
        <f t="shared" si="519"/>
        <v>-1</v>
      </c>
      <c r="L4447" s="3" t="str">
        <f t="shared" si="520"/>
        <v>ATENÇÃO</v>
      </c>
      <c r="M4447">
        <v>17</v>
      </c>
      <c r="N4447">
        <v>100</v>
      </c>
      <c r="O4447">
        <v>16.97247706422019</v>
      </c>
    </row>
    <row r="4448" spans="1:15" hidden="1" x14ac:dyDescent="0.25">
      <c r="A4448" s="7">
        <v>46162</v>
      </c>
      <c r="B4448" s="8" t="s">
        <v>19</v>
      </c>
      <c r="C4448" s="9" t="s">
        <v>20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 t="shared" si="517"/>
        <v>26</v>
      </c>
      <c r="J4448" s="3">
        <f t="shared" si="518"/>
        <v>17</v>
      </c>
      <c r="K4448" s="3">
        <f t="shared" si="519"/>
        <v>9</v>
      </c>
      <c r="L4448" s="3" t="str">
        <f t="shared" ref="L4448:L4479" si="521">IF(K4448&lt;-5,"CRÍTICO",IF(K4448&lt;0,"ATENÇÃO",IF(K4448&lt;=5,"OPORTUNO","MUITO BOM")))</f>
        <v>MUITO BOM</v>
      </c>
      <c r="M4448" s="9">
        <v>26</v>
      </c>
      <c r="N4448" s="9">
        <v>95.38</v>
      </c>
      <c r="O4448" s="9">
        <v>21.5962441314554</v>
      </c>
    </row>
    <row r="4449" spans="1:15" hidden="1" x14ac:dyDescent="0.25">
      <c r="A4449" s="7">
        <v>46162</v>
      </c>
      <c r="B4449" s="8" t="s">
        <v>27</v>
      </c>
      <c r="C4449" s="9" t="s">
        <v>20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 t="shared" si="517"/>
        <v>24</v>
      </c>
      <c r="J4449" s="3">
        <f t="shared" si="518"/>
        <v>17</v>
      </c>
      <c r="K4449" s="3">
        <f t="shared" si="519"/>
        <v>7</v>
      </c>
      <c r="L4449" s="3" t="str">
        <f t="shared" si="521"/>
        <v>MUITO BOM</v>
      </c>
      <c r="M4449" s="9">
        <v>22</v>
      </c>
      <c r="N4449" s="9">
        <v>96.88</v>
      </c>
      <c r="O4449" s="9">
        <v>19.526627218934909</v>
      </c>
    </row>
    <row r="4450" spans="1:15" hidden="1" x14ac:dyDescent="0.25">
      <c r="A4450" s="7">
        <v>46162</v>
      </c>
      <c r="B4450" s="8" t="s">
        <v>30</v>
      </c>
      <c r="C4450" s="9" t="s">
        <v>20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 t="shared" si="517"/>
        <v>16</v>
      </c>
      <c r="J4450" s="3">
        <f t="shared" si="518"/>
        <v>17</v>
      </c>
      <c r="K4450" s="3">
        <f t="shared" si="519"/>
        <v>-1</v>
      </c>
      <c r="L4450" s="3" t="str">
        <f t="shared" si="521"/>
        <v>ATENÇÃO</v>
      </c>
      <c r="M4450" s="9">
        <v>13</v>
      </c>
      <c r="N4450" s="9">
        <v>100</v>
      </c>
      <c r="O4450" s="9">
        <v>18.14516129032258</v>
      </c>
    </row>
    <row r="4451" spans="1:15" hidden="1" x14ac:dyDescent="0.25">
      <c r="A4451" s="7">
        <v>46162</v>
      </c>
      <c r="B4451" s="8" t="s">
        <v>50</v>
      </c>
      <c r="C4451" s="9" t="s">
        <v>20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 t="shared" si="517"/>
        <v>18</v>
      </c>
      <c r="J4451" s="3">
        <f t="shared" si="518"/>
        <v>17</v>
      </c>
      <c r="K4451" s="3">
        <f t="shared" si="519"/>
        <v>1</v>
      </c>
      <c r="L4451" s="3" t="str">
        <f t="shared" si="521"/>
        <v>OPORTUNO</v>
      </c>
      <c r="M4451" s="9">
        <v>16</v>
      </c>
      <c r="N4451" s="9">
        <v>93.26</v>
      </c>
      <c r="O4451" s="9">
        <v>19.93957703927493</v>
      </c>
    </row>
    <row r="4452" spans="1:15" hidden="1" x14ac:dyDescent="0.25">
      <c r="A4452" s="7">
        <v>46162</v>
      </c>
      <c r="B4452" s="8" t="s">
        <v>60</v>
      </c>
      <c r="C4452" s="9" t="s">
        <v>20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 t="shared" si="517"/>
        <v>25</v>
      </c>
      <c r="J4452" s="3">
        <f t="shared" si="518"/>
        <v>17</v>
      </c>
      <c r="K4452" s="3">
        <f t="shared" si="519"/>
        <v>8</v>
      </c>
      <c r="L4452" s="3" t="str">
        <f t="shared" si="521"/>
        <v>MUITO BOM</v>
      </c>
      <c r="M4452" s="9">
        <v>18</v>
      </c>
      <c r="N4452" s="9">
        <v>97.56</v>
      </c>
      <c r="O4452" s="9">
        <v>19.28783382789317</v>
      </c>
    </row>
    <row r="4453" spans="1:15" hidden="1" x14ac:dyDescent="0.25">
      <c r="A4453" s="7">
        <v>46162</v>
      </c>
      <c r="B4453" s="8" t="s">
        <v>62</v>
      </c>
      <c r="C4453" s="9" t="s">
        <v>20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 t="shared" si="517"/>
        <v>18</v>
      </c>
      <c r="J4453" s="3">
        <f t="shared" si="518"/>
        <v>17</v>
      </c>
      <c r="K4453" s="3">
        <f t="shared" si="519"/>
        <v>1</v>
      </c>
      <c r="L4453" s="3" t="str">
        <f t="shared" si="521"/>
        <v>OPORTUNO</v>
      </c>
      <c r="M4453" s="9">
        <v>14</v>
      </c>
      <c r="N4453" s="9">
        <v>100</v>
      </c>
      <c r="O4453" s="9">
        <v>16.97247706422019</v>
      </c>
    </row>
    <row r="4454" spans="1:15" hidden="1" x14ac:dyDescent="0.25">
      <c r="A4454" s="5">
        <v>46163</v>
      </c>
      <c r="B4454" s="6" t="s">
        <v>19</v>
      </c>
      <c r="C4454" s="3" t="s">
        <v>20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 t="shared" si="517"/>
        <v>23</v>
      </c>
      <c r="J4454" s="3">
        <f t="shared" si="518"/>
        <v>15</v>
      </c>
      <c r="K4454" s="3">
        <f t="shared" si="519"/>
        <v>8</v>
      </c>
      <c r="L4454" s="3" t="str">
        <f t="shared" si="521"/>
        <v>MUITO BOM</v>
      </c>
      <c r="M4454" s="3">
        <v>21</v>
      </c>
      <c r="N4454" s="3">
        <v>95.38</v>
      </c>
      <c r="O4454" s="3">
        <v>21.5962441314554</v>
      </c>
    </row>
    <row r="4455" spans="1:15" hidden="1" x14ac:dyDescent="0.25">
      <c r="A4455" s="5">
        <v>46163</v>
      </c>
      <c r="B4455" s="6" t="s">
        <v>27</v>
      </c>
      <c r="C4455" s="3" t="s">
        <v>20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 t="shared" si="517"/>
        <v>22</v>
      </c>
      <c r="J4455" s="3">
        <f t="shared" si="518"/>
        <v>15</v>
      </c>
      <c r="K4455" s="3">
        <f t="shared" si="519"/>
        <v>7</v>
      </c>
      <c r="L4455" s="3" t="str">
        <f t="shared" si="521"/>
        <v>MUITO BOM</v>
      </c>
      <c r="M4455" s="3">
        <v>17</v>
      </c>
      <c r="N4455" s="3">
        <v>96.88</v>
      </c>
      <c r="O4455" s="3">
        <v>19.526627218934909</v>
      </c>
    </row>
    <row r="4456" spans="1:15" hidden="1" x14ac:dyDescent="0.25">
      <c r="A4456" s="5">
        <v>46163</v>
      </c>
      <c r="B4456" s="6" t="s">
        <v>30</v>
      </c>
      <c r="C4456" s="3" t="s">
        <v>20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 t="shared" si="517"/>
        <v>16</v>
      </c>
      <c r="J4456" s="3">
        <f t="shared" si="518"/>
        <v>15</v>
      </c>
      <c r="K4456" s="3">
        <f t="shared" si="519"/>
        <v>1</v>
      </c>
      <c r="L4456" s="3" t="str">
        <f t="shared" si="521"/>
        <v>OPORTUNO</v>
      </c>
      <c r="M4456" s="3">
        <v>14</v>
      </c>
      <c r="N4456" s="3">
        <v>100</v>
      </c>
      <c r="O4456" s="3">
        <v>18.14516129032258</v>
      </c>
    </row>
    <row r="4457" spans="1:15" hidden="1" x14ac:dyDescent="0.25">
      <c r="A4457" s="5">
        <v>46163</v>
      </c>
      <c r="B4457" s="6" t="s">
        <v>50</v>
      </c>
      <c r="C4457" s="3" t="s">
        <v>20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 t="shared" si="517"/>
        <v>20</v>
      </c>
      <c r="J4457" s="3">
        <f t="shared" si="518"/>
        <v>15</v>
      </c>
      <c r="K4457" s="3">
        <f t="shared" si="519"/>
        <v>5</v>
      </c>
      <c r="L4457" s="3" t="str">
        <f t="shared" si="521"/>
        <v>OPORTUNO</v>
      </c>
      <c r="M4457" s="3">
        <v>21</v>
      </c>
      <c r="N4457" s="3">
        <v>93.26</v>
      </c>
      <c r="O4457" s="3">
        <v>19.93957703927493</v>
      </c>
    </row>
    <row r="4458" spans="1:15" hidden="1" x14ac:dyDescent="0.25">
      <c r="A4458" s="5">
        <v>46163</v>
      </c>
      <c r="B4458" s="6" t="s">
        <v>60</v>
      </c>
      <c r="C4458" s="3" t="s">
        <v>20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 t="shared" si="517"/>
        <v>27</v>
      </c>
      <c r="J4458" s="3">
        <f t="shared" si="518"/>
        <v>15</v>
      </c>
      <c r="K4458" s="3">
        <f t="shared" si="519"/>
        <v>12</v>
      </c>
      <c r="L4458" s="3" t="str">
        <f t="shared" si="521"/>
        <v>MUITO BOM</v>
      </c>
      <c r="M4458" s="3">
        <v>20</v>
      </c>
      <c r="N4458" s="3">
        <v>97.56</v>
      </c>
      <c r="O4458" s="3">
        <v>19.28783382789317</v>
      </c>
    </row>
    <row r="4459" spans="1:15" hidden="1" x14ac:dyDescent="0.25">
      <c r="A4459" s="5">
        <v>46163</v>
      </c>
      <c r="B4459" s="6" t="s">
        <v>62</v>
      </c>
      <c r="C4459" s="3" t="s">
        <v>20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 t="shared" si="517"/>
        <v>12</v>
      </c>
      <c r="J4459" s="3">
        <f t="shared" si="518"/>
        <v>15</v>
      </c>
      <c r="K4459" s="3">
        <f t="shared" si="519"/>
        <v>-3</v>
      </c>
      <c r="L4459" s="3" t="str">
        <f t="shared" si="521"/>
        <v>ATENÇÃO</v>
      </c>
      <c r="M4459" s="3">
        <v>10</v>
      </c>
      <c r="N4459" s="3">
        <v>100</v>
      </c>
      <c r="O4459" s="3">
        <v>16.97247706422019</v>
      </c>
    </row>
    <row r="4460" spans="1:15" hidden="1" x14ac:dyDescent="0.25">
      <c r="A4460" s="10">
        <v>46164</v>
      </c>
      <c r="B4460" s="6" t="s">
        <v>19</v>
      </c>
      <c r="C4460" s="3" t="s">
        <v>20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 t="shared" si="517"/>
        <v>12</v>
      </c>
      <c r="J4460" s="3">
        <f t="shared" si="518"/>
        <v>13</v>
      </c>
      <c r="K4460" s="3">
        <f t="shared" si="519"/>
        <v>-1</v>
      </c>
      <c r="L4460" s="3" t="str">
        <f t="shared" si="521"/>
        <v>ATENÇÃO</v>
      </c>
      <c r="M4460" s="3">
        <v>10</v>
      </c>
      <c r="N4460" s="3">
        <v>95.38</v>
      </c>
      <c r="O4460" s="3">
        <v>21.5962441314554</v>
      </c>
    </row>
    <row r="4461" spans="1:15" hidden="1" x14ac:dyDescent="0.25">
      <c r="A4461" s="10">
        <v>46164</v>
      </c>
      <c r="B4461" s="6" t="s">
        <v>27</v>
      </c>
      <c r="C4461" s="3" t="s">
        <v>20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 t="shared" si="517"/>
        <v>14</v>
      </c>
      <c r="J4461" s="3">
        <f t="shared" si="518"/>
        <v>13</v>
      </c>
      <c r="K4461" s="3">
        <f t="shared" si="519"/>
        <v>1</v>
      </c>
      <c r="L4461" s="3" t="str">
        <f t="shared" si="521"/>
        <v>OPORTUNO</v>
      </c>
      <c r="M4461" s="3">
        <v>12</v>
      </c>
      <c r="N4461" s="3">
        <v>96.88</v>
      </c>
      <c r="O4461" s="3">
        <v>19.526627218934909</v>
      </c>
    </row>
    <row r="4462" spans="1:15" hidden="1" x14ac:dyDescent="0.25">
      <c r="A4462" s="10">
        <v>46164</v>
      </c>
      <c r="B4462" s="6" t="s">
        <v>30</v>
      </c>
      <c r="C4462" s="3" t="s">
        <v>20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 t="shared" si="517"/>
        <v>23</v>
      </c>
      <c r="J4462" s="3">
        <f t="shared" si="518"/>
        <v>13</v>
      </c>
      <c r="K4462" s="3">
        <f t="shared" si="519"/>
        <v>10</v>
      </c>
      <c r="L4462" s="3" t="str">
        <f t="shared" si="521"/>
        <v>MUITO BOM</v>
      </c>
      <c r="M4462" s="3">
        <v>18</v>
      </c>
      <c r="N4462" s="3">
        <v>100</v>
      </c>
      <c r="O4462" s="3">
        <v>18.14516129032258</v>
      </c>
    </row>
    <row r="4463" spans="1:15" hidden="1" x14ac:dyDescent="0.25">
      <c r="A4463" s="10">
        <v>46164</v>
      </c>
      <c r="B4463" s="6" t="s">
        <v>50</v>
      </c>
      <c r="C4463" s="3" t="s">
        <v>20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 t="shared" si="517"/>
        <v>8</v>
      </c>
      <c r="J4463" s="3">
        <f t="shared" si="518"/>
        <v>13</v>
      </c>
      <c r="K4463" s="3">
        <f t="shared" si="519"/>
        <v>-5</v>
      </c>
      <c r="L4463" s="3" t="str">
        <f t="shared" si="521"/>
        <v>ATENÇÃO</v>
      </c>
      <c r="M4463" s="3">
        <v>8</v>
      </c>
      <c r="N4463" s="3">
        <v>93.26</v>
      </c>
      <c r="O4463" s="3">
        <v>19.93957703927493</v>
      </c>
    </row>
    <row r="4464" spans="1:15" hidden="1" x14ac:dyDescent="0.25">
      <c r="A4464" s="10">
        <v>46164</v>
      </c>
      <c r="B4464" s="6" t="s">
        <v>60</v>
      </c>
      <c r="C4464" s="3" t="s">
        <v>20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 t="shared" si="517"/>
        <v>20</v>
      </c>
      <c r="J4464" s="3">
        <f t="shared" si="518"/>
        <v>13</v>
      </c>
      <c r="K4464" s="3">
        <f t="shared" si="519"/>
        <v>7</v>
      </c>
      <c r="L4464" s="3" t="str">
        <f t="shared" si="521"/>
        <v>MUITO BOM</v>
      </c>
      <c r="M4464" s="3">
        <v>12</v>
      </c>
      <c r="N4464" s="3">
        <v>97.56</v>
      </c>
      <c r="O4464" s="3">
        <v>19.28783382789317</v>
      </c>
    </row>
    <row r="4465" spans="1:15" hidden="1" x14ac:dyDescent="0.25">
      <c r="A4465" s="10">
        <v>46164</v>
      </c>
      <c r="B4465" s="6" t="s">
        <v>62</v>
      </c>
      <c r="C4465" s="3" t="s">
        <v>20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 t="shared" si="517"/>
        <v>17</v>
      </c>
      <c r="J4465" s="3">
        <f t="shared" si="518"/>
        <v>13</v>
      </c>
      <c r="K4465" s="3">
        <f t="shared" si="519"/>
        <v>4</v>
      </c>
      <c r="L4465" s="3" t="str">
        <f t="shared" si="521"/>
        <v>OPORTUNO</v>
      </c>
      <c r="M4465" s="3">
        <v>17</v>
      </c>
      <c r="N4465" s="3">
        <v>100</v>
      </c>
      <c r="O4465" s="3">
        <v>16.97247706422019</v>
      </c>
    </row>
    <row r="4466" spans="1:15" hidden="1" x14ac:dyDescent="0.25">
      <c r="A4466" s="11">
        <v>46167</v>
      </c>
      <c r="B4466" t="s">
        <v>19</v>
      </c>
      <c r="C4466" t="s">
        <v>20</v>
      </c>
      <c r="D4466">
        <v>25</v>
      </c>
      <c r="E4466">
        <v>24</v>
      </c>
      <c r="F4466">
        <v>15.25</v>
      </c>
      <c r="G4466">
        <v>0</v>
      </c>
      <c r="H4466">
        <v>0</v>
      </c>
      <c r="I4466" s="3">
        <v>0</v>
      </c>
      <c r="J4466" s="3">
        <v>0</v>
      </c>
      <c r="K4466" s="3">
        <v>0</v>
      </c>
      <c r="L4466" s="3" t="str">
        <f t="shared" si="521"/>
        <v>OPORTUNO</v>
      </c>
    </row>
    <row r="4467" spans="1:15" hidden="1" x14ac:dyDescent="0.25">
      <c r="A4467" s="11">
        <v>46167</v>
      </c>
      <c r="B4467" t="s">
        <v>27</v>
      </c>
      <c r="C4467" t="s">
        <v>20</v>
      </c>
      <c r="D4467">
        <v>11</v>
      </c>
      <c r="E4467">
        <v>11</v>
      </c>
      <c r="F4467">
        <v>15.57</v>
      </c>
      <c r="G4467">
        <v>0</v>
      </c>
      <c r="H4467">
        <v>0</v>
      </c>
      <c r="I4467" s="3">
        <v>0</v>
      </c>
      <c r="J4467" s="3">
        <v>0</v>
      </c>
      <c r="K4467" s="3">
        <v>0</v>
      </c>
      <c r="L4467" s="3" t="str">
        <f t="shared" si="521"/>
        <v>OPORTUNO</v>
      </c>
    </row>
    <row r="4468" spans="1:15" hidden="1" x14ac:dyDescent="0.25">
      <c r="A4468" s="11">
        <v>46167</v>
      </c>
      <c r="B4468" t="s">
        <v>30</v>
      </c>
      <c r="C4468" t="s">
        <v>20</v>
      </c>
      <c r="D4468">
        <v>28</v>
      </c>
      <c r="E4468">
        <v>25</v>
      </c>
      <c r="F4468">
        <v>13.29</v>
      </c>
      <c r="G4468">
        <v>0</v>
      </c>
      <c r="H4468">
        <v>0</v>
      </c>
      <c r="I4468" s="3">
        <v>0</v>
      </c>
      <c r="J4468" s="3">
        <v>0</v>
      </c>
      <c r="K4468" s="3">
        <v>0</v>
      </c>
      <c r="L4468" s="3" t="str">
        <f t="shared" si="521"/>
        <v>OPORTUNO</v>
      </c>
    </row>
    <row r="4469" spans="1:15" hidden="1" x14ac:dyDescent="0.25">
      <c r="A4469" s="11">
        <v>46167</v>
      </c>
      <c r="B4469" t="s">
        <v>50</v>
      </c>
      <c r="C4469" t="s">
        <v>20</v>
      </c>
      <c r="D4469">
        <v>14</v>
      </c>
      <c r="E4469">
        <v>14</v>
      </c>
      <c r="F4469">
        <v>28.35</v>
      </c>
      <c r="G4469">
        <v>0</v>
      </c>
      <c r="H4469">
        <v>0</v>
      </c>
      <c r="I4469" s="3">
        <v>0</v>
      </c>
      <c r="J4469" s="3">
        <v>0</v>
      </c>
      <c r="K4469" s="3">
        <v>0</v>
      </c>
      <c r="L4469" s="3" t="str">
        <f t="shared" si="521"/>
        <v>OPORTUNO</v>
      </c>
    </row>
    <row r="4470" spans="1:15" hidden="1" x14ac:dyDescent="0.25">
      <c r="A4470" s="11">
        <v>46167</v>
      </c>
      <c r="B4470" t="s">
        <v>60</v>
      </c>
      <c r="C4470" t="s">
        <v>20</v>
      </c>
      <c r="D4470">
        <v>28</v>
      </c>
      <c r="E4470">
        <v>26</v>
      </c>
      <c r="F4470">
        <v>15.04</v>
      </c>
      <c r="G4470">
        <v>0</v>
      </c>
      <c r="H4470">
        <v>0</v>
      </c>
      <c r="I4470" s="3">
        <v>0</v>
      </c>
      <c r="J4470" s="3">
        <v>0</v>
      </c>
      <c r="K4470" s="3">
        <v>0</v>
      </c>
      <c r="L4470" s="3" t="str">
        <f t="shared" si="521"/>
        <v>OPORTUNO</v>
      </c>
    </row>
    <row r="4471" spans="1:15" hidden="1" x14ac:dyDescent="0.25">
      <c r="A4471" s="11">
        <v>46167</v>
      </c>
      <c r="B4471" t="s">
        <v>62</v>
      </c>
      <c r="C4471" t="s">
        <v>20</v>
      </c>
      <c r="D4471">
        <v>17</v>
      </c>
      <c r="E4471">
        <v>17</v>
      </c>
      <c r="F4471">
        <v>25.3</v>
      </c>
      <c r="G4471">
        <v>0</v>
      </c>
      <c r="H4471">
        <v>0</v>
      </c>
      <c r="I4471" s="3">
        <v>0</v>
      </c>
      <c r="J4471" s="3">
        <v>0</v>
      </c>
      <c r="K4471" s="3">
        <v>0</v>
      </c>
      <c r="L4471" s="3" t="str">
        <f t="shared" si="521"/>
        <v>OPORTUNO</v>
      </c>
    </row>
    <row r="4472" spans="1:15" hidden="1" x14ac:dyDescent="0.25">
      <c r="A4472" s="11">
        <v>46140</v>
      </c>
      <c r="B4472" t="s">
        <v>36</v>
      </c>
      <c r="C4472" t="s">
        <v>20</v>
      </c>
      <c r="D4472">
        <v>9</v>
      </c>
      <c r="E4472">
        <v>5</v>
      </c>
      <c r="F4472">
        <v>10.29</v>
      </c>
      <c r="G4472">
        <v>0</v>
      </c>
      <c r="H4472">
        <v>0</v>
      </c>
      <c r="I4472" s="3">
        <f>E4472+G4472+H4472</f>
        <v>5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21</v>
      </c>
      <c r="K4472" s="3">
        <f>I4472-J4472</f>
        <v>-16</v>
      </c>
      <c r="L4472" s="3" t="str">
        <f t="shared" si="521"/>
        <v>CRÍTICO</v>
      </c>
      <c r="N4472">
        <v>99.28</v>
      </c>
      <c r="O4472">
        <v>27.689243027888441</v>
      </c>
    </row>
    <row r="4473" spans="1:15" hidden="1" x14ac:dyDescent="0.25">
      <c r="A4473" s="11">
        <v>46141</v>
      </c>
      <c r="B4473" t="s">
        <v>36</v>
      </c>
      <c r="C4473" t="s">
        <v>20</v>
      </c>
      <c r="D4473">
        <v>0</v>
      </c>
      <c r="E4473">
        <v>0</v>
      </c>
      <c r="F4473">
        <v>0</v>
      </c>
      <c r="G4473">
        <v>0</v>
      </c>
      <c r="H4473">
        <v>0</v>
      </c>
      <c r="I4473" s="3">
        <v>0</v>
      </c>
      <c r="J4473" s="3">
        <v>0</v>
      </c>
      <c r="K4473" s="3">
        <v>0</v>
      </c>
      <c r="L4473" s="3" t="str">
        <f t="shared" si="521"/>
        <v>OPORTUNO</v>
      </c>
      <c r="N4473">
        <v>99.28</v>
      </c>
      <c r="O4473">
        <v>27.689243027888441</v>
      </c>
    </row>
    <row r="4474" spans="1:15" hidden="1" x14ac:dyDescent="0.25">
      <c r="A4474" s="11">
        <v>46142</v>
      </c>
      <c r="B4474" t="s">
        <v>36</v>
      </c>
      <c r="C4474" t="s">
        <v>20</v>
      </c>
      <c r="D4474">
        <v>3</v>
      </c>
      <c r="E4474">
        <v>3</v>
      </c>
      <c r="F4474">
        <v>15.05</v>
      </c>
      <c r="G4474">
        <v>0</v>
      </c>
      <c r="H4474">
        <v>0</v>
      </c>
      <c r="I4474" s="3">
        <f>E4474+G4474+H4474</f>
        <v>3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20</v>
      </c>
      <c r="K4474" s="3">
        <f>I4474-J4474</f>
        <v>-17</v>
      </c>
      <c r="L4474" s="3" t="str">
        <f t="shared" si="521"/>
        <v>CRÍTICO</v>
      </c>
      <c r="N4474">
        <v>99.28</v>
      </c>
      <c r="O4474">
        <v>27.689243027888441</v>
      </c>
    </row>
    <row r="4475" spans="1:15" hidden="1" x14ac:dyDescent="0.25">
      <c r="A4475" s="5">
        <v>46146</v>
      </c>
      <c r="B4475" s="6" t="s">
        <v>36</v>
      </c>
      <c r="C4475" s="3" t="s">
        <v>20</v>
      </c>
      <c r="D4475" s="3">
        <v>24</v>
      </c>
      <c r="E4475" s="3">
        <v>20</v>
      </c>
      <c r="F4475" s="3">
        <v>21.45</v>
      </c>
      <c r="G4475" s="3">
        <v>7</v>
      </c>
      <c r="H4475" s="3">
        <v>0</v>
      </c>
      <c r="I4475" s="3">
        <f>E4475+G4475+H4475</f>
        <v>27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23</v>
      </c>
      <c r="K4475" s="3">
        <f>I4475-J4475</f>
        <v>4</v>
      </c>
      <c r="L4475" s="3" t="str">
        <f t="shared" si="521"/>
        <v>OPORTUNO</v>
      </c>
      <c r="M4475" s="9">
        <v>22</v>
      </c>
      <c r="N4475" s="9">
        <v>98.8</v>
      </c>
      <c r="O4475" s="9">
        <v>15.41353383458646</v>
      </c>
    </row>
    <row r="4476" spans="1:15" hidden="1" x14ac:dyDescent="0.25">
      <c r="A4476" s="5">
        <v>46147</v>
      </c>
      <c r="B4476" s="6" t="s">
        <v>36</v>
      </c>
      <c r="C4476" s="3" t="s">
        <v>20</v>
      </c>
      <c r="D4476" s="3">
        <v>13</v>
      </c>
      <c r="E4476" s="3">
        <v>12</v>
      </c>
      <c r="F4476" s="3">
        <v>17.149999999999999</v>
      </c>
      <c r="G4476" s="3">
        <v>9</v>
      </c>
      <c r="H4476" s="3">
        <v>0</v>
      </c>
      <c r="I4476" s="3">
        <f>E4476+G4476+H4476</f>
        <v>21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23</v>
      </c>
      <c r="K4476" s="3">
        <f>I4476-J4476</f>
        <v>-2</v>
      </c>
      <c r="L4476" s="3" t="str">
        <f t="shared" si="521"/>
        <v>ATENÇÃO</v>
      </c>
      <c r="M4476" s="3">
        <v>12</v>
      </c>
      <c r="N4476" s="3">
        <v>98.8</v>
      </c>
      <c r="O4476" s="3">
        <v>15.41353383458646</v>
      </c>
    </row>
    <row r="4477" spans="1:15" hidden="1" x14ac:dyDescent="0.25">
      <c r="A4477" s="5">
        <v>46148</v>
      </c>
      <c r="B4477" s="6" t="s">
        <v>36</v>
      </c>
      <c r="C4477" s="3" t="s">
        <v>20</v>
      </c>
      <c r="D4477" s="3">
        <v>23</v>
      </c>
      <c r="E4477" s="3">
        <v>22</v>
      </c>
      <c r="F4477">
        <v>20.21</v>
      </c>
      <c r="G4477" s="3">
        <v>9</v>
      </c>
      <c r="H4477" s="3">
        <v>0</v>
      </c>
      <c r="I4477" s="3">
        <f>E4477+G4477+H4477</f>
        <v>31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23</v>
      </c>
      <c r="K4477" s="3">
        <f>I4477-J4477</f>
        <v>8</v>
      </c>
      <c r="L4477" s="3" t="str">
        <f t="shared" si="521"/>
        <v>MUITO BOM</v>
      </c>
      <c r="M4477" s="3">
        <v>24</v>
      </c>
      <c r="N4477" s="3">
        <v>98.8</v>
      </c>
      <c r="O4477" s="3">
        <v>15.41353383458646</v>
      </c>
    </row>
    <row r="4478" spans="1:15" hidden="1" x14ac:dyDescent="0.25">
      <c r="A4478" s="5">
        <v>46149</v>
      </c>
      <c r="B4478" s="6" t="s">
        <v>36</v>
      </c>
      <c r="C4478" s="3" t="s">
        <v>20</v>
      </c>
      <c r="D4478" s="3">
        <v>26</v>
      </c>
      <c r="E4478" s="3">
        <v>26</v>
      </c>
      <c r="F4478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 t="shared" si="521"/>
        <v>MUITO BOM</v>
      </c>
      <c r="M4478" s="3">
        <v>24</v>
      </c>
      <c r="N4478" s="3">
        <v>98.8</v>
      </c>
      <c r="O4478" s="3">
        <v>15.41353383458646</v>
      </c>
    </row>
    <row r="4479" spans="1:15" hidden="1" x14ac:dyDescent="0.25">
      <c r="A4479" s="5">
        <v>46150</v>
      </c>
      <c r="B4479" s="6" t="s">
        <v>36</v>
      </c>
      <c r="C4479" s="3" t="s">
        <v>20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 t="shared" si="521"/>
        <v>OPORTUNO</v>
      </c>
      <c r="M4479" s="9">
        <v>0</v>
      </c>
      <c r="N4479" s="9">
        <v>98.8</v>
      </c>
      <c r="O4479" s="9">
        <v>15.41353383458646</v>
      </c>
    </row>
    <row r="4480" spans="1:15" hidden="1" x14ac:dyDescent="0.25">
      <c r="A4480" s="5">
        <v>46153</v>
      </c>
      <c r="B4480" s="6" t="s">
        <v>36</v>
      </c>
      <c r="C4480" s="3" t="s">
        <v>20</v>
      </c>
      <c r="D4480" s="3">
        <v>25</v>
      </c>
      <c r="E4480" s="3">
        <v>22</v>
      </c>
      <c r="F4480">
        <v>17.3</v>
      </c>
      <c r="G4480" s="3">
        <v>5</v>
      </c>
      <c r="H4480" s="3">
        <v>0</v>
      </c>
      <c r="I4480" s="3">
        <f t="shared" ref="I4480:I4504" si="522">E4480+G4480+H4480</f>
        <v>27</v>
      </c>
      <c r="J4480" s="3">
        <f t="shared" ref="J4480:J4504" si="523"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 t="shared" ref="K4480:K4504" si="524">I4480-J4480</f>
        <v>7</v>
      </c>
      <c r="L4480" s="3" t="str">
        <f t="shared" ref="L4480:L4511" si="525">IF(K4480&lt;-5,"CRÍTICO",IF(K4480&lt;0,"ATENÇÃO",IF(K4480&lt;=5,"OPORTUNO","MUITO BOM")))</f>
        <v>MUITO BOM</v>
      </c>
      <c r="M4480">
        <v>23</v>
      </c>
      <c r="N4480">
        <v>98.8</v>
      </c>
      <c r="O4480">
        <v>15.41353383458646</v>
      </c>
    </row>
    <row r="4481" spans="1:15" hidden="1" x14ac:dyDescent="0.25">
      <c r="A4481" s="5">
        <v>46154</v>
      </c>
      <c r="B4481" s="6" t="s">
        <v>36</v>
      </c>
      <c r="C4481" s="3" t="s">
        <v>20</v>
      </c>
      <c r="D4481" s="3">
        <v>17</v>
      </c>
      <c r="E4481" s="3">
        <v>17</v>
      </c>
      <c r="F4481">
        <v>17.170000000000002</v>
      </c>
      <c r="H4481" s="3">
        <v>7</v>
      </c>
      <c r="I4481" s="3">
        <f t="shared" si="522"/>
        <v>24</v>
      </c>
      <c r="J4481" s="3">
        <f t="shared" si="523"/>
        <v>21</v>
      </c>
      <c r="K4481" s="3">
        <f t="shared" si="524"/>
        <v>3</v>
      </c>
      <c r="L4481" s="3" t="str">
        <f t="shared" si="525"/>
        <v>OPORTUNO</v>
      </c>
      <c r="M4481">
        <v>24</v>
      </c>
      <c r="N4481">
        <v>98.8</v>
      </c>
      <c r="O4481">
        <v>15.41353383458646</v>
      </c>
    </row>
    <row r="4482" spans="1:15" hidden="1" x14ac:dyDescent="0.25">
      <c r="A4482" s="5">
        <v>46155</v>
      </c>
      <c r="B4482" s="6" t="s">
        <v>36</v>
      </c>
      <c r="C4482" s="3" t="s">
        <v>20</v>
      </c>
      <c r="D4482" s="3">
        <v>20</v>
      </c>
      <c r="E4482" s="3">
        <v>16</v>
      </c>
      <c r="F4482">
        <v>23.26</v>
      </c>
      <c r="G4482" s="3">
        <v>11</v>
      </c>
      <c r="H4482" s="3">
        <v>7</v>
      </c>
      <c r="I4482" s="3">
        <f t="shared" si="522"/>
        <v>34</v>
      </c>
      <c r="J4482" s="3">
        <f t="shared" si="523"/>
        <v>19</v>
      </c>
      <c r="K4482" s="3">
        <f t="shared" si="524"/>
        <v>15</v>
      </c>
      <c r="L4482" s="3" t="str">
        <f t="shared" si="525"/>
        <v>MUITO BOM</v>
      </c>
      <c r="M4482">
        <v>18</v>
      </c>
      <c r="N4482">
        <v>98.8</v>
      </c>
      <c r="O4482">
        <v>15.41353383458646</v>
      </c>
    </row>
    <row r="4483" spans="1:15" hidden="1" x14ac:dyDescent="0.25">
      <c r="A4483" s="5">
        <v>46156</v>
      </c>
      <c r="B4483" s="6" t="s">
        <v>36</v>
      </c>
      <c r="C4483" s="3" t="s">
        <v>20</v>
      </c>
      <c r="D4483" s="3">
        <v>19</v>
      </c>
      <c r="E4483" s="3">
        <v>18</v>
      </c>
      <c r="F4483">
        <v>22.29</v>
      </c>
      <c r="G4483" s="3">
        <v>0</v>
      </c>
      <c r="H4483" s="3">
        <v>5</v>
      </c>
      <c r="I4483" s="3">
        <f t="shared" si="522"/>
        <v>23</v>
      </c>
      <c r="J4483" s="3">
        <f t="shared" si="523"/>
        <v>19</v>
      </c>
      <c r="K4483" s="3">
        <f t="shared" si="524"/>
        <v>4</v>
      </c>
      <c r="L4483" s="3" t="str">
        <f t="shared" si="525"/>
        <v>OPORTUNO</v>
      </c>
      <c r="M4483">
        <v>23</v>
      </c>
      <c r="N4483">
        <v>98.8</v>
      </c>
      <c r="O4483">
        <v>15.41353383458646</v>
      </c>
    </row>
    <row r="4484" spans="1:15" hidden="1" x14ac:dyDescent="0.25">
      <c r="A4484" s="5">
        <v>46157</v>
      </c>
      <c r="B4484" s="6" t="s">
        <v>36</v>
      </c>
      <c r="C4484" s="3" t="s">
        <v>20</v>
      </c>
      <c r="D4484" s="3">
        <v>19</v>
      </c>
      <c r="E4484" s="3">
        <v>16</v>
      </c>
      <c r="F4484">
        <v>16.559999999999999</v>
      </c>
      <c r="G4484" s="3">
        <v>6</v>
      </c>
      <c r="H4484" s="3">
        <v>1</v>
      </c>
      <c r="I4484" s="3">
        <f t="shared" si="522"/>
        <v>23</v>
      </c>
      <c r="J4484" s="3">
        <f t="shared" si="523"/>
        <v>19</v>
      </c>
      <c r="K4484" s="3">
        <f t="shared" si="524"/>
        <v>4</v>
      </c>
      <c r="L4484" s="3" t="str">
        <f t="shared" si="525"/>
        <v>OPORTUNO</v>
      </c>
      <c r="M4484">
        <v>15</v>
      </c>
      <c r="N4484">
        <v>98.8</v>
      </c>
      <c r="O4484">
        <v>15.41353383458646</v>
      </c>
    </row>
    <row r="4485" spans="1:15" hidden="1" x14ac:dyDescent="0.25">
      <c r="A4485" s="5">
        <v>46160</v>
      </c>
      <c r="B4485" s="6" t="s">
        <v>36</v>
      </c>
      <c r="C4485" s="3" t="s">
        <v>20</v>
      </c>
      <c r="D4485" s="3">
        <v>21</v>
      </c>
      <c r="E4485" s="3">
        <v>18</v>
      </c>
      <c r="F4485">
        <v>20.22</v>
      </c>
      <c r="G4485" s="3">
        <v>6</v>
      </c>
      <c r="H4485" s="3">
        <v>1</v>
      </c>
      <c r="I4485" s="3">
        <f t="shared" si="522"/>
        <v>25</v>
      </c>
      <c r="J4485" s="3">
        <f t="shared" si="523"/>
        <v>17</v>
      </c>
      <c r="K4485" s="3">
        <f t="shared" si="524"/>
        <v>8</v>
      </c>
      <c r="L4485" s="3" t="str">
        <f t="shared" si="525"/>
        <v>MUITO BOM</v>
      </c>
      <c r="M4485">
        <v>18</v>
      </c>
      <c r="N4485">
        <v>98.8</v>
      </c>
      <c r="O4485">
        <v>15.41353383458646</v>
      </c>
    </row>
    <row r="4486" spans="1:15" hidden="1" x14ac:dyDescent="0.25">
      <c r="A4486" s="7">
        <v>46161</v>
      </c>
      <c r="B4486" s="8" t="s">
        <v>36</v>
      </c>
      <c r="C4486" s="9" t="s">
        <v>20</v>
      </c>
      <c r="D4486" s="3">
        <v>19</v>
      </c>
      <c r="E4486" s="3">
        <v>18</v>
      </c>
      <c r="F4486">
        <v>21.58</v>
      </c>
      <c r="G4486" s="3">
        <v>3</v>
      </c>
      <c r="H4486" s="3">
        <v>3</v>
      </c>
      <c r="I4486" s="3">
        <f t="shared" si="522"/>
        <v>24</v>
      </c>
      <c r="J4486" s="3">
        <f t="shared" si="523"/>
        <v>19</v>
      </c>
      <c r="K4486" s="3">
        <f t="shared" si="524"/>
        <v>5</v>
      </c>
      <c r="L4486" s="3" t="str">
        <f t="shared" si="525"/>
        <v>OPORTUNO</v>
      </c>
      <c r="M4486">
        <v>20</v>
      </c>
      <c r="N4486">
        <v>98.8</v>
      </c>
      <c r="O4486">
        <v>15.41353383458646</v>
      </c>
    </row>
    <row r="4487" spans="1:15" hidden="1" x14ac:dyDescent="0.25">
      <c r="A4487" s="7">
        <v>46162</v>
      </c>
      <c r="B4487" s="8" t="s">
        <v>36</v>
      </c>
      <c r="C4487" s="9" t="s">
        <v>20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 t="shared" si="522"/>
        <v>27</v>
      </c>
      <c r="J4487" s="3">
        <f t="shared" si="523"/>
        <v>17</v>
      </c>
      <c r="K4487" s="3">
        <f t="shared" si="524"/>
        <v>10</v>
      </c>
      <c r="L4487" s="3" t="str">
        <f t="shared" si="525"/>
        <v>MUITO BOM</v>
      </c>
      <c r="M4487" s="9">
        <v>21</v>
      </c>
      <c r="N4487" s="9">
        <v>98.8</v>
      </c>
      <c r="O4487" s="9">
        <v>15.41353383458646</v>
      </c>
    </row>
    <row r="4488" spans="1:15" hidden="1" x14ac:dyDescent="0.25">
      <c r="A4488" s="5">
        <v>46163</v>
      </c>
      <c r="B4488" s="6" t="s">
        <v>36</v>
      </c>
      <c r="C4488" s="3" t="s">
        <v>20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 t="shared" si="522"/>
        <v>18</v>
      </c>
      <c r="J4488" s="3">
        <f t="shared" si="523"/>
        <v>15</v>
      </c>
      <c r="K4488" s="3">
        <f t="shared" si="524"/>
        <v>3</v>
      </c>
      <c r="L4488" s="3" t="str">
        <f t="shared" si="525"/>
        <v>OPORTUNO</v>
      </c>
      <c r="M4488" s="3">
        <v>15</v>
      </c>
      <c r="N4488" s="3">
        <v>98.8</v>
      </c>
      <c r="O4488" s="3">
        <v>15.41353383458646</v>
      </c>
    </row>
    <row r="4489" spans="1:15" hidden="1" x14ac:dyDescent="0.25">
      <c r="A4489" s="11">
        <v>46140</v>
      </c>
      <c r="B4489" t="s">
        <v>19</v>
      </c>
      <c r="C4489" t="s">
        <v>20</v>
      </c>
      <c r="D4489">
        <v>26</v>
      </c>
      <c r="E4489">
        <v>24</v>
      </c>
      <c r="F4489">
        <v>19.190000000000001</v>
      </c>
      <c r="G4489">
        <v>0</v>
      </c>
      <c r="H4489">
        <v>0</v>
      </c>
      <c r="I4489" s="3">
        <f t="shared" si="522"/>
        <v>24</v>
      </c>
      <c r="J4489" s="3">
        <f t="shared" si="523"/>
        <v>21</v>
      </c>
      <c r="K4489" s="3">
        <f t="shared" si="524"/>
        <v>3</v>
      </c>
      <c r="L4489" s="3" t="str">
        <f t="shared" si="525"/>
        <v>OPORTUNO</v>
      </c>
      <c r="N4489">
        <v>99.32</v>
      </c>
      <c r="O4489">
        <v>30.45186640471513</v>
      </c>
    </row>
    <row r="4490" spans="1:15" hidden="1" x14ac:dyDescent="0.25">
      <c r="A4490" s="11">
        <v>46140</v>
      </c>
      <c r="B4490" t="s">
        <v>27</v>
      </c>
      <c r="C4490" t="s">
        <v>20</v>
      </c>
      <c r="D4490">
        <v>27</v>
      </c>
      <c r="E4490">
        <v>26</v>
      </c>
      <c r="F4490">
        <v>15.4</v>
      </c>
      <c r="G4490">
        <v>0</v>
      </c>
      <c r="H4490">
        <v>0</v>
      </c>
      <c r="I4490" s="3">
        <f t="shared" si="522"/>
        <v>26</v>
      </c>
      <c r="J4490" s="3">
        <f t="shared" si="523"/>
        <v>21</v>
      </c>
      <c r="K4490" s="3">
        <f t="shared" si="524"/>
        <v>5</v>
      </c>
      <c r="L4490" s="3" t="str">
        <f t="shared" si="525"/>
        <v>OPORTUNO</v>
      </c>
      <c r="N4490">
        <v>96.3</v>
      </c>
      <c r="O4490">
        <v>31.980906921241051</v>
      </c>
    </row>
    <row r="4491" spans="1:15" hidden="1" x14ac:dyDescent="0.25">
      <c r="A4491" s="11">
        <v>46140</v>
      </c>
      <c r="B4491" t="s">
        <v>30</v>
      </c>
      <c r="C4491" t="s">
        <v>20</v>
      </c>
      <c r="D4491">
        <v>17</v>
      </c>
      <c r="E4491">
        <v>17</v>
      </c>
      <c r="F4491">
        <v>17.23</v>
      </c>
      <c r="G4491">
        <v>0</v>
      </c>
      <c r="H4491">
        <v>0</v>
      </c>
      <c r="I4491" s="3">
        <f t="shared" si="522"/>
        <v>17</v>
      </c>
      <c r="J4491" s="3">
        <f t="shared" si="523"/>
        <v>21</v>
      </c>
      <c r="K4491" s="3">
        <f t="shared" si="524"/>
        <v>-4</v>
      </c>
      <c r="L4491" s="3" t="str">
        <f t="shared" si="525"/>
        <v>ATENÇÃO</v>
      </c>
      <c r="N4491">
        <v>100</v>
      </c>
      <c r="O4491">
        <v>36.231884057971023</v>
      </c>
    </row>
    <row r="4492" spans="1:15" hidden="1" x14ac:dyDescent="0.25">
      <c r="A4492" s="10">
        <v>46164</v>
      </c>
      <c r="B4492" s="6" t="s">
        <v>36</v>
      </c>
      <c r="C4492" s="3" t="s">
        <v>20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 t="shared" si="522"/>
        <v>7</v>
      </c>
      <c r="J4492" s="3">
        <f t="shared" si="523"/>
        <v>13</v>
      </c>
      <c r="K4492" s="3">
        <f t="shared" si="524"/>
        <v>-6</v>
      </c>
      <c r="L4492" s="3" t="str">
        <f t="shared" si="525"/>
        <v>CRÍTICO</v>
      </c>
      <c r="M4492" s="3">
        <v>7</v>
      </c>
      <c r="N4492" s="3">
        <v>98.8</v>
      </c>
      <c r="O4492" s="3">
        <v>15.41353383458646</v>
      </c>
    </row>
    <row r="4493" spans="1:15" hidden="1" x14ac:dyDescent="0.25">
      <c r="A4493" s="11">
        <v>46140</v>
      </c>
      <c r="B4493" t="s">
        <v>50</v>
      </c>
      <c r="C4493" t="s">
        <v>20</v>
      </c>
      <c r="D4493">
        <v>20</v>
      </c>
      <c r="E4493">
        <v>19</v>
      </c>
      <c r="F4493">
        <v>20.09</v>
      </c>
      <c r="G4493">
        <v>0</v>
      </c>
      <c r="H4493">
        <v>0</v>
      </c>
      <c r="I4493" s="3">
        <f t="shared" si="522"/>
        <v>19</v>
      </c>
      <c r="J4493" s="3">
        <f t="shared" si="523"/>
        <v>21</v>
      </c>
      <c r="K4493" s="3">
        <f t="shared" si="524"/>
        <v>-2</v>
      </c>
      <c r="L4493" s="3" t="str">
        <f t="shared" si="525"/>
        <v>ATENÇÃO</v>
      </c>
      <c r="N4493">
        <v>97.37</v>
      </c>
      <c r="O4493">
        <v>25.76530612244898</v>
      </c>
    </row>
    <row r="4494" spans="1:15" hidden="1" x14ac:dyDescent="0.25">
      <c r="A4494" s="11">
        <v>46140</v>
      </c>
      <c r="B4494" t="s">
        <v>60</v>
      </c>
      <c r="C4494" t="s">
        <v>20</v>
      </c>
      <c r="D4494">
        <v>36</v>
      </c>
      <c r="E4494">
        <v>30</v>
      </c>
      <c r="F4494">
        <v>13.43</v>
      </c>
      <c r="G4494">
        <v>0</v>
      </c>
      <c r="H4494">
        <v>0</v>
      </c>
      <c r="I4494" s="3">
        <f t="shared" si="522"/>
        <v>30</v>
      </c>
      <c r="J4494" s="3">
        <f t="shared" si="523"/>
        <v>21</v>
      </c>
      <c r="K4494" s="3">
        <f t="shared" si="524"/>
        <v>9</v>
      </c>
      <c r="L4494" s="3" t="str">
        <f t="shared" si="525"/>
        <v>MUITO BOM</v>
      </c>
      <c r="N4494">
        <v>98.32</v>
      </c>
      <c r="O4494">
        <v>26.618705035971221</v>
      </c>
    </row>
    <row r="4495" spans="1:15" hidden="1" x14ac:dyDescent="0.25">
      <c r="A4495" s="11">
        <v>46140</v>
      </c>
      <c r="B4495" t="s">
        <v>62</v>
      </c>
      <c r="C4495" t="s">
        <v>20</v>
      </c>
      <c r="D4495">
        <v>25</v>
      </c>
      <c r="E4495">
        <v>25</v>
      </c>
      <c r="F4495">
        <v>20.47</v>
      </c>
      <c r="G4495">
        <v>0</v>
      </c>
      <c r="H4495">
        <v>0</v>
      </c>
      <c r="I4495" s="3">
        <f t="shared" si="522"/>
        <v>25</v>
      </c>
      <c r="J4495" s="3">
        <f t="shared" si="523"/>
        <v>21</v>
      </c>
      <c r="K4495" s="3">
        <f t="shared" si="524"/>
        <v>4</v>
      </c>
      <c r="L4495" s="3" t="str">
        <f t="shared" si="525"/>
        <v>OPORTUNO</v>
      </c>
      <c r="N4495">
        <v>100</v>
      </c>
      <c r="O4495">
        <v>26.027397260273968</v>
      </c>
    </row>
    <row r="4496" spans="1:15" hidden="1" x14ac:dyDescent="0.25">
      <c r="A4496" s="11">
        <v>46141</v>
      </c>
      <c r="B4496" t="s">
        <v>19</v>
      </c>
      <c r="C4496" t="s">
        <v>20</v>
      </c>
      <c r="D4496">
        <v>33</v>
      </c>
      <c r="E4496">
        <v>29</v>
      </c>
      <c r="F4496">
        <v>20.25</v>
      </c>
      <c r="G4496">
        <v>0</v>
      </c>
      <c r="H4496">
        <v>0</v>
      </c>
      <c r="I4496" s="3">
        <f t="shared" si="522"/>
        <v>29</v>
      </c>
      <c r="J4496" s="3">
        <f t="shared" si="523"/>
        <v>22</v>
      </c>
      <c r="K4496" s="3">
        <f t="shared" si="524"/>
        <v>7</v>
      </c>
      <c r="L4496" s="3" t="str">
        <f t="shared" si="525"/>
        <v>MUITO BOM</v>
      </c>
      <c r="N4496">
        <v>99.32</v>
      </c>
      <c r="O4496">
        <v>30.45186640471513</v>
      </c>
    </row>
    <row r="4497" spans="1:15" hidden="1" x14ac:dyDescent="0.25">
      <c r="A4497" s="11">
        <v>46141</v>
      </c>
      <c r="B4497" t="s">
        <v>27</v>
      </c>
      <c r="C4497" t="s">
        <v>20</v>
      </c>
      <c r="D4497">
        <v>51</v>
      </c>
      <c r="E4497">
        <v>13</v>
      </c>
      <c r="F4497">
        <v>3.26</v>
      </c>
      <c r="G4497">
        <v>0</v>
      </c>
      <c r="H4497">
        <v>0</v>
      </c>
      <c r="I4497" s="3">
        <f t="shared" si="522"/>
        <v>13</v>
      </c>
      <c r="J4497" s="3">
        <f t="shared" si="523"/>
        <v>22</v>
      </c>
      <c r="K4497" s="3">
        <f t="shared" si="524"/>
        <v>-9</v>
      </c>
      <c r="L4497" s="3" t="str">
        <f t="shared" si="525"/>
        <v>CRÍTICO</v>
      </c>
      <c r="N4497">
        <v>96.3</v>
      </c>
      <c r="O4497">
        <v>31.980906921241051</v>
      </c>
    </row>
    <row r="4498" spans="1:15" hidden="1" x14ac:dyDescent="0.25">
      <c r="A4498" s="11">
        <v>46141</v>
      </c>
      <c r="B4498" t="s">
        <v>30</v>
      </c>
      <c r="C4498" t="s">
        <v>20</v>
      </c>
      <c r="D4498">
        <v>29</v>
      </c>
      <c r="E4498">
        <v>28</v>
      </c>
      <c r="F4498">
        <v>18.510000000000002</v>
      </c>
      <c r="G4498">
        <v>0</v>
      </c>
      <c r="H4498">
        <v>0</v>
      </c>
      <c r="I4498" s="3">
        <f t="shared" si="522"/>
        <v>28</v>
      </c>
      <c r="J4498" s="3">
        <f t="shared" si="523"/>
        <v>22</v>
      </c>
      <c r="K4498" s="3">
        <f t="shared" si="524"/>
        <v>6</v>
      </c>
      <c r="L4498" s="3" t="str">
        <f t="shared" si="525"/>
        <v>MUITO BOM</v>
      </c>
      <c r="N4498">
        <v>100</v>
      </c>
      <c r="O4498">
        <v>36.231884057971023</v>
      </c>
    </row>
    <row r="4499" spans="1:15" hidden="1" x14ac:dyDescent="0.25">
      <c r="A4499" s="11">
        <v>46141</v>
      </c>
      <c r="B4499" t="s">
        <v>50</v>
      </c>
      <c r="C4499" t="s">
        <v>20</v>
      </c>
      <c r="D4499">
        <v>20</v>
      </c>
      <c r="E4499">
        <v>18</v>
      </c>
      <c r="F4499">
        <v>20.37</v>
      </c>
      <c r="G4499">
        <v>0</v>
      </c>
      <c r="H4499">
        <v>0</v>
      </c>
      <c r="I4499" s="3">
        <f t="shared" si="522"/>
        <v>18</v>
      </c>
      <c r="J4499" s="3">
        <f t="shared" si="523"/>
        <v>22</v>
      </c>
      <c r="K4499" s="3">
        <f t="shared" si="524"/>
        <v>-4</v>
      </c>
      <c r="L4499" s="3" t="str">
        <f t="shared" si="525"/>
        <v>ATENÇÃO</v>
      </c>
      <c r="N4499">
        <v>97.37</v>
      </c>
      <c r="O4499">
        <v>25.76530612244898</v>
      </c>
    </row>
    <row r="4500" spans="1:15" hidden="1" x14ac:dyDescent="0.25">
      <c r="A4500" s="11">
        <v>46141</v>
      </c>
      <c r="B4500" t="s">
        <v>60</v>
      </c>
      <c r="C4500" t="s">
        <v>20</v>
      </c>
      <c r="D4500">
        <v>32</v>
      </c>
      <c r="E4500">
        <v>28</v>
      </c>
      <c r="F4500">
        <v>13.21</v>
      </c>
      <c r="G4500">
        <v>0</v>
      </c>
      <c r="H4500">
        <v>0</v>
      </c>
      <c r="I4500" s="3">
        <f t="shared" si="522"/>
        <v>28</v>
      </c>
      <c r="J4500" s="3">
        <f t="shared" si="523"/>
        <v>22</v>
      </c>
      <c r="K4500" s="3">
        <f t="shared" si="524"/>
        <v>6</v>
      </c>
      <c r="L4500" s="3" t="str">
        <f t="shared" si="525"/>
        <v>MUITO BOM</v>
      </c>
      <c r="N4500">
        <v>98.32</v>
      </c>
      <c r="O4500">
        <v>26.618705035971221</v>
      </c>
    </row>
    <row r="4501" spans="1:15" hidden="1" x14ac:dyDescent="0.25">
      <c r="A4501" s="11">
        <v>46141</v>
      </c>
      <c r="B4501" t="s">
        <v>62</v>
      </c>
      <c r="C4501" t="s">
        <v>20</v>
      </c>
      <c r="D4501">
        <v>15</v>
      </c>
      <c r="E4501">
        <v>14</v>
      </c>
      <c r="F4501">
        <v>23.58</v>
      </c>
      <c r="G4501">
        <v>0</v>
      </c>
      <c r="H4501">
        <v>0</v>
      </c>
      <c r="I4501" s="3">
        <f t="shared" si="522"/>
        <v>14</v>
      </c>
      <c r="J4501" s="3">
        <f t="shared" si="523"/>
        <v>22</v>
      </c>
      <c r="K4501" s="3">
        <f t="shared" si="524"/>
        <v>-8</v>
      </c>
      <c r="L4501" s="3" t="str">
        <f t="shared" si="525"/>
        <v>CRÍTICO</v>
      </c>
      <c r="N4501">
        <v>100</v>
      </c>
      <c r="O4501">
        <v>26.027397260273968</v>
      </c>
    </row>
    <row r="4502" spans="1:15" hidden="1" x14ac:dyDescent="0.25">
      <c r="A4502" s="11">
        <v>46142</v>
      </c>
      <c r="B4502" t="s">
        <v>19</v>
      </c>
      <c r="C4502" t="s">
        <v>20</v>
      </c>
      <c r="D4502">
        <v>26</v>
      </c>
      <c r="E4502">
        <v>24</v>
      </c>
      <c r="F4502">
        <v>18.239999999999998</v>
      </c>
      <c r="G4502">
        <v>0</v>
      </c>
      <c r="H4502">
        <v>0</v>
      </c>
      <c r="I4502" s="3">
        <f t="shared" si="522"/>
        <v>24</v>
      </c>
      <c r="J4502" s="3">
        <f t="shared" si="523"/>
        <v>20</v>
      </c>
      <c r="K4502" s="3">
        <f t="shared" si="524"/>
        <v>4</v>
      </c>
      <c r="L4502" s="3" t="str">
        <f t="shared" si="525"/>
        <v>OPORTUNO</v>
      </c>
      <c r="N4502">
        <v>99.32</v>
      </c>
      <c r="O4502">
        <v>30.45186640471513</v>
      </c>
    </row>
    <row r="4503" spans="1:15" hidden="1" x14ac:dyDescent="0.25">
      <c r="A4503" s="11">
        <v>46142</v>
      </c>
      <c r="B4503" t="s">
        <v>27</v>
      </c>
      <c r="C4503" t="s">
        <v>20</v>
      </c>
      <c r="D4503">
        <v>23</v>
      </c>
      <c r="E4503">
        <v>23</v>
      </c>
      <c r="F4503">
        <v>25.3</v>
      </c>
      <c r="G4503">
        <v>0</v>
      </c>
      <c r="H4503">
        <v>0</v>
      </c>
      <c r="I4503" s="3">
        <f t="shared" si="522"/>
        <v>23</v>
      </c>
      <c r="J4503" s="3">
        <f t="shared" si="523"/>
        <v>20</v>
      </c>
      <c r="K4503" s="3">
        <f t="shared" si="524"/>
        <v>3</v>
      </c>
      <c r="L4503" s="3" t="str">
        <f t="shared" si="525"/>
        <v>OPORTUNO</v>
      </c>
      <c r="N4503">
        <v>96.3</v>
      </c>
      <c r="O4503">
        <v>31.980906921241051</v>
      </c>
    </row>
    <row r="4504" spans="1:15" hidden="1" x14ac:dyDescent="0.25">
      <c r="A4504" s="11">
        <v>46142</v>
      </c>
      <c r="B4504" t="s">
        <v>30</v>
      </c>
      <c r="C4504" t="s">
        <v>20</v>
      </c>
      <c r="D4504">
        <v>23</v>
      </c>
      <c r="E4504">
        <v>23</v>
      </c>
      <c r="F4504">
        <v>20.21</v>
      </c>
      <c r="G4504">
        <v>0</v>
      </c>
      <c r="H4504">
        <v>0</v>
      </c>
      <c r="I4504" s="3">
        <f t="shared" si="522"/>
        <v>23</v>
      </c>
      <c r="J4504" s="3">
        <f t="shared" si="523"/>
        <v>20</v>
      </c>
      <c r="K4504" s="3">
        <f t="shared" si="524"/>
        <v>3</v>
      </c>
      <c r="L4504" s="3" t="str">
        <f t="shared" si="525"/>
        <v>OPORTUNO</v>
      </c>
      <c r="N4504">
        <v>100</v>
      </c>
      <c r="O4504">
        <v>36.231884057971023</v>
      </c>
    </row>
    <row r="4505" spans="1:15" hidden="1" x14ac:dyDescent="0.25">
      <c r="A4505" s="11">
        <v>46167</v>
      </c>
      <c r="B4505" t="s">
        <v>36</v>
      </c>
      <c r="C4505" t="s">
        <v>20</v>
      </c>
      <c r="D4505">
        <v>25</v>
      </c>
      <c r="E4505">
        <v>25</v>
      </c>
      <c r="F4505">
        <v>12.33</v>
      </c>
      <c r="G4505">
        <v>0</v>
      </c>
      <c r="H4505">
        <v>0</v>
      </c>
      <c r="I4505" s="3">
        <v>0</v>
      </c>
      <c r="J4505" s="3">
        <v>0</v>
      </c>
      <c r="K4505" s="3">
        <v>0</v>
      </c>
      <c r="L4505" s="3" t="str">
        <f t="shared" si="525"/>
        <v>OPORTUNO</v>
      </c>
    </row>
    <row r="4506" spans="1:15" hidden="1" x14ac:dyDescent="0.25">
      <c r="A4506" s="11">
        <v>46142</v>
      </c>
      <c r="B4506" t="s">
        <v>50</v>
      </c>
      <c r="C4506" t="s">
        <v>20</v>
      </c>
      <c r="D4506">
        <v>30</v>
      </c>
      <c r="E4506">
        <v>28</v>
      </c>
      <c r="F4506">
        <v>16.54</v>
      </c>
      <c r="G4506">
        <v>0</v>
      </c>
      <c r="H4506">
        <v>0</v>
      </c>
      <c r="I4506" s="3">
        <f>E4506+G4506+H4506</f>
        <v>28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20</v>
      </c>
      <c r="K4506" s="3">
        <f>I4506-J4506</f>
        <v>8</v>
      </c>
      <c r="L4506" s="3" t="str">
        <f t="shared" si="525"/>
        <v>MUITO BOM</v>
      </c>
      <c r="N4506">
        <v>97.37</v>
      </c>
      <c r="O4506">
        <v>25.76530612244898</v>
      </c>
    </row>
    <row r="4507" spans="1:15" hidden="1" x14ac:dyDescent="0.25">
      <c r="A4507" s="11">
        <v>46142</v>
      </c>
      <c r="B4507" t="s">
        <v>60</v>
      </c>
      <c r="C4507" t="s">
        <v>20</v>
      </c>
      <c r="D4507">
        <v>27</v>
      </c>
      <c r="E4507">
        <v>24</v>
      </c>
      <c r="F4507">
        <v>15.08</v>
      </c>
      <c r="G4507">
        <v>0</v>
      </c>
      <c r="H4507">
        <v>0</v>
      </c>
      <c r="I4507" s="3">
        <f>E4507+G4507+H4507</f>
        <v>24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20</v>
      </c>
      <c r="K4507" s="3">
        <f>I4507-J4507</f>
        <v>4</v>
      </c>
      <c r="L4507" s="3" t="str">
        <f t="shared" si="525"/>
        <v>OPORTUNO</v>
      </c>
      <c r="N4507">
        <v>98.32</v>
      </c>
      <c r="O4507">
        <v>26.618705035971221</v>
      </c>
    </row>
    <row r="4508" spans="1:15" hidden="1" x14ac:dyDescent="0.25">
      <c r="A4508" s="11">
        <v>46142</v>
      </c>
      <c r="B4508" t="s">
        <v>62</v>
      </c>
      <c r="C4508" t="s">
        <v>20</v>
      </c>
      <c r="D4508">
        <v>10</v>
      </c>
      <c r="E4508">
        <v>10</v>
      </c>
      <c r="F4508">
        <v>23.27</v>
      </c>
      <c r="G4508">
        <v>0</v>
      </c>
      <c r="H4508">
        <v>0</v>
      </c>
      <c r="I4508" s="3">
        <f>E4508+G4508+H4508</f>
        <v>10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20</v>
      </c>
      <c r="K4508" s="3">
        <f>I4508-J4508</f>
        <v>-10</v>
      </c>
      <c r="L4508" s="3" t="str">
        <f t="shared" si="525"/>
        <v>CRÍTICO</v>
      </c>
      <c r="N4508">
        <v>100</v>
      </c>
      <c r="O4508">
        <v>26.027397260273968</v>
      </c>
    </row>
    <row r="4509" spans="1:15" hidden="1" x14ac:dyDescent="0.25">
      <c r="A4509" s="11">
        <v>46168</v>
      </c>
      <c r="B4509" t="s">
        <v>19</v>
      </c>
      <c r="C4509" t="s">
        <v>20</v>
      </c>
      <c r="D4509">
        <v>24</v>
      </c>
      <c r="E4509">
        <v>22</v>
      </c>
      <c r="F4509">
        <v>18.55</v>
      </c>
      <c r="G4509">
        <v>1</v>
      </c>
    </row>
    <row r="4510" spans="1:15" hidden="1" x14ac:dyDescent="0.25">
      <c r="A4510" s="11">
        <v>46168</v>
      </c>
      <c r="B4510" t="s">
        <v>27</v>
      </c>
      <c r="C4510" t="s">
        <v>20</v>
      </c>
      <c r="D4510">
        <v>28</v>
      </c>
      <c r="E4510">
        <v>26</v>
      </c>
      <c r="F4510">
        <v>15.35</v>
      </c>
      <c r="G4510">
        <v>2</v>
      </c>
    </row>
    <row r="4511" spans="1:15" hidden="1" x14ac:dyDescent="0.25">
      <c r="A4511" s="11">
        <v>46168</v>
      </c>
      <c r="B4511" t="s">
        <v>30</v>
      </c>
      <c r="C4511" t="s">
        <v>20</v>
      </c>
      <c r="D4511">
        <v>20</v>
      </c>
      <c r="E4511">
        <v>17</v>
      </c>
      <c r="F4511">
        <v>16.54</v>
      </c>
      <c r="G4511">
        <v>0</v>
      </c>
    </row>
    <row r="4512" spans="1:15" hidden="1" x14ac:dyDescent="0.25">
      <c r="A4512" s="11">
        <v>46168</v>
      </c>
      <c r="B4512" t="s">
        <v>50</v>
      </c>
      <c r="C4512" t="s">
        <v>20</v>
      </c>
      <c r="D4512">
        <v>28</v>
      </c>
      <c r="E4512">
        <v>27</v>
      </c>
      <c r="F4512">
        <v>16.45</v>
      </c>
      <c r="G4512">
        <v>1</v>
      </c>
    </row>
    <row r="4513" spans="1:7" hidden="1" x14ac:dyDescent="0.25">
      <c r="A4513" s="11">
        <v>46168</v>
      </c>
      <c r="B4513" t="s">
        <v>60</v>
      </c>
      <c r="C4513" t="s">
        <v>20</v>
      </c>
      <c r="D4513">
        <v>29</v>
      </c>
      <c r="E4513">
        <v>26</v>
      </c>
      <c r="F4513">
        <v>15.57</v>
      </c>
      <c r="G4513">
        <v>4</v>
      </c>
    </row>
    <row r="4514" spans="1:7" hidden="1" x14ac:dyDescent="0.25">
      <c r="A4514" s="11">
        <v>46168</v>
      </c>
      <c r="B4514" t="s">
        <v>62</v>
      </c>
      <c r="C4514" t="s">
        <v>20</v>
      </c>
      <c r="D4514">
        <v>15</v>
      </c>
      <c r="E4514">
        <v>15</v>
      </c>
      <c r="F4514">
        <v>37</v>
      </c>
      <c r="G4514">
        <v>0</v>
      </c>
    </row>
    <row r="4515" spans="1:7" hidden="1" x14ac:dyDescent="0.25">
      <c r="A4515" s="11">
        <v>46168</v>
      </c>
      <c r="B4515" t="s">
        <v>36</v>
      </c>
      <c r="C4515" t="s">
        <v>20</v>
      </c>
      <c r="D4515">
        <v>20</v>
      </c>
      <c r="E4515">
        <v>20</v>
      </c>
      <c r="F4515">
        <v>21.49</v>
      </c>
      <c r="G4515">
        <v>2</v>
      </c>
    </row>
  </sheetData>
  <autoFilter ref="A1:O4515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>
      <filters>
        <filter val="Técnico III"/>
      </filters>
    </filterColumn>
    <sortState xmlns:xlrd2="http://schemas.microsoft.com/office/spreadsheetml/2017/richdata2" ref="A237:O543">
      <sortCondition ref="B1:B4515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15</v>
      </c>
      <c r="B2" t="s">
        <v>69</v>
      </c>
      <c r="C2" t="s">
        <v>15</v>
      </c>
    </row>
    <row r="3" spans="1:4" x14ac:dyDescent="0.25">
      <c r="A3" t="s">
        <v>17</v>
      </c>
      <c r="B3" t="s">
        <v>70</v>
      </c>
      <c r="C3" t="s">
        <v>17</v>
      </c>
    </row>
    <row r="4" spans="1:4" x14ac:dyDescent="0.25">
      <c r="A4" t="s">
        <v>19</v>
      </c>
      <c r="B4" t="s">
        <v>71</v>
      </c>
      <c r="C4" t="s">
        <v>19</v>
      </c>
    </row>
    <row r="5" spans="1:4" x14ac:dyDescent="0.25">
      <c r="A5" t="s">
        <v>21</v>
      </c>
      <c r="B5" t="s">
        <v>72</v>
      </c>
      <c r="C5" t="s">
        <v>21</v>
      </c>
    </row>
    <row r="6" spans="1:4" x14ac:dyDescent="0.25">
      <c r="A6" t="s">
        <v>22</v>
      </c>
      <c r="B6" t="s">
        <v>73</v>
      </c>
      <c r="C6" t="s">
        <v>22</v>
      </c>
    </row>
    <row r="7" spans="1:4" x14ac:dyDescent="0.25">
      <c r="A7" t="s">
        <v>24</v>
      </c>
      <c r="B7" t="s">
        <v>74</v>
      </c>
      <c r="C7" t="s">
        <v>75</v>
      </c>
    </row>
    <row r="8" spans="1:4" x14ac:dyDescent="0.25">
      <c r="A8" t="s">
        <v>25</v>
      </c>
      <c r="B8" t="s">
        <v>76</v>
      </c>
      <c r="C8" t="s">
        <v>25</v>
      </c>
    </row>
    <row r="9" spans="1:4" x14ac:dyDescent="0.25">
      <c r="A9" t="s">
        <v>26</v>
      </c>
      <c r="B9" t="s">
        <v>77</v>
      </c>
      <c r="C9" t="s">
        <v>26</v>
      </c>
    </row>
    <row r="10" spans="1:4" x14ac:dyDescent="0.25">
      <c r="A10" t="s">
        <v>27</v>
      </c>
      <c r="B10" t="s">
        <v>78</v>
      </c>
      <c r="C10" t="s">
        <v>27</v>
      </c>
    </row>
    <row r="11" spans="1:4" x14ac:dyDescent="0.25">
      <c r="A11" t="s">
        <v>28</v>
      </c>
      <c r="B11" t="s">
        <v>79</v>
      </c>
      <c r="C11" t="s">
        <v>28</v>
      </c>
    </row>
    <row r="12" spans="1:4" x14ac:dyDescent="0.25">
      <c r="A12" t="s">
        <v>29</v>
      </c>
      <c r="B12" t="s">
        <v>80</v>
      </c>
      <c r="C12" t="s">
        <v>29</v>
      </c>
    </row>
    <row r="13" spans="1:4" x14ac:dyDescent="0.25">
      <c r="A13" t="s">
        <v>30</v>
      </c>
      <c r="B13" t="s">
        <v>81</v>
      </c>
      <c r="C13" t="s">
        <v>30</v>
      </c>
    </row>
    <row r="14" spans="1:4" x14ac:dyDescent="0.25">
      <c r="A14" t="s">
        <v>31</v>
      </c>
      <c r="B14" t="s">
        <v>82</v>
      </c>
      <c r="C14" t="s">
        <v>31</v>
      </c>
    </row>
    <row r="15" spans="1:4" x14ac:dyDescent="0.25">
      <c r="A15" t="s">
        <v>32</v>
      </c>
      <c r="B15" t="s">
        <v>83</v>
      </c>
      <c r="C15" t="s">
        <v>32</v>
      </c>
    </row>
    <row r="16" spans="1:4" x14ac:dyDescent="0.25">
      <c r="A16" t="s">
        <v>33</v>
      </c>
      <c r="B16" t="s">
        <v>84</v>
      </c>
      <c r="C16" t="s">
        <v>85</v>
      </c>
    </row>
    <row r="17" spans="1:3" x14ac:dyDescent="0.25">
      <c r="A17" t="s">
        <v>34</v>
      </c>
      <c r="B17" t="s">
        <v>86</v>
      </c>
      <c r="C17" t="s">
        <v>34</v>
      </c>
    </row>
    <row r="18" spans="1:3" x14ac:dyDescent="0.25">
      <c r="A18" t="s">
        <v>35</v>
      </c>
      <c r="B18" t="s">
        <v>87</v>
      </c>
      <c r="C18" t="s">
        <v>35</v>
      </c>
    </row>
    <row r="19" spans="1:3" x14ac:dyDescent="0.25">
      <c r="A19" t="s">
        <v>64</v>
      </c>
      <c r="B19" t="s">
        <v>88</v>
      </c>
      <c r="C19" t="s">
        <v>89</v>
      </c>
    </row>
    <row r="20" spans="1:3" x14ac:dyDescent="0.25">
      <c r="A20" t="s">
        <v>36</v>
      </c>
      <c r="B20" t="s">
        <v>90</v>
      </c>
      <c r="C20" t="s">
        <v>36</v>
      </c>
    </row>
    <row r="21" spans="1:3" x14ac:dyDescent="0.25">
      <c r="A21" t="s">
        <v>37</v>
      </c>
      <c r="B21" t="s">
        <v>91</v>
      </c>
      <c r="C21" t="s">
        <v>37</v>
      </c>
    </row>
    <row r="22" spans="1:3" x14ac:dyDescent="0.25">
      <c r="A22" t="s">
        <v>38</v>
      </c>
      <c r="B22" t="s">
        <v>92</v>
      </c>
      <c r="C22" t="s">
        <v>38</v>
      </c>
    </row>
    <row r="23" spans="1:3" x14ac:dyDescent="0.25">
      <c r="A23" t="s">
        <v>39</v>
      </c>
      <c r="B23" t="s">
        <v>93</v>
      </c>
      <c r="C23" t="s">
        <v>39</v>
      </c>
    </row>
    <row r="24" spans="1:3" x14ac:dyDescent="0.25">
      <c r="A24" t="s">
        <v>40</v>
      </c>
      <c r="B24" t="s">
        <v>94</v>
      </c>
      <c r="C24" t="s">
        <v>40</v>
      </c>
    </row>
    <row r="25" spans="1:3" x14ac:dyDescent="0.25">
      <c r="A25" t="s">
        <v>41</v>
      </c>
      <c r="B25" t="s">
        <v>95</v>
      </c>
      <c r="C25" t="s">
        <v>96</v>
      </c>
    </row>
    <row r="26" spans="1:3" x14ac:dyDescent="0.25">
      <c r="A26" t="s">
        <v>42</v>
      </c>
      <c r="B26" t="s">
        <v>97</v>
      </c>
      <c r="C26" t="s">
        <v>42</v>
      </c>
    </row>
    <row r="27" spans="1:3" x14ac:dyDescent="0.25">
      <c r="A27" t="s">
        <v>44</v>
      </c>
      <c r="B27" t="s">
        <v>98</v>
      </c>
      <c r="C27" t="s">
        <v>44</v>
      </c>
    </row>
    <row r="28" spans="1:3" x14ac:dyDescent="0.25">
      <c r="A28" t="s">
        <v>46</v>
      </c>
      <c r="B28" t="s">
        <v>99</v>
      </c>
      <c r="C28" t="s">
        <v>46</v>
      </c>
    </row>
    <row r="29" spans="1:3" x14ac:dyDescent="0.25">
      <c r="A29" t="s">
        <v>45</v>
      </c>
      <c r="B29" t="s">
        <v>100</v>
      </c>
      <c r="C29" t="s">
        <v>45</v>
      </c>
    </row>
    <row r="30" spans="1:3" x14ac:dyDescent="0.25">
      <c r="A30" t="s">
        <v>47</v>
      </c>
      <c r="B30" t="s">
        <v>101</v>
      </c>
      <c r="C30" t="s">
        <v>47</v>
      </c>
    </row>
    <row r="31" spans="1:3" x14ac:dyDescent="0.25">
      <c r="A31" t="s">
        <v>48</v>
      </c>
      <c r="B31" t="s">
        <v>102</v>
      </c>
      <c r="C31" t="s">
        <v>48</v>
      </c>
    </row>
    <row r="32" spans="1:3" x14ac:dyDescent="0.25">
      <c r="A32" t="s">
        <v>49</v>
      </c>
      <c r="B32" t="s">
        <v>103</v>
      </c>
      <c r="C32" t="s">
        <v>49</v>
      </c>
    </row>
    <row r="33" spans="1:3" x14ac:dyDescent="0.25">
      <c r="A33" t="s">
        <v>50</v>
      </c>
      <c r="B33" t="s">
        <v>104</v>
      </c>
      <c r="C33" t="s">
        <v>105</v>
      </c>
    </row>
    <row r="34" spans="1:3" x14ac:dyDescent="0.25">
      <c r="A34" t="s">
        <v>51</v>
      </c>
      <c r="B34" t="s">
        <v>106</v>
      </c>
      <c r="C34" t="s">
        <v>51</v>
      </c>
    </row>
    <row r="35" spans="1:3" x14ac:dyDescent="0.25">
      <c r="A35" t="s">
        <v>52</v>
      </c>
      <c r="B35" t="s">
        <v>107</v>
      </c>
      <c r="C35" t="s">
        <v>52</v>
      </c>
    </row>
    <row r="36" spans="1:3" x14ac:dyDescent="0.25">
      <c r="A36" t="s">
        <v>53</v>
      </c>
      <c r="B36" t="s">
        <v>108</v>
      </c>
      <c r="C36" t="s">
        <v>109</v>
      </c>
    </row>
    <row r="37" spans="1:3" x14ac:dyDescent="0.25">
      <c r="A37" t="s">
        <v>54</v>
      </c>
      <c r="B37" t="s">
        <v>110</v>
      </c>
      <c r="C37" t="s">
        <v>111</v>
      </c>
    </row>
    <row r="38" spans="1:3" x14ac:dyDescent="0.25">
      <c r="A38" t="s">
        <v>55</v>
      </c>
      <c r="B38" t="s">
        <v>55</v>
      </c>
      <c r="C38" t="s">
        <v>112</v>
      </c>
    </row>
    <row r="39" spans="1:3" x14ac:dyDescent="0.25">
      <c r="A39" t="s">
        <v>56</v>
      </c>
      <c r="B39" t="s">
        <v>113</v>
      </c>
      <c r="C39" t="s">
        <v>56</v>
      </c>
    </row>
    <row r="40" spans="1:3" x14ac:dyDescent="0.25">
      <c r="A40" t="s">
        <v>57</v>
      </c>
      <c r="B40" t="s">
        <v>114</v>
      </c>
      <c r="C40" t="s">
        <v>115</v>
      </c>
    </row>
    <row r="41" spans="1:3" x14ac:dyDescent="0.25">
      <c r="A41" t="s">
        <v>58</v>
      </c>
      <c r="B41" t="s">
        <v>116</v>
      </c>
      <c r="C41" t="s">
        <v>58</v>
      </c>
    </row>
    <row r="42" spans="1:3" x14ac:dyDescent="0.25">
      <c r="A42" t="s">
        <v>59</v>
      </c>
      <c r="B42" t="s">
        <v>117</v>
      </c>
      <c r="C42" t="s">
        <v>59</v>
      </c>
    </row>
    <row r="43" spans="1:3" x14ac:dyDescent="0.25">
      <c r="A43" t="s">
        <v>60</v>
      </c>
      <c r="B43" t="s">
        <v>118</v>
      </c>
      <c r="C43" t="s">
        <v>119</v>
      </c>
    </row>
    <row r="44" spans="1:3" x14ac:dyDescent="0.25">
      <c r="A44" t="s">
        <v>61</v>
      </c>
      <c r="B44" t="s">
        <v>120</v>
      </c>
      <c r="C44" t="s">
        <v>61</v>
      </c>
    </row>
    <row r="45" spans="1:3" x14ac:dyDescent="0.25">
      <c r="A45" t="s">
        <v>62</v>
      </c>
      <c r="B45" t="s">
        <v>121</v>
      </c>
      <c r="C45" t="s">
        <v>62</v>
      </c>
    </row>
    <row r="46" spans="1:3" x14ac:dyDescent="0.25">
      <c r="A46" t="s">
        <v>63</v>
      </c>
      <c r="B46" t="s">
        <v>122</v>
      </c>
      <c r="C46" t="s">
        <v>63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2026-05-27T16:42:13Z</dcterms:modified>
</cp:coreProperties>
</file>
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'Produtividade'!$A$1:$O$620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620"/>
  <sheetViews>
    <sheetView tabSelected="1" zoomScale="85" zoomScaleNormal="85" workbookViewId="0">
      <selection activeCell="E1" sqref="E1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IF(C2="Técnico III","35",IF(C2="Técnico II","28",IF(C2="Técnico I","23",IF(C2="JR","20",IF(C2="Estágio","10",)))))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98.81999999999999</v>
      </c>
      <c r="O2" s="9" t="n">
        <v>18.33333333333333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IF(C4="Técnico III","35",IF(C4="Técnico II","28",IF(C4="Técnico I","23",IF(C4="JR","20",IF(C4="Estágio","10",)))))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95.04000000000001</v>
      </c>
      <c r="O4" s="9" t="n">
        <v>19.95192307692308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IF(C5="Técnico III","35",IF(C5="Técnico II","28",IF(C5="Técnico I","23",IF(C5="JR","20",IF(C5="Estágio","10",)))))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96.15000000000001</v>
      </c>
      <c r="O5" s="9" t="n">
        <v>17.4496644295302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IF(C6="Técnico III","35",IF(C6="Técnico II","28",IF(C6="Técnico I","23",IF(C6="JR","20",IF(C6="Estágio","10",)))))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99.04000000000001</v>
      </c>
      <c r="O6" s="9" t="n">
        <v>16.93121693121693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IF(C7="Técnico III","35",IF(C7="Técnico II","28",IF(C7="Técnico I","23",IF(C7="JR","20",IF(C7="Estágio","10",)))))</f>
        <v/>
      </c>
      <c r="K7" s="3">
        <f>I7-J7</f>
        <v/>
      </c>
      <c r="L7" s="3">
        <f>IF(K7&lt;-5,"CRÍTICO",IF(K7&lt;0,"ATENÇÃO",IF(K7&lt;=5,"BOM","EXCELENTE")))</f>
        <v/>
      </c>
      <c r="M7" s="9" t="n">
        <v>0</v>
      </c>
      <c r="N7" s="9" t="n">
        <v>0</v>
      </c>
      <c r="O7" s="9" t="n">
        <v>0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IF(C8="Técnico III","35",IF(C8="Técnico II","28",IF(C8="Técnico I","23",IF(C8="JR","20",IF(C8="Estágio","10",)))))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98.73</v>
      </c>
      <c r="O8" s="9" t="n">
        <v>16.3323782234957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IF(C9="Técnico III","35",IF(C9="Técnico II","28",IF(C9="Técnico I","23",IF(C9="JR","20",IF(C9="Estágio","10",)))))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96.3</v>
      </c>
      <c r="O9" s="9" t="n">
        <v>19.56521739130435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IF(C10="Técnico III","35",IF(C10="Técnico II","28",IF(C10="Técnico I","23",IF(C10="JR","20",IF(C10="Estágio","10",)))))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96.51000000000001</v>
      </c>
      <c r="O10" s="9" t="n">
        <v>17.43119266055046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IF(C11="Técnico III","35",IF(C11="Técnico II","28",IF(C11="Técnico I","23",IF(C11="JR","20",IF(C11="Estágio","10",)))))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92.8</v>
      </c>
      <c r="O11" s="9" t="n">
        <v>19.51807228915663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IF(C12="Técnico III","35",IF(C12="Técnico II","28",IF(C12="Técnico I","23",IF(C12="JR","20",IF(C12="Estágio","10",)))))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98.61</v>
      </c>
      <c r="O12" s="9" t="n">
        <v>18.30357142857143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IF(C13="Técnico III","35",IF(C13="Técnico II","28",IF(C13="Técnico I","23",IF(C13="JR","20",IF(C13="Estágio","10",)))))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17.82608695652174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IF(C14="Técnico III","35",IF(C14="Técnico II","28",IF(C14="Técnico I","23",IF(C14="JR","20",IF(C14="Estágio","10",)))))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</v>
      </c>
      <c r="O14" s="9" t="n">
        <v>22.17898832684825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IF(C15="Técnico III","35",IF(C15="Técnico II","28",IF(C15="Técnico I","23",IF(C15="JR","20",IF(C15="Estágio","10",)))))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34.61538461538461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IF(C16="Técnico III","35",IF(C16="Técnico II","28",IF(C16="Técnico I","23",IF(C16="JR","20",IF(C16="Estágio","10",)))))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0</v>
      </c>
      <c r="N16" s="9" t="n">
        <v>0</v>
      </c>
      <c r="O16" s="9" t="n">
        <v>0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9.090909090909092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IF(C18="Técnico III","35",IF(C18="Técnico II","28",IF(C18="Técnico I","23",IF(C18="JR","20",IF(C18="Estágio","10",)))))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 hidden="1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IF(C19="Técnico III","35",IF(C19="Técnico II","28",IF(C19="Técnico I","23",IF(C19="JR","20",IF(C19="Estágio","10",)))))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98.75</v>
      </c>
      <c r="O19" s="9" t="n">
        <v>15.05791505791506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IF(C20="Técnico III","35",IF(C20="Técnico II","28",IF(C20="Técnico I","23",IF(C20="JR","20",IF(C20="Estágio","10",)))))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98.39</v>
      </c>
      <c r="O20" s="9" t="n">
        <v>13.24921135646688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IF(C21="Técnico III","35",IF(C21="Técnico II","28",IF(C21="Técnico I","23",IF(C21="JR","20",IF(C21="Estágio","10",)))))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98.54000000000001</v>
      </c>
      <c r="O21" s="9" t="n">
        <v>15.87301587301587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IF(C22="Técnico III","35",IF(C22="Técnico II","28",IF(C22="Técnico I","23",IF(C22="JR","20",IF(C22="Estágio","10",)))))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94.67</v>
      </c>
      <c r="O22" s="9" t="n">
        <v>18.28254847645429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IF(C23="Técnico III","35",IF(C23="Técnico II","28",IF(C23="Técnico I","23",IF(C23="JR","20",IF(C23="Estágio","10",)))))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98.51000000000001</v>
      </c>
      <c r="O23" s="9" t="n">
        <v>15.92356687898089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IF(C25="Técnico III","35",IF(C25="Técnico II","28",IF(C25="Técnico I","23",IF(C25="JR","20",IF(C25="Estágio","10",)))))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96.72</v>
      </c>
      <c r="O25" s="9" t="n">
        <v>13.19444444444444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IF(C26="Técnico III","35",IF(C26="Técnico II","28",IF(C26="Técnico I","23",IF(C26="JR","20",IF(C26="Estágio","10",)))))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95.31</v>
      </c>
      <c r="O26" s="9" t="n">
        <v>10.28368794326241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IF(C27="Técnico III","35",IF(C27="Técnico II","28",IF(C27="Técnico I","23",IF(C27="JR","20",IF(C27="Estágio","10",)))))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15.4320987654321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IF(C28="Técnico III","35",IF(C28="Técnico II","28",IF(C28="Técnico I","23",IF(C28="JR","20",IF(C28="Estágio","10",)))))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14.20765027322404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IF(C29="Técnico III","35",IF(C29="Técnico II","28",IF(C29="Técnico I","23",IF(C29="JR","20",IF(C29="Estágio","10",)))))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98.48</v>
      </c>
      <c r="O29" s="9" t="n">
        <v>15.87301587301587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IF(C30="Técnico III","35",IF(C30="Técnico II","28",IF(C30="Técnico I","23",IF(C30="JR","20",IF(C30="Estágio","10",)))))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18.80877742946709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0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IF(C32="Técnico III","35",IF(C32="Técnico II","28",IF(C32="Técnico I","23",IF(C32="JR","20",IF(C32="Estágio","10",)))))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93.98</v>
      </c>
      <c r="O32" s="9" t="n">
        <v>19.19504643962848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IF(C33="Técnico III","35",IF(C33="Técnico II","28",IF(C33="Técnico I","23",IF(C33="JR","20",IF(C33="Estágio","10",)))))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9.433962264150944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IF(C34="Técnico III","35",IF(C34="Técnico II","28",IF(C34="Técnico I","23",IF(C34="JR","20",IF(C34="Estágio","10",)))))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98.25</v>
      </c>
      <c r="O34" s="9" t="n">
        <v>9.117647058823529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IF(C35="Técnico III","35",IF(C35="Técnico II","28",IF(C35="Técnico I","23",IF(C35="JR","20",IF(C35="Estágio","10",)))))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96.91</v>
      </c>
      <c r="O35" s="9" t="n">
        <v>17.32283464566929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IF(C36="Técnico III","35",IF(C36="Técnico II","28",IF(C36="Técnico I","23",IF(C36="JR","20",IF(C36="Estágio","10",)))))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0</v>
      </c>
      <c r="N36" s="9" t="n">
        <v>0</v>
      </c>
      <c r="O36" s="9" t="n">
        <v>0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IF(C37="Técnico III","35",IF(C37="Técnico II","28",IF(C37="Técnico I","23",IF(C37="JR","20",IF(C37="Estágio","10",)))))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0</v>
      </c>
      <c r="N37" s="9" t="n">
        <v>0</v>
      </c>
      <c r="O37" s="9" t="n">
        <v>0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IF(C38="Técnico III","35",IF(C38="Técnico II","28",IF(C38="Técnico I","23",IF(C38="JR","20",IF(C38="Estágio","10",)))))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15.94202898550724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IF(C39="Técnico III","35",IF(C39="Técnico II","28",IF(C39="Técnico I","23",IF(C39="JR","20",IF(C39="Estágio","10",)))))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0</v>
      </c>
      <c r="N39" s="9" t="n">
        <v>0</v>
      </c>
      <c r="O39" s="9" t="n">
        <v>0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IF(C40="Técnico III","35",IF(C40="Técnico II","28",IF(C40="Técnico I","23",IF(C40="JR","20",IF(C40="Estágio","10",)))))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15.13761467889908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IF(C41="Técnico III","35",IF(C41="Técnico II","28",IF(C41="Técnico I","23",IF(C41="JR","20",IF(C41="Estágio","10",)))))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97.95999999999999</v>
      </c>
      <c r="O41" s="9" t="n">
        <v>19.04761904761905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IF(C42="Técnico III","35",IF(C42="Técnico II","28",IF(C42="Técnico I","23",IF(C42="JR","20",IF(C42="Estágio","10",)))))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0</v>
      </c>
      <c r="N42" s="9" t="n">
        <v>0</v>
      </c>
      <c r="O42" s="9" t="n">
        <v>0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IF(C43="Técnico III","35",IF(C43="Técnico II","28",IF(C43="Técnico I","23",IF(C43="JR","20",IF(C43="Estágio","10",)))))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99.17</v>
      </c>
      <c r="O43" s="9" t="n">
        <v>19.7215777262181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IF(C44="Técnico III","35",IF(C44="Técnico II","28",IF(C44="Técnico I","23",IF(C44="JR","20",IF(C44="Estágio","10",)))))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14.35643564356435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IF(C45="Técnico III","35",IF(C45="Técnico II","28",IF(C45="Técnico I","23",IF(C45="JR","20",IF(C45="Estágio","10",)))))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97.06</v>
      </c>
      <c r="O45" s="9" t="n">
        <v>14.42307692307692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IF(C46="Técnico III","35",IF(C46="Técnico II","28",IF(C46="Técnico I","23",IF(C46="JR","20",IF(C46="Estágio","10",)))))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98.81999999999999</v>
      </c>
      <c r="O46" s="3" t="n">
        <v>18.33333333333333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IF(C48="Técnico III","35",IF(C48="Técnico II","28",IF(C48="Técnico I","23",IF(C48="JR","20",IF(C48="Estágio","10",)))))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95.04000000000001</v>
      </c>
      <c r="O48" s="3" t="n">
        <v>19.95192307692308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IF(C49="Técnico III","35",IF(C49="Técnico II","28",IF(C49="Técnico I","23",IF(C49="JR","20",IF(C49="Estágio","10",)))))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96.15000000000001</v>
      </c>
      <c r="O49" s="3" t="n">
        <v>17.4496644295302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IF(C50="Técnico III","35",IF(C50="Técnico II","28",IF(C50="Técnico I","23",IF(C50="JR","20",IF(C50="Estágio","10",)))))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99.04000000000001</v>
      </c>
      <c r="O50" s="3" t="n">
        <v>16.93121693121693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IF(C51="Técnico III","35",IF(C51="Técnico II","28",IF(C51="Técnico I","23",IF(C51="JR","20",IF(C51="Estágio","10",)))))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96.3</v>
      </c>
      <c r="O51" s="3" t="n">
        <v>19.56521739130435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IF(C52="Técnico III","35",IF(C52="Técnico II","28",IF(C52="Técnico I","23",IF(C52="JR","20",IF(C52="Estágio","10",)))))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34.61538461538461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7.59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9.433962264150944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IF(C54="Técnico III","35",IF(C54="Técnico II","28",IF(C54="Técnico I","23",IF(C54="JR","20",IF(C54="Estágio","10",)))))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0</v>
      </c>
      <c r="N54" s="3" t="n">
        <v>0</v>
      </c>
      <c r="O54" s="3" t="n">
        <v>0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IF(C55="Técnico III","35",IF(C55="Técnico II","28",IF(C55="Técnico I","23",IF(C55="JR","20",IF(C55="Estágio","10",)))))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98.73</v>
      </c>
      <c r="O55" s="3" t="n">
        <v>16.3323782234957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IF(C56="Técnico III","35",IF(C56="Técnico II","28",IF(C56="Técnico I","23",IF(C56="JR","20",IF(C56="Estágio","10",)))))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0</v>
      </c>
      <c r="N56" s="3" t="n">
        <v>0</v>
      </c>
      <c r="O56" s="3" t="n">
        <v>0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IF(C57="Técnico III","35",IF(C57="Técnico II","28",IF(C57="Técnico I","23",IF(C57="JR","20",IF(C57="Estágio","10",)))))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97.95999999999999</v>
      </c>
      <c r="O57" s="3" t="n">
        <v>19.04761904761905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IF(C58="Técnico III","35",IF(C58="Técnico II","28",IF(C58="Técnico I","23",IF(C58="JR","20",IF(C58="Estágio","10",)))))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96.51000000000001</v>
      </c>
      <c r="O58" s="3" t="n">
        <v>17.43119266055046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IF(C59="Técnico III","35",IF(C59="Técnico II","28",IF(C59="Técnico I","23",IF(C59="JR","20",IF(C59="Estágio","10",)))))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92.8</v>
      </c>
      <c r="O59" s="3" t="n">
        <v>19.51807228915663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IF(C60="Técnico III","35",IF(C60="Técnico II","28",IF(C60="Técnico I","23",IF(C60="JR","20",IF(C60="Estágio","10",)))))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98.61</v>
      </c>
      <c r="O60" s="3" t="n">
        <v>18.30357142857143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IF(C61="Técnico III","35",IF(C61="Técnico II","28",IF(C61="Técnico I","23",IF(C61="JR","20",IF(C61="Estágio","10",)))))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17.82608695652174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IF(C62="Técnico III","35",IF(C62="Técnico II","28",IF(C62="Técnico I","23",IF(C62="JR","20",IF(C62="Estágio","10",)))))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</v>
      </c>
      <c r="O62" s="3" t="n">
        <v>22.17898832684825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IF(C63="Técnico III","35",IF(C63="Técnico II","28",IF(C63="Técnico I","23",IF(C63="JR","20",IF(C63="Estágio","10",)))))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0</v>
      </c>
      <c r="N63" s="3" t="n">
        <v>0</v>
      </c>
      <c r="O63" s="3" t="n">
        <v>0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12.01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9.090909090909092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9.42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 hidden="1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IF(C66="Técnico III","35",IF(C66="Técnico II","28",IF(C66="Técnico I","23",IF(C66="JR","20",IF(C66="Estágio","10",)))))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98.75</v>
      </c>
      <c r="O66" s="3" t="n">
        <v>15.05791505791506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IF(C67="Técnico III","35",IF(C67="Técnico II","28",IF(C67="Técnico I","23",IF(C67="JR","20",IF(C67="Estágio","10",)))))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98.39</v>
      </c>
      <c r="O67" s="3" t="n">
        <v>13.24921135646688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IF(C68="Técnico III","35",IF(C68="Técnico II","28",IF(C68="Técnico I","23",IF(C68="JR","20",IF(C68="Estágio","10",)))))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98.54000000000001</v>
      </c>
      <c r="O68" s="3" t="n">
        <v>15.87301587301587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IF(C69="Técnico III","35",IF(C69="Técnico II","28",IF(C69="Técnico I","23",IF(C69="JR","20",IF(C69="Estágio","10",)))))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94.67</v>
      </c>
      <c r="O69" s="3" t="n">
        <v>18.28254847645429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IF(C70="Técnico III","35",IF(C70="Técnico II","28",IF(C70="Técnico I","23",IF(C70="JR","20",IF(C70="Estágio","10",)))))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98.51000000000001</v>
      </c>
      <c r="O70" s="3" t="n">
        <v>15.92356687898089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13.55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IF(C72="Técnico III","35",IF(C72="Técnico II","28",IF(C72="Técnico I","23",IF(C72="JR","20",IF(C72="Estágio","10",)))))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96.72</v>
      </c>
      <c r="O72" s="3" t="n">
        <v>13.19444444444444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IF(C73="Técnico III","35",IF(C73="Técnico II","28",IF(C73="Técnico I","23",IF(C73="JR","20",IF(C73="Estágio","10",)))))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95.31</v>
      </c>
      <c r="O73" s="3" t="n">
        <v>10.28368794326241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IF(C74="Técnico III","35",IF(C74="Técnico II","28",IF(C74="Técnico I","23",IF(C74="JR","20",IF(C74="Estágio","10",)))))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15.4320987654321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IF(C75="Técnico III","35",IF(C75="Técnico II","28",IF(C75="Técnico I","23",IF(C75="JR","20",IF(C75="Estágio","10",)))))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14.20765027322404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IF(C76="Técnico III","35",IF(C76="Técnico II","28",IF(C76="Técnico I","23",IF(C76="JR","20",IF(C76="Estágio","10",)))))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98.48</v>
      </c>
      <c r="O76" s="3" t="n">
        <v>15.87301587301587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IF(C77="Técnico III","35",IF(C77="Técnico II","28",IF(C77="Técnico I","23",IF(C77="JR","20",IF(C77="Estágio","10",)))))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18.80877742946709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9.35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0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IF(C79="Técnico III","35",IF(C79="Técnico II","28",IF(C79="Técnico I","23",IF(C79="JR","20",IF(C79="Estágio","10",)))))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93.98</v>
      </c>
      <c r="O79" s="3" t="n">
        <v>19.19504643962848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IF(C80="Técnico III","35",IF(C80="Técnico II","28",IF(C80="Técnico I","23",IF(C80="JR","20",IF(C80="Estágio","10",)))))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98.25</v>
      </c>
      <c r="O80" s="3" t="n">
        <v>9.117647058823529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IF(C81="Técnico III","35",IF(C81="Técnico II","28",IF(C81="Técnico I","23",IF(C81="JR","20",IF(C81="Estágio","10",)))))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96.91</v>
      </c>
      <c r="O81" s="3" t="n">
        <v>17.32283464566929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IF(C82="Técnico III","35",IF(C82="Técnico II","28",IF(C82="Técnico I","23",IF(C82="JR","20",IF(C82="Estágio","10",)))))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0</v>
      </c>
      <c r="N82" s="3" t="n">
        <v>0</v>
      </c>
      <c r="O82" s="3" t="n">
        <v>0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IF(C83="Técnico III","35",IF(C83="Técnico II","28",IF(C83="Técnico I","23",IF(C83="JR","20",IF(C83="Estágio","10",)))))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15.94202898550724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IF(C84="Técnico III","35",IF(C84="Técnico II","28",IF(C84="Técnico I","23",IF(C84="JR","20",IF(C84="Estágio","10",)))))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0</v>
      </c>
      <c r="N84" s="3" t="n">
        <v>0</v>
      </c>
      <c r="O84" s="3" t="n">
        <v>0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IF(C85="Técnico III","35",IF(C85="Técnico II","28",IF(C85="Técnico I","23",IF(C85="JR","20",IF(C85="Estágio","10",)))))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15.13761467889908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IF(C86="Técnico III","35",IF(C86="Técnico II","28",IF(C86="Técnico I","23",IF(C86="JR","20",IF(C86="Estágio","10",)))))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0</v>
      </c>
      <c r="N86" s="3" t="n">
        <v>0</v>
      </c>
      <c r="O86" s="3" t="n">
        <v>0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IF(C87="Técnico III","35",IF(C87="Técnico II","28",IF(C87="Técnico I","23",IF(C87="JR","20",IF(C87="Estágio","10",)))))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99.17</v>
      </c>
      <c r="O87" s="3" t="n">
        <v>19.7215777262181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IF(C88="Técnico III","35",IF(C88="Técnico II","28",IF(C88="Técnico I","23",IF(C88="JR","20",IF(C88="Estágio","10",)))))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14.35643564356435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IF(C89="Técnico III","35",IF(C89="Técnico II","28",IF(C89="Técnico I","23",IF(C89="JR","20",IF(C89="Estágio","10",)))))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97.06</v>
      </c>
      <c r="O89" s="3" t="n">
        <v>14.42307692307692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IF(C90="Técnico III","35",IF(C90="Técnico II","28",IF(C90="Técnico I","23",IF(C90="JR","20",IF(C90="Estágio","10",)))))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98.81999999999999</v>
      </c>
      <c r="O90" s="3" t="n">
        <v>18.33333333333333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IF(C92="Técnico III","35",IF(C92="Técnico II","28",IF(C92="Técnico I","23",IF(C92="JR","20",IF(C92="Estágio","10",)))))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95.04000000000001</v>
      </c>
      <c r="O92" s="3" t="n">
        <v>19.95192307692308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IF(C93="Técnico III","35",IF(C93="Técnico II","28",IF(C93="Técnico I","23",IF(C93="JR","20",IF(C93="Estágio","10",)))))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96.15000000000001</v>
      </c>
      <c r="O93" s="3" t="n">
        <v>17.4496644295302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IF(C94="Técnico III","35",IF(C94="Técnico II","28",IF(C94="Técnico I","23",IF(C94="JR","20",IF(C94="Estágio","10",)))))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0</v>
      </c>
      <c r="N94" s="3" t="n">
        <v>0</v>
      </c>
      <c r="O94" s="3" t="n">
        <v>0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IF(C95="Técnico III","35",IF(C95="Técnico II","28",IF(C95="Técnico I","23",IF(C95="JR","20",IF(C95="Estágio","10",)))))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98.73</v>
      </c>
      <c r="O95" s="3" t="n">
        <v>16.3323782234957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IF(C96="Técnico III","35",IF(C96="Técnico II","28",IF(C96="Técnico I","23",IF(C96="JR","20",IF(C96="Estágio","10",)))))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99.04000000000001</v>
      </c>
      <c r="O96" s="3" t="n">
        <v>16.93121693121693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IF(C97="Técnico III","35",IF(C97="Técnico II","28",IF(C97="Técnico I","23",IF(C97="JR","20",IF(C97="Estágio","10",)))))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96.3</v>
      </c>
      <c r="O97" s="3" t="n">
        <v>19.56521739130435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IF(C98="Técnico III","35",IF(C98="Técnico II","28",IF(C98="Técnico I","23",IF(C98="JR","20",IF(C98="Estágio","10",)))))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34.61538461538461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IF(C99="Técnico III","35",IF(C99="Técnico II","28",IF(C99="Técnico I","23",IF(C99="JR","20",IF(C99="Estágio","10",)))))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9.433962264150944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IF(C100="Técnico III","35",IF(C100="Técnico II","28",IF(C100="Técnico I","23",IF(C100="JR","20",IF(C100="Estágio","10",)))))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0</v>
      </c>
      <c r="N100" s="3" t="n">
        <v>0</v>
      </c>
      <c r="O100" s="3" t="n">
        <v>0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IF(C101="Técnico III","35",IF(C101="Técnico II","28",IF(C101="Técnico I","23",IF(C101="JR","20",IF(C101="Estágio","10",)))))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97.95999999999999</v>
      </c>
      <c r="O101" s="3" t="n">
        <v>19.04761904761905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IF(C102="Técnico III","35",IF(C102="Técnico II","28",IF(C102="Técnico I","23",IF(C102="JR","20",IF(C102="Estágio","10",)))))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96.51000000000001</v>
      </c>
      <c r="O102" s="3" t="n">
        <v>17.43119266055046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IF(C103="Técnico III","35",IF(C103="Técnico II","28",IF(C103="Técnico I","23",IF(C103="JR","20",IF(C103="Estágio","10",)))))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92.8</v>
      </c>
      <c r="O103" s="3" t="n">
        <v>19.51807228915663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IF(C104="Técnico III","35",IF(C104="Técnico II","28",IF(C104="Técnico I","23",IF(C104="JR","20",IF(C104="Estágio","10",)))))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98.61</v>
      </c>
      <c r="O104" s="3" t="n">
        <v>18.30357142857143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IF(C105="Técnico III","35",IF(C105="Técnico II","28",IF(C105="Técnico I","23",IF(C105="JR","20",IF(C105="Estágio","10",)))))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17.82608695652174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IF(C106="Técnico III","35",IF(C106="Técnico II","28",IF(C106="Técnico I","23",IF(C106="JR","20",IF(C106="Estágio","10",)))))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</v>
      </c>
      <c r="O106" s="3" t="n">
        <v>22.17898832684825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IF(C107="Técnico III","35",IF(C107="Técnico II","28",IF(C107="Técnico I","23",IF(C107="JR","20",IF(C107="Estágio","10",)))))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0</v>
      </c>
      <c r="N107" s="3" t="n">
        <v>0</v>
      </c>
      <c r="O107" s="3" t="n">
        <v>0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9.090909090909092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 hidden="1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IF(C110="Técnico III","35",IF(C110="Técnico II","28",IF(C110="Técnico I","23",IF(C110="JR","20",IF(C110="Estágio","10",)))))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98.75</v>
      </c>
      <c r="O110" s="3" t="n">
        <v>15.05791505791506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IF(C111="Técnico III","35",IF(C111="Técnico II","28",IF(C111="Técnico I","23",IF(C111="JR","20",IF(C111="Estágio","10",)))))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98.39</v>
      </c>
      <c r="O111" s="3" t="n">
        <v>13.24921135646688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IF(C112="Técnico III","35",IF(C112="Técnico II","28",IF(C112="Técnico I","23",IF(C112="JR","20",IF(C112="Estágio","10",)))))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98.54000000000001</v>
      </c>
      <c r="O112" s="3" t="n">
        <v>15.87301587301587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IF(C113="Técnico III","35",IF(C113="Técnico II","28",IF(C113="Técnico I","23",IF(C113="JR","20",IF(C113="Estágio","10",)))))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94.67</v>
      </c>
      <c r="O113" s="3" t="n">
        <v>18.28254847645429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IF(C114="Técnico III","35",IF(C114="Técnico II","28",IF(C114="Técnico I","23",IF(C114="JR","20",IF(C114="Estágio","10",)))))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98.51000000000001</v>
      </c>
      <c r="O114" s="3" t="n">
        <v>15.92356687898089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IF(C116="Técnico III","35",IF(C116="Técnico II","28",IF(C116="Técnico I","23",IF(C116="JR","20",IF(C116="Estágio","10",)))))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96.72</v>
      </c>
      <c r="O116" s="3" t="n">
        <v>13.19444444444444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IF(C117="Técnico III","35",IF(C117="Técnico II","28",IF(C117="Técnico I","23",IF(C117="JR","20",IF(C117="Estágio","10",)))))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95.31</v>
      </c>
      <c r="O117" s="3" t="n">
        <v>10.28368794326241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IF(C118="Técnico III","35",IF(C118="Técnico II","28",IF(C118="Técnico I","23",IF(C118="JR","20",IF(C118="Estágio","10",)))))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15.4320987654321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IF(C119="Técnico III","35",IF(C119="Técnico II","28",IF(C119="Técnico I","23",IF(C119="JR","20",IF(C119="Estágio","10",)))))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14.20765027322404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IF(C120="Técnico III","35",IF(C120="Técnico II","28",IF(C120="Técnico I","23",IF(C120="JR","20",IF(C120="Estágio","10",)))))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98.48</v>
      </c>
      <c r="O120" s="3" t="n">
        <v>15.87301587301587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IF(C121="Técnico III","35",IF(C121="Técnico II","28",IF(C121="Técnico I","23",IF(C121="JR","20",IF(C121="Estágio","10",)))))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18.80877742946709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0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IF(C123="Técnico III","35",IF(C123="Técnico II","28",IF(C123="Técnico I","23",IF(C123="JR","20",IF(C123="Estágio","10",)))))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93.98</v>
      </c>
      <c r="O123" s="3" t="n">
        <v>19.19504643962848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IF(C124="Técnico III","35",IF(C124="Técnico II","28",IF(C124="Técnico I","23",IF(C124="JR","20",IF(C124="Estágio","10",)))))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98.25</v>
      </c>
      <c r="O124" s="3" t="n">
        <v>9.117647058823529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IF(C125="Técnico III","35",IF(C125="Técnico II","28",IF(C125="Técnico I","23",IF(C125="JR","20",IF(C125="Estágio","10",)))))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96.91</v>
      </c>
      <c r="O125" s="3" t="n">
        <v>17.32283464566929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0</v>
      </c>
      <c r="O126" s="3" t="n">
        <v>0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IF(C127="Técnico III","35",IF(C127="Técnico II","28",IF(C127="Técnico I","23",IF(C127="JR","20",IF(C127="Estágio","10",)))))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15.94202898550724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IF(C128="Técnico III","35",IF(C128="Técnico II","28",IF(C128="Técnico I","23",IF(C128="JR","20",IF(C128="Estágio","10",)))))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0</v>
      </c>
      <c r="N128" s="3" t="n">
        <v>0</v>
      </c>
      <c r="O128" s="3" t="n">
        <v>0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IF(C129="Técnico III","35",IF(C129="Técnico II","28",IF(C129="Técnico I","23",IF(C129="JR","20",IF(C129="Estágio","10",)))))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15.13761467889908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IF(C130="Técnico III","35",IF(C130="Técnico II","28",IF(C130="Técnico I","23",IF(C130="JR","20",IF(C130="Estágio","10",)))))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0</v>
      </c>
      <c r="N130" s="3" t="n">
        <v>0</v>
      </c>
      <c r="O130" s="3" t="n">
        <v>0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IF(C131="Técnico III","35",IF(C131="Técnico II","28",IF(C131="Técnico I","23",IF(C131="JR","20",IF(C131="Estágio","10",)))))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99.17</v>
      </c>
      <c r="O131" s="3" t="n">
        <v>19.7215777262181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IF(C132="Técnico III","35",IF(C132="Técnico II","28",IF(C132="Técnico I","23",IF(C132="JR","20",IF(C132="Estágio","10",)))))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14.35643564356435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IF(C133="Técnico III","35",IF(C133="Técnico II","28",IF(C133="Técnico I","23",IF(C133="JR","20",IF(C133="Estágio","10",)))))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97.06</v>
      </c>
      <c r="O133" s="3" t="n">
        <v>14.42307692307692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IF(C134="Técnico III","35",IF(C134="Técnico II","28",IF(C134="Técnico I","23",IF(C134="JR","20",IF(C134="Estágio","10",)))))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98.81999999999999</v>
      </c>
      <c r="O134" s="3" t="n">
        <v>18.33333333333333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IF(C136="Técnico III","35",IF(C136="Técnico II","28",IF(C136="Técnico I","23",IF(C136="JR","20",IF(C136="Estágio","10",)))))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95.04000000000001</v>
      </c>
      <c r="O136" s="3" t="n">
        <v>19.95192307692308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IF(C137="Técnico III","35",IF(C137="Técnico II","28",IF(C137="Técnico I","23",IF(C137="JR","20",IF(C137="Estágio","10",)))))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96.15000000000001</v>
      </c>
      <c r="O137" s="3" t="n">
        <v>17.4496644295302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IF(C138="Técnico III","35",IF(C138="Técnico II","28",IF(C138="Técnico I","23",IF(C138="JR","20",IF(C138="Estágio","10",)))))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0</v>
      </c>
      <c r="N138" s="3" t="n">
        <v>0</v>
      </c>
      <c r="O138" s="3" t="n">
        <v>0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IF(C139="Técnico III","35",IF(C139="Técnico II","28",IF(C139="Técnico I","23",IF(C139="JR","20",IF(C139="Estágio","10",)))))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98.73</v>
      </c>
      <c r="O139" s="3" t="n">
        <v>16.3323782234957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IF(C140="Técnico III","35",IF(C140="Técnico II","28",IF(C140="Técnico I","23",IF(C140="JR","20",IF(C140="Estágio","10",)))))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99.04000000000001</v>
      </c>
      <c r="O140" s="3" t="n">
        <v>16.93121693121693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IF(C141="Técnico III","35",IF(C141="Técnico II","28",IF(C141="Técnico I","23",IF(C141="JR","20",IF(C141="Estágio","10",)))))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96.3</v>
      </c>
      <c r="O141" s="3" t="n">
        <v>19.56521739130435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IF(C142="Técnico III","35",IF(C142="Técnico II","28",IF(C142="Técnico I","23",IF(C142="JR","20",IF(C142="Estágio","10",)))))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34.61538461538461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IF(C143="Técnico III","35",IF(C143="Técnico II","28",IF(C143="Técnico I","23",IF(C143="JR","20",IF(C143="Estágio","10",)))))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9.433962264150944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IF(C144="Técnico III","35",IF(C144="Técnico II","28",IF(C144="Técnico I","23",IF(C144="JR","20",IF(C144="Estágio","10",)))))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23</v>
      </c>
      <c r="N144" s="3" t="n">
        <v>96.51000000000001</v>
      </c>
      <c r="O144" s="3" t="n">
        <v>17.43119266055046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IF(C145="Técnico III","35",IF(C145="Técnico II","28",IF(C145="Técnico I","23",IF(C145="JR","20",IF(C145="Estágio","10",)))))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92.8</v>
      </c>
      <c r="O145" s="3" t="n">
        <v>19.51807228915663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IF(C146="Técnico III","35",IF(C146="Técnico II","28",IF(C146="Técnico I","23",IF(C146="JR","20",IF(C146="Estágio","10",)))))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98.61</v>
      </c>
      <c r="O146" s="3" t="n">
        <v>18.30357142857143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IF(C147="Técnico III","35",IF(C147="Técnico II","28",IF(C147="Técnico I","23",IF(C147="JR","20",IF(C147="Estágio","10",)))))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17.82608695652174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IF(C148="Técnico III","35",IF(C148="Técnico II","28",IF(C148="Técnico I","23",IF(C148="JR","20",IF(C148="Estágio","10",)))))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</v>
      </c>
      <c r="O148" s="3" t="n">
        <v>22.17898832684825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IF(C149="Técnico III","35",IF(C149="Técnico II","28",IF(C149="Técnico I","23",IF(C149="JR","20",IF(C149="Estágio","10",)))))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0</v>
      </c>
      <c r="N149" s="3" t="n">
        <v>0</v>
      </c>
      <c r="O149" s="3" t="n">
        <v>0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IF(C150="Técnico III","35",IF(C150="Técnico II","28",IF(C150="Técnico I","23",IF(C150="JR","20",IF(C150="Estágio","10",)))))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97.95999999999999</v>
      </c>
      <c r="O150" s="3" t="n">
        <v>19.04761904761905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IF(C151="Técnico III","35",IF(C151="Técnico II","28",IF(C151="Técnico I","23",IF(C151="JR","20",IF(C151="Estágio","10",)))))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0</v>
      </c>
      <c r="N151" s="3" t="n">
        <v>0</v>
      </c>
      <c r="O151" s="3" t="n">
        <v>0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9.090909090909092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 hidden="1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IF(C154="Técnico III","35",IF(C154="Técnico II","28",IF(C154="Técnico I","23",IF(C154="JR","20",IF(C154="Estágio","10",)))))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98.75</v>
      </c>
      <c r="O154" s="3" t="n">
        <v>15.05791505791506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IF(C155="Técnico III","35",IF(C155="Técnico II","28",IF(C155="Técnico I","23",IF(C155="JR","20",IF(C155="Estágio","10",)))))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98.39</v>
      </c>
      <c r="O155" s="3" t="n">
        <v>13.24921135646688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IF(C156="Técnico III","35",IF(C156="Técnico II","28",IF(C156="Técnico I","23",IF(C156="JR","20",IF(C156="Estágio","10",)))))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98.54000000000001</v>
      </c>
      <c r="O156" s="3" t="n">
        <v>15.87301587301587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IF(C157="Técnico III","35",IF(C157="Técnico II","28",IF(C157="Técnico I","23",IF(C157="JR","20",IF(C157="Estágio","10",)))))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94.67</v>
      </c>
      <c r="O157" s="3" t="n">
        <v>18.28254847645429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IF(C158="Técnico III","35",IF(C158="Técnico II","28",IF(C158="Técnico I","23",IF(C158="JR","20",IF(C158="Estágio","10",)))))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98.51000000000001</v>
      </c>
      <c r="O158" s="3" t="n">
        <v>15.92356687898089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IF(C160="Técnico III","35",IF(C160="Técnico II","28",IF(C160="Técnico I","23",IF(C160="JR","20",IF(C160="Estágio","10",)))))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96.72</v>
      </c>
      <c r="O160" s="3" t="n">
        <v>13.19444444444444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IF(C161="Técnico III","35",IF(C161="Técnico II","28",IF(C161="Técnico I","23",IF(C161="JR","20",IF(C161="Estágio","10",)))))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95.31</v>
      </c>
      <c r="O161" s="3" t="n">
        <v>10.28368794326241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IF(C162="Técnico III","35",IF(C162="Técnico II","28",IF(C162="Técnico I","23",IF(C162="JR","20",IF(C162="Estágio","10",)))))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15.4320987654321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IF(C163="Técnico III","35",IF(C163="Técnico II","28",IF(C163="Técnico I","23",IF(C163="JR","20",IF(C163="Estágio","10",)))))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14.20765027322404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IF(C164="Técnico III","35",IF(C164="Técnico II","28",IF(C164="Técnico I","23",IF(C164="JR","20",IF(C164="Estágio","10",)))))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98.48</v>
      </c>
      <c r="O164" s="3" t="n">
        <v>15.87301587301587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IF(C165="Técnico III","35",IF(C165="Técnico II","28",IF(C165="Técnico I","23",IF(C165="JR","20",IF(C165="Estágio","10",)))))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18.80877742946709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0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IF(C167="Técnico III","35",IF(C167="Técnico II","28",IF(C167="Técnico I","23",IF(C167="JR","20",IF(C167="Estágio","10",)))))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93.98</v>
      </c>
      <c r="O167" s="3" t="n">
        <v>19.19504643962848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IF(C168="Técnico III","35",IF(C168="Técnico II","28",IF(C168="Técnico I","23",IF(C168="JR","20",IF(C168="Estágio","10",)))))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98.25</v>
      </c>
      <c r="O168" s="3" t="n">
        <v>9.117647058823529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IF(C169="Técnico III","35",IF(C169="Técnico II","28",IF(C169="Técnico I","23",IF(C169="JR","20",IF(C169="Estágio","10",)))))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96.91</v>
      </c>
      <c r="O169" s="3" t="n">
        <v>17.32283464566929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0</v>
      </c>
      <c r="O170" s="3" t="n">
        <v>0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IF(C171="Técnico III","35",IF(C171="Técnico II","28",IF(C171="Técnico I","23",IF(C171="JR","20",IF(C171="Estágio","10",)))))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15.94202898550724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IF(C172="Técnico III","35",IF(C172="Técnico II","28",IF(C172="Técnico I","23",IF(C172="JR","20",IF(C172="Estágio","10",)))))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0</v>
      </c>
      <c r="N172" s="3" t="n">
        <v>0</v>
      </c>
      <c r="O172" s="3" t="n">
        <v>0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IF(C173="Técnico III","35",IF(C173="Técnico II","28",IF(C173="Técnico I","23",IF(C173="JR","20",IF(C173="Estágio","10",)))))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15.13761467889908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IF(C174="Técnico III","35",IF(C174="Técnico II","28",IF(C174="Técnico I","23",IF(C174="JR","20",IF(C174="Estágio","10",)))))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0</v>
      </c>
      <c r="N174" s="3" t="n">
        <v>0</v>
      </c>
      <c r="O174" s="3" t="n">
        <v>0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IF(C175="Técnico III","35",IF(C175="Técnico II","28",IF(C175="Técnico I","23",IF(C175="JR","20",IF(C175="Estágio","10",)))))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99.17</v>
      </c>
      <c r="O175" s="3" t="n">
        <v>19.7215777262181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IF(C176="Técnico III","35",IF(C176="Técnico II","28",IF(C176="Técnico I","23",IF(C176="JR","20",IF(C176="Estágio","10",)))))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14.35643564356435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IF(C177="Técnico III","35",IF(C177="Técnico II","28",IF(C177="Técnico I","23",IF(C177="JR","20",IF(C177="Estágio","10",)))))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97.06</v>
      </c>
      <c r="O177" s="3" t="n">
        <v>14.42307692307692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IF(C178="Técnico III","35",IF(C178="Técnico II","28",IF(C178="Técnico I","23",IF(C178="JR","20",IF(C178="Estágio","10",)))))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98.81999999999999</v>
      </c>
      <c r="O178" s="3" t="n">
        <v>18.33333333333333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IF(C180="Técnico III","35",IF(C180="Técnico II","28",IF(C180="Técnico I","23",IF(C180="JR","20",IF(C180="Estágio","10",)))))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95.04000000000001</v>
      </c>
      <c r="O180" s="3" t="n">
        <v>19.95192307692308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IF(C181="Técnico III","35",IF(C181="Técnico II","28",IF(C181="Técnico I","23",IF(C181="JR","20",IF(C181="Estágio","10",)))))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96.15000000000001</v>
      </c>
      <c r="O181" t="n">
        <v>17.4496644295302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IF(C182="Técnico III","35",IF(C182="Técnico II","28",IF(C182="Técnico I","23",IF(C182="JR","20",IF(C182="Estágio","10",)))))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0</v>
      </c>
      <c r="N182" t="n">
        <v>0</v>
      </c>
      <c r="O182" t="n">
        <v>0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IF(C183="Técnico III","35",IF(C183="Técnico II","28",IF(C183="Técnico I","23",IF(C183="JR","20",IF(C183="Estágio","10",)))))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98.73</v>
      </c>
      <c r="O183" t="n">
        <v>16.3323782234957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IF(C184="Técnico III","35",IF(C184="Técnico II","28",IF(C184="Técnico I","23",IF(C184="JR","20",IF(C184="Estágio","10",)))))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96.51000000000001</v>
      </c>
      <c r="O184" t="n">
        <v>17.43119266055046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IF(C185="Técnico III","35",IF(C185="Técnico II","28",IF(C185="Técnico I","23",IF(C185="JR","20",IF(C185="Estágio","10",)))))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92.8</v>
      </c>
      <c r="O185" t="n">
        <v>19.51807228915663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IF(C186="Técnico III","35",IF(C186="Técnico II","28",IF(C186="Técnico I","23",IF(C186="JR","20",IF(C186="Estágio","10",)))))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98.61</v>
      </c>
      <c r="O186" t="n">
        <v>18.30357142857143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IF(C187="Técnico III","35",IF(C187="Técnico II","28",IF(C187="Técnico I","23",IF(C187="JR","20",IF(C187="Estágio","10",)))))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17.82608695652174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IF(C188="Técnico III","35",IF(C188="Técnico II","28",IF(C188="Técnico I","23",IF(C188="JR","20",IF(C188="Estágio","10",)))))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</v>
      </c>
      <c r="O188" t="n">
        <v>22.17898832684825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IF(C189="Técnico III","35",IF(C189="Técnico II","28",IF(C189="Técnico I","23",IF(C189="JR","20",IF(C189="Estágio","10",)))))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99.04000000000001</v>
      </c>
      <c r="O189" t="n">
        <v>16.93121693121693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IF(C190="Técnico III","35",IF(C190="Técnico II","28",IF(C190="Técnico I","23",IF(C190="JR","20",IF(C190="Estágio","10",)))))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96.3</v>
      </c>
      <c r="O190" t="n">
        <v>19.56521739130435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IF(C191="Técnico III","35",IF(C191="Técnico II","28",IF(C191="Técnico I","23",IF(C191="JR","20",IF(C191="Estágio","10",)))))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34.61538461538461</v>
      </c>
    </row>
    <row r="192" hidden="1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IF(C192="Técnico III","35",IF(C192="Técnico II","28",IF(C192="Técnico I","23",IF(C192="JR","20",IF(C192="Estágio","10",)))))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0</v>
      </c>
      <c r="O192" t="n">
        <v>0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IF(C193="Técnico III","35",IF(C193="Técnico II","28",IF(C193="Técnico I","23",IF(C193="JR","20",IF(C193="Estágio","10",)))))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9.433962264150944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IF(C194="Técnico III","35",IF(C194="Técnico II","28",IF(C194="Técnico I","23",IF(C194="JR","20",IF(C194="Estágio","10",)))))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0</v>
      </c>
      <c r="N194" t="n">
        <v>0</v>
      </c>
      <c r="O194" t="n">
        <v>0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IF(C195="Técnico III","35",IF(C195="Técnico II","28",IF(C195="Técnico I","23",IF(C195="JR","20",IF(C195="Estágio","10",)))))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97.95999999999999</v>
      </c>
      <c r="O195" t="n">
        <v>19.04761904761905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IF(C196="Técnico III","35",IF(C196="Técnico II","28",IF(C196="Técnico I","23",IF(C196="JR","20",IF(C196="Estágio","10",)))))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0</v>
      </c>
      <c r="N196" t="n">
        <v>0</v>
      </c>
      <c r="O196" t="n">
        <v>0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9.090909090909092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17.24137931034483</v>
      </c>
    </row>
    <row r="199" hidden="1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98.75</v>
      </c>
      <c r="O199" t="n">
        <v>15.05791505791506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IF(C200="Técnico III","35",IF(C200="Técnico II","28",IF(C200="Técnico I","23",IF(C200="JR","20",IF(C200="Estágio","10",)))))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98.39</v>
      </c>
      <c r="O200" t="n">
        <v>13.24921135646688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IF(C201="Técnico III","35",IF(C201="Técnico II","28",IF(C201="Técnico I","23",IF(C201="JR","20",IF(C201="Estágio","10",)))))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98.54000000000001</v>
      </c>
      <c r="O201" t="n">
        <v>15.87301587301587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IF(C202="Técnico III","35",IF(C202="Técnico II","28",IF(C202="Técnico I","23",IF(C202="JR","20",IF(C202="Estágio","10",)))))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94.67</v>
      </c>
      <c r="O202" t="n">
        <v>18.28254847645429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IF(C203="Técnico III","35",IF(C203="Técnico II","28",IF(C203="Técnico I","23",IF(C203="JR","20",IF(C203="Estágio","10",)))))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98.51000000000001</v>
      </c>
      <c r="O203" t="n">
        <v>15.92356687898089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IF(C205="Técnico III","35",IF(C205="Técnico II","28",IF(C205="Técnico I","23",IF(C205="JR","20",IF(C205="Estágio","10",)))))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96.72</v>
      </c>
      <c r="O205" t="n">
        <v>13.19444444444444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IF(C206="Técnico III","35",IF(C206="Técnico II","28",IF(C206="Técnico I","23",IF(C206="JR","20",IF(C206="Estágio","10",)))))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95.31</v>
      </c>
      <c r="O206" t="n">
        <v>10.28368794326241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IF(C207="Técnico III","35",IF(C207="Técnico II","28",IF(C207="Técnico I","23",IF(C207="JR","20",IF(C207="Estágio","10",)))))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15.4320987654321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IF(C208="Técnico III","35",IF(C208="Técnico II","28",IF(C208="Técnico I","23",IF(C208="JR","20",IF(C208="Estágio","10",)))))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14.20765027322404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IF(C209="Técnico III","35",IF(C209="Técnico II","28",IF(C209="Técnico I","23",IF(C209="JR","20",IF(C209="Estágio","10",)))))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98.48</v>
      </c>
      <c r="O209" t="n">
        <v>15.87301587301587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IF(C210="Técnico III","35",IF(C210="Técnico II","28",IF(C210="Técnico I","23",IF(C210="JR","20",IF(C210="Estágio","10",)))))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18.80877742946709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100</v>
      </c>
      <c r="O211" t="n">
        <v>0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IF(C212="Técnico III","35",IF(C212="Técnico II","28",IF(C212="Técnico I","23",IF(C212="JR","20",IF(C212="Estágio","10",)))))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93.98</v>
      </c>
      <c r="O212" t="n">
        <v>19.19504643962848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IF(C213="Técnico III","35",IF(C213="Técnico II","28",IF(C213="Técnico I","23",IF(C213="JR","20",IF(C213="Estágio","10",)))))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98.25</v>
      </c>
      <c r="O213" t="n">
        <v>9.117647058823529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IF(C214="Técnico III","35",IF(C214="Técnico II","28",IF(C214="Técnico I","23",IF(C214="JR","20",IF(C214="Estágio","10",)))))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96.91</v>
      </c>
      <c r="O214" t="n">
        <v>17.32283464566929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IF(C215="Técnico III","35",IF(C215="Técnico II","28",IF(C215="Técnico I","23",IF(C215="JR","20",IF(C215="Estágio","10",)))))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0</v>
      </c>
      <c r="N215" t="n">
        <v>0</v>
      </c>
      <c r="O215" t="n">
        <v>0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IF(C216="Técnico III","35",IF(C216="Técnico II","28",IF(C216="Técnico I","23",IF(C216="JR","20",IF(C216="Estágio","10",)))))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15.94202898550724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IF(C217="Técnico III","35",IF(C217="Técnico II","28",IF(C217="Técnico I","23",IF(C217="JR","20",IF(C217="Estágio","10",)))))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0</v>
      </c>
      <c r="N217" t="n">
        <v>0</v>
      </c>
      <c r="O217" t="n">
        <v>0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IF(C218="Técnico III","35",IF(C218="Técnico II","28",IF(C218="Técnico I","23",IF(C218="JR","20",IF(C218="Estágio","10",)))))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15.13761467889908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IF(C219="Técnico III","35",IF(C219="Técnico II","28",IF(C219="Técnico I","23",IF(C219="JR","20",IF(C219="Estágio","10",)))))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0</v>
      </c>
      <c r="N219" t="n">
        <v>0</v>
      </c>
      <c r="O219" t="n">
        <v>0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IF(C220="Técnico III","35",IF(C220="Técnico II","28",IF(C220="Técnico I","23",IF(C220="JR","20",IF(C220="Estágio","10",)))))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99.17</v>
      </c>
      <c r="O220" t="n">
        <v>19.7215777262181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14.35643564356435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IF(C222="Técnico III","35",IF(C222="Técnico II","28",IF(C222="Técnico I","23",IF(C222="JR","20",IF(C222="Estágio","10",)))))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97.06</v>
      </c>
      <c r="O222" t="n">
        <v>14.42307692307692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IF(C223="Técnico III","35",IF(C223="Técnico II","28",IF(C223="Técnico I","23",IF(C223="JR","20",IF(C223="Estágio","10",)))))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98.81999999999999</v>
      </c>
      <c r="O223" s="3" t="n">
        <v>18.33333333333333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IF(C225="Técnico III","35",IF(C225="Técnico II","28",IF(C225="Técnico I","23",IF(C225="JR","20",IF(C225="Estágio","10",)))))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95.04000000000001</v>
      </c>
      <c r="O225" s="3" t="n">
        <v>19.95192307692308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IF(C226="Técnico III","35",IF(C226="Técnico II","28",IF(C226="Técnico I","23",IF(C226="JR","20",IF(C226="Estágio","10",)))))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96.15000000000001</v>
      </c>
      <c r="O226" t="n">
        <v>17.4496644295302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IF(C227="Técnico III","35",IF(C227="Técnico II","28",IF(C227="Técnico I","23",IF(C227="JR","20",IF(C227="Estágio","10",)))))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0</v>
      </c>
      <c r="N227" t="n">
        <v>0</v>
      </c>
      <c r="O227" t="n">
        <v>0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IF(C228="Técnico III","35",IF(C228="Técnico II","28",IF(C228="Técnico I","23",IF(C228="JR","20",IF(C228="Estágio","10",)))))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98.73</v>
      </c>
      <c r="O228" t="n">
        <v>16.3323782234957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IF(C229="Técnico III","35",IF(C229="Técnico II","28",IF(C229="Técnico I","23",IF(C229="JR","20",IF(C229="Estágio","10",)))))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96.51000000000001</v>
      </c>
      <c r="O229" t="n">
        <v>17.43119266055046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IF(C230="Técnico III","35",IF(C230="Técnico II","28",IF(C230="Técnico I","23",IF(C230="JR","20",IF(C230="Estágio","10",)))))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92.8</v>
      </c>
      <c r="O230" t="n">
        <v>19.51807228915663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IF(C231="Técnico III","35",IF(C231="Técnico II","28",IF(C231="Técnico I","23",IF(C231="JR","20",IF(C231="Estágio","10",)))))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98.61</v>
      </c>
      <c r="O231" t="n">
        <v>18.30357142857143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IF(C232="Técnico III","35",IF(C232="Técnico II","28",IF(C232="Técnico I","23",IF(C232="JR","20",IF(C232="Estágio","10",)))))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17.82608695652174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IF(C233="Técnico III","35",IF(C233="Técnico II","28",IF(C233="Técnico I","23",IF(C233="JR","20",IF(C233="Estágio","10",)))))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</v>
      </c>
      <c r="O233" t="n">
        <v>22.17898832684825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IF(C234="Técnico III","35",IF(C234="Técnico II","28",IF(C234="Técnico I","23",IF(C234="JR","20",IF(C234="Estágio","10",)))))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99.04000000000001</v>
      </c>
      <c r="O234" t="n">
        <v>16.93121693121693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IF(C235="Técnico III","35",IF(C235="Técnico II","28",IF(C235="Técnico I","23",IF(C235="JR","20",IF(C235="Estágio","10",)))))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96.3</v>
      </c>
      <c r="O235" t="n">
        <v>19.56521739130435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IF(C236="Técnico III","35",IF(C236="Técnico II","28",IF(C236="Técnico I","23",IF(C236="JR","20",IF(C236="Estágio","10",)))))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34.61538461538461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IF(C237="Técnico III","35",IF(C237="Técnico II","28",IF(C237="Técnico I","23",IF(C237="JR","20",IF(C237="Estágio","10",)))))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0</v>
      </c>
      <c r="N237" t="n">
        <v>0</v>
      </c>
      <c r="O237" t="n">
        <v>0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9.090909090909092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IF(C240="Técnico III","35",IF(C240="Técnico II","28",IF(C240="Técnico I","23",IF(C240="JR","20",IF(C240="Estágio","10",)))))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9.433962264150944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IF(C241="Técnico III","35",IF(C241="Técnico II","28",IF(C241="Técnico I","23",IF(C241="JR","20",IF(C241="Estágio","10",)))))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0</v>
      </c>
      <c r="N241" t="n">
        <v>0</v>
      </c>
      <c r="O241" t="n">
        <v>0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IF(C242="Técnico III","35",IF(C242="Técnico II","28",IF(C242="Técnico I","23",IF(C242="JR","20",IF(C242="Estágio","10",)))))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97.95999999999999</v>
      </c>
      <c r="O242" t="n">
        <v>19.04761904761905</v>
      </c>
    </row>
    <row r="243" hidden="1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IF(C243="Técnico III","35",IF(C243="Técnico II","28",IF(C243="Técnico I","23",IF(C243="JR","20",IF(C243="Estágio","10",)))))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98.75</v>
      </c>
      <c r="O243" t="n">
        <v>15.05791505791506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IF(C244="Técnico III","35",IF(C244="Técnico II","28",IF(C244="Técnico I","23",IF(C244="JR","20",IF(C244="Estágio","10",)))))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98.39</v>
      </c>
      <c r="O244" t="n">
        <v>13.24921135646688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IF(C245="Técnico III","35",IF(C245="Técnico II","28",IF(C245="Técnico I","23",IF(C245="JR","20",IF(C245="Estágio","10",)))))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98.54000000000001</v>
      </c>
      <c r="O245" t="n">
        <v>15.87301587301587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IF(C246="Técnico III","35",IF(C246="Técnico II","28",IF(C246="Técnico I","23",IF(C246="JR","20",IF(C246="Estágio","10",)))))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94.67</v>
      </c>
      <c r="O246" t="n">
        <v>18.28254847645429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IF(C247="Técnico III","35",IF(C247="Técnico II","28",IF(C247="Técnico I","23",IF(C247="JR","20",IF(C247="Estágio","10",)))))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98.51000000000001</v>
      </c>
      <c r="O247" t="n">
        <v>15.92356687898089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IF(C249="Técnico III","35",IF(C249="Técnico II","28",IF(C249="Técnico I","23",IF(C249="JR","20",IF(C249="Estágio","10",)))))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96.72</v>
      </c>
      <c r="O249" t="n">
        <v>13.19444444444444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IF(C250="Técnico III","35",IF(C250="Técnico II","28",IF(C250="Técnico I","23",IF(C250="JR","20",IF(C250="Estágio","10",)))))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95.31</v>
      </c>
      <c r="O250" t="n">
        <v>10.28368794326241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IF(C251="Técnico III","35",IF(C251="Técnico II","28",IF(C251="Técnico I","23",IF(C251="JR","20",IF(C251="Estágio","10",)))))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15.4320987654321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IF(C252="Técnico III","35",IF(C252="Técnico II","28",IF(C252="Técnico I","23",IF(C252="JR","20",IF(C252="Estágio","10",)))))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14.20765027322404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IF(C253="Técnico III","35",IF(C253="Técnico II","28",IF(C253="Técnico I","23",IF(C253="JR","20",IF(C253="Estágio","10",)))))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98.48</v>
      </c>
      <c r="O253" t="n">
        <v>15.87301587301587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IF(C254="Técnico III","35",IF(C254="Técnico II","28",IF(C254="Técnico I","23",IF(C254="JR","20",IF(C254="Estágio","10",)))))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18.80877742946709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100</v>
      </c>
      <c r="O255" t="n">
        <v>0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IF(C256="Técnico III","35",IF(C256="Técnico II","28",IF(C256="Técnico I","23",IF(C256="JR","20",IF(C256="Estágio","10",)))))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93.98</v>
      </c>
      <c r="O256" t="n">
        <v>19.19504643962848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IF(C257="Técnico III","35",IF(C257="Técnico II","28",IF(C257="Técnico I","23",IF(C257="JR","20",IF(C257="Estágio","10",)))))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98.25</v>
      </c>
      <c r="O257" t="n">
        <v>9.117647058823529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IF(C258="Técnico III","35",IF(C258="Técnico II","28",IF(C258="Técnico I","23",IF(C258="JR","20",IF(C258="Estágio","10",)))))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96.91</v>
      </c>
      <c r="O258" t="n">
        <v>17.32283464566929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IF(C259="Técnico III","35",IF(C259="Técnico II","28",IF(C259="Técnico I","23",IF(C259="JR","20",IF(C259="Estágio","10",)))))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0</v>
      </c>
      <c r="N259" t="n">
        <v>0</v>
      </c>
      <c r="O259" t="n">
        <v>0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IF(C260="Técnico III","35",IF(C260="Técnico II","28",IF(C260="Técnico I","23",IF(C260="JR","20",IF(C260="Estágio","10",)))))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15.94202898550724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IF(C261="Técnico III","35",IF(C261="Técnico II","28",IF(C261="Técnico I","23",IF(C261="JR","20",IF(C261="Estágio","10",)))))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0</v>
      </c>
      <c r="N261" t="n">
        <v>0</v>
      </c>
      <c r="O261" t="n">
        <v>0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IF(C262="Técnico III","35",IF(C262="Técnico II","28",IF(C262="Técnico I","23",IF(C262="JR","20",IF(C262="Estágio","10",)))))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15.13761467889908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IF(C263="Técnico III","35",IF(C263="Técnico II","28",IF(C263="Técnico I","23",IF(C263="JR","20",IF(C263="Estágio","10",)))))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0</v>
      </c>
      <c r="N263" t="n">
        <v>0</v>
      </c>
      <c r="O263" t="n">
        <v>0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IF(C264="Técnico III","35",IF(C264="Técnico II","28",IF(C264="Técnico I","23",IF(C264="JR","20",IF(C264="Estágio","10",)))))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99.17</v>
      </c>
      <c r="O264" t="n">
        <v>19.7215777262181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IF(C265="Técnico III","35",IF(C265="Técnico II","28",IF(C265="Técnico I","23",IF(C265="JR","20",IF(C265="Estágio","10",)))))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14.35643564356435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IF(C266="Técnico III","35",IF(C266="Técnico II","28",IF(C266="Técnico I","23",IF(C266="JR","20",IF(C266="Estágio","10",)))))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97.06</v>
      </c>
      <c r="O266" t="n">
        <v>14.42307692307692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IF(C267="Técnico III","35",IF(C267="Técnico II","28",IF(C267="Técnico I","23",IF(C267="JR","20",IF(C267="Estágio","10",)))))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98.81999999999999</v>
      </c>
      <c r="O267" s="3" t="n">
        <v>18.33333333333333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IF(C269="Técnico III","35",IF(C269="Técnico II","28",IF(C269="Técnico I","23",IF(C269="JR","20",IF(C269="Estágio","10",)))))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95.04000000000001</v>
      </c>
      <c r="O269" s="3" t="n">
        <v>19.95192307692308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IF(C270="Técnico III","35",IF(C270="Técnico II","28",IF(C270="Técnico I","23",IF(C270="JR","20",IF(C270="Estágio","10",)))))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96.15000000000001</v>
      </c>
      <c r="O270" t="n">
        <v>17.4496644295302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IF(C271="Técnico III","35",IF(C271="Técnico II","28",IF(C271="Técnico I","23",IF(C271="JR","20",IF(C271="Estágio","10",)))))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0</v>
      </c>
      <c r="N271" t="n">
        <v>0</v>
      </c>
      <c r="O271" t="n">
        <v>0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IF(C272="Técnico III","35",IF(C272="Técnico II","28",IF(C272="Técnico I","23",IF(C272="JR","20",IF(C272="Estágio","10",)))))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98.73</v>
      </c>
      <c r="O272" t="n">
        <v>16.3323782234957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IF(C273="Técnico III","35",IF(C273="Técnico II","28",IF(C273="Técnico I","23",IF(C273="JR","20",IF(C273="Estágio","10",)))))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96.51000000000001</v>
      </c>
      <c r="O273" t="n">
        <v>17.43119266055046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IF(C274="Técnico III","35",IF(C274="Técnico II","28",IF(C274="Técnico I","23",IF(C274="JR","20",IF(C274="Estágio","10",)))))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92.8</v>
      </c>
      <c r="O274" t="n">
        <v>19.51807228915663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IF(C275="Técnico III","35",IF(C275="Técnico II","28",IF(C275="Técnico I","23",IF(C275="JR","20",IF(C275="Estágio","10",)))))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98.61</v>
      </c>
      <c r="O275" t="n">
        <v>18.30357142857143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IF(C276="Técnico III","35",IF(C276="Técnico II","28",IF(C276="Técnico I","23",IF(C276="JR","20",IF(C276="Estágio","10",)))))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17.82608695652174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IF(C277="Técnico III","35",IF(C277="Técnico II","28",IF(C277="Técnico I","23",IF(C277="JR","20",IF(C277="Estágio","10",)))))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</v>
      </c>
      <c r="O277" t="n">
        <v>22.17898832684825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IF(C278="Técnico III","35",IF(C278="Técnico II","28",IF(C278="Técnico I","23",IF(C278="JR","20",IF(C278="Estágio","10",)))))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0</v>
      </c>
      <c r="N278" t="n">
        <v>0</v>
      </c>
      <c r="O278" t="n">
        <v>0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9.090909090909092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IF(C281="Técnico III","35",IF(C281="Técnico II","28",IF(C281="Técnico I","23",IF(C281="JR","20",IF(C281="Estágio","10",)))))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99.04000000000001</v>
      </c>
      <c r="O281" t="n">
        <v>16.93121693121693</v>
      </c>
    </row>
    <row r="282" hidden="1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IF(C282="Técnico III","35",IF(C282="Técnico II","28",IF(C282="Técnico I","23",IF(C282="JR","20",IF(C282="Estágio","10",)))))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98.75</v>
      </c>
      <c r="O282" t="n">
        <v>15.05791505791506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IF(C283="Técnico III","35",IF(C283="Técnico II","28",IF(C283="Técnico I","23",IF(C283="JR","20",IF(C283="Estágio","10",)))))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98.39</v>
      </c>
      <c r="O283" t="n">
        <v>13.24921135646688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IF(C284="Técnico III","35",IF(C284="Técnico II","28",IF(C284="Técnico I","23",IF(C284="JR","20",IF(C284="Estágio","10",)))))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98.54000000000001</v>
      </c>
      <c r="O284" t="n">
        <v>15.87301587301587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IF(C285="Técnico III","35",IF(C285="Técnico II","28",IF(C285="Técnico I","23",IF(C285="JR","20",IF(C285="Estágio","10",)))))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94.67</v>
      </c>
      <c r="O285" t="n">
        <v>18.28254847645429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IF(C286="Técnico III","35",IF(C286="Técnico II","28",IF(C286="Técnico I","23",IF(C286="JR","20",IF(C286="Estágio","10",)))))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98.51000000000001</v>
      </c>
      <c r="O286" t="n">
        <v>15.92356687898089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IF(C288="Técnico III","35",IF(C288="Técnico II","28",IF(C288="Técnico I","23",IF(C288="JR","20",IF(C288="Estágio","10",)))))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96.72</v>
      </c>
      <c r="O288" t="n">
        <v>13.19444444444444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IF(C289="Técnico III","35",IF(C289="Técnico II","28",IF(C289="Técnico I","23",IF(C289="JR","20",IF(C289="Estágio","10",)))))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95.31</v>
      </c>
      <c r="O289" t="n">
        <v>10.28368794326241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IF(C290="Técnico III","35",IF(C290="Técnico II","28",IF(C290="Técnico I","23",IF(C290="JR","20",IF(C290="Estágio","10",)))))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11</v>
      </c>
      <c r="N290" t="n">
        <v>100</v>
      </c>
      <c r="O290" t="n">
        <v>15.4320987654321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IF(C291="Técnico III","35",IF(C291="Técnico II","28",IF(C291="Técnico I","23",IF(C291="JR","20",IF(C291="Estágio","10",)))))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14.20765027322404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IF(C292="Técnico III","35",IF(C292="Técnico II","28",IF(C292="Técnico I","23",IF(C292="JR","20",IF(C292="Estágio","10",)))))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98.48</v>
      </c>
      <c r="O292" t="n">
        <v>15.87301587301587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IF(C293="Técnico III","35",IF(C293="Técnico II","28",IF(C293="Técnico I","23",IF(C293="JR","20",IF(C293="Estágio","10",)))))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20</v>
      </c>
      <c r="N293" t="n">
        <v>100</v>
      </c>
      <c r="O293" t="n">
        <v>18.80877742946709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100</v>
      </c>
      <c r="O294" t="n">
        <v>0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IF(C295="Técnico III","35",IF(C295="Técnico II","28",IF(C295="Técnico I","23",IF(C295="JR","20",IF(C295="Estágio","10",)))))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93.98</v>
      </c>
      <c r="O295" t="n">
        <v>19.19504643962848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IF(C296="Técnico III","35",IF(C296="Técnico II","28",IF(C296="Técnico I","23",IF(C296="JR","20",IF(C296="Estágio","10",)))))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96.3</v>
      </c>
      <c r="O296" t="n">
        <v>19.56521739130435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IF(C297="Técnico III","35",IF(C297="Técnico II","28",IF(C297="Técnico I","23",IF(C297="JR","20",IF(C297="Estágio","10",)))))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34.61538461538461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IF(C298="Técnico III","35",IF(C298="Técnico II","28",IF(C298="Técnico I","23",IF(C298="JR","20",IF(C298="Estágio","10",)))))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9.433962264150944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IF(C299="Técnico III","35",IF(C299="Técnico II","28",IF(C299="Técnico I","23",IF(C299="JR","20",IF(C299="Estágio","10",)))))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0</v>
      </c>
      <c r="N299" t="n">
        <v>0</v>
      </c>
      <c r="O299" t="n">
        <v>0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IF(C300="Técnico III","35",IF(C300="Técnico II","28",IF(C300="Técnico I","23",IF(C300="JR","20",IF(C300="Estágio","10",)))))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97.95999999999999</v>
      </c>
      <c r="O300" t="n">
        <v>19.04761904761905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IF(C301="Técnico III","35",IF(C301="Técnico II","28",IF(C301="Técnico I","23",IF(C301="JR","20",IF(C301="Estágio","10",)))))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98.25</v>
      </c>
      <c r="O301" t="n">
        <v>9.117647058823529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IF(C302="Técnico III","35",IF(C302="Técnico II","28",IF(C302="Técnico I","23",IF(C302="JR","20",IF(C302="Estágio","10",)))))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96.91</v>
      </c>
      <c r="O302" t="n">
        <v>17.32283464566929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IF(C303="Técnico III","35",IF(C303="Técnico II","28",IF(C303="Técnico I","23",IF(C303="JR","20",IF(C303="Estágio","10",)))))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0</v>
      </c>
      <c r="N303" t="n">
        <v>0</v>
      </c>
      <c r="O303" t="n">
        <v>0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IF(C304="Técnico III","35",IF(C304="Técnico II","28",IF(C304="Técnico I","23",IF(C304="JR","20",IF(C304="Estágio","10",)))))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15.94202898550724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IF(C305="Técnico III","35",IF(C305="Técnico II","28",IF(C305="Técnico I","23",IF(C305="JR","20",IF(C305="Estágio","10",)))))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0</v>
      </c>
      <c r="N305" t="n">
        <v>0</v>
      </c>
      <c r="O305" t="n">
        <v>0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IF(C306="Técnico III","35",IF(C306="Técnico II","28",IF(C306="Técnico I","23",IF(C306="JR","20",IF(C306="Estágio","10",)))))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15.13761467889908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IF(C307="Técnico III","35",IF(C307="Técnico II","28",IF(C307="Técnico I","23",IF(C307="JR","20",IF(C307="Estágio","10",)))))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0</v>
      </c>
      <c r="N307" t="n">
        <v>0</v>
      </c>
      <c r="O307" t="n">
        <v>0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IF(C308="Técnico III","35",IF(C308="Técnico II","28",IF(C308="Técnico I","23",IF(C308="JR","20",IF(C308="Estágio","10",)))))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99.17</v>
      </c>
      <c r="O308" t="n">
        <v>19.7215777262181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IF(C309="Técnico III","35",IF(C309="Técnico II","28",IF(C309="Técnico I","23",IF(C309="JR","20",IF(C309="Estágio","10",)))))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14.35643564356435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IF(C310="Técnico III","35",IF(C310="Técnico II","28",IF(C310="Técnico I","23",IF(C310="JR","20",IF(C310="Estágio","10",)))))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97.06</v>
      </c>
      <c r="O310" t="n">
        <v>14.42307692307692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IF(C311="Técnico III","35",IF(C311="Técnico II","28",IF(C311="Técnico I","23",IF(C311="JR","20",IF(C311="Estágio","10",)))))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98.81999999999999</v>
      </c>
      <c r="O311" s="3" t="n">
        <v>18.33333333333333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IF(C313="Técnico III","35",IF(C313="Técnico II","28",IF(C313="Técnico I","23",IF(C313="JR","20",IF(C313="Estágio","10",)))))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95.04000000000001</v>
      </c>
      <c r="O313" s="3" t="n">
        <v>19.95192307692308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IF(C314="Técnico III","35",IF(C314="Técnico II","28",IF(C314="Técnico I","23",IF(C314="JR","20",IF(C314="Estágio","10",)))))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96.15000000000001</v>
      </c>
      <c r="O314" t="n">
        <v>17.4496644295302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IF(C315="Técnico III","35",IF(C315="Técnico II","28",IF(C315="Técnico I","23",IF(C315="JR","20",IF(C315="Estágio","10",)))))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0</v>
      </c>
      <c r="N315" t="n">
        <v>0</v>
      </c>
      <c r="O315" t="n">
        <v>0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IF(C316="Técnico III","35",IF(C316="Técnico II","28",IF(C316="Técnico I","23",IF(C316="JR","20",IF(C316="Estágio","10",)))))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98.73</v>
      </c>
      <c r="O316" t="n">
        <v>16.3323782234957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IF(C317="Técnico III","35",IF(C317="Técnico II","28",IF(C317="Técnico I","23",IF(C317="JR","20",IF(C317="Estágio","10",)))))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96.51000000000001</v>
      </c>
      <c r="O317" t="n">
        <v>17.43119266055046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IF(C318="Técnico III","35",IF(C318="Técnico II","28",IF(C318="Técnico I","23",IF(C318="JR","20",IF(C318="Estágio","10",)))))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92.8</v>
      </c>
      <c r="O318" t="n">
        <v>19.51807228915663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IF(C319="Técnico III","35",IF(C319="Técnico II","28",IF(C319="Técnico I","23",IF(C319="JR","20",IF(C319="Estágio","10",)))))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98.61</v>
      </c>
      <c r="O319" t="n">
        <v>18.30357142857143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IF(C320="Técnico III","35",IF(C320="Técnico II","28",IF(C320="Técnico I","23",IF(C320="JR","20",IF(C320="Estágio","10",)))))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17.82608695652174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IF(C321="Técnico III","35",IF(C321="Técnico II","28",IF(C321="Técnico I","23",IF(C321="JR","20",IF(C321="Estágio","10",)))))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</v>
      </c>
      <c r="O321" t="n">
        <v>22.17898832684825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IF(C322="Técnico III","35",IF(C322="Técnico II","28",IF(C322="Técnico I","23",IF(C322="JR","20",IF(C322="Estágio","10",)))))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0</v>
      </c>
      <c r="N322" t="n">
        <v>0</v>
      </c>
      <c r="O322" t="n">
        <v>0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100</v>
      </c>
      <c r="O323" t="n">
        <v>9.090909090909092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100</v>
      </c>
      <c r="O324" t="n">
        <v>17.24137931034483</v>
      </c>
    </row>
    <row r="325" hidden="1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IF(C325="Técnico III","35",IF(C325="Técnico II","28",IF(C325="Técnico I","23",IF(C325="JR","20",IF(C325="Estágio","10",)))))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98.75</v>
      </c>
      <c r="O325" t="n">
        <v>15.05791505791506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IF(C326="Técnico III","35",IF(C326="Técnico II","28",IF(C326="Técnico I","23",IF(C326="JR","20",IF(C326="Estágio","10",)))))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98.39</v>
      </c>
      <c r="O326" t="n">
        <v>13.24921135646688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IF(C327="Técnico III","35",IF(C327="Técnico II","28",IF(C327="Técnico I","23",IF(C327="JR","20",IF(C327="Estágio","10",)))))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98.54000000000001</v>
      </c>
      <c r="O327" t="n">
        <v>15.87301587301587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IF(C328="Técnico III","35",IF(C328="Técnico II","28",IF(C328="Técnico I","23",IF(C328="JR","20",IF(C328="Estágio","10",)))))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94.67</v>
      </c>
      <c r="O328" t="n">
        <v>18.28254847645429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IF(C329="Técnico III","35",IF(C329="Técnico II","28",IF(C329="Técnico I","23",IF(C329="JR","20",IF(C329="Estágio","10",)))))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98.51000000000001</v>
      </c>
      <c r="O329" t="n">
        <v>15.92356687898089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IF(C331="Técnico III","35",IF(C331="Técnico II","28",IF(C331="Técnico I","23",IF(C331="JR","20",IF(C331="Estágio","10",)))))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96.72</v>
      </c>
      <c r="O331" t="n">
        <v>13.19444444444444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IF(C332="Técnico III","35",IF(C332="Técnico II","28",IF(C332="Técnico I","23",IF(C332="JR","20",IF(C332="Estágio","10",)))))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95.31</v>
      </c>
      <c r="O332" t="n">
        <v>10.28368794326241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100</v>
      </c>
      <c r="O333" t="n">
        <v>15.4320987654321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IF(C334="Técnico III","35",IF(C334="Técnico II","28",IF(C334="Técnico I","23",IF(C334="JR","20",IF(C334="Estágio","10",)))))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14.20765027322404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IF(C335="Técnico III","35",IF(C335="Técnico II","28",IF(C335="Técnico I","23",IF(C335="JR","20",IF(C335="Estágio","10",)))))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98.48</v>
      </c>
      <c r="O335" t="n">
        <v>15.87301587301587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IF(C336="Técnico III","35",IF(C336="Técnico II","28",IF(C336="Técnico I","23",IF(C336="JR","20",IF(C336="Estágio","10",)))))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18.80877742946709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100</v>
      </c>
      <c r="O337" t="n">
        <v>0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IF(C338="Técnico III","35",IF(C338="Técnico II","28",IF(C338="Técnico I","23",IF(C338="JR","20",IF(C338="Estágio","10",)))))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93.98</v>
      </c>
      <c r="O338" t="n">
        <v>19.19504643962848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IF(C339="Técnico III","35",IF(C339="Técnico II","28",IF(C339="Técnico I","23",IF(C339="JR","20",IF(C339="Estágio","10",)))))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99.04000000000001</v>
      </c>
      <c r="O339" t="n">
        <v>16.93121693121693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IF(C340="Técnico III","35",IF(C340="Técnico II","28",IF(C340="Técnico I","23",IF(C340="JR","20",IF(C340="Estágio","10",)))))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96.3</v>
      </c>
      <c r="O340" t="n">
        <v>19.56521739130435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IF(C341="Técnico III","35",IF(C341="Técnico II","28",IF(C341="Técnico I","23",IF(C341="JR","20",IF(C341="Estágio","10",)))))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34.61538461538461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IF(C342="Técnico III","35",IF(C342="Técnico II","28",IF(C342="Técnico I","23",IF(C342="JR","20",IF(C342="Estágio","10",)))))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9.433962264150944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IF(C343="Técnico III","35",IF(C343="Técnico II","28",IF(C343="Técnico I","23",IF(C343="JR","20",IF(C343="Estágio","10",)))))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0</v>
      </c>
      <c r="N343" t="n">
        <v>0</v>
      </c>
      <c r="O343" t="n">
        <v>0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IF(C344="Técnico III","35",IF(C344="Técnico II","28",IF(C344="Técnico I","23",IF(C344="JR","20",IF(C344="Estágio","10",)))))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97.95999999999999</v>
      </c>
      <c r="O344" t="n">
        <v>19.04761904761905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IF(C345="Técnico III","35",IF(C345="Técnico II","28",IF(C345="Técnico I","23",IF(C345="JR","20",IF(C345="Estágio","10",)))))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98.25</v>
      </c>
      <c r="O345" t="n">
        <v>9.117647058823529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IF(C346="Técnico III","35",IF(C346="Técnico II","28",IF(C346="Técnico I","23",IF(C346="JR","20",IF(C346="Estágio","10",)))))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96.91</v>
      </c>
      <c r="O346" t="n">
        <v>17.32283464566929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IF(C347="Técnico III","35",IF(C347="Técnico II","28",IF(C347="Técnico I","23",IF(C347="JR","20",IF(C347="Estágio","10",)))))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0</v>
      </c>
      <c r="N347" t="n">
        <v>0</v>
      </c>
      <c r="O347" t="n">
        <v>0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IF(C348="Técnico III","35",IF(C348="Técnico II","28",IF(C348="Técnico I","23",IF(C348="JR","20",IF(C348="Estágio","10",)))))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15.94202898550724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IF(C349="Técnico III","35",IF(C349="Técnico II","28",IF(C349="Técnico I","23",IF(C349="JR","20",IF(C349="Estágio","10",)))))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0</v>
      </c>
      <c r="N349" t="n">
        <v>0</v>
      </c>
      <c r="O349" t="n">
        <v>0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IF(C350="Técnico III","35",IF(C350="Técnico II","28",IF(C350="Técnico I","23",IF(C350="JR","20",IF(C350="Estágio","10",)))))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15.13761467889908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IF(C351="Técnico III","35",IF(C351="Técnico II","28",IF(C351="Técnico I","23",IF(C351="JR","20",IF(C351="Estágio","10",)))))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0</v>
      </c>
      <c r="N351" t="n">
        <v>0</v>
      </c>
      <c r="O351" t="n">
        <v>0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IF(C352="Técnico III","35",IF(C352="Técnico II","28",IF(C352="Técnico I","23",IF(C352="JR","20",IF(C352="Estágio","10",)))))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99.17</v>
      </c>
      <c r="O352" t="n">
        <v>19.7215777262181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IF(C353="Técnico III","35",IF(C353="Técnico II","28",IF(C353="Técnico I","23",IF(C353="JR","20",IF(C353="Estágio","10",)))))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14.35643564356435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IF(C354="Técnico III","35",IF(C354="Técnico II","28",IF(C354="Técnico I","23",IF(C354="JR","20",IF(C354="Estágio","10",)))))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97.06</v>
      </c>
      <c r="O354" t="n">
        <v>14.42307692307692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IF(C355="Técnico III","35",IF(C355="Técnico II","28",IF(C355="Técnico I","23",IF(C355="JR","20",IF(C355="Estágio","10",)))))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98.81999999999999</v>
      </c>
      <c r="O355" s="3" t="n">
        <v>18.33333333333333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IF(C357="Técnico III","35",IF(C357="Técnico II","28",IF(C357="Técnico I","23",IF(C357="JR","20",IF(C357="Estágio","10",)))))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95.04000000000001</v>
      </c>
      <c r="O357" s="3" t="n">
        <v>19.95192307692308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IF(C358="Técnico III","35",IF(C358="Técnico II","28",IF(C358="Técnico I","23",IF(C358="JR","20",IF(C358="Estágio","10",)))))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96.15000000000001</v>
      </c>
      <c r="O358" t="n">
        <v>17.4496644295302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IF(C359="Técnico III","35",IF(C359="Técnico II","28",IF(C359="Técnico I","23",IF(C359="JR","20",IF(C359="Estágio","10",)))))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0</v>
      </c>
      <c r="N359" t="n">
        <v>0</v>
      </c>
      <c r="O359" t="n">
        <v>0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IF(C360="Técnico III","35",IF(C360="Técnico II","28",IF(C360="Técnico I","23",IF(C360="JR","20",IF(C360="Estágio","10",)))))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98.73</v>
      </c>
      <c r="O360" t="n">
        <v>16.3323782234957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IF(C361="Técnico III","35",IF(C361="Técnico II","28",IF(C361="Técnico I","23",IF(C361="JR","20",IF(C361="Estágio","10",)))))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96.51000000000001</v>
      </c>
      <c r="O361" t="n">
        <v>17.43119266055046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IF(C362="Técnico III","35",IF(C362="Técnico II","28",IF(C362="Técnico I","23",IF(C362="JR","20",IF(C362="Estágio","10",)))))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</v>
      </c>
      <c r="O362" t="n">
        <v>19.51807228915663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IF(C363="Técnico III","35",IF(C363="Técnico II","28",IF(C363="Técnico I","23",IF(C363="JR","20",IF(C363="Estágio","10",)))))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98.61</v>
      </c>
      <c r="O363" t="n">
        <v>18.30357142857143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IF(C364="Técnico III","35",IF(C364="Técnico II","28",IF(C364="Técnico I","23",IF(C364="JR","20",IF(C364="Estágio","10",)))))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17.82608695652174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IF(C365="Técnico III","35",IF(C365="Técnico II","28",IF(C365="Técnico I","23",IF(C365="JR","20",IF(C365="Estágio","10",)))))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</v>
      </c>
      <c r="O365" t="n">
        <v>22.17898832684825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IF(C366="Técnico III","35",IF(C366="Técnico II","28",IF(C366="Técnico I","23",IF(C366="JR","20",IF(C366="Estágio","10",)))))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0</v>
      </c>
      <c r="N366" t="n">
        <v>0</v>
      </c>
      <c r="O366" t="n">
        <v>0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9.090909090909092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17.24137931034483</v>
      </c>
    </row>
    <row r="369" hidden="1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IF(C369="Técnico III","35",IF(C369="Técnico II","28",IF(C369="Técnico I","23",IF(C369="JR","20",IF(C369="Estágio","10",)))))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98.75</v>
      </c>
      <c r="O369" t="n">
        <v>15.05791505791506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IF(C370="Técnico III","35",IF(C370="Técnico II","28",IF(C370="Técnico I","23",IF(C370="JR","20",IF(C370="Estágio","10",)))))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98.39</v>
      </c>
      <c r="O370" t="n">
        <v>13.24921135646688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IF(C371="Técnico III","35",IF(C371="Técnico II","28",IF(C371="Técnico I","23",IF(C371="JR","20",IF(C371="Estágio","10",)))))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98.54000000000001</v>
      </c>
      <c r="O371" t="n">
        <v>15.87301587301587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IF(C372="Técnico III","35",IF(C372="Técnico II","28",IF(C372="Técnico I","23",IF(C372="JR","20",IF(C372="Estágio","10",)))))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94.67</v>
      </c>
      <c r="O372" t="n">
        <v>18.28254847645429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IF(C373="Técnico III","35",IF(C373="Técnico II","28",IF(C373="Técnico I","23",IF(C373="JR","20",IF(C373="Estágio","10",)))))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98.51000000000001</v>
      </c>
      <c r="O373" t="n">
        <v>15.92356687898089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IF(C375="Técnico III","35",IF(C375="Técnico II","28",IF(C375="Técnico I","23",IF(C375="JR","20",IF(C375="Estágio","10",)))))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96.72</v>
      </c>
      <c r="O375" t="n">
        <v>13.19444444444444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IF(C376="Técnico III","35",IF(C376="Técnico II","28",IF(C376="Técnico I","23",IF(C376="JR","20",IF(C376="Estágio","10",)))))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95.31</v>
      </c>
      <c r="O376" t="n">
        <v>10.28368794326241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IF(C377="Técnico III","35",IF(C377="Técnico II","28",IF(C377="Técnico I","23",IF(C377="JR","20",IF(C377="Estágio","10",)))))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15.4320987654321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IF(C378="Técnico III","35",IF(C378="Técnico II","28",IF(C378="Técnico I","23",IF(C378="JR","20",IF(C378="Estágio","10",)))))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14.20765027322404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IF(C379="Técnico III","35",IF(C379="Técnico II","28",IF(C379="Técnico I","23",IF(C379="JR","20",IF(C379="Estágio","10",)))))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98.48</v>
      </c>
      <c r="O379" t="n">
        <v>15.87301587301587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IF(C380="Técnico III","35",IF(C380="Técnico II","28",IF(C380="Técnico I","23",IF(C380="JR","20",IF(C380="Estágio","10",)))))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18.80877742946709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0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IF(C382="Técnico III","35",IF(C382="Técnico II","28",IF(C382="Técnico I","23",IF(C382="JR","20",IF(C382="Estágio","10",)))))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93.98</v>
      </c>
      <c r="O382" t="n">
        <v>19.19504643962848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IF(C383="Técnico III","35",IF(C383="Técnico II","28",IF(C383="Técnico I","23",IF(C383="JR","20",IF(C383="Estágio","10",)))))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99.04000000000001</v>
      </c>
      <c r="O383" t="n">
        <v>16.93121693121693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IF(C384="Técnico III","35",IF(C384="Técnico II","28",IF(C384="Técnico I","23",IF(C384="JR","20",IF(C384="Estágio","10",)))))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98.25</v>
      </c>
      <c r="O384" t="n">
        <v>9.117647058823529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IF(C385="Técnico III","35",IF(C385="Técnico II","28",IF(C385="Técnico I","23",IF(C385="JR","20",IF(C385="Estágio","10",)))))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96.91</v>
      </c>
      <c r="O385" t="n">
        <v>17.32283464566929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IF(C386="Técnico III","35",IF(C386="Técnico II","28",IF(C386="Técnico I","23",IF(C386="JR","20",IF(C386="Estágio","10",)))))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96.3</v>
      </c>
      <c r="O386" t="n">
        <v>19.56521739130435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IF(C387="Técnico III","35",IF(C387="Técnico II","28",IF(C387="Técnico I","23",IF(C387="JR","20",IF(C387="Estágio","10",)))))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34.61538461538461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IF(C388="Técnico III","35",IF(C388="Técnico II","28",IF(C388="Técnico I","23",IF(C388="JR","20",IF(C388="Estágio","10",)))))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9.433962264150944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IF(C389="Técnico III","35",IF(C389="Técnico II","28",IF(C389="Técnico I","23",IF(C389="JR","20",IF(C389="Estágio","10",)))))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0</v>
      </c>
      <c r="N389" t="n">
        <v>0</v>
      </c>
      <c r="O389" t="n">
        <v>0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IF(C390="Técnico III","35",IF(C390="Técnico II","28",IF(C390="Técnico I","23",IF(C390="JR","20",IF(C390="Estágio","10",)))))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97.95999999999999</v>
      </c>
      <c r="O390" t="n">
        <v>19.04761904761905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IF(C391="Técnico III","35",IF(C391="Técnico II","28",IF(C391="Técnico I","23",IF(C391="JR","20",IF(C391="Estágio","10",)))))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0</v>
      </c>
      <c r="N391" t="n">
        <v>0</v>
      </c>
      <c r="O391" t="n">
        <v>0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IF(C392="Técnico III","35",IF(C392="Técnico II","28",IF(C392="Técnico I","23",IF(C392="JR","20",IF(C392="Estágio","10",)))))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15.94202898550724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IF(C393="Técnico III","35",IF(C393="Técnico II","28",IF(C393="Técnico I","23",IF(C393="JR","20",IF(C393="Estágio","10",)))))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0</v>
      </c>
      <c r="N393" t="n">
        <v>0</v>
      </c>
      <c r="O393" t="n">
        <v>0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IF(C394="Técnico III","35",IF(C394="Técnico II","28",IF(C394="Técnico I","23",IF(C394="JR","20",IF(C394="Estágio","10",)))))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15.13761467889908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IF(C395="Técnico III","35",IF(C395="Técnico II","28",IF(C395="Técnico I","23",IF(C395="JR","20",IF(C395="Estágio","10",)))))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0</v>
      </c>
      <c r="N395" t="n">
        <v>0</v>
      </c>
      <c r="O395" t="n">
        <v>0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IF(C396="Técnico III","35",IF(C396="Técnico II","28",IF(C396="Técnico I","23",IF(C396="JR","20",IF(C396="Estágio","10",)))))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99.17</v>
      </c>
      <c r="O396" t="n">
        <v>19.7215777262181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IF(C397="Técnico III","35",IF(C397="Técnico II","28",IF(C397="Técnico I","23",IF(C397="JR","20",IF(C397="Estágio","10",)))))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14.35643564356435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IF(C398="Técnico III","35",IF(C398="Técnico II","28",IF(C398="Técnico I","23",IF(C398="JR","20",IF(C398="Estágio","10",)))))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97.06</v>
      </c>
      <c r="O398" t="n">
        <v>14.42307692307692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IF(C399="Técnico III","35",IF(C399="Técnico II","28",IF(C399="Técnico I","23",IF(C399="JR","20",IF(C399="Estágio","10",)))))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98.81999999999999</v>
      </c>
      <c r="O399" s="3" t="n">
        <v>18.33333333333333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IF(C401="Técnico III","35",IF(C401="Técnico II","28",IF(C401="Técnico I","23",IF(C401="JR","20",IF(C401="Estágio","10",)))))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95.04000000000001</v>
      </c>
      <c r="O401" s="3" t="n">
        <v>19.95192307692308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IF(C402="Técnico III","35",IF(C402="Técnico II","28",IF(C402="Técnico I","23",IF(C402="JR","20",IF(C402="Estágio","10",)))))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96.15000000000001</v>
      </c>
      <c r="O402" t="n">
        <v>17.4496644295302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IF(C403="Técnico III","35",IF(C403="Técnico II","28",IF(C403="Técnico I","23",IF(C403="JR","20",IF(C403="Estágio","10",)))))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0</v>
      </c>
      <c r="N403" t="n">
        <v>0</v>
      </c>
      <c r="O403" t="n">
        <v>0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IF(C404="Técnico III","35",IF(C404="Técnico II","28",IF(C404="Técnico I","23",IF(C404="JR","20",IF(C404="Estágio","10",)))))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98.73</v>
      </c>
      <c r="O404" t="n">
        <v>16.3323782234957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IF(C405="Técnico III","35",IF(C405="Técnico II","28",IF(C405="Técnico I","23",IF(C405="JR","20",IF(C405="Estágio","10",)))))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96.51000000000001</v>
      </c>
      <c r="O405" t="n">
        <v>17.43119266055046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IF(C406="Técnico III","35",IF(C406="Técnico II","28",IF(C406="Técnico I","23",IF(C406="JR","20",IF(C406="Estágio","10",)))))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92.8</v>
      </c>
      <c r="O406" t="n">
        <v>19.51807228915663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IF(C407="Técnico III","35",IF(C407="Técnico II","28",IF(C407="Técnico I","23",IF(C407="JR","20",IF(C407="Estágio","10",)))))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98.61</v>
      </c>
      <c r="O407" t="n">
        <v>18.30357142857143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IF(C408="Técnico III","35",IF(C408="Técnico II","28",IF(C408="Técnico I","23",IF(C408="JR","20",IF(C408="Estágio","10",)))))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17.82608695652174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IF(C409="Técnico III","35",IF(C409="Técnico II","28",IF(C409="Técnico I","23",IF(C409="JR","20",IF(C409="Estágio","10",)))))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</v>
      </c>
      <c r="O409" t="n">
        <v>22.17898832684825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IF(C410="Técnico III","35",IF(C410="Técnico II","28",IF(C410="Técnico I","23",IF(C410="JR","20",IF(C410="Estágio","10",)))))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0</v>
      </c>
      <c r="N410" t="n">
        <v>0</v>
      </c>
      <c r="O410" t="n">
        <v>0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100</v>
      </c>
      <c r="O411" t="n">
        <v>17.24137931034483</v>
      </c>
    </row>
    <row r="412" hidden="1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IF(C412="Técnico III","35",IF(C412="Técnico II","28",IF(C412="Técnico I","23",IF(C412="JR","20",IF(C412="Estágio","10",)))))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98.75</v>
      </c>
      <c r="O412" t="n">
        <v>15.05791505791506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IF(C413="Técnico III","35",IF(C413="Técnico II","28",IF(C413="Técnico I","23",IF(C413="JR","20",IF(C413="Estágio","10",)))))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98.39</v>
      </c>
      <c r="O413" t="n">
        <v>13.24921135646688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IF(C414="Técnico III","35",IF(C414="Técnico II","28",IF(C414="Técnico I","23",IF(C414="JR","20",IF(C414="Estágio","10",)))))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98.54000000000001</v>
      </c>
      <c r="O414" t="n">
        <v>15.87301587301587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IF(C415="Técnico III","35",IF(C415="Técnico II","28",IF(C415="Técnico I","23",IF(C415="JR","20",IF(C415="Estágio","10",)))))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94.67</v>
      </c>
      <c r="O415" t="n">
        <v>18.28254847645429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IF(C416="Técnico III","35",IF(C416="Técnico II","28",IF(C416="Técnico I","23",IF(C416="JR","20",IF(C416="Estágio","10",)))))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98.51000000000001</v>
      </c>
      <c r="O416" t="n">
        <v>15.92356687898089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IF(C418="Técnico III","35",IF(C418="Técnico II","28",IF(C418="Técnico I","23",IF(C418="JR","20",IF(C418="Estágio","10",)))))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96.72</v>
      </c>
      <c r="O418" t="n">
        <v>13.19444444444444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IF(C419="Técnico III","35",IF(C419="Técnico II","28",IF(C419="Técnico I","23",IF(C419="JR","20",IF(C419="Estágio","10",)))))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15.4320987654321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IF(C420="Técnico III","35",IF(C420="Técnico II","28",IF(C420="Técnico I","23",IF(C420="JR","20",IF(C420="Estágio","10",)))))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14.20765027322404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IF(C421="Técnico III","35",IF(C421="Técnico II","28",IF(C421="Técnico I","23",IF(C421="JR","20",IF(C421="Estágio","10",)))))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98.48</v>
      </c>
      <c r="O421" t="n">
        <v>15.87301587301587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IF(C422="Técnico III","35",IF(C422="Técnico II","28",IF(C422="Técnico I","23",IF(C422="JR","20",IF(C422="Estágio","10",)))))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18.80877742946709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100</v>
      </c>
      <c r="O423" t="n">
        <v>0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IF(C424="Técnico III","35",IF(C424="Técnico II","28",IF(C424="Técnico I","23",IF(C424="JR","20",IF(C424="Estágio","10",)))))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93.98</v>
      </c>
      <c r="O424" t="n">
        <v>19.19504643962848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IF(C425="Técnico III","35",IF(C425="Técnico II","28",IF(C425="Técnico I","23",IF(C425="JR","20",IF(C425="Estágio","10",)))))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98.25</v>
      </c>
      <c r="O425" t="n">
        <v>9.117647058823529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IF(C426="Técnico III","35",IF(C426="Técnico II","28",IF(C426="Técnico I","23",IF(C426="JR","20",IF(C426="Estágio","10",)))))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96.91</v>
      </c>
      <c r="O426" t="n">
        <v>17.32283464566929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IF(C427="Técnico III","35",IF(C427="Técnico II","28",IF(C427="Técnico I","23",IF(C427="JR","20",IF(C427="Estágio","10",)))))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99.04000000000001</v>
      </c>
      <c r="O427" t="n">
        <v>16.93121693121693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IF(C428="Técnico III","35",IF(C428="Técnico II","28",IF(C428="Técnico I","23",IF(C428="JR","20",IF(C428="Estágio","10",)))))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96.3</v>
      </c>
      <c r="O428" t="n">
        <v>19.56521739130435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IF(C429="Técnico III","35",IF(C429="Técnico II","28",IF(C429="Técnico I","23",IF(C429="JR","20",IF(C429="Estágio","10",)))))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34.61538461538461</v>
      </c>
    </row>
    <row r="430" hidden="1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IF(C430="Técnico III","35",IF(C430="Técnico II","28",IF(C430="Técnico I","23",IF(C430="JR","20",IF(C430="Estágio","10",)))))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0</v>
      </c>
      <c r="N430" t="n">
        <v>0</v>
      </c>
      <c r="O430" t="n">
        <v>0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IF(C431="Técnico III","35",IF(C431="Técnico II","28",IF(C431="Técnico I","23",IF(C431="JR","20",IF(C431="Estágio","10",)))))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9.433962264150944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IF(C432="Técnico III","35",IF(C432="Técnico II","28",IF(C432="Técnico I","23",IF(C432="JR","20",IF(C432="Estágio","10",)))))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0</v>
      </c>
      <c r="N432" t="n">
        <v>0</v>
      </c>
      <c r="O432" t="n">
        <v>0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IF(C433="Técnico III","35",IF(C433="Técnico II","28",IF(C433="Técnico I","23",IF(C433="JR","20",IF(C433="Estágio","10",)))))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97.95999999999999</v>
      </c>
      <c r="O433" t="n">
        <v>19.04761904761905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IF(C434="Técnico III","35",IF(C434="Técnico II","28",IF(C434="Técnico I","23",IF(C434="JR","20",IF(C434="Estágio","10",)))))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0</v>
      </c>
      <c r="N434" t="n">
        <v>0</v>
      </c>
      <c r="O434" t="n">
        <v>0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IF(C435="Técnico III","35",IF(C435="Técnico II","28",IF(C435="Técnico I","23",IF(C435="JR","20",IF(C435="Estágio","10",)))))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15.94202898550724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IF(C436="Técnico III","35",IF(C436="Técnico II","28",IF(C436="Técnico I","23",IF(C436="JR","20",IF(C436="Estágio","10",)))))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0</v>
      </c>
      <c r="N436" t="n">
        <v>0</v>
      </c>
      <c r="O436" t="n">
        <v>0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IF(C437="Técnico III","35",IF(C437="Técnico II","28",IF(C437="Técnico I","23",IF(C437="JR","20",IF(C437="Estágio","10",)))))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15.13761467889908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IF(C438="Técnico III","35",IF(C438="Técnico II","28",IF(C438="Técnico I","23",IF(C438="JR","20",IF(C438="Estágio","10",)))))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0</v>
      </c>
      <c r="N438" t="n">
        <v>0</v>
      </c>
      <c r="O438" t="n">
        <v>0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IF(C439="Técnico III","35",IF(C439="Técnico II","28",IF(C439="Técnico I","23",IF(C439="JR","20",IF(C439="Estágio","10",)))))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99.17</v>
      </c>
      <c r="O439" t="n">
        <v>19.7215777262181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IF(C440="Técnico III","35",IF(C440="Técnico II","28",IF(C440="Técnico I","23",IF(C440="JR","20",IF(C440="Estágio","10",)))))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14.35643564356435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IF(C441="Técnico III","35",IF(C441="Técnico II","28",IF(C441="Técnico I","23",IF(C441="JR","20",IF(C441="Estágio","10",)))))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97.06</v>
      </c>
      <c r="O441" t="n">
        <v>14.42307692307692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IF(C442="Técnico III","35",IF(C442="Técnico II","28",IF(C442="Técnico I","23",IF(C442="JR","20",IF(C442="Estágio","10",)))))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98.81999999999999</v>
      </c>
      <c r="O442" s="3" t="n">
        <v>18.33333333333333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IF(C444="Técnico III","35",IF(C444="Técnico II","28",IF(C444="Técnico I","23",IF(C444="JR","20",IF(C444="Estágio","10",)))))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95.04000000000001</v>
      </c>
      <c r="O444" s="3" t="n">
        <v>19.95192307692308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96.15000000000001</v>
      </c>
      <c r="O445" t="n">
        <v>17.4496644295302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IF(C446="Técnico III","35",IF(C446="Técnico II","28",IF(C446="Técnico I","23",IF(C446="JR","20",IF(C446="Estágio","10",)))))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99.04000000000001</v>
      </c>
      <c r="O446" t="n">
        <v>16.93121693121693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IF(C447="Técnico III","35",IF(C447="Técnico II","28",IF(C447="Técnico I","23",IF(C447="JR","20",IF(C447="Estágio","10",)))))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0</v>
      </c>
      <c r="N447" t="n">
        <v>0</v>
      </c>
      <c r="O447" t="n">
        <v>0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IF(C448="Técnico III","35",IF(C448="Técnico II","28",IF(C448="Técnico I","23",IF(C448="JR","20",IF(C448="Estágio","10",)))))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98.73</v>
      </c>
      <c r="O448" t="n">
        <v>16.3323782234957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IF(C449="Técnico III","35",IF(C449="Técnico II","28",IF(C449="Técnico I","23",IF(C449="JR","20",IF(C449="Estágio","10",)))))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96.51000000000001</v>
      </c>
      <c r="O449" t="n">
        <v>17.43119266055046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IF(C450="Técnico III","35",IF(C450="Técnico II","28",IF(C450="Técnico I","23",IF(C450="JR","20",IF(C450="Estágio","10",)))))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92.8</v>
      </c>
      <c r="O450" t="n">
        <v>19.51807228915663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98.61</v>
      </c>
      <c r="O451" t="n">
        <v>18.30357142857143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IF(C452="Técnico III","35",IF(C452="Técnico II","28",IF(C452="Técnico I","23",IF(C452="JR","20",IF(C452="Estágio","10",)))))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17.82608695652174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99</v>
      </c>
      <c r="O453" t="n">
        <v>22.17898832684825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IF(C454="Técnico III","35",IF(C454="Técnico II","28",IF(C454="Técnico I","23",IF(C454="JR","20",IF(C454="Estágio","10",)))))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0</v>
      </c>
      <c r="N454" t="n">
        <v>0</v>
      </c>
      <c r="O454" t="n">
        <v>0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17.24137931034483</v>
      </c>
    </row>
    <row r="456" hidden="1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IF(C456="Técnico III","35",IF(C456="Técnico II","28",IF(C456="Técnico I","23",IF(C456="JR","20",IF(C456="Estágio","10",)))))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98.75</v>
      </c>
      <c r="O456" t="n">
        <v>15.05791505791506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IF(C457="Técnico III","35",IF(C457="Técnico II","28",IF(C457="Técnico I","23",IF(C457="JR","20",IF(C457="Estágio","10",)))))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98.39</v>
      </c>
      <c r="O457" t="n">
        <v>13.24921135646688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IF(C458="Técnico III","35",IF(C458="Técnico II","28",IF(C458="Técnico I","23",IF(C458="JR","20",IF(C458="Estágio","10",)))))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98.54000000000001</v>
      </c>
      <c r="O458" t="n">
        <v>15.87301587301587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IF(C459="Técnico III","35",IF(C459="Técnico II","28",IF(C459="Técnico I","23",IF(C459="JR","20",IF(C459="Estágio","10",)))))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94.67</v>
      </c>
      <c r="O459" t="n">
        <v>18.28254847645429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IF(C460="Técnico III","35",IF(C460="Técnico II","28",IF(C460="Técnico I","23",IF(C460="JR","20",IF(C460="Estágio","10",)))))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98.51000000000001</v>
      </c>
      <c r="O460" t="n">
        <v>15.92356687898089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IF(C462="Técnico III","35",IF(C462="Técnico II","28",IF(C462="Técnico I","23",IF(C462="JR","20",IF(C462="Estágio","10",)))))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96.72</v>
      </c>
      <c r="O462" t="n">
        <v>13.19444444444444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IF(C463="Técnico III","35",IF(C463="Técnico II","28",IF(C463="Técnico I","23",IF(C463="JR","20",IF(C463="Estágio","10",)))))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95.31</v>
      </c>
      <c r="O463" t="n">
        <v>10.28368794326241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IF(C464="Técnico III","35",IF(C464="Técnico II","28",IF(C464="Técnico I","23",IF(C464="JR","20",IF(C464="Estágio","10",)))))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15.4320987654321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IF(C465="Técnico III","35",IF(C465="Técnico II","28",IF(C465="Técnico I","23",IF(C465="JR","20",IF(C465="Estágio","10",)))))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14.20765027322404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IF(C466="Técnico III","35",IF(C466="Técnico II","28",IF(C466="Técnico I","23",IF(C466="JR","20",IF(C466="Estágio","10",)))))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98.48</v>
      </c>
      <c r="O466" t="n">
        <v>15.87301587301587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IF(C467="Técnico III","35",IF(C467="Técnico II","28",IF(C467="Técnico I","23",IF(C467="JR","20",IF(C467="Estágio","10",)))))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18.80877742946709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100</v>
      </c>
      <c r="O468" t="n">
        <v>0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IF(C469="Técnico III","35",IF(C469="Técnico II","28",IF(C469="Técnico I","23",IF(C469="JR","20",IF(C469="Estágio","10",)))))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93.98</v>
      </c>
      <c r="O469" t="n">
        <v>19.19504643962848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IF(C470="Técnico III","35",IF(C470="Técnico II","28",IF(C470="Técnico I","23",IF(C470="JR","20",IF(C470="Estágio","10",)))))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98.25</v>
      </c>
      <c r="O470" t="n">
        <v>9.117647058823529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IF(C471="Técnico III","35",IF(C471="Técnico II","28",IF(C471="Técnico I","23",IF(C471="JR","20",IF(C471="Estágio","10",)))))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96.91</v>
      </c>
      <c r="O471" t="n">
        <v>17.32283464566929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IF(C472="Técnico III","35",IF(C472="Técnico II","28",IF(C472="Técnico I","23",IF(C472="JR","20",IF(C472="Estágio","10",)))))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0</v>
      </c>
      <c r="N472" t="n">
        <v>0</v>
      </c>
      <c r="O472" t="n">
        <v>0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IF(C473="Técnico III","35",IF(C473="Técnico II","28",IF(C473="Técnico I","23",IF(C473="JR","20",IF(C473="Estágio","10",)))))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15.94202898550724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IF(C474="Técnico III","35",IF(C474="Técnico II","28",IF(C474="Técnico I","23",IF(C474="JR","20",IF(C474="Estágio","10",)))))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0</v>
      </c>
      <c r="N474" t="n">
        <v>0</v>
      </c>
      <c r="O474" t="n">
        <v>0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IF(C475="Técnico III","35",IF(C475="Técnico II","28",IF(C475="Técnico I","23",IF(C475="JR","20",IF(C475="Estágio","10",)))))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15.13761467889908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IF(C476="Técnico III","35",IF(C476="Técnico II","28",IF(C476="Técnico I","23",IF(C476="JR","20",IF(C476="Estágio","10",)))))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96.3</v>
      </c>
      <c r="O476" t="n">
        <v>19.56521739130435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IF(C477="Técnico III","35",IF(C477="Técnico II","28",IF(C477="Técnico I","23",IF(C477="JR","20",IF(C477="Estágio","10",)))))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34.61538461538461</v>
      </c>
    </row>
    <row r="478" hidden="1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IF(C478="Técnico III","35",IF(C478="Técnico II","28",IF(C478="Técnico I","23",IF(C478="JR","20",IF(C478="Estágio","10",)))))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0</v>
      </c>
      <c r="N478" t="n">
        <v>0</v>
      </c>
      <c r="O478" t="n">
        <v>0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IF(C479="Técnico III","35",IF(C479="Técnico II","28",IF(C479="Técnico I","23",IF(C479="JR","20",IF(C479="Estágio","10",)))))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9.433962264150944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IF(C480="Técnico III","35",IF(C480="Técnico II","28",IF(C480="Técnico I","23",IF(C480="JR","20",IF(C480="Estágio","10",)))))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0</v>
      </c>
      <c r="N480" t="n">
        <v>0</v>
      </c>
      <c r="O480" t="n">
        <v>0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IF(C481="Técnico III","35",IF(C481="Técnico II","28",IF(C481="Técnico I","23",IF(C481="JR","20",IF(C481="Estágio","10",)))))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97.95999999999999</v>
      </c>
      <c r="O481" t="n">
        <v>19.04761904761905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IF(C482="Técnico III","35",IF(C482="Técnico II","28",IF(C482="Técnico I","23",IF(C482="JR","20",IF(C482="Estágio","10",)))))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0</v>
      </c>
      <c r="N482" t="n">
        <v>0</v>
      </c>
      <c r="O482" t="n">
        <v>0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IF(C483="Técnico III","35",IF(C483="Técnico II","28",IF(C483="Técnico I","23",IF(C483="JR","20",IF(C483="Estágio","10",)))))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99.17</v>
      </c>
      <c r="O483" t="n">
        <v>19.7215777262181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IF(C484="Técnico III","35",IF(C484="Técnico II","28",IF(C484="Técnico I","23",IF(C484="JR","20",IF(C484="Estágio","10",)))))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14.35643564356435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IF(C485="Técnico III","35",IF(C485="Técnico II","28",IF(C485="Técnico I","23",IF(C485="JR","20",IF(C485="Estágio","10",)))))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97.06</v>
      </c>
      <c r="O485" t="n">
        <v>14.42307692307692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IF(C486="Técnico III","35",IF(C486="Técnico II","28",IF(C486="Técnico I","23",IF(C486="JR","20",IF(C486="Estágio","10",)))))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98.81999999999999</v>
      </c>
      <c r="O486" s="3" t="n">
        <v>18.33333333333333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IF(C488="Técnico III","35",IF(C488="Técnico II","28",IF(C488="Técnico I","23",IF(C488="JR","20",IF(C488="Estágio","10",)))))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95.04000000000001</v>
      </c>
      <c r="O488" s="3" t="n">
        <v>19.95192307692308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IF(C489="Técnico III","35",IF(C489="Técnico II","28",IF(C489="Técnico I","23",IF(C489="JR","20",IF(C489="Estágio","10",)))))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96.15000000000001</v>
      </c>
      <c r="O489" s="3" t="n">
        <v>17.4496644295302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IF(C490="Técnico III","35",IF(C490="Técnico II","28",IF(C490="Técnico I","23",IF(C490="JR","20",IF(C490="Estágio","10",)))))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99.04000000000001</v>
      </c>
      <c r="O490" t="n">
        <v>16.93121693121693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IF(C491="Técnico III","35",IF(C491="Técnico II","28",IF(C491="Técnico I","23",IF(C491="JR","20",IF(C491="Estágio","10",)))))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0</v>
      </c>
      <c r="N491" t="n">
        <v>0</v>
      </c>
      <c r="O491" t="n">
        <v>0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IF(C492="Técnico III","35",IF(C492="Técnico II","28",IF(C492="Técnico I","23",IF(C492="JR","20",IF(C492="Estágio","10",)))))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98.73</v>
      </c>
      <c r="O492" t="n">
        <v>16.3323782234957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IF(C493="Técnico III","35",IF(C493="Técnico II","28",IF(C493="Técnico I","23",IF(C493="JR","20",IF(C493="Estágio","10",)))))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96.3</v>
      </c>
      <c r="O493" t="n">
        <v>19.56521739130435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IF(C494="Técnico III","35",IF(C494="Técnico II","28",IF(C494="Técnico I","23",IF(C494="JR","20",IF(C494="Estágio","10",)))))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96.51000000000001</v>
      </c>
      <c r="O494" t="n">
        <v>17.43119266055046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IF(C495="Técnico III","35",IF(C495="Técnico II","28",IF(C495="Técnico I","23",IF(C495="JR","20",IF(C495="Estágio","10",)))))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92.8</v>
      </c>
      <c r="O495" t="n">
        <v>19.51807228915663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98.61</v>
      </c>
      <c r="O496" t="n">
        <v>18.30357142857143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IF(C497="Técnico III","35",IF(C497="Técnico II","28",IF(C497="Técnico I","23",IF(C497="JR","20",IF(C497="Estágio","10",)))))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17.82608695652174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99</v>
      </c>
      <c r="O498" t="n">
        <v>22.17898832684825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IF(C499="Técnico III","35",IF(C499="Técnico II","28",IF(C499="Técnico I","23",IF(C499="JR","20",IF(C499="Estágio","10",)))))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34.61538461538461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IF(C500="Técnico III","35",IF(C500="Técnico II","28",IF(C500="Técnico I","23",IF(C500="JR","20",IF(C500="Estágio","10",)))))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0</v>
      </c>
      <c r="N500" t="n">
        <v>0</v>
      </c>
      <c r="O500" t="n">
        <v>0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IF(C501="Técnico III","35",IF(C501="Técnico II","28",IF(C501="Técnico I","23",IF(C501="JR","20",IF(C501="Estágio","10",)))))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9.090909090909092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100</v>
      </c>
      <c r="O502" t="n">
        <v>17.24137931034483</v>
      </c>
    </row>
    <row r="503" hidden="1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IF(C503="Técnico III","35",IF(C503="Técnico II","28",IF(C503="Técnico I","23",IF(C503="JR","20",IF(C503="Estágio","10",)))))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0</v>
      </c>
      <c r="N503" t="n">
        <v>0</v>
      </c>
      <c r="O503" t="n">
        <v>0</v>
      </c>
    </row>
    <row r="504" hidden="1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IF(C504="Técnico III","35",IF(C504="Técnico II","28",IF(C504="Técnico I","23",IF(C504="JR","20",IF(C504="Estágio","10",)))))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98.75</v>
      </c>
      <c r="O504" t="n">
        <v>15.05791505791506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IF(C505="Técnico III","35",IF(C505="Técnico II","28",IF(C505="Técnico I","23",IF(C505="JR","20",IF(C505="Estágio","10",)))))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98.39</v>
      </c>
      <c r="O505" t="n">
        <v>13.24921135646688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IF(C506="Técnico III","35",IF(C506="Técnico II","28",IF(C506="Técnico I","23",IF(C506="JR","20",IF(C506="Estágio","10",)))))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98.54000000000001</v>
      </c>
      <c r="O506" t="n">
        <v>15.87301587301587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IF(C507="Técnico III","35",IF(C507="Técnico II","28",IF(C507="Técnico I","23",IF(C507="JR","20",IF(C507="Estágio","10",)))))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94.67</v>
      </c>
      <c r="O507" t="n">
        <v>18.28254847645429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IF(C508="Técnico III","35",IF(C508="Técnico II","28",IF(C508="Técnico I","23",IF(C508="JR","20",IF(C508="Estágio","10",)))))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98.51000000000001</v>
      </c>
      <c r="O508" t="n">
        <v>15.92356687898089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IF(C510="Técnico III","35",IF(C510="Técnico II","28",IF(C510="Técnico I","23",IF(C510="JR","20",IF(C510="Estágio","10",)))))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96.72</v>
      </c>
      <c r="O510" t="n">
        <v>13.19444444444444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IF(C511="Técnico III","35",IF(C511="Técnico II","28",IF(C511="Técnico I","23",IF(C511="JR","20",IF(C511="Estágio","10",)))))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95.31</v>
      </c>
      <c r="O511" t="n">
        <v>10.28368794326241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IF(C512="Técnico III","35",IF(C512="Técnico II","28",IF(C512="Técnico I","23",IF(C512="JR","20",IF(C512="Estágio","10",)))))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15.4320987654321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IF(C513="Técnico III","35",IF(C513="Técnico II","28",IF(C513="Técnico I","23",IF(C513="JR","20",IF(C513="Estágio","10",)))))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14.20765027322404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IF(C514="Técnico III","35",IF(C514="Técnico II","28",IF(C514="Técnico I","23",IF(C514="JR","20",IF(C514="Estágio","10",)))))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98.48</v>
      </c>
      <c r="O514" t="n">
        <v>15.87301587301587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IF(C515="Técnico III","35",IF(C515="Técnico II","28",IF(C515="Técnico I","23",IF(C515="JR","20",IF(C515="Estágio","10",)))))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18.80877742946709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IF(C516="Técnico III","35",IF(C516="Técnico II","28",IF(C516="Técnico I","23",IF(C516="JR","20",IF(C516="Estágio","10",)))))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0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IF(C517="Técnico III","35",IF(C517="Técnico II","28",IF(C517="Técnico I","23",IF(C517="JR","20",IF(C517="Estágio","10",)))))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93.98</v>
      </c>
      <c r="O517" t="n">
        <v>19.19504643962848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IF(C518="Técnico III","35",IF(C518="Técnico II","28",IF(C518="Técnico I","23",IF(C518="JR","20",IF(C518="Estágio","10",)))))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9.433962264150944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IF(C519="Técnico III","35",IF(C519="Técnico II","28",IF(C519="Técnico I","23",IF(C519="JR","20",IF(C519="Estágio","10",)))))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98.25</v>
      </c>
      <c r="O519" t="n">
        <v>9.117647058823529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IF(C520="Técnico III","35",IF(C520="Técnico II","28",IF(C520="Técnico I","23",IF(C520="JR","20",IF(C520="Estágio","10",)))))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96.91</v>
      </c>
      <c r="O520" t="n">
        <v>17.32283464566929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IF(C521="Técnico III","35",IF(C521="Técnico II","28",IF(C521="Técnico I","23",IF(C521="JR","20",IF(C521="Estágio","10",)))))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0</v>
      </c>
      <c r="N521" t="n">
        <v>0</v>
      </c>
      <c r="O521" t="n">
        <v>0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IF(C522="Técnico III","35",IF(C522="Técnico II","28",IF(C522="Técnico I","23",IF(C522="JR","20",IF(C522="Estágio","10",)))))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0</v>
      </c>
      <c r="N522" t="n">
        <v>0</v>
      </c>
      <c r="O522" t="n">
        <v>0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IF(C523="Técnico III","35",IF(C523="Técnico II","28",IF(C523="Técnico I","23",IF(C523="JR","20",IF(C523="Estágio","10",)))))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15.94202898550724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IF(C524="Técnico III","35",IF(C524="Técnico II","28",IF(C524="Técnico I","23",IF(C524="JR","20",IF(C524="Estágio","10",)))))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0</v>
      </c>
      <c r="N524" t="n">
        <v>0</v>
      </c>
      <c r="O524" t="n">
        <v>0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IF(C525="Técnico III","35",IF(C525="Técnico II","28",IF(C525="Técnico I","23",IF(C525="JR","20",IF(C525="Estágio","10",)))))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15.13761467889908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IF(C526="Técnico III","35",IF(C526="Técnico II","28",IF(C526="Técnico I","23",IF(C526="JR","20",IF(C526="Estágio","10",)))))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97.95999999999999</v>
      </c>
      <c r="O526" t="n">
        <v>19.04761904761905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IF(C527="Técnico III","35",IF(C527="Técnico II","28",IF(C527="Técnico I","23",IF(C527="JR","20",IF(C527="Estágio","10",)))))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0</v>
      </c>
      <c r="N527" t="n">
        <v>0</v>
      </c>
      <c r="O527" t="n">
        <v>0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IF(C528="Técnico III","35",IF(C528="Técnico II","28",IF(C528="Técnico I","23",IF(C528="JR","20",IF(C528="Estágio","10",)))))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99.17</v>
      </c>
      <c r="O528" t="n">
        <v>19.7215777262181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IF(C529="Técnico III","35",IF(C529="Técnico II","28",IF(C529="Técnico I","23",IF(C529="JR","20",IF(C529="Estágio","10",)))))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14.35643564356435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IF(C530="Técnico III","35",IF(C530="Técnico II","28",IF(C530="Técnico I","23",IF(C530="JR","20",IF(C530="Estágio","10",)))))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97.06</v>
      </c>
      <c r="O530" t="n">
        <v>14.42307692307692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9">
        <f>IF(C531="Técnico III","35",IF(C531="Técnico II","28",IF(C531="Técnico I","23",IF(C531="JR","20",IF(C531="Estágio","10")))))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98.81999999999999</v>
      </c>
      <c r="O531" s="3" t="n">
        <v>18.33333333333333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>
        <f>E532+G532+H532</f>
        <v/>
      </c>
      <c r="J532" s="9" t="n">
        <v>0</v>
      </c>
      <c r="K532" s="3">
        <f>I532-J532</f>
        <v/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9">
        <f>IF(C533="Técnico III","35",IF(C533="Técnico II","28",IF(C533="Técnico I","23",IF(C533="JR","20",IF(C533="Estágio","10")))))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95.04000000000001</v>
      </c>
      <c r="O533" s="9" t="n">
        <v>19.95192307692308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9">
        <f>IF(C534="Técnico III","35",IF(C534="Técnico II","28",IF(C534="Técnico I","23",IF(C534="JR","20",IF(C534="Estágio","10")))))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96.15000000000001</v>
      </c>
      <c r="O534" s="9" t="n">
        <v>17.4496644295302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9">
        <f>IF(C535="Técnico III","35",IF(C535="Técnico II","28",IF(C535="Técnico I","23",IF(C535="JR","20",IF(C535="Estágio","10")))))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99.04000000000001</v>
      </c>
      <c r="O535" s="9" t="n">
        <v>16.93121693121693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9">
        <f>IF(C536="Técnico III","35",IF(C536="Técnico II","28",IF(C536="Técnico I","23",IF(C536="JR","20",IF(C536="Estágio","10")))))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0</v>
      </c>
      <c r="N536" s="9" t="n">
        <v>0</v>
      </c>
      <c r="O536" s="9" t="n">
        <v>0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9">
        <f>IF(C537="Técnico III","35",IF(C537="Técnico II","28",IF(C537="Técnico I","23",IF(C537="JR","20",IF(C537="Estágio","10")))))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98.73</v>
      </c>
      <c r="O537" s="9" t="n">
        <v>16.3323782234957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9">
        <f>IF(C538="Técnico III","35",IF(C538="Técnico II","28",IF(C538="Técnico I","23",IF(C538="JR","20",IF(C538="Estágio","10")))))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96.3</v>
      </c>
      <c r="O538" s="9" t="n">
        <v>19.56521739130435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9">
        <f>IF(C539="Técnico III","35",IF(C539="Técnico II","28",IF(C539="Técnico I","23",IF(C539="JR","20",IF(C539="Estágio","10")))))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96.51000000000001</v>
      </c>
      <c r="O539" s="9" t="n">
        <v>17.43119266055046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9">
        <f>IF(C540="Técnico III","35",IF(C540="Técnico II","28",IF(C540="Técnico I","23",IF(C540="JR","20",IF(C540="Estágio","10")))))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92.8</v>
      </c>
      <c r="O540" s="9" t="n">
        <v>19.51807228915663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>
        <f>E541+G541+H541</f>
        <v/>
      </c>
      <c r="J541" s="9">
        <f>IF(C541="Técnico III","35",IF(C541="Técnico II","28",IF(C541="Técnico I","23",IF(C541="JR","20",IF(C541="Estágio","10")))))</f>
        <v/>
      </c>
      <c r="K541" s="3">
        <f>I541-J541</f>
        <v/>
      </c>
      <c r="L541" s="3">
        <f>IF(K541&lt;-5,"CRÍTICO",IF(K541&lt;0,"ATENÇÃO",IF(K541&lt;=5,"OPORTUNO","MUITO BOM")))</f>
        <v/>
      </c>
      <c r="M541" s="9" t="n">
        <v>0</v>
      </c>
      <c r="N541" s="9" t="n">
        <v>98.61</v>
      </c>
      <c r="O541" s="9" t="n">
        <v>18.30357142857143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9">
        <f>IF(C542="Técnico III","35",IF(C542="Técnico II","28",IF(C542="Técnico I","23",IF(C542="JR","20",IF(C542="Estágio","10")))))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17.82608695652174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>
        <f>E543+G543+H543</f>
        <v/>
      </c>
      <c r="J543" s="9">
        <f>IF(C543="Técnico III","35",IF(C543="Técnico II","28",IF(C543="Técnico I","23",IF(C543="JR","20",IF(C543="Estágio","10")))))</f>
        <v/>
      </c>
      <c r="K543" s="3">
        <f>I543-J543</f>
        <v/>
      </c>
      <c r="L543" s="3">
        <f>IF(K543&lt;-5,"CRÍTICO",IF(K543&lt;0,"ATENÇÃO",IF(K543&lt;=5,"OPORTUNO","MUITO BOM")))</f>
        <v/>
      </c>
      <c r="M543" s="9" t="n">
        <v>0</v>
      </c>
      <c r="N543" s="9" t="n">
        <v>99</v>
      </c>
      <c r="O543" s="9" t="n">
        <v>22.17898832684825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9">
        <f>IF(C544="Técnico III","35",IF(C544="Técnico II","28",IF(C544="Técnico I","23",IF(C544="JR","20",IF(C544="Estágio","10")))))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34.61538461538461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9">
        <f>IF(C545="Técnico III","35",IF(C545="Técnico II","28",IF(C545="Técnico I","23",IF(C545="JR","20",IF(C545="Estágio","10")))))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0</v>
      </c>
      <c r="N545" s="9" t="n">
        <v>0</v>
      </c>
      <c r="O545" s="9" t="n">
        <v>0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>
        <f>E546+G546+H546</f>
        <v/>
      </c>
      <c r="J546" s="9">
        <f>IF(C546="Técnico III","35",IF(C546="Técnico II","28",IF(C546="Técnico I","23",IF(C546="JR","20",IF(C546="Estágio","10")))))</f>
        <v/>
      </c>
      <c r="K546" s="3">
        <f>I546-J546</f>
        <v/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9.090909090909092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>
        <f>E547+G547+H547</f>
        <v/>
      </c>
      <c r="J547" s="9">
        <f>IF(C547="Técnico III","35",IF(C547="Técnico II","28",IF(C547="Técnico I","23",IF(C547="JR","20",IF(C547="Estágio","10")))))</f>
        <v/>
      </c>
      <c r="K547" s="3">
        <f>I547-J547</f>
        <v/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 hidden="1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9">
        <f>IF(C548="Técnico III","35",IF(C548="Técnico II","28",IF(C548="Técnico I","23",IF(C548="JR","20",IF(C548="Estágio","10")))))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0</v>
      </c>
      <c r="N548" s="9" t="n">
        <v>0</v>
      </c>
      <c r="O548" s="9" t="n">
        <v>0</v>
      </c>
    </row>
    <row r="549" hidden="1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9">
        <f>IF(C549="Técnico III","35",IF(C549="Técnico II","28",IF(C549="Técnico I","23",IF(C549="JR","20",IF(C549="Estágio","10")))))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98.75</v>
      </c>
      <c r="O549" s="9" t="n">
        <v>15.05791505791506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9">
        <f>IF(C550="Técnico III","35",IF(C550="Técnico II","28",IF(C550="Técnico I","23",IF(C550="JR","20",IF(C550="Estágio","10")))))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98.39</v>
      </c>
      <c r="O550" s="9" t="n">
        <v>13.24921135646688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9">
        <f>IF(C551="Técnico III","35",IF(C551="Técnico II","28",IF(C551="Técnico I","23",IF(C551="JR","20",IF(C551="Estágio","10")))))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98.54000000000001</v>
      </c>
      <c r="O551" s="9" t="n">
        <v>15.87301587301587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9">
        <f>IF(C552="Técnico III","35",IF(C552="Técnico II","28",IF(C552="Técnico I","23",IF(C552="JR","20",IF(C552="Estágio","10")))))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94.67</v>
      </c>
      <c r="O552" s="9" t="n">
        <v>18.28254847645429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9">
        <f>IF(C553="Técnico III","35",IF(C553="Técnico II","28",IF(C553="Técnico I","23",IF(C553="JR","20",IF(C553="Estágio","10")))))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98.51000000000001</v>
      </c>
      <c r="O553" s="9" t="n">
        <v>15.92356687898089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>
        <f>E554+G554+H554</f>
        <v/>
      </c>
      <c r="J554" s="9">
        <f>IF(C554="Técnico III","35",IF(C554="Técnico II","28",IF(C554="Técnico I","23",IF(C554="JR","20",IF(C554="Estágio","10")))))</f>
        <v/>
      </c>
      <c r="K554" s="3">
        <f>I554-J554</f>
        <v/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9">
        <f>IF(C555="Técnico III","35",IF(C555="Técnico II","28",IF(C555="Técnico I","23",IF(C555="JR","20",IF(C555="Estágio","10")))))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96.72</v>
      </c>
      <c r="O555" s="9" t="n">
        <v>13.19444444444444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9">
        <f>IF(C556="Técnico III","35",IF(C556="Técnico II","28",IF(C556="Técnico I","23",IF(C556="JR","20",IF(C556="Estágio","10")))))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95.31</v>
      </c>
      <c r="O556" s="9" t="n">
        <v>10.28368794326241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9">
        <f>IF(C557="Técnico III","35",IF(C557="Técnico II","28",IF(C557="Técnico I","23",IF(C557="JR","20",IF(C557="Estágio","10")))))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15.4320987654321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9">
        <f>IF(C558="Técnico III","35",IF(C558="Técnico II","28",IF(C558="Técnico I","23",IF(C558="JR","20",IF(C558="Estágio","10")))))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14.20765027322404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9">
        <f>IF(C559="Técnico III","35",IF(C559="Técnico II","28",IF(C559="Técnico I","23",IF(C559="JR","20",IF(C559="Estágio","10")))))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98.48</v>
      </c>
      <c r="O559" s="9" t="n">
        <v>15.87301587301587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9">
        <f>IF(C560="Técnico III","35",IF(C560="Técnico II","28",IF(C560="Técnico I","23",IF(C560="JR","20",IF(C560="Estágio","10")))))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18.80877742946709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9">
        <f>IF(C561="Técnico III","35",IF(C561="Técnico II","28",IF(C561="Técnico I","23",IF(C561="JR","20",IF(C561="Estágio","10")))))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0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9">
        <f>IF(C562="Técnico III","35",IF(C562="Técnico II","28",IF(C562="Técnico I","23",IF(C562="JR","20",IF(C562="Estágio","10")))))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93.98</v>
      </c>
      <c r="O562" s="9" t="n">
        <v>19.19504643962848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9">
        <f>IF(C563="Técnico III","35",IF(C563="Técnico II","28",IF(C563="Técnico I","23",IF(C563="JR","20",IF(C563="Estágio","10")))))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9.433962264150944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9">
        <f>IF(C564="Técnico III","35",IF(C564="Técnico II","28",IF(C564="Técnico I","23",IF(C564="JR","20",IF(C564="Estágio","10")))))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98.25</v>
      </c>
      <c r="O564" s="9" t="n">
        <v>9.117647058823529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9">
        <f>IF(C565="Técnico III","35",IF(C565="Técnico II","28",IF(C565="Técnico I","23",IF(C565="JR","20",IF(C565="Estágio","10")))))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96.91</v>
      </c>
      <c r="O565" s="9" t="n">
        <v>17.32283464566929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9">
        <f>IF(C566="Técnico III","35",IF(C566="Técnico II","28",IF(C566="Técnico I","23",IF(C566="JR","20",IF(C566="Estágio","10")))))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0</v>
      </c>
      <c r="N566" s="9" t="n">
        <v>0</v>
      </c>
      <c r="O566" s="9" t="n">
        <v>0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9">
        <f>IF(C567="Técnico III","35",IF(C567="Técnico II","28",IF(C567="Técnico I","23",IF(C567="JR","20",IF(C567="Estágio","10")))))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0</v>
      </c>
      <c r="N567" s="9" t="n">
        <v>0</v>
      </c>
      <c r="O567" s="9" t="n">
        <v>0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>
        <f>E568+G568+H568</f>
        <v/>
      </c>
      <c r="J568" s="9">
        <f>IF(C568="Técnico III","35",IF(C568="Técnico II","28",IF(C568="Técnico I","23",IF(C568="JR","20",IF(C568="Estágio","10")))))</f>
        <v/>
      </c>
      <c r="K568" s="3">
        <f>I568-J568</f>
        <v/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15.94202898550724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9">
        <f>IF(C569="Técnico III","35",IF(C569="Técnico II","28",IF(C569="Técnico I","23",IF(C569="JR","20",IF(C569="Estágio","10")))))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0</v>
      </c>
      <c r="N569" s="9" t="n">
        <v>0</v>
      </c>
      <c r="O569" s="9" t="n">
        <v>0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9">
        <f>IF(C570="Técnico III","35",IF(C570="Técnico II","28",IF(C570="Técnico I","23",IF(C570="JR","20",IF(C570="Estágio","10")))))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15.13761467889908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9">
        <f>IF(C571="Técnico III","35",IF(C571="Técnico II","28",IF(C571="Técnico I","23",IF(C571="JR","20",IF(C571="Estágio","10")))))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97.95999999999999</v>
      </c>
      <c r="O571" s="9" t="n">
        <v>19.04761904761905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9">
        <f>IF(C572="Técnico III","35",IF(C572="Técnico II","28",IF(C572="Técnico I","23",IF(C572="JR","20",IF(C572="Estágio","10")))))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0</v>
      </c>
      <c r="N572" s="9" t="n">
        <v>0</v>
      </c>
      <c r="O572" s="9" t="n">
        <v>0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9">
        <f>IF(C573="Técnico III","35",IF(C573="Técnico II","28",IF(C573="Técnico I","23",IF(C573="JR","20",IF(C573="Estágio","10")))))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99.17</v>
      </c>
      <c r="O573" s="9" t="n">
        <v>19.7215777262181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9">
        <f>IF(C574="Técnico III","35",IF(C574="Técnico II","28",IF(C574="Técnico I","23",IF(C574="JR","20",IF(C574="Estágio","10")))))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14.35643564356435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9">
        <f>IF(C575="Técnico III","35",IF(C575="Técnico II","28",IF(C575="Técnico I","23",IF(C575="JR","20",IF(C575="Estágio","10")))))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97.06</v>
      </c>
      <c r="O575" s="9" t="n">
        <v>14.42307692307692</v>
      </c>
    </row>
    <row r="576">
      <c r="A576" s="5" t="n">
        <v>46163</v>
      </c>
      <c r="B576" s="8" t="inlineStr">
        <is>
          <t>Alisson de Freitas Silva</t>
        </is>
      </c>
      <c r="C576" s="9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9">
        <f>IF(C576="Técnico III","35",IF(C576="Técnico II","28",IF(C576="Técnico I","23",IF(C576="JR","20",IF(C576="Estágio","10")))))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98.81999999999999</v>
      </c>
      <c r="O576" s="3" t="n">
        <v>18.33333333333333</v>
      </c>
    </row>
    <row r="577">
      <c r="A577" s="5" t="n">
        <v>46163</v>
      </c>
      <c r="B577" s="8" t="inlineStr">
        <is>
          <t>Amanda Moura Ferreira</t>
        </is>
      </c>
      <c r="C577" s="9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9">
        <f>IF(C577="Técnico III","35",IF(C577="Técnico II","28",IF(C577="Técnico I","23",IF(C577="JR","20",IF(C577="Estágio","10")))))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8" t="inlineStr">
        <is>
          <t>Ana Karollyne Souza Faria</t>
        </is>
      </c>
      <c r="C578" s="9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9">
        <f>IF(C578="Técnico III","35",IF(C578="Técnico II","28",IF(C578="Técnico I","23",IF(C578="JR","20",IF(C578="Estágio","10")))))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95.04000000000001</v>
      </c>
      <c r="O578" s="3" t="n">
        <v>19.95192307692308</v>
      </c>
    </row>
    <row r="579">
      <c r="A579" s="5" t="n">
        <v>46163</v>
      </c>
      <c r="B579" s="8" t="inlineStr">
        <is>
          <t>Ana Paula Da Luz Silva Aleixo</t>
        </is>
      </c>
      <c r="C579" s="9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9">
        <f>IF(C579="Técnico III","35",IF(C579="Técnico II","28",IF(C579="Técnico I","23",IF(C579="JR","20",IF(C579="Estágio","10")))))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96.15000000000001</v>
      </c>
      <c r="O579" s="3" t="n">
        <v>17.4496644295302</v>
      </c>
    </row>
    <row r="580">
      <c r="A580" s="5" t="n">
        <v>46163</v>
      </c>
      <c r="B580" s="8" t="inlineStr">
        <is>
          <t>Anna Luiza Rezende Tavares</t>
        </is>
      </c>
      <c r="C580" s="9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9">
        <f>IF(C580="Técnico III","35",IF(C580="Técnico II","28",IF(C580="Técnico I","23",IF(C580="JR","20",IF(C580="Estágio","10")))))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99.04000000000001</v>
      </c>
      <c r="O580" s="3" t="n">
        <v>16.93121693121693</v>
      </c>
    </row>
    <row r="581">
      <c r="A581" s="5" t="n">
        <v>46163</v>
      </c>
      <c r="B581" s="8" t="inlineStr">
        <is>
          <t>Brenda de Menezes Silva</t>
        </is>
      </c>
      <c r="C581" s="9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9">
        <f>IF(C581="Técnico III","35",IF(C581="Técnico II","28",IF(C581="Técnico I","23",IF(C581="JR","20",IF(C581="Estágio","10")))))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0</v>
      </c>
      <c r="N581" s="3" t="n">
        <v>0</v>
      </c>
      <c r="O581" s="3" t="n">
        <v>0</v>
      </c>
    </row>
    <row r="582">
      <c r="A582" s="5" t="n">
        <v>46163</v>
      </c>
      <c r="B582" s="8" t="inlineStr">
        <is>
          <t>Carlos Mateus Cassimiro Nunes</t>
        </is>
      </c>
      <c r="C582" s="9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9">
        <f>IF(C582="Técnico III","35",IF(C582="Técnico II","28",IF(C582="Técnico I","23",IF(C582="JR","20",IF(C582="Estágio","10")))))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98.73</v>
      </c>
      <c r="O582" s="3" t="n">
        <v>16.3323782234957</v>
      </c>
    </row>
    <row r="583">
      <c r="A583" s="5" t="n">
        <v>46163</v>
      </c>
      <c r="B583" s="8" t="inlineStr">
        <is>
          <t>Claudio de Sousa Velasco Filho</t>
        </is>
      </c>
      <c r="C583" s="9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9">
        <f>IF(C583="Técnico III","35",IF(C583="Técnico II","28",IF(C583="Técnico I","23",IF(C583="JR","20",IF(C583="Estágio","10")))))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96.3</v>
      </c>
      <c r="O583" s="3" t="n">
        <v>19.56521739130435</v>
      </c>
    </row>
    <row r="584">
      <c r="A584" s="5" t="n">
        <v>46163</v>
      </c>
      <c r="B584" s="8" t="inlineStr">
        <is>
          <t>Clessiane Pereira dos Santos</t>
        </is>
      </c>
      <c r="C584" s="9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9">
        <f>IF(C584="Técnico III","35",IF(C584="Técnico II","28",IF(C584="Técnico I","23",IF(C584="JR","20",IF(C584="Estágio","10")))))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96.51000000000001</v>
      </c>
      <c r="O584" s="3" t="n">
        <v>17.43119266055046</v>
      </c>
    </row>
    <row r="585">
      <c r="A585" s="5" t="n">
        <v>46163</v>
      </c>
      <c r="B585" s="8" t="inlineStr">
        <is>
          <t>Cristiane Ramos da Silva Rocha</t>
        </is>
      </c>
      <c r="C585" s="9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9">
        <f>IF(C585="Técnico III","35",IF(C585="Técnico II","28",IF(C585="Técnico I","23",IF(C585="JR","20",IF(C585="Estágio","10")))))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92.8</v>
      </c>
      <c r="O585" s="3" t="n">
        <v>19.51807228915663</v>
      </c>
    </row>
    <row r="586">
      <c r="A586" s="5" t="n">
        <v>46163</v>
      </c>
      <c r="B586" s="8" t="inlineStr">
        <is>
          <t>Damyllis Lorraine de Oliveira Gonçalves</t>
        </is>
      </c>
      <c r="C586" s="9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>
        <f>E586+G586+H586</f>
        <v/>
      </c>
      <c r="J586" s="9">
        <f>IF(C586="Técnico III","35",IF(C586="Técnico II","28",IF(C586="Técnico I","23",IF(C586="JR","20",IF(C586="Estágio","10")))))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0</v>
      </c>
      <c r="N586" s="3" t="n">
        <v>98.61</v>
      </c>
      <c r="O586" s="3" t="n">
        <v>18.30357142857143</v>
      </c>
    </row>
    <row r="587">
      <c r="A587" s="5" t="n">
        <v>46163</v>
      </c>
      <c r="B587" s="8" t="inlineStr">
        <is>
          <t>Daniel Gomes da Silva</t>
        </is>
      </c>
      <c r="C587" s="9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9">
        <f>IF(C587="Técnico III","35",IF(C587="Técnico II","28",IF(C587="Técnico I","23",IF(C587="JR","20",IF(C587="Estágio","10")))))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17.82608695652174</v>
      </c>
    </row>
    <row r="588">
      <c r="A588" s="5" t="n">
        <v>46163</v>
      </c>
      <c r="B588" s="8" t="inlineStr">
        <is>
          <t>Davylla Rodrigues Freitas Silva</t>
        </is>
      </c>
      <c r="C588" s="9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>
        <f>E588+G588+H588</f>
        <v/>
      </c>
      <c r="J588" s="9">
        <f>IF(C588="Técnico III","35",IF(C588="Técnico II","28",IF(C588="Técnico I","23",IF(C588="JR","20",IF(C588="Estágio","10")))))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0</v>
      </c>
      <c r="N588" s="3" t="n">
        <v>99</v>
      </c>
      <c r="O588" s="3" t="n">
        <v>22.17898832684825</v>
      </c>
    </row>
    <row r="589">
      <c r="A589" s="5" t="n">
        <v>46163</v>
      </c>
      <c r="B589" s="8" t="inlineStr">
        <is>
          <t>Emilly Caylane Costa</t>
        </is>
      </c>
      <c r="C589" s="9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9">
        <f>IF(C589="Técnico III","35",IF(C589="Técnico II","28",IF(C589="Técnico I","23",IF(C589="JR","20",IF(C589="Estágio","10")))))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7</v>
      </c>
      <c r="N589" s="3" t="n">
        <v>100</v>
      </c>
      <c r="O589" s="3" t="n">
        <v>34.61538461538461</v>
      </c>
    </row>
    <row r="590">
      <c r="A590" s="5" t="n">
        <v>46163</v>
      </c>
      <c r="B590" s="8" t="inlineStr">
        <is>
          <t>Emilly Kamilly Medeiros Miranda</t>
        </is>
      </c>
      <c r="C590" s="9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9">
        <f>IF(C590="Técnico III","35",IF(C590="Técnico II","28",IF(C590="Técnico I","23",IF(C590="JR","20",IF(C590="Estágio","10")))))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0</v>
      </c>
      <c r="N590" s="3" t="n">
        <v>0</v>
      </c>
      <c r="O590" s="3" t="n">
        <v>0</v>
      </c>
    </row>
    <row r="591">
      <c r="A591" s="5" t="n">
        <v>46163</v>
      </c>
      <c r="B591" s="8" t="inlineStr">
        <is>
          <t>Francielson de Oliveira</t>
        </is>
      </c>
      <c r="C591" s="9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>
        <f>E591+G591+H591</f>
        <v/>
      </c>
      <c r="J591" s="9">
        <f>IF(C591="Técnico III","35",IF(C591="Técnico II","28",IF(C591="Técnico I","23",IF(C591="JR","20",IF(C591="Estágio","10")))))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9.090909090909092</v>
      </c>
    </row>
    <row r="592">
      <c r="A592" s="5" t="n">
        <v>46163</v>
      </c>
      <c r="B592" s="8" t="inlineStr">
        <is>
          <t>Francilene Ferreira de Jesus</t>
        </is>
      </c>
      <c r="C592" s="9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>
        <f>E592+G592+H592</f>
        <v/>
      </c>
      <c r="J592" s="9">
        <f>IF(C592="Técnico III","35",IF(C592="Técnico II","28",IF(C592="Técnico I","23",IF(C592="JR","20",IF(C592="Estágio","10")))))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8" t="inlineStr">
        <is>
          <t>Gabriel Alves</t>
        </is>
      </c>
      <c r="C593" s="9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>
        <f>E593+G593+H593</f>
        <v/>
      </c>
      <c r="J593" s="9">
        <f>IF(C593="Técnico III","35",IF(C593="Técnico II","28",IF(C593="Técnico I","23",IF(C593="JR","20",IF(C593="Estágio","10")))))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0</v>
      </c>
      <c r="N593" s="3" t="n">
        <v>0</v>
      </c>
      <c r="O593" s="3" t="n">
        <v>0</v>
      </c>
    </row>
    <row r="594">
      <c r="A594" s="5" t="n">
        <v>46163</v>
      </c>
      <c r="B594" s="8" t="inlineStr">
        <is>
          <t>Gabriel Gomes de Andrade</t>
        </is>
      </c>
      <c r="C594" s="9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9">
        <f>IF(C594="Técnico III","35",IF(C594="Técnico II","28",IF(C594="Técnico I","23",IF(C594="JR","20",IF(C594="Estágio","10")))))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98.75</v>
      </c>
      <c r="O594" s="3" t="n">
        <v>15.05791505791506</v>
      </c>
    </row>
    <row r="595">
      <c r="A595" s="5" t="n">
        <v>46163</v>
      </c>
      <c r="B595" s="8" t="inlineStr">
        <is>
          <t>Isabella Borges de Oliveira</t>
        </is>
      </c>
      <c r="C595" s="9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9">
        <f>IF(C595="Técnico III","35",IF(C595="Técnico II","28",IF(C595="Técnico I","23",IF(C595="JR","20",IF(C595="Estágio","10")))))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98.39</v>
      </c>
      <c r="O595" s="3" t="n">
        <v>13.24921135646688</v>
      </c>
    </row>
    <row r="596">
      <c r="A596" s="5" t="n">
        <v>46163</v>
      </c>
      <c r="B596" s="8" t="inlineStr">
        <is>
          <t>Janaina Lima dos Reis Urany</t>
        </is>
      </c>
      <c r="C596" s="9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9">
        <f>IF(C596="Técnico III","35",IF(C596="Técnico II","28",IF(C596="Técnico I","23",IF(C596="JR","20",IF(C596="Estágio","10")))))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98.54000000000001</v>
      </c>
      <c r="O596" s="3" t="n">
        <v>15.87301587301587</v>
      </c>
    </row>
    <row r="597">
      <c r="A597" s="5" t="n">
        <v>46163</v>
      </c>
      <c r="B597" s="8" t="inlineStr">
        <is>
          <t>Jaqueline Evangelista da Silva Martins</t>
        </is>
      </c>
      <c r="C597" s="9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9">
        <f>IF(C597="Técnico III","35",IF(C597="Técnico II","28",IF(C597="Técnico I","23",IF(C597="JR","20",IF(C597="Estágio","10")))))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94.67</v>
      </c>
      <c r="O597" s="3" t="n">
        <v>18.28254847645429</v>
      </c>
    </row>
    <row r="598">
      <c r="A598" s="5" t="n">
        <v>46163</v>
      </c>
      <c r="B598" s="8" t="inlineStr">
        <is>
          <t>Jessica Faria da Silveira</t>
        </is>
      </c>
      <c r="C598" s="9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9">
        <f>IF(C598="Técnico III","35",IF(C598="Técnico II","28",IF(C598="Técnico I","23",IF(C598="JR","20",IF(C598="Estágio","10")))))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98.51000000000001</v>
      </c>
      <c r="O598" s="3" t="n">
        <v>15.92356687898089</v>
      </c>
    </row>
    <row r="599">
      <c r="A599" s="5" t="n">
        <v>46163</v>
      </c>
      <c r="B599" s="8" t="inlineStr">
        <is>
          <t>Jéssica Fé Moura</t>
        </is>
      </c>
      <c r="C599" s="9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>
        <f>E599+G599+H599</f>
        <v/>
      </c>
      <c r="J599" s="9">
        <f>IF(C599="Técnico III","35",IF(C599="Técnico II","28",IF(C599="Técnico I","23",IF(C599="JR","20",IF(C599="Estágio","10")))))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8" t="inlineStr">
        <is>
          <t>Karina Gonçalves Martins</t>
        </is>
      </c>
      <c r="C600" s="9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9">
        <f>IF(C600="Técnico III","35",IF(C600="Técnico II","28",IF(C600="Técnico I","23",IF(C600="JR","20",IF(C600="Estágio","10")))))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96.72</v>
      </c>
      <c r="O600" s="3" t="n">
        <v>13.19444444444444</v>
      </c>
    </row>
    <row r="601">
      <c r="A601" s="5" t="n">
        <v>46163</v>
      </c>
      <c r="B601" s="8" t="inlineStr">
        <is>
          <t>Kerollen Cristielly de Jesus Siqueira</t>
        </is>
      </c>
      <c r="C601" s="9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9">
        <f>IF(C601="Técnico III","35",IF(C601="Técnico II","28",IF(C601="Técnico I","23",IF(C601="JR","20",IF(C601="Estágio","10")))))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95.31</v>
      </c>
      <c r="O601" s="3" t="n">
        <v>10.28368794326241</v>
      </c>
    </row>
    <row r="602">
      <c r="A602" s="5" t="n">
        <v>46163</v>
      </c>
      <c r="B602" s="8" t="inlineStr">
        <is>
          <t>Leandro de Souza Silva</t>
        </is>
      </c>
      <c r="C602" s="9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9">
        <f>IF(C602="Técnico III","35",IF(C602="Técnico II","28",IF(C602="Técnico I","23",IF(C602="JR","20",IF(C602="Estágio","10")))))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15.4320987654321</v>
      </c>
    </row>
    <row r="603">
      <c r="A603" s="5" t="n">
        <v>46163</v>
      </c>
      <c r="B603" s="8" t="inlineStr">
        <is>
          <t>Leandro Oliveira de Sousa</t>
        </is>
      </c>
      <c r="C603" s="9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9">
        <f>IF(C603="Técnico III","35",IF(C603="Técnico II","28",IF(C603="Técnico I","23",IF(C603="JR","20",IF(C603="Estágio","10")))))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14.20765027322404</v>
      </c>
    </row>
    <row r="604">
      <c r="A604" s="5" t="n">
        <v>46163</v>
      </c>
      <c r="B604" s="8" t="inlineStr">
        <is>
          <t>Lizandra Gomes Duarte</t>
        </is>
      </c>
      <c r="C604" s="9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9">
        <f>IF(C604="Técnico III","35",IF(C604="Técnico II","28",IF(C604="Técnico I","23",IF(C604="JR","20",IF(C604="Estágio","10")))))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98.48</v>
      </c>
      <c r="O604" s="3" t="n">
        <v>15.87301587301587</v>
      </c>
    </row>
    <row r="605">
      <c r="A605" s="5" t="n">
        <v>46163</v>
      </c>
      <c r="B605" s="8" t="inlineStr">
        <is>
          <t>Lorena Dias de Araujo</t>
        </is>
      </c>
      <c r="C605" s="9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9">
        <f>IF(C605="Técnico III","35",IF(C605="Técnico II","28",IF(C605="Técnico I","23",IF(C605="JR","20",IF(C605="Estágio","10")))))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16</v>
      </c>
      <c r="N605" s="3" t="n">
        <v>100</v>
      </c>
      <c r="O605" s="3" t="n">
        <v>18.80877742946709</v>
      </c>
    </row>
    <row r="606">
      <c r="A606" s="5" t="n">
        <v>46163</v>
      </c>
      <c r="B606" s="8" t="inlineStr">
        <is>
          <t>Lucas Luiz Romero</t>
        </is>
      </c>
      <c r="C606" s="9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9">
        <f>IF(C606="Técnico III","35",IF(C606="Técnico II","28",IF(C606="Técnico I","23",IF(C606="JR","20",IF(C606="Estágio","10")))))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0</v>
      </c>
    </row>
    <row r="607">
      <c r="A607" s="5" t="n">
        <v>46163</v>
      </c>
      <c r="B607" s="8" t="inlineStr">
        <is>
          <t>Luiz Fernando de Carvalho Junior</t>
        </is>
      </c>
      <c r="C607" s="9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9">
        <f>IF(C607="Técnico III","35",IF(C607="Técnico II","28",IF(C607="Técnico I","23",IF(C607="JR","20",IF(C607="Estágio","10")))))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93.98</v>
      </c>
      <c r="O607" s="3" t="n">
        <v>19.19504643962848</v>
      </c>
    </row>
    <row r="608">
      <c r="A608" s="5" t="n">
        <v>46163</v>
      </c>
      <c r="B608" s="8" t="inlineStr">
        <is>
          <t>Maria Eduarda Sousa Costa</t>
        </is>
      </c>
      <c r="C608" s="9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9">
        <f>IF(C608="Técnico III","35",IF(C608="Técnico II","28",IF(C608="Técnico I","23",IF(C608="JR","20",IF(C608="Estágio","10")))))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9.433962264150944</v>
      </c>
    </row>
    <row r="609">
      <c r="A609" s="5" t="n">
        <v>46163</v>
      </c>
      <c r="B609" s="8" t="inlineStr">
        <is>
          <t>Matheus Farias De Souza</t>
        </is>
      </c>
      <c r="C609" s="9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9">
        <f>IF(C609="Técnico III","35",IF(C609="Técnico II","28",IF(C609="Técnico I","23",IF(C609="JR","20",IF(C609="Estágio","10")))))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98.25</v>
      </c>
      <c r="O609" s="3" t="n">
        <v>9.117647058823529</v>
      </c>
    </row>
    <row r="610">
      <c r="A610" s="5" t="n">
        <v>46163</v>
      </c>
      <c r="B610" s="8" t="inlineStr">
        <is>
          <t>Maysa Victoria Dias Moura</t>
        </is>
      </c>
      <c r="C610" s="9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9">
        <f>IF(C610="Técnico III","35",IF(C610="Técnico II","28",IF(C610="Técnico I","23",IF(C610="JR","20",IF(C610="Estágio","10")))))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20</v>
      </c>
      <c r="N610" s="3" t="n">
        <v>96.91</v>
      </c>
      <c r="O610" s="3" t="n">
        <v>17.32283464566929</v>
      </c>
    </row>
    <row r="611">
      <c r="A611" s="5" t="n">
        <v>46163</v>
      </c>
      <c r="B611" s="8" t="inlineStr">
        <is>
          <t>Michelle G Santos</t>
        </is>
      </c>
      <c r="C611" s="9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9">
        <f>IF(C611="Técnico III","35",IF(C611="Técnico II","28",IF(C611="Técnico I","23",IF(C611="JR","20",IF(C611="Estágio","10")))))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0</v>
      </c>
      <c r="N611" s="3" t="n">
        <v>0</v>
      </c>
      <c r="O611" s="3" t="n">
        <v>0</v>
      </c>
    </row>
    <row r="612">
      <c r="A612" s="5" t="n">
        <v>46163</v>
      </c>
      <c r="B612" s="8" t="inlineStr">
        <is>
          <t>Milena Sales</t>
        </is>
      </c>
      <c r="C612" s="9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9">
        <f>IF(C612="Técnico III","35",IF(C612="Técnico II","28",IF(C612="Técnico I","23",IF(C612="JR","20",IF(C612="Estágio","10")))))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0</v>
      </c>
      <c r="N612" s="3" t="n">
        <v>0</v>
      </c>
      <c r="O612" s="3" t="n">
        <v>0</v>
      </c>
    </row>
    <row r="613">
      <c r="A613" s="5" t="n">
        <v>46163</v>
      </c>
      <c r="B613" s="8" t="inlineStr">
        <is>
          <t>Patrícia Karla de Sousa Araújo</t>
        </is>
      </c>
      <c r="C613" s="9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>
        <f>E613+G613+H613</f>
        <v/>
      </c>
      <c r="J613" s="9">
        <f>IF(C613="Técnico III","35",IF(C613="Técnico II","28",IF(C613="Técnico I","23",IF(C613="JR","20",IF(C613="Estágio","10")))))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15.94202898550724</v>
      </c>
    </row>
    <row r="614">
      <c r="A614" s="5" t="n">
        <v>46163</v>
      </c>
      <c r="B614" s="8" t="inlineStr">
        <is>
          <t>Paulo Ricardo Santos</t>
        </is>
      </c>
      <c r="C614" s="9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9">
        <f>IF(C614="Técnico III","35",IF(C614="Técnico II","28",IF(C614="Técnico I","23",IF(C614="JR","20",IF(C614="Estágio","10")))))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0</v>
      </c>
      <c r="N614" s="3" t="n">
        <v>0</v>
      </c>
      <c r="O614" s="3" t="n">
        <v>0</v>
      </c>
    </row>
    <row r="615">
      <c r="A615" s="5" t="n">
        <v>46163</v>
      </c>
      <c r="B615" s="8" t="inlineStr">
        <is>
          <t>Pedro Luiz Mota Sousa</t>
        </is>
      </c>
      <c r="C615" s="9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9">
        <f>IF(C615="Técnico III","35",IF(C615="Técnico II","28",IF(C615="Técnico I","23",IF(C615="JR","20",IF(C615="Estágio","10")))))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15.13761467889908</v>
      </c>
    </row>
    <row r="616">
      <c r="A616" s="5" t="n">
        <v>46163</v>
      </c>
      <c r="B616" s="8" t="inlineStr">
        <is>
          <t>Quirino Diogo Leite Torres</t>
        </is>
      </c>
      <c r="C616" s="9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9">
        <f>IF(C616="Técnico III","35",IF(C616="Técnico II","28",IF(C616="Técnico I","23",IF(C616="JR","20",IF(C616="Estágio","10")))))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97.95999999999999</v>
      </c>
      <c r="O616" s="3" t="n">
        <v>19.04761904761905</v>
      </c>
    </row>
    <row r="617">
      <c r="A617" s="5" t="n">
        <v>46163</v>
      </c>
      <c r="B617" s="8" t="inlineStr">
        <is>
          <t>Raane Batista Matos</t>
        </is>
      </c>
      <c r="C617" s="9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9">
        <f>IF(C617="Técnico III","35",IF(C617="Técnico II","28",IF(C617="Técnico I","23",IF(C617="JR","20",IF(C617="Estágio","10")))))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0</v>
      </c>
      <c r="N617" s="3" t="n">
        <v>0</v>
      </c>
      <c r="O617" s="3" t="n">
        <v>0</v>
      </c>
    </row>
    <row r="618">
      <c r="A618" s="5" t="n">
        <v>46163</v>
      </c>
      <c r="B618" s="8" t="inlineStr">
        <is>
          <t>Rafael Gomes de Morais</t>
        </is>
      </c>
      <c r="C618" s="9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9">
        <f>IF(C618="Técnico III","35",IF(C618="Técnico II","28",IF(C618="Técnico I","23",IF(C618="JR","20",IF(C618="Estágio","10")))))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99.17</v>
      </c>
      <c r="O618" s="3" t="n">
        <v>19.7215777262181</v>
      </c>
    </row>
    <row r="619">
      <c r="A619" s="5" t="n">
        <v>46163</v>
      </c>
      <c r="B619" s="8" t="inlineStr">
        <is>
          <t>Sara Maria Monteiro Lopes</t>
        </is>
      </c>
      <c r="C619" s="9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9">
        <f>IF(C619="Técnico III","35",IF(C619="Técnico II","28",IF(C619="Técnico I","23",IF(C619="JR","20",IF(C619="Estágio","10")))))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14.35643564356435</v>
      </c>
    </row>
    <row r="620">
      <c r="A620" s="5" t="n">
        <v>46163</v>
      </c>
      <c r="B620" s="8" t="inlineStr">
        <is>
          <t>Sarah Steffanie de Lima Borges</t>
        </is>
      </c>
      <c r="C620" s="9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9">
        <f>IF(C620="Técnico III","35",IF(C620="Técnico II","28",IF(C620="Técnico I","23",IF(C620="JR","20",IF(C620="Estágio","10")))))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97.06</v>
      </c>
      <c r="O620" s="3" t="n">
        <v>14.42307692307692</v>
      </c>
    </row>
  </sheetData>
  <autoFilter ref="A1:O620">
    <filterColumn colId="0" hiddenButton="0" showButton="1">
      <filters>
        <dateGroupItem year="2026" month="5" day="21" dateTimeGrouping="day"/>
      </filters>
    </filterColumn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</row>
    <row r="3">
      <c r="A3" t="inlineStr">
        <is>
          <t>Amanda Moura Ferreira</t>
        </is>
      </c>
      <c r="B3" t="inlineStr">
        <is>
          <t>Amanda Moreira</t>
        </is>
      </c>
    </row>
    <row r="4">
      <c r="A4" t="inlineStr">
        <is>
          <t>Ana Karollyne Souza Faria</t>
        </is>
      </c>
      <c r="B4" t="inlineStr"/>
    </row>
    <row r="5">
      <c r="A5" t="inlineStr">
        <is>
          <t>Ana Paula Da Luz Silva Aleixo</t>
        </is>
      </c>
      <c r="B5" t="inlineStr">
        <is>
          <t>Ana Paula Aleixo</t>
        </is>
      </c>
    </row>
    <row r="6">
      <c r="A6" t="inlineStr">
        <is>
          <t>Anna Luiza Rezende Tavares</t>
        </is>
      </c>
      <c r="B6" t="inlineStr"/>
    </row>
    <row r="7">
      <c r="A7" t="inlineStr">
        <is>
          <t>Brenda de Menezes Silva</t>
        </is>
      </c>
      <c r="B7" t="inlineStr"/>
    </row>
    <row r="8">
      <c r="A8" t="inlineStr">
        <is>
          <t>Carlos Mateus Cassimiro Nunes</t>
        </is>
      </c>
      <c r="B8" t="inlineStr"/>
    </row>
    <row r="9">
      <c r="A9" t="inlineStr">
        <is>
          <t>Claudio de Sousa Velasco Filho</t>
        </is>
      </c>
      <c r="B9" t="inlineStr"/>
    </row>
    <row r="10">
      <c r="A10" t="inlineStr">
        <is>
          <t>Clessiane Pereira dos Santos</t>
        </is>
      </c>
      <c r="B10" t="inlineStr">
        <is>
          <t>Clessiane Pereira</t>
        </is>
      </c>
    </row>
    <row r="11">
      <c r="A11" t="inlineStr">
        <is>
          <t>Cristiane Ramos da Silva Rocha</t>
        </is>
      </c>
      <c r="B11" t="inlineStr"/>
    </row>
    <row r="12">
      <c r="A12" t="inlineStr">
        <is>
          <t>Damyllis Lorraine de Oliveira Gonçalves</t>
        </is>
      </c>
      <c r="B12" t="inlineStr"/>
    </row>
    <row r="13">
      <c r="A13" t="inlineStr">
        <is>
          <t>Daniel Gomes da Silva</t>
        </is>
      </c>
      <c r="B13" t="inlineStr">
        <is>
          <t>Daniel Silva</t>
        </is>
      </c>
    </row>
    <row r="14">
      <c r="A14" t="inlineStr">
        <is>
          <t>Davylla Rodrigues Freitas Silva</t>
        </is>
      </c>
      <c r="B14" t="inlineStr"/>
    </row>
    <row r="15">
      <c r="A15" t="inlineStr">
        <is>
          <t>Emilly Caylane Costa</t>
        </is>
      </c>
      <c r="B15" t="inlineStr">
        <is>
          <t>Emilly Caylane (Estagio)</t>
        </is>
      </c>
    </row>
    <row r="16">
      <c r="A16" t="inlineStr">
        <is>
          <t>Emilly Kamilly Medeiros Miranda</t>
        </is>
      </c>
      <c r="B16" t="inlineStr"/>
    </row>
    <row r="17">
      <c r="A17" t="inlineStr">
        <is>
          <t>Francielson de Oliveira</t>
        </is>
      </c>
      <c r="B17" t="inlineStr"/>
    </row>
    <row r="18">
      <c r="A18" t="inlineStr">
        <is>
          <t>Francilene Ferreira de Jesus</t>
        </is>
      </c>
      <c r="B18" t="inlineStr"/>
    </row>
    <row r="19">
      <c r="A19" t="inlineStr">
        <is>
          <t>Gabriel Alves</t>
        </is>
      </c>
      <c r="B19" t="inlineStr"/>
    </row>
    <row r="20">
      <c r="A20" t="inlineStr">
        <is>
          <t>Gabriel Gomes de Andrade</t>
        </is>
      </c>
      <c r="B20" t="inlineStr">
        <is>
          <t>Gabriel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</row>
    <row r="22">
      <c r="A22" t="inlineStr">
        <is>
          <t>Janaina Lima dos Reis Urany</t>
        </is>
      </c>
      <c r="B22" t="inlineStr">
        <is>
          <t>Janaina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</row>
    <row r="24">
      <c r="A24" t="inlineStr">
        <is>
          <t>Jessica Faria da Silveira</t>
        </is>
      </c>
      <c r="B24" t="inlineStr">
        <is>
          <t>Jessica Silveira</t>
        </is>
      </c>
    </row>
    <row r="25">
      <c r="A25" t="inlineStr">
        <is>
          <t>Jéssica Fé Moura</t>
        </is>
      </c>
      <c r="B25" t="inlineStr"/>
    </row>
    <row r="26">
      <c r="A26" t="inlineStr">
        <is>
          <t>Karina Gonçalves Martins</t>
        </is>
      </c>
      <c r="B26" t="inlineStr">
        <is>
          <t>Karina Martins</t>
        </is>
      </c>
    </row>
    <row r="27">
      <c r="A27" t="inlineStr">
        <is>
          <t>Kerollen Cristielly de Jesus Siqueira</t>
        </is>
      </c>
      <c r="B27" t="inlineStr"/>
    </row>
    <row r="28">
      <c r="A28" t="inlineStr">
        <is>
          <t>Leandro Oliveira de Sousa</t>
        </is>
      </c>
      <c r="B28" t="inlineStr">
        <is>
          <t>Leandro Sousa</t>
        </is>
      </c>
    </row>
    <row r="29">
      <c r="A29" t="inlineStr">
        <is>
          <t>Leandro de Souza Silva</t>
        </is>
      </c>
      <c r="B29" t="inlineStr">
        <is>
          <t>Leandro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</row>
    <row r="31">
      <c r="A31" t="inlineStr">
        <is>
          <t>Lorena Dias de Araujo</t>
        </is>
      </c>
      <c r="B31" t="inlineStr"/>
    </row>
    <row r="32">
      <c r="A32" t="inlineStr">
        <is>
          <t>Lucas Luiz Romero</t>
        </is>
      </c>
      <c r="B32" t="inlineStr">
        <is>
          <t>Lucas Romero</t>
        </is>
      </c>
    </row>
    <row r="33">
      <c r="A33" t="inlineStr">
        <is>
          <t>Luiz Fernando de Carvalho Junior</t>
        </is>
      </c>
      <c r="B33" t="inlineStr"/>
    </row>
    <row r="34">
      <c r="A34" t="inlineStr">
        <is>
          <t>Maria Eduarda Sousa Costa</t>
        </is>
      </c>
      <c r="B34" t="inlineStr"/>
    </row>
    <row r="35">
      <c r="A35" t="inlineStr">
        <is>
          <t>Matheus Farias De Souza</t>
        </is>
      </c>
      <c r="B35" t="inlineStr"/>
    </row>
    <row r="36">
      <c r="A36" t="inlineStr">
        <is>
          <t>Maysa Victoria Dias Moura</t>
        </is>
      </c>
      <c r="B36" t="inlineStr"/>
    </row>
    <row r="37">
      <c r="A37" t="inlineStr">
        <is>
          <t>Michelle G Santos</t>
        </is>
      </c>
      <c r="B37" t="inlineStr"/>
    </row>
    <row r="38">
      <c r="A38" t="inlineStr">
        <is>
          <t>Milena Sales</t>
        </is>
      </c>
      <c r="B38" t="inlineStr">
        <is>
          <t>Milena Sales</t>
        </is>
      </c>
    </row>
    <row r="39">
      <c r="A39" t="inlineStr">
        <is>
          <t>Patrícia Karla de Sousa Araújo</t>
        </is>
      </c>
      <c r="B39" t="inlineStr"/>
    </row>
    <row r="40">
      <c r="A40" t="inlineStr">
        <is>
          <t>Paulo Ricardo Santos</t>
        </is>
      </c>
      <c r="B40" t="inlineStr">
        <is>
          <t>Paulo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</row>
    <row r="42">
      <c r="A42" t="inlineStr">
        <is>
          <t>Quirino Diogo Leite Torres</t>
        </is>
      </c>
      <c r="B42" t="inlineStr"/>
    </row>
    <row r="43">
      <c r="A43" t="inlineStr">
        <is>
          <t>Raane Batista Matos</t>
        </is>
      </c>
      <c r="B43" t="inlineStr">
        <is>
          <t>Raane Matos</t>
        </is>
      </c>
    </row>
    <row r="44">
      <c r="A44" t="inlineStr">
        <is>
          <t>Rafael Gomes de Morais</t>
        </is>
      </c>
      <c r="B44" t="inlineStr">
        <is>
          <t>Rafael Gomes</t>
        </is>
      </c>
    </row>
    <row r="45">
      <c r="A45" t="inlineStr">
        <is>
          <t>Sara Maria Monteiro Lopes</t>
        </is>
      </c>
      <c r="B45" t="inlineStr"/>
    </row>
    <row r="46">
      <c r="A46" t="inlineStr">
        <is>
          <t>Sarah Steffanie de Lima Borges</t>
        </is>
      </c>
      <c r="B4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2026-05-25T11:15:57Z</dcterms:modified>
  <cp:lastModifiedBy>Esther Queiroz Supervisora Folha</cp:lastModifiedBy>
</cp:coreProperties>
</file>
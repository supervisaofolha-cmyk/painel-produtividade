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'Produtividade'!$A$1:$O$4470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470"/>
  <sheetViews>
    <sheetView tabSelected="1" zoomScale="85" zoomScaleNormal="85" workbookViewId="0">
      <selection activeCell="M66" sqref="M66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Alisson de Freitas Silva</t>
        </is>
      </c>
      <c r="C2" s="3" t="inlineStr">
        <is>
          <t>Técnico II</t>
        </is>
      </c>
      <c r="D2" s="3" t="n">
        <v>40</v>
      </c>
      <c r="E2" s="3" t="n">
        <v>38</v>
      </c>
      <c r="F2" s="3" t="n">
        <v>13.5</v>
      </c>
      <c r="G2" s="3" t="n">
        <v>4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36</v>
      </c>
      <c r="N2" s="9" t="n">
        <v>98.94</v>
      </c>
      <c r="O2" s="9" t="n">
        <v>19.61414790996785</v>
      </c>
    </row>
    <row r="3" hidden="1">
      <c r="A3" s="5" t="n">
        <v>46146</v>
      </c>
      <c r="B3" s="6" t="inlineStr">
        <is>
          <t>Amanda Moura Ferreira</t>
        </is>
      </c>
      <c r="C3" s="3" t="inlineStr">
        <is>
          <t>Técnico III</t>
        </is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>
        <f>IF(K3&lt;-5,"CRÍTICO",IF(K3&lt;0,"ATENÇÃO",IF(K3&lt;=5,"BOM","EXCELENTE")))</f>
        <v/>
      </c>
      <c r="M3" s="9" t="n">
        <v>0</v>
      </c>
      <c r="N3" s="9" t="n">
        <v>100</v>
      </c>
      <c r="O3" s="9" t="n">
        <v>0</v>
      </c>
    </row>
    <row r="4" hidden="1">
      <c r="A4" s="5" t="n">
        <v>46146</v>
      </c>
      <c r="B4" s="6" t="inlineStr">
        <is>
          <t>Ana Karollyne Souza Faria</t>
        </is>
      </c>
      <c r="C4" s="3" t="inlineStr">
        <is>
          <t>Técnico I</t>
        </is>
      </c>
      <c r="D4" s="3" t="n">
        <v>41</v>
      </c>
      <c r="E4" s="3" t="n">
        <v>39</v>
      </c>
      <c r="F4" s="3" t="n">
        <v>17.31</v>
      </c>
      <c r="G4" s="3" t="n">
        <v>1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35</v>
      </c>
      <c r="N4" s="9" t="n">
        <v>95.38</v>
      </c>
      <c r="O4" s="9" t="n">
        <v>21.5962441314554</v>
      </c>
    </row>
    <row r="5" hidden="1">
      <c r="A5" s="5" t="n">
        <v>46146</v>
      </c>
      <c r="B5" s="6" t="inlineStr">
        <is>
          <t>Ana Paula Da Luz Silva Aleixo</t>
        </is>
      </c>
      <c r="C5" s="9" t="inlineStr">
        <is>
          <t>Técnico III</t>
        </is>
      </c>
      <c r="D5" s="3" t="n">
        <v>30</v>
      </c>
      <c r="E5" s="3" t="n">
        <v>27</v>
      </c>
      <c r="F5" s="3" t="n">
        <v>17.2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31</v>
      </c>
      <c r="N5" s="9" t="n">
        <v>96.34</v>
      </c>
      <c r="O5" s="9" t="n">
        <v>17.57188498402556</v>
      </c>
    </row>
    <row r="6" hidden="1">
      <c r="A6" s="5" t="n">
        <v>46146</v>
      </c>
      <c r="B6" s="6" t="inlineStr">
        <is>
          <t>Anna Luiza Rezende Tavares</t>
        </is>
      </c>
      <c r="C6" s="3" t="inlineStr">
        <is>
          <t>Estágio</t>
        </is>
      </c>
      <c r="D6" s="3" t="n">
        <v>48</v>
      </c>
      <c r="E6" s="3" t="n">
        <v>36</v>
      </c>
      <c r="F6" s="3" t="n">
        <v>10.4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29</v>
      </c>
      <c r="N6" s="9" t="n">
        <v>99.11</v>
      </c>
      <c r="O6" s="9" t="n">
        <v>17.72151898734177</v>
      </c>
    </row>
    <row r="7" hidden="1">
      <c r="A7" s="5" t="n">
        <v>46146</v>
      </c>
      <c r="B7" s="6" t="inlineStr">
        <is>
          <t>Brenda de Menezes Silva</t>
        </is>
      </c>
      <c r="C7" s="3" t="inlineStr">
        <is>
          <t>Técnico II</t>
        </is>
      </c>
      <c r="D7" s="3" t="n">
        <v>41</v>
      </c>
      <c r="E7" s="3" t="n">
        <v>38</v>
      </c>
      <c r="F7" s="3" t="n">
        <v>11.44</v>
      </c>
      <c r="G7" s="3" t="n">
        <v>5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43</v>
      </c>
      <c r="N7" s="9" t="n">
        <v>99.13</v>
      </c>
      <c r="O7" s="9" t="n">
        <v>14.7239263803681</v>
      </c>
    </row>
    <row r="8" hidden="1">
      <c r="A8" s="5" t="n">
        <v>46146</v>
      </c>
      <c r="B8" s="6" t="inlineStr">
        <is>
          <t>Carlos Mateus Cassimiro Nunes</t>
        </is>
      </c>
      <c r="C8" s="9" t="inlineStr">
        <is>
          <t>Técnico II</t>
        </is>
      </c>
      <c r="D8" s="3" t="n">
        <v>31</v>
      </c>
      <c r="E8" s="3" t="n">
        <v>29</v>
      </c>
      <c r="F8" s="3" t="n">
        <v>20.3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9" t="n">
        <v>28</v>
      </c>
      <c r="N8" s="9" t="n">
        <v>98.8</v>
      </c>
      <c r="O8" s="9" t="n">
        <v>16.89750692520776</v>
      </c>
    </row>
    <row r="9" hidden="1">
      <c r="A9" s="5" t="n">
        <v>46146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8</v>
      </c>
      <c r="E9" s="3" t="n">
        <v>8</v>
      </c>
      <c r="F9" s="3" t="n">
        <v>25.13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9" t="n">
        <v>7</v>
      </c>
      <c r="N9" s="9" t="n">
        <v>96.43000000000001</v>
      </c>
      <c r="O9" s="9" t="n">
        <v>20</v>
      </c>
    </row>
    <row r="10" hidden="1">
      <c r="A10" s="5" t="n">
        <v>46146</v>
      </c>
      <c r="B10" s="6" t="inlineStr">
        <is>
          <t>Clessiane Pereira dos Santos</t>
        </is>
      </c>
      <c r="C10" s="3" t="inlineStr">
        <is>
          <t>Técnico I</t>
        </is>
      </c>
      <c r="D10" s="3" t="n">
        <v>32</v>
      </c>
      <c r="E10" s="3" t="n">
        <v>26</v>
      </c>
      <c r="F10" s="3" t="n">
        <v>15.13</v>
      </c>
      <c r="G10" s="3" t="n">
        <v>6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9" t="n">
        <v>29</v>
      </c>
      <c r="N10" s="9" t="n">
        <v>96.88</v>
      </c>
      <c r="O10" s="9" t="n">
        <v>19.52662721893491</v>
      </c>
    </row>
    <row r="11" hidden="1">
      <c r="A11" s="5" t="n">
        <v>46146</v>
      </c>
      <c r="B11" s="6" t="inlineStr">
        <is>
          <t>Cristiane Ramos da Silva Rocha</t>
        </is>
      </c>
      <c r="C11" s="3" t="inlineStr">
        <is>
          <t>Técnico III</t>
        </is>
      </c>
      <c r="D11" s="3" t="n">
        <v>38</v>
      </c>
      <c r="E11" s="3" t="n">
        <v>37</v>
      </c>
      <c r="F11" s="3" t="n">
        <v>13.54</v>
      </c>
      <c r="G11" s="3" t="n">
        <v>1</v>
      </c>
      <c r="H11" s="3" t="n">
        <v>0</v>
      </c>
      <c r="I11" s="3">
        <f>E11+G11+H11</f>
        <v/>
      </c>
      <c r="J11" s="3">
        <f>ROUND(MIN(IF(C11="Técnico III",35,IF(C11="Técnico II",28,IF(C11="Técnico I",23,IF(C11="JR",20,IF(C11="Estágio",10,0))))),IF(C11="Técnico III",SUMIFS($D:$D,$A:$A,$A11,$B:$B,"&lt;&gt;Patrícia Karla de Sousa Araújo",$B:$B,"&lt;&gt;Lorena Dias de Araujo",$B:$B,"&lt;&gt;Lucas Luiz Romero")*(35/1083),IF(C11="Técnico II",SUMIFS($D:$D,$A:$A,$A11,$B:$B,"&lt;&gt;Patrícia Karla de Sousa Araújo",$B:$B,"&lt;&gt;Lorena Dias de Araujo",$B:$B,"&lt;&gt;Lucas Luiz Romero")*(28/1083),IF(C11="Técnico I",SUMIFS($D:$D,$A:$A,$A11,$B:$B,"&lt;&gt;Patrícia Karla de Sousa Araújo",$B:$B,"&lt;&gt;Lorena Dias de Araujo",$B:$B,"&lt;&gt;Lucas Luiz Romero")*(23/1083),IF(C11="JR",SUMIFS($D:$D,$A:$A,$A11,$B:$B,"&lt;&gt;Patrícia Karla de Sousa Araújo",$B:$B,"&lt;&gt;Lorena Dias de Araujo",$B:$B,"&lt;&gt;Lucas Luiz Romero")*(20/1083),IF(C11="Estágio",SUMIFS($D:$D,$A:$A,$A11,$B:$B,"&lt;&gt;Patrícia Karla de Sousa Araújo",$B:$B,"&lt;&gt;Lorena Dias de Araujo",$B:$B,"&lt;&gt;Lucas Luiz Romero")*(10/1083),0)))))),0)</f>
        <v/>
      </c>
      <c r="K11" s="3">
        <f>I11-J11</f>
        <v/>
      </c>
      <c r="L11" s="3">
        <f>IF(K11&lt;-5,"CRÍTICO",IF(K11&lt;0,"ATENÇÃO",IF(K11&lt;=5,"BOM","EXCELENTE")))</f>
        <v/>
      </c>
      <c r="M11" s="9" t="n">
        <v>32</v>
      </c>
      <c r="N11" s="9" t="n">
        <v>91.84999999999999</v>
      </c>
      <c r="O11" s="9" t="n">
        <v>20.87155963302752</v>
      </c>
    </row>
    <row r="12" hidden="1">
      <c r="A12" s="5" t="n">
        <v>46146</v>
      </c>
      <c r="B12" s="6" t="inlineStr">
        <is>
          <t>Damyllis Lorraine de Oliveira Gonçalves</t>
        </is>
      </c>
      <c r="C12" s="3" t="inlineStr">
        <is>
          <t>Técnico II</t>
        </is>
      </c>
      <c r="D12" s="3" t="n">
        <v>37</v>
      </c>
      <c r="E12" s="3" t="n">
        <v>30</v>
      </c>
      <c r="F12" s="3" t="n">
        <v>15.15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>
        <f>IF(K12&lt;-5,"CRÍTICO",IF(K12&lt;0,"ATENÇÃO",IF(K12&lt;=5,"BOM","EXCELENTE")))</f>
        <v/>
      </c>
      <c r="M12" s="9" t="n">
        <v>25</v>
      </c>
      <c r="N12" s="9" t="n">
        <v>98.63</v>
      </c>
      <c r="O12" s="9" t="n">
        <v>18.75</v>
      </c>
    </row>
    <row r="13" hidden="1">
      <c r="A13" s="5" t="n">
        <v>46146</v>
      </c>
      <c r="B13" s="6" t="inlineStr">
        <is>
          <t>Daniel Gomes da Silva</t>
        </is>
      </c>
      <c r="C13" s="3" t="inlineStr">
        <is>
          <t>Técnico I</t>
        </is>
      </c>
      <c r="D13" s="3" t="n">
        <v>28</v>
      </c>
      <c r="E13" s="3" t="n">
        <v>27</v>
      </c>
      <c r="F13" s="3" t="n">
        <v>17.14</v>
      </c>
      <c r="G13" s="3" t="n">
        <v>0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9" t="n">
        <v>16</v>
      </c>
      <c r="N13" s="9" t="n">
        <v>100</v>
      </c>
      <c r="O13" s="9" t="n">
        <v>18.14516129032258</v>
      </c>
    </row>
    <row r="14" hidden="1">
      <c r="A14" s="5" t="n">
        <v>46146</v>
      </c>
      <c r="B14" s="6" t="inlineStr">
        <is>
          <t>Davylla Rodrigues Freitas Silva</t>
        </is>
      </c>
      <c r="C14" s="9" t="inlineStr">
        <is>
          <t>Técnico III</t>
        </is>
      </c>
      <c r="D14" s="3" t="n">
        <v>21</v>
      </c>
      <c r="E14" s="3" t="n">
        <v>20</v>
      </c>
      <c r="F14" s="3" t="n">
        <v>21.4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>
        <f>IF(K14&lt;-5,"CRÍTICO",IF(K14&lt;0,"ATENÇÃO",IF(K14&lt;=5,"BOM","EXCELENTE")))</f>
        <v/>
      </c>
      <c r="M14" s="9" t="n">
        <v>25</v>
      </c>
      <c r="N14" s="9" t="n">
        <v>99.06</v>
      </c>
      <c r="O14" s="9" t="n">
        <v>22.95719844357977</v>
      </c>
    </row>
    <row r="15" hidden="1">
      <c r="A15" s="5" t="n">
        <v>46146</v>
      </c>
      <c r="B15" s="6" t="inlineStr">
        <is>
          <t>Emilly Caylane Costa</t>
        </is>
      </c>
      <c r="C15" s="3" t="inlineStr">
        <is>
          <t>Estágio</t>
        </is>
      </c>
      <c r="D15" s="3" t="n">
        <v>8</v>
      </c>
      <c r="E15" s="3" t="n">
        <v>8</v>
      </c>
      <c r="F15" s="3" t="n">
        <v>38.45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9" t="n">
        <v>8</v>
      </c>
      <c r="N15" s="9" t="n">
        <v>100</v>
      </c>
      <c r="O15" s="9" t="n">
        <v>29.03225806451613</v>
      </c>
    </row>
    <row r="16" hidden="1">
      <c r="A16" s="5" t="n">
        <v>46146</v>
      </c>
      <c r="B16" s="6" t="inlineStr">
        <is>
          <t>Emilly Kamilly Medeiros Miranda</t>
        </is>
      </c>
      <c r="C16" s="3" t="inlineStr">
        <is>
          <t>Técnico II</t>
        </is>
      </c>
      <c r="D16" s="3" t="n">
        <v>31</v>
      </c>
      <c r="E16" s="3" t="n">
        <v>28</v>
      </c>
      <c r="F16" s="3" t="n">
        <v>15.09</v>
      </c>
      <c r="G16" s="3" t="n">
        <v>7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9" t="n">
        <v>29</v>
      </c>
      <c r="N16" s="9" t="n">
        <v>100</v>
      </c>
      <c r="O16" s="9" t="n">
        <v>13.8121546961326</v>
      </c>
    </row>
    <row r="17" hidden="1">
      <c r="A17" s="5" t="n">
        <v>46146</v>
      </c>
      <c r="B17" s="6" t="inlineStr">
        <is>
          <t>Francielson de Oliveira</t>
        </is>
      </c>
      <c r="C17" s="9" t="inlineStr">
        <is>
          <t>Técnico III</t>
        </is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>
        <f>IF(K17&lt;-5,"CRÍTICO",IF(K17&lt;0,"ATENÇÃO",IF(K17&lt;=5,"BOM","EXCELENTE")))</f>
        <v/>
      </c>
      <c r="M17" s="9" t="n">
        <v>0</v>
      </c>
      <c r="N17" s="9" t="n">
        <v>100</v>
      </c>
      <c r="O17" s="9" t="n">
        <v>9.523809523809524</v>
      </c>
    </row>
    <row r="18" hidden="1">
      <c r="A18" s="5" t="n">
        <v>46146</v>
      </c>
      <c r="B18" s="6" t="inlineStr">
        <is>
          <t>Francilene Ferreira de Jesus</t>
        </is>
      </c>
      <c r="C18" s="3" t="inlineStr">
        <is>
          <t>Técnico II</t>
        </is>
      </c>
      <c r="D18" s="3" t="n">
        <v>36</v>
      </c>
      <c r="E18" s="3" t="n">
        <v>33</v>
      </c>
      <c r="F18" s="3" t="n">
        <v>18.37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9" t="n">
        <v>29</v>
      </c>
      <c r="N18" s="9" t="n">
        <v>100</v>
      </c>
      <c r="O18" s="9" t="n">
        <v>17.24137931034483</v>
      </c>
    </row>
    <row r="19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46146</v>
      </c>
      <c r="B20" s="6" t="inlineStr">
        <is>
          <t>Isabella Borges de Oliveira</t>
        </is>
      </c>
      <c r="C20" s="9" t="inlineStr">
        <is>
          <t>Técnico II</t>
        </is>
      </c>
      <c r="D20" s="3" t="n">
        <v>36</v>
      </c>
      <c r="E20" s="3" t="n">
        <v>34</v>
      </c>
      <c r="F20" s="3" t="n">
        <v>14.11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9" t="n">
        <v>33</v>
      </c>
      <c r="N20" s="9" t="n">
        <v>98.63</v>
      </c>
      <c r="O20" s="9" t="n">
        <v>15.75757575757576</v>
      </c>
    </row>
    <row r="21" hidden="1">
      <c r="A21" s="5" t="n">
        <v>46146</v>
      </c>
      <c r="B21" s="6" t="inlineStr">
        <is>
          <t>Janaina Lima dos Reis Urany</t>
        </is>
      </c>
      <c r="C21" s="3" t="inlineStr">
        <is>
          <t>Técnico III</t>
        </is>
      </c>
      <c r="D21" s="3" t="n">
        <v>47</v>
      </c>
      <c r="E21" s="3" t="n">
        <v>44</v>
      </c>
      <c r="F21" s="3" t="n">
        <v>12.18</v>
      </c>
      <c r="G21" s="3" t="n">
        <v>5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9" t="n">
        <v>46</v>
      </c>
      <c r="N21" s="9" t="n">
        <v>98.64</v>
      </c>
      <c r="O21" s="9" t="n">
        <v>16.6383701188455</v>
      </c>
    </row>
    <row r="22" hidden="1">
      <c r="A22" s="5" t="n">
        <v>46146</v>
      </c>
      <c r="B22" s="6" t="inlineStr">
        <is>
          <t>Jaqueline Evangelista da Silva Martins</t>
        </is>
      </c>
      <c r="C22" s="3" t="inlineStr">
        <is>
          <t>Técnico III</t>
        </is>
      </c>
      <c r="D22" s="3" t="n">
        <v>11</v>
      </c>
      <c r="E22" s="3" t="n">
        <v>11</v>
      </c>
      <c r="F22" s="3" t="n">
        <v>22</v>
      </c>
      <c r="G22" s="3" t="n">
        <v>5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9" t="n">
        <v>18</v>
      </c>
      <c r="N22" s="9" t="n">
        <v>95.40000000000001</v>
      </c>
      <c r="O22" s="9" t="n">
        <v>20.53333333333333</v>
      </c>
    </row>
    <row r="23" hidden="1">
      <c r="A23" s="5" t="n">
        <v>46146</v>
      </c>
      <c r="B23" s="6" t="inlineStr">
        <is>
          <t>Jessica Faria da Silveira</t>
        </is>
      </c>
      <c r="C23" s="3" t="inlineStr">
        <is>
          <t>Técnico II</t>
        </is>
      </c>
      <c r="D23" s="3" t="n">
        <v>32</v>
      </c>
      <c r="E23" s="3" t="n">
        <v>28</v>
      </c>
      <c r="F23" s="3" t="n">
        <v>14.15</v>
      </c>
      <c r="G23" s="3" t="n">
        <v>4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9" t="n">
        <v>31</v>
      </c>
      <c r="N23" s="9" t="n">
        <v>98.61</v>
      </c>
      <c r="O23" s="9" t="n">
        <v>16.97530864197531</v>
      </c>
    </row>
    <row r="24" hidden="1">
      <c r="A24" s="5" t="n">
        <v>46146</v>
      </c>
      <c r="B24" s="6" t="inlineStr">
        <is>
          <t>Jéssica Fé Moura</t>
        </is>
      </c>
      <c r="C24" s="3" t="inlineStr">
        <is>
          <t>Técnico III</t>
        </is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>
        <f>IF(K24&lt;-5,"CRÍTICO",IF(K24&lt;0,"ATENÇÃO",IF(K24&lt;=5,"BOM","EXCELENTE")))</f>
        <v/>
      </c>
      <c r="M24" s="9" t="n">
        <v>0</v>
      </c>
      <c r="N24" s="9" t="n">
        <v>0</v>
      </c>
      <c r="O24" s="9" t="n">
        <v>0</v>
      </c>
    </row>
    <row r="25" hidden="1">
      <c r="A25" s="5" t="n">
        <v>46146</v>
      </c>
      <c r="B25" s="6" t="inlineStr">
        <is>
          <t>Karina Gonçalves Martins</t>
        </is>
      </c>
      <c r="C25" s="3" t="inlineStr">
        <is>
          <t>JR</t>
        </is>
      </c>
      <c r="D25" s="3" t="n">
        <v>24</v>
      </c>
      <c r="E25" s="3" t="n">
        <v>24</v>
      </c>
      <c r="F25" s="3" t="n">
        <v>18.51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9" t="n">
        <v>22</v>
      </c>
      <c r="N25" s="9" t="n">
        <v>97.01000000000001</v>
      </c>
      <c r="O25" s="9" t="n">
        <v>13.96103896103896</v>
      </c>
    </row>
    <row r="26" hidden="1">
      <c r="A26" s="5" t="n">
        <v>46146</v>
      </c>
      <c r="B26" s="6" t="inlineStr">
        <is>
          <t>Kerollen Cristielly de Jesus Siqueira</t>
        </is>
      </c>
      <c r="C26" s="9" t="inlineStr">
        <is>
          <t>Técnico III</t>
        </is>
      </c>
      <c r="D26" s="3" t="n">
        <v>20</v>
      </c>
      <c r="E26" s="3" t="n">
        <v>20</v>
      </c>
      <c r="F26" s="3" t="n">
        <v>20.48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9" t="n">
        <v>20</v>
      </c>
      <c r="N26" s="9" t="n">
        <v>95.52</v>
      </c>
      <c r="O26" s="9" t="n">
        <v>10.56105610561056</v>
      </c>
    </row>
    <row r="27" hidden="1">
      <c r="A27" s="5" t="n">
        <v>46146</v>
      </c>
      <c r="B27" s="6" t="inlineStr">
        <is>
          <t>Leandro de Souza Silva</t>
        </is>
      </c>
      <c r="C27" s="3" t="inlineStr">
        <is>
          <t>JR</t>
        </is>
      </c>
      <c r="D27" s="3" t="n">
        <v>12</v>
      </c>
      <c r="E27" s="3" t="n">
        <v>11</v>
      </c>
      <c r="F27" s="3" t="n">
        <v>25.03</v>
      </c>
      <c r="G27" s="3" t="n">
        <v>4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s="9" t="n">
        <v>15</v>
      </c>
      <c r="N27" s="9" t="n">
        <v>100</v>
      </c>
      <c r="O27" s="9" t="n">
        <v>16.95906432748538</v>
      </c>
    </row>
    <row r="28" hidden="1">
      <c r="A28" s="5" t="n">
        <v>46146</v>
      </c>
      <c r="B28" s="6" t="inlineStr">
        <is>
          <t>Leandro Oliveira de Sousa</t>
        </is>
      </c>
      <c r="C28" s="9" t="inlineStr">
        <is>
          <t>Técnico III</t>
        </is>
      </c>
      <c r="D28" s="3" t="n">
        <v>32</v>
      </c>
      <c r="E28" s="3" t="n">
        <v>29</v>
      </c>
      <c r="F28" s="3" t="n">
        <v>15.44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s="9" t="n">
        <v>27</v>
      </c>
      <c r="N28" s="9" t="n">
        <v>100</v>
      </c>
      <c r="O28" s="9" t="n">
        <v>15.58441558441558</v>
      </c>
    </row>
    <row r="29" hidden="1">
      <c r="A29" s="5" t="n">
        <v>46146</v>
      </c>
      <c r="B29" s="6" t="inlineStr">
        <is>
          <t>Lizandra Gomes Duarte</t>
        </is>
      </c>
      <c r="C29" s="3" t="inlineStr">
        <is>
          <t>Técnico II</t>
        </is>
      </c>
      <c r="D29" s="3" t="n">
        <v>29</v>
      </c>
      <c r="E29" s="3" t="n">
        <v>26</v>
      </c>
      <c r="F29" s="3" t="n">
        <v>15.47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s="9" t="n">
        <v>15</v>
      </c>
      <c r="N29" s="9" t="n">
        <v>98.61</v>
      </c>
      <c r="O29" s="9" t="n">
        <v>16.86746987951807</v>
      </c>
    </row>
    <row r="30" hidden="1">
      <c r="A30" s="5" t="n">
        <v>46146</v>
      </c>
      <c r="B30" s="6" t="inlineStr">
        <is>
          <t>Lorena Dias de Araujo</t>
        </is>
      </c>
      <c r="C30" s="3" t="inlineStr">
        <is>
          <t>Técnico II</t>
        </is>
      </c>
      <c r="D30" s="3" t="n">
        <v>41</v>
      </c>
      <c r="E30" s="3" t="n">
        <v>40</v>
      </c>
      <c r="F30" s="3" t="n">
        <v>15.1</v>
      </c>
      <c r="G30" s="3" t="n">
        <v>0</v>
      </c>
      <c r="H30" s="3" t="n">
        <v>0</v>
      </c>
      <c r="I30" s="3" t="n">
        <v>0</v>
      </c>
      <c r="J30" s="3" t="n">
        <v>0</v>
      </c>
      <c r="K30" s="3" t="n">
        <v>0</v>
      </c>
      <c r="L30" s="3">
        <f>IF(K30&lt;-5,"CRÍTICO",IF(K30&lt;0,"ATENÇÃO",IF(K30&lt;=5,"BOM","EXCELENTE")))</f>
        <v/>
      </c>
      <c r="M30" s="9" t="n">
        <v>31</v>
      </c>
      <c r="N30" s="9" t="n">
        <v>100</v>
      </c>
      <c r="O30" s="9" t="n">
        <v>20.82018927444795</v>
      </c>
    </row>
    <row r="31" hidden="1">
      <c r="A31" s="5" t="n">
        <v>46146</v>
      </c>
      <c r="B31" s="6" t="inlineStr">
        <is>
          <t>Lucas Luiz Romero</t>
        </is>
      </c>
      <c r="C31" s="3" t="inlineStr">
        <is>
          <t>Técnico III</t>
        </is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>
        <f>IF(K31&lt;-5,"CRÍTICO",IF(K31&lt;0,"ATENÇÃO",IF(K31&lt;=5,"BOM","EXCELENTE")))</f>
        <v/>
      </c>
      <c r="M31" s="9" t="n">
        <v>0</v>
      </c>
      <c r="N31" s="9" t="n">
        <v>100</v>
      </c>
      <c r="O31" s="9" t="n">
        <v>4.347826086956522</v>
      </c>
    </row>
    <row r="32" hidden="1">
      <c r="A32" s="5" t="n">
        <v>46146</v>
      </c>
      <c r="B32" s="6" t="inlineStr">
        <is>
          <t>Luiz Fernando de Carvalho Junior</t>
        </is>
      </c>
      <c r="C32" s="3" t="inlineStr">
        <is>
          <t>Técnico I</t>
        </is>
      </c>
      <c r="D32" s="3" t="n">
        <v>25</v>
      </c>
      <c r="E32" s="3" t="n">
        <v>21</v>
      </c>
      <c r="F32" s="3" t="n">
        <v>17.18</v>
      </c>
      <c r="G32" s="3" t="n">
        <v>4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s="9" t="n">
        <v>26</v>
      </c>
      <c r="N32" s="9" t="n">
        <v>93.26000000000001</v>
      </c>
      <c r="O32" s="9" t="n">
        <v>19.93957703927493</v>
      </c>
    </row>
    <row r="33" hidden="1">
      <c r="A33" s="5" t="n">
        <v>46146</v>
      </c>
      <c r="B33" s="6" t="inlineStr">
        <is>
          <t>Maria Eduarda Sousa Costa</t>
        </is>
      </c>
      <c r="C33" s="3" t="inlineStr">
        <is>
          <t>Estágio</t>
        </is>
      </c>
      <c r="D33" s="3" t="n">
        <v>47</v>
      </c>
      <c r="E33" s="3" t="n">
        <v>25</v>
      </c>
      <c r="F33" s="3" t="n">
        <v>3.57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s="9" t="n">
        <v>0</v>
      </c>
      <c r="N33" s="9" t="n">
        <v>100</v>
      </c>
      <c r="O33" s="9" t="n">
        <v>11.86440677966102</v>
      </c>
    </row>
    <row r="34" hidden="1">
      <c r="A34" s="5" t="n">
        <v>46146</v>
      </c>
      <c r="B34" s="6" t="inlineStr">
        <is>
          <t>Matheus Farias De Souza</t>
        </is>
      </c>
      <c r="C34" s="3" t="inlineStr">
        <is>
          <t>Técnico III</t>
        </is>
      </c>
      <c r="D34" s="3" t="n">
        <v>32</v>
      </c>
      <c r="E34" s="3" t="n">
        <v>31</v>
      </c>
      <c r="F34" s="3" t="n">
        <v>10.27</v>
      </c>
      <c r="G34" s="3" t="n">
        <v>1</v>
      </c>
      <c r="H34" s="3" t="n">
        <v>25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s="9" t="n">
        <v>36</v>
      </c>
      <c r="N34" s="9" t="n">
        <v>98.28</v>
      </c>
      <c r="O34" s="9" t="n">
        <v>9.037900874635568</v>
      </c>
    </row>
    <row r="35" hidden="1">
      <c r="A35" s="5" t="n">
        <v>46146</v>
      </c>
      <c r="B35" s="6" t="inlineStr">
        <is>
          <t>Maysa Victoria Dias Moura</t>
        </is>
      </c>
      <c r="C35" s="3" t="inlineStr">
        <is>
          <t>Técnico III</t>
        </is>
      </c>
      <c r="D35" s="3" t="n">
        <v>40</v>
      </c>
      <c r="E35" s="3" t="n">
        <v>37</v>
      </c>
      <c r="F35" s="3" t="n">
        <v>10.48</v>
      </c>
      <c r="G35" s="3" t="n">
        <v>1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s="9" t="n">
        <v>33</v>
      </c>
      <c r="N35" s="9" t="n">
        <v>97.22</v>
      </c>
      <c r="O35" s="9" t="n">
        <v>19.09547738693467</v>
      </c>
    </row>
    <row r="36" hidden="1">
      <c r="A36" s="5" t="n">
        <v>46146</v>
      </c>
      <c r="B36" s="6" t="inlineStr">
        <is>
          <t>Michelle G Santos</t>
        </is>
      </c>
      <c r="C36" s="3" t="inlineStr">
        <is>
          <t>Estágio</t>
        </is>
      </c>
      <c r="D36" s="3" t="n">
        <v>8</v>
      </c>
      <c r="E36" s="3" t="n">
        <v>7</v>
      </c>
      <c r="F36" s="3" t="n">
        <v>23.3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s="9" t="n">
        <v>4</v>
      </c>
      <c r="N36" s="9" t="n">
        <v>100</v>
      </c>
      <c r="O36" s="9" t="n">
        <v>16.8141592920354</v>
      </c>
    </row>
    <row r="37" hidden="1">
      <c r="A37" s="5" t="n">
        <v>46146</v>
      </c>
      <c r="B37" s="6" t="inlineStr">
        <is>
          <t>Milena Sales</t>
        </is>
      </c>
      <c r="C37" s="3" t="inlineStr">
        <is>
          <t>JR</t>
        </is>
      </c>
      <c r="D37" s="3" t="n">
        <v>42</v>
      </c>
      <c r="E37" s="3" t="n">
        <v>23</v>
      </c>
      <c r="F37" s="3" t="n">
        <v>8.34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s="9" t="n">
        <v>19</v>
      </c>
      <c r="N37" s="9" t="n">
        <v>98</v>
      </c>
      <c r="O37" s="9" t="n">
        <v>16.43835616438356</v>
      </c>
    </row>
    <row r="38" hidden="1">
      <c r="A38" s="5" t="n">
        <v>46146</v>
      </c>
      <c r="B38" s="6" t="inlineStr">
        <is>
          <t>Patrícia Karla de Sousa Araújo</t>
        </is>
      </c>
      <c r="C38" s="3" t="inlineStr">
        <is>
          <t>Técnico II</t>
        </is>
      </c>
      <c r="D38" s="3" t="n">
        <v>20</v>
      </c>
      <c r="E38" s="3" t="n">
        <v>16</v>
      </c>
      <c r="F38" s="3" t="n">
        <v>16.51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s="9" t="n">
        <v>14</v>
      </c>
      <c r="N38" s="9" t="n">
        <v>100</v>
      </c>
      <c r="O38" s="9" t="n">
        <v>16.89497716894977</v>
      </c>
    </row>
    <row r="39" hidden="1">
      <c r="A39" s="5" t="n">
        <v>46146</v>
      </c>
      <c r="B39" s="6" t="inlineStr">
        <is>
          <t>Paulo Ricardo Santos</t>
        </is>
      </c>
      <c r="C39" s="3" t="inlineStr">
        <is>
          <t>JR</t>
        </is>
      </c>
      <c r="D39" s="3" t="n">
        <v>23</v>
      </c>
      <c r="E39" s="3" t="n">
        <v>23</v>
      </c>
      <c r="F39" s="3" t="n">
        <v>17.35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s="9" t="n">
        <v>18</v>
      </c>
      <c r="N39" s="9" t="n">
        <v>100</v>
      </c>
      <c r="O39" s="9" t="n">
        <v>19.13875598086124</v>
      </c>
    </row>
    <row r="40" hidden="1">
      <c r="A40" s="5" t="n">
        <v>46146</v>
      </c>
      <c r="B40" s="6" t="inlineStr">
        <is>
          <t>Pedro Luiz Mota Sousa</t>
        </is>
      </c>
      <c r="C40" s="3" t="inlineStr">
        <is>
          <t>JR</t>
        </is>
      </c>
      <c r="D40" s="3" t="n">
        <v>23</v>
      </c>
      <c r="E40" s="3" t="n">
        <v>21</v>
      </c>
      <c r="F40" s="3" t="n">
        <v>17.11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s="9" t="n">
        <v>21</v>
      </c>
      <c r="N40" s="9" t="n">
        <v>100</v>
      </c>
      <c r="O40" s="9" t="n">
        <v>15.02145922746781</v>
      </c>
    </row>
    <row r="41" hidden="1">
      <c r="A41" s="5" t="n">
        <v>46146</v>
      </c>
      <c r="B41" s="6" t="inlineStr">
        <is>
          <t>Quirino Diogo Leite Torres</t>
        </is>
      </c>
      <c r="C41" s="3" t="inlineStr">
        <is>
          <t>Estágio</t>
        </is>
      </c>
      <c r="D41" s="3" t="n">
        <v>14</v>
      </c>
      <c r="E41" s="3" t="n">
        <v>14</v>
      </c>
      <c r="F41" s="3" t="n">
        <v>34.04</v>
      </c>
      <c r="G41" s="3" t="n">
        <v>1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s="9" t="n">
        <v>12</v>
      </c>
      <c r="N41" s="9" t="n">
        <v>98.11</v>
      </c>
      <c r="O41" s="9" t="n">
        <v>20.40816326530612</v>
      </c>
    </row>
    <row r="42" hidden="1">
      <c r="A42" s="5" t="n">
        <v>46146</v>
      </c>
      <c r="B42" s="6" t="inlineStr">
        <is>
          <t>Raane Batista Matos</t>
        </is>
      </c>
      <c r="C42" s="3" t="inlineStr">
        <is>
          <t>Técnico I</t>
        </is>
      </c>
      <c r="D42" s="3" t="n">
        <v>27</v>
      </c>
      <c r="E42" s="3" t="n">
        <v>23</v>
      </c>
      <c r="F42" s="3" t="n">
        <v>14.07</v>
      </c>
      <c r="G42" s="3" t="n">
        <v>4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s="9" t="n">
        <v>20</v>
      </c>
      <c r="N42" s="9" t="n">
        <v>97.56</v>
      </c>
      <c r="O42" s="9" t="n">
        <v>19.28783382789317</v>
      </c>
    </row>
    <row r="43" hidden="1">
      <c r="A43" s="5" t="n">
        <v>46146</v>
      </c>
      <c r="B43" s="6" t="inlineStr">
        <is>
          <t>Rafael Gomes de Morais</t>
        </is>
      </c>
      <c r="C43" s="3" t="inlineStr">
        <is>
          <t>Técnico III</t>
        </is>
      </c>
      <c r="D43" s="3" t="n">
        <v>50</v>
      </c>
      <c r="E43" s="3" t="n">
        <v>46</v>
      </c>
      <c r="F43" s="3" t="n">
        <v>12.23</v>
      </c>
      <c r="G43" s="3" t="n">
        <v>1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s="9" t="n">
        <v>32</v>
      </c>
      <c r="N43" s="9" t="n">
        <v>99.29000000000001</v>
      </c>
      <c r="O43" s="9" t="n">
        <v>22.49443207126949</v>
      </c>
    </row>
    <row r="44" hidden="1">
      <c r="A44" s="5" t="n">
        <v>46146</v>
      </c>
      <c r="B44" s="6" t="inlineStr">
        <is>
          <t>Sara Maria Monteiro Lopes</t>
        </is>
      </c>
      <c r="C44" s="3" t="inlineStr">
        <is>
          <t>Técnico I</t>
        </is>
      </c>
      <c r="D44" s="3" t="n">
        <v>20</v>
      </c>
      <c r="E44" s="3" t="n">
        <v>20</v>
      </c>
      <c r="F44" s="3" t="n">
        <v>25.29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s="9" t="n">
        <v>20</v>
      </c>
      <c r="N44" s="9" t="n">
        <v>100</v>
      </c>
      <c r="O44" s="9" t="n">
        <v>16.97247706422019</v>
      </c>
    </row>
    <row r="45" hidden="1">
      <c r="A45" s="5" t="n">
        <v>46146</v>
      </c>
      <c r="B45" s="6" t="inlineStr">
        <is>
          <t>Sarah Steffanie de Lima Borges</t>
        </is>
      </c>
      <c r="C45" s="3" t="inlineStr">
        <is>
          <t>Técnico III</t>
        </is>
      </c>
      <c r="D45" s="3" t="n">
        <v>26</v>
      </c>
      <c r="E45" s="3" t="n">
        <v>25</v>
      </c>
      <c r="F45" s="3" t="n">
        <v>17.25</v>
      </c>
      <c r="G45" s="3" t="n">
        <v>4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s="9" t="n">
        <v>26</v>
      </c>
      <c r="N45" s="9" t="n">
        <v>97.33</v>
      </c>
      <c r="O45" s="9" t="n">
        <v>15.80547112462006</v>
      </c>
    </row>
    <row r="46" hidden="1">
      <c r="A46" s="5" t="n">
        <v>46147</v>
      </c>
      <c r="B46" s="6" t="inlineStr">
        <is>
          <t>Alisson de Freitas Silva</t>
        </is>
      </c>
      <c r="C46" s="3" t="inlineStr">
        <is>
          <t>Técnico II</t>
        </is>
      </c>
      <c r="D46" s="3" t="n">
        <v>42</v>
      </c>
      <c r="E46" s="3" t="n">
        <v>37</v>
      </c>
      <c r="F46" s="3" t="n">
        <v>12.29</v>
      </c>
      <c r="G46" s="3" t="n">
        <v>4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s="3" t="n">
        <v>32</v>
      </c>
      <c r="N46" s="3" t="n">
        <v>98.94</v>
      </c>
      <c r="O46" s="3" t="n">
        <v>19.61414790996785</v>
      </c>
    </row>
    <row r="47" hidden="1">
      <c r="A47" s="5" t="n">
        <v>46147</v>
      </c>
      <c r="B47" s="6" t="inlineStr">
        <is>
          <t>Amanda Moura Ferreira</t>
        </is>
      </c>
      <c r="C47" s="3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IF(K47&lt;-5,"CRÍTICO",IF(K47&lt;0,"ATENÇÃO",IF(K47&lt;=5,"BOM","EXCELENTE")))</f>
        <v/>
      </c>
      <c r="M47" s="9" t="n">
        <v>0</v>
      </c>
      <c r="N47" s="9" t="n">
        <v>100</v>
      </c>
      <c r="O47" s="9" t="n">
        <v>0</v>
      </c>
    </row>
    <row r="48" hidden="1">
      <c r="A48" s="5" t="n">
        <v>46147</v>
      </c>
      <c r="B48" t="inlineStr">
        <is>
          <t>Ana Karollyne Souza Faria</t>
        </is>
      </c>
      <c r="C48" s="3" t="inlineStr">
        <is>
          <t>Técnico I</t>
        </is>
      </c>
      <c r="D48" s="3" t="n">
        <v>30</v>
      </c>
      <c r="E48" s="3" t="n">
        <v>30</v>
      </c>
      <c r="F48" s="3" t="n">
        <v>17.01</v>
      </c>
      <c r="G48" s="3" t="n">
        <v>7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s="3" t="n">
        <v>36</v>
      </c>
      <c r="N48" s="3" t="n">
        <v>95.38</v>
      </c>
      <c r="O48" s="3" t="n">
        <v>21.5962441314554</v>
      </c>
    </row>
    <row r="49" hidden="1">
      <c r="A49" s="5" t="n">
        <v>46147</v>
      </c>
      <c r="B49" s="6" t="inlineStr">
        <is>
          <t>Ana Paula Da Luz Silva Aleixo</t>
        </is>
      </c>
      <c r="C49" s="9" t="inlineStr">
        <is>
          <t>Técnico III</t>
        </is>
      </c>
      <c r="D49" s="3" t="n">
        <v>30</v>
      </c>
      <c r="E49" s="3" t="n">
        <v>28</v>
      </c>
      <c r="F49" s="3" t="n">
        <v>18.41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s="3" t="n">
        <v>26</v>
      </c>
      <c r="N49" s="3" t="n">
        <v>96.34</v>
      </c>
      <c r="O49" s="3" t="n">
        <v>17.57188498402556</v>
      </c>
    </row>
    <row r="50" hidden="1">
      <c r="A50" s="5" t="n">
        <v>46147</v>
      </c>
      <c r="B50" s="6" t="inlineStr">
        <is>
          <t>Anna Luiza Rezende Tavares</t>
        </is>
      </c>
      <c r="C50" s="3" t="inlineStr">
        <is>
          <t>Estágio</t>
        </is>
      </c>
      <c r="D50" s="3" t="n">
        <v>36</v>
      </c>
      <c r="E50" s="3" t="n">
        <v>35</v>
      </c>
      <c r="F50" s="3" t="n">
        <v>17.29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s="3" t="n">
        <v>33</v>
      </c>
      <c r="N50" s="3" t="n">
        <v>99.11</v>
      </c>
      <c r="O50" s="3" t="n">
        <v>17.72151898734177</v>
      </c>
    </row>
    <row r="51" hidden="1">
      <c r="A51" s="5" t="n">
        <v>46147</v>
      </c>
      <c r="B51" s="6" t="inlineStr">
        <is>
          <t>Claudio de Sousa Velasco Filho</t>
        </is>
      </c>
      <c r="C51" s="3" t="inlineStr">
        <is>
          <t>Estágio</t>
        </is>
      </c>
      <c r="D51" s="3" t="n">
        <v>10</v>
      </c>
      <c r="E51" s="3" t="n">
        <v>10</v>
      </c>
      <c r="F51" s="3" t="n">
        <v>12.39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s="3" t="n">
        <v>9</v>
      </c>
      <c r="N51" s="3" t="n">
        <v>96.43000000000001</v>
      </c>
      <c r="O51" s="3" t="n">
        <v>20</v>
      </c>
    </row>
    <row r="52" hidden="1">
      <c r="A52" s="5" t="n">
        <v>46147</v>
      </c>
      <c r="B52" s="6" t="inlineStr">
        <is>
          <t>Emilly Caylane Costa</t>
        </is>
      </c>
      <c r="C52" s="3" t="inlineStr">
        <is>
          <t>Estágio</t>
        </is>
      </c>
      <c r="D52" s="3" t="n">
        <v>48</v>
      </c>
      <c r="E52" s="3" t="n">
        <v>32</v>
      </c>
      <c r="F52" s="3" t="n">
        <v>4.04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s="3" t="n">
        <v>0</v>
      </c>
      <c r="N52" s="3" t="n">
        <v>100</v>
      </c>
      <c r="O52" s="3" t="n">
        <v>29.03225806451613</v>
      </c>
    </row>
    <row r="53" hidden="1">
      <c r="A53" s="5" t="n">
        <v>46147</v>
      </c>
      <c r="B53" s="6" t="inlineStr">
        <is>
          <t>Maria Eduarda Sousa Costa</t>
        </is>
      </c>
      <c r="C53" s="3" t="inlineStr">
        <is>
          <t>Estágio</t>
        </is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>
        <f>IF(K53&lt;-5,"CRÍTICO",IF(K53&lt;0,"ATENÇÃO",IF(K53&lt;=5,"BOM","EXCELENTE")))</f>
        <v/>
      </c>
      <c r="M53" s="3" t="n">
        <v>0</v>
      </c>
      <c r="N53" s="3" t="n">
        <v>100</v>
      </c>
      <c r="O53" s="3" t="n">
        <v>11.86440677966102</v>
      </c>
    </row>
    <row r="54" hidden="1">
      <c r="A54" s="5" t="n">
        <v>46147</v>
      </c>
      <c r="B54" s="6" t="inlineStr">
        <is>
          <t>Brenda de Menezes Silva</t>
        </is>
      </c>
      <c r="C54" s="3" t="inlineStr">
        <is>
          <t>Técnico II</t>
        </is>
      </c>
      <c r="D54" s="3" t="n">
        <v>45</v>
      </c>
      <c r="E54" s="3" t="n">
        <v>37</v>
      </c>
      <c r="F54" s="3" t="n">
        <v>13.52</v>
      </c>
      <c r="G54" s="3" t="n">
        <v>6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s="3" t="n">
        <v>43</v>
      </c>
      <c r="N54" s="3" t="n">
        <v>99.13</v>
      </c>
      <c r="O54" s="3" t="n">
        <v>14.7239263803681</v>
      </c>
    </row>
    <row r="55" hidden="1">
      <c r="A55" s="5" t="n">
        <v>46147</v>
      </c>
      <c r="B55" s="6" t="inlineStr">
        <is>
          <t>Carlos Mateus Cassimiro Nunes</t>
        </is>
      </c>
      <c r="C55" s="9" t="inlineStr">
        <is>
          <t>Técnico II</t>
        </is>
      </c>
      <c r="D55" s="3" t="n">
        <v>19</v>
      </c>
      <c r="E55" s="3" t="n">
        <v>18</v>
      </c>
      <c r="F55" s="3" t="n">
        <v>26.46</v>
      </c>
      <c r="G55" s="3" t="n">
        <v>9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s="3" t="n">
        <v>27</v>
      </c>
      <c r="N55" s="3" t="n">
        <v>98.8</v>
      </c>
      <c r="O55" s="3" t="n">
        <v>16.89750692520776</v>
      </c>
    </row>
    <row r="56" hidden="1">
      <c r="A56" s="5" t="n">
        <v>46147</v>
      </c>
      <c r="B56" s="6" t="inlineStr">
        <is>
          <t>Michelle G Santos</t>
        </is>
      </c>
      <c r="C56" s="3" t="inlineStr">
        <is>
          <t>Estágio</t>
        </is>
      </c>
      <c r="D56" s="3" t="n">
        <v>11</v>
      </c>
      <c r="E56" s="3" t="n">
        <v>11</v>
      </c>
      <c r="F56" s="3" t="n">
        <v>42.06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s="3" t="n">
        <v>10</v>
      </c>
      <c r="N56" s="3" t="n">
        <v>100</v>
      </c>
      <c r="O56" s="3" t="n">
        <v>16.8141592920354</v>
      </c>
    </row>
    <row r="57" hidden="1">
      <c r="A57" s="5" t="n">
        <v>46147</v>
      </c>
      <c r="B57" s="6" t="inlineStr">
        <is>
          <t>Quirino Diogo Leite Torres</t>
        </is>
      </c>
      <c r="C57" s="3" t="inlineStr">
        <is>
          <t>Estágio</t>
        </is>
      </c>
      <c r="D57" s="3" t="n">
        <v>22</v>
      </c>
      <c r="E57" s="3" t="n">
        <v>18</v>
      </c>
      <c r="F57" s="3" t="n">
        <v>18.46</v>
      </c>
      <c r="G57" s="3" t="n">
        <v>1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s="3" t="n">
        <v>18</v>
      </c>
      <c r="N57" s="3" t="n">
        <v>98.11</v>
      </c>
      <c r="O57" s="3" t="n">
        <v>20.40816326530612</v>
      </c>
    </row>
    <row r="58" hidden="1">
      <c r="A58" s="5" t="n">
        <v>46147</v>
      </c>
      <c r="B58" s="6" t="inlineStr">
        <is>
          <t>Clessiane Pereira dos Santos</t>
        </is>
      </c>
      <c r="C58" s="3" t="inlineStr">
        <is>
          <t>Técnico I</t>
        </is>
      </c>
      <c r="D58" s="3" t="n">
        <v>122</v>
      </c>
      <c r="E58" s="3" t="n">
        <v>28</v>
      </c>
      <c r="F58" s="3" t="n">
        <v>3.47</v>
      </c>
      <c r="G58" s="3" t="n">
        <v>1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s="3" t="n">
        <v>16</v>
      </c>
      <c r="N58" s="3" t="n">
        <v>96.88</v>
      </c>
      <c r="O58" s="3" t="n">
        <v>19.52662721893491</v>
      </c>
    </row>
    <row r="59" hidden="1">
      <c r="A59" s="5" t="n">
        <v>46147</v>
      </c>
      <c r="B59" s="6" t="inlineStr">
        <is>
          <t>Cristiane Ramos da Silva Rocha</t>
        </is>
      </c>
      <c r="C59" s="3" t="inlineStr">
        <is>
          <t>Técnico III</t>
        </is>
      </c>
      <c r="D59" s="3" t="n">
        <v>46</v>
      </c>
      <c r="E59" s="3" t="n">
        <v>39</v>
      </c>
      <c r="F59" s="3" t="n">
        <v>10.45</v>
      </c>
      <c r="G59" s="3" t="n">
        <v>8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s="3" t="n">
        <v>46</v>
      </c>
      <c r="N59" s="3" t="n">
        <v>91.84999999999999</v>
      </c>
      <c r="O59" s="3" t="n">
        <v>20.87155963302752</v>
      </c>
    </row>
    <row r="60" hidden="1">
      <c r="A60" s="5" t="n">
        <v>46147</v>
      </c>
      <c r="B60" s="6" t="inlineStr">
        <is>
          <t>Damyllis Lorraine de Oliveira Gonçalves</t>
        </is>
      </c>
      <c r="C60" s="3" t="inlineStr">
        <is>
          <t>Técnico II</t>
        </is>
      </c>
      <c r="D60" s="3" t="n">
        <v>23</v>
      </c>
      <c r="E60" s="3" t="n">
        <v>21</v>
      </c>
      <c r="F60" s="3" t="n">
        <v>19.19</v>
      </c>
      <c r="G60" s="3" t="n">
        <v>0</v>
      </c>
      <c r="H60" s="3" t="n">
        <v>0</v>
      </c>
      <c r="I60" s="3" t="n">
        <v>0</v>
      </c>
      <c r="J60" s="3" t="n">
        <v>0</v>
      </c>
      <c r="K60" s="3" t="n">
        <v>0</v>
      </c>
      <c r="L60" s="3">
        <f>IF(K60&lt;-5,"CRÍTICO",IF(K60&lt;0,"ATENÇÃO",IF(K60&lt;=5,"BOM","EXCELENTE")))</f>
        <v/>
      </c>
      <c r="M60" s="3" t="n">
        <v>26</v>
      </c>
      <c r="N60" s="3" t="n">
        <v>98.63</v>
      </c>
      <c r="O60" s="3" t="n">
        <v>18.75</v>
      </c>
    </row>
    <row r="61" hidden="1">
      <c r="A61" s="5" t="n">
        <v>46147</v>
      </c>
      <c r="B61" s="6" t="inlineStr">
        <is>
          <t>Daniel Gomes da Silva</t>
        </is>
      </c>
      <c r="C61" s="3" t="inlineStr">
        <is>
          <t>Técnico I</t>
        </is>
      </c>
      <c r="D61" s="3" t="n">
        <v>12</v>
      </c>
      <c r="E61" s="3" t="n">
        <v>12</v>
      </c>
      <c r="F61" s="3" t="n">
        <v>28.25</v>
      </c>
      <c r="G61" s="3" t="n">
        <v>10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s="3" t="n">
        <v>18</v>
      </c>
      <c r="N61" s="3" t="n">
        <v>100</v>
      </c>
      <c r="O61" s="3" t="n">
        <v>18.14516129032258</v>
      </c>
    </row>
    <row r="62" hidden="1">
      <c r="A62" s="5" t="n">
        <v>46147</v>
      </c>
      <c r="B62" s="6" t="inlineStr">
        <is>
          <t>Davylla Rodrigues Freitas Silva</t>
        </is>
      </c>
      <c r="C62" s="9" t="inlineStr">
        <is>
          <t>Técnico III</t>
        </is>
      </c>
      <c r="D62" s="3" t="n">
        <v>27</v>
      </c>
      <c r="E62" s="3" t="n">
        <v>27</v>
      </c>
      <c r="F62" s="3" t="n">
        <v>24.15</v>
      </c>
      <c r="G62" s="3" t="n">
        <v>0</v>
      </c>
      <c r="H62" s="3" t="n">
        <v>0</v>
      </c>
      <c r="I62" s="3" t="n">
        <v>0</v>
      </c>
      <c r="J62" s="3" t="n">
        <v>0</v>
      </c>
      <c r="K62" s="3" t="n">
        <v>0</v>
      </c>
      <c r="L62" s="3">
        <f>IF(K62&lt;-5,"CRÍTICO",IF(K62&lt;0,"ATENÇÃO",IF(K62&lt;=5,"BOM","EXCELENTE")))</f>
        <v/>
      </c>
      <c r="M62" s="3" t="n">
        <v>28</v>
      </c>
      <c r="N62" s="3" t="n">
        <v>99.06</v>
      </c>
      <c r="O62" s="3" t="n">
        <v>22.95719844357977</v>
      </c>
    </row>
    <row r="63" hidden="1">
      <c r="A63" s="5" t="n">
        <v>46147</v>
      </c>
      <c r="B63" s="6" t="inlineStr">
        <is>
          <t>Emilly Kamilly Medeiros Miranda</t>
        </is>
      </c>
      <c r="C63" s="3" t="inlineStr">
        <is>
          <t>Técnico II</t>
        </is>
      </c>
      <c r="D63" s="3" t="n">
        <v>34</v>
      </c>
      <c r="E63" s="3" t="n">
        <v>31</v>
      </c>
      <c r="F63" s="3" t="n">
        <v>14.15</v>
      </c>
      <c r="G63" s="3" t="n">
        <v>3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s="3" t="n">
        <v>31</v>
      </c>
      <c r="N63" s="3" t="n">
        <v>100</v>
      </c>
      <c r="O63" s="3" t="n">
        <v>13.8121546961326</v>
      </c>
    </row>
    <row r="64" hidden="1">
      <c r="A64" s="5" t="n">
        <v>46147</v>
      </c>
      <c r="B64" s="6" t="inlineStr">
        <is>
          <t>Francielson de Oliveira</t>
        </is>
      </c>
      <c r="C64" s="9" t="inlineStr">
        <is>
          <t>Técnico III</t>
        </is>
      </c>
      <c r="D64" s="3" t="n">
        <v>0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>
        <f>IF(K64&lt;-5,"CRÍTICO",IF(K64&lt;0,"ATENÇÃO",IF(K64&lt;=5,"BOM","EXCELENTE")))</f>
        <v/>
      </c>
      <c r="M64" s="3" t="n">
        <v>0</v>
      </c>
      <c r="N64" s="3" t="n">
        <v>100</v>
      </c>
      <c r="O64" s="3" t="n">
        <v>9.523809523809524</v>
      </c>
    </row>
    <row r="65" hidden="1">
      <c r="A65" s="5" t="n">
        <v>46147</v>
      </c>
      <c r="B65" s="6" t="inlineStr">
        <is>
          <t>Francilene Ferreira de Jesus</t>
        </is>
      </c>
      <c r="C65" s="3" t="inlineStr">
        <is>
          <t>Técnico II</t>
        </is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>
        <f>IF(K65&lt;-5,"CRÍTICO",IF(K65&lt;0,"ATENÇÃO",IF(K65&lt;=5,"BOM","EXCELENTE")))</f>
        <v/>
      </c>
      <c r="M65" s="3" t="n">
        <v>0</v>
      </c>
      <c r="N65" s="3" t="n">
        <v>100</v>
      </c>
      <c r="O65" s="3" t="n">
        <v>17.24137931034483</v>
      </c>
    </row>
    <row r="66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46147</v>
      </c>
      <c r="B67" s="6" t="inlineStr">
        <is>
          <t>Isabella Borges de Oliveira</t>
        </is>
      </c>
      <c r="C67" s="9" t="inlineStr">
        <is>
          <t>Técnico II</t>
        </is>
      </c>
      <c r="D67" s="3" t="n">
        <v>26</v>
      </c>
      <c r="E67" s="3" t="n">
        <v>26</v>
      </c>
      <c r="F67" s="3" t="n">
        <v>20.01</v>
      </c>
      <c r="G67" s="3" t="n">
        <v>1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s="3" t="n">
        <v>31</v>
      </c>
      <c r="N67" s="3" t="n">
        <v>98.63</v>
      </c>
      <c r="O67" s="3" t="n">
        <v>15.75757575757576</v>
      </c>
    </row>
    <row r="68" hidden="1">
      <c r="A68" s="5" t="n">
        <v>46147</v>
      </c>
      <c r="B68" s="6" t="inlineStr">
        <is>
          <t>Janaina Lima dos Reis Urany</t>
        </is>
      </c>
      <c r="C68" s="3" t="inlineStr">
        <is>
          <t>Técnico III</t>
        </is>
      </c>
      <c r="D68" s="3" t="n">
        <v>40</v>
      </c>
      <c r="E68" s="3" t="n">
        <v>40</v>
      </c>
      <c r="F68" s="9" t="n">
        <v>15.42</v>
      </c>
      <c r="G68" s="3" t="n">
        <v>2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s="3" t="n">
        <v>40</v>
      </c>
      <c r="N68" s="3" t="n">
        <v>98.64</v>
      </c>
      <c r="O68" s="3" t="n">
        <v>16.6383701188455</v>
      </c>
    </row>
    <row r="69" hidden="1">
      <c r="A69" s="5" t="n">
        <v>46147</v>
      </c>
      <c r="B69" s="6" t="inlineStr">
        <is>
          <t>Jaqueline Evangelista da Silva Martins</t>
        </is>
      </c>
      <c r="C69" s="3" t="inlineStr">
        <is>
          <t>Técnico III</t>
        </is>
      </c>
      <c r="D69" s="3" t="n">
        <v>42</v>
      </c>
      <c r="E69" s="3" t="n">
        <v>41</v>
      </c>
      <c r="F69" s="3" t="n">
        <v>13.26</v>
      </c>
      <c r="G69" s="3" t="n">
        <v>2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s="3" t="n">
        <v>41</v>
      </c>
      <c r="N69" s="3" t="n">
        <v>95.40000000000001</v>
      </c>
      <c r="O69" s="3" t="n">
        <v>20.53333333333333</v>
      </c>
    </row>
    <row r="70" hidden="1">
      <c r="A70" s="5" t="n">
        <v>46147</v>
      </c>
      <c r="B70" s="6" t="inlineStr">
        <is>
          <t>Jessica Faria da Silveira</t>
        </is>
      </c>
      <c r="C70" s="3" t="inlineStr">
        <is>
          <t>Técnico II</t>
        </is>
      </c>
      <c r="D70" s="3" t="n">
        <v>39</v>
      </c>
      <c r="E70" s="3" t="n">
        <v>30</v>
      </c>
      <c r="F70" s="3" t="n">
        <v>14.13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s="3" t="n">
        <v>30</v>
      </c>
      <c r="N70" s="3" t="n">
        <v>98.61</v>
      </c>
      <c r="O70" s="3" t="n">
        <v>16.97530864197531</v>
      </c>
    </row>
    <row r="71" hidden="1">
      <c r="A71" s="5" t="n">
        <v>46147</v>
      </c>
      <c r="B71" s="6" t="inlineStr">
        <is>
          <t>Jéssica Fé Moura</t>
        </is>
      </c>
      <c r="C71" s="3" t="inlineStr">
        <is>
          <t>Técnico III</t>
        </is>
      </c>
      <c r="D71" s="3" t="n">
        <v>0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>
        <f>IF(K71&lt;-5,"CRÍTICO",IF(K71&lt;0,"ATENÇÃO",IF(K71&lt;=5,"BOM","EXCELENTE")))</f>
        <v/>
      </c>
      <c r="M71" s="3" t="n">
        <v>0</v>
      </c>
      <c r="N71" s="3" t="n">
        <v>0</v>
      </c>
      <c r="O71" s="3" t="n">
        <v>0</v>
      </c>
    </row>
    <row r="72" hidden="1">
      <c r="A72" s="5" t="n">
        <v>46147</v>
      </c>
      <c r="B72" s="6" t="inlineStr">
        <is>
          <t>Karina Gonçalves Martins</t>
        </is>
      </c>
      <c r="C72" s="3" t="inlineStr">
        <is>
          <t>JR</t>
        </is>
      </c>
      <c r="D72" s="3" t="n">
        <v>10</v>
      </c>
      <c r="E72" s="3" t="n">
        <v>10</v>
      </c>
      <c r="F72" s="3" t="n">
        <v>21.42</v>
      </c>
      <c r="G72" s="3" t="n">
        <v>10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s="3" t="n">
        <v>27</v>
      </c>
      <c r="N72" s="3" t="n">
        <v>97.01000000000001</v>
      </c>
      <c r="O72" s="3" t="n">
        <v>13.96103896103896</v>
      </c>
    </row>
    <row r="73" hidden="1">
      <c r="A73" s="5" t="n">
        <v>46147</v>
      </c>
      <c r="B73" s="6" t="inlineStr">
        <is>
          <t>Kerollen Cristielly de Jesus Siqueira</t>
        </is>
      </c>
      <c r="C73" s="9" t="inlineStr">
        <is>
          <t>Técnico III</t>
        </is>
      </c>
      <c r="D73" s="3" t="n">
        <v>26</v>
      </c>
      <c r="E73" s="3" t="n">
        <v>26</v>
      </c>
      <c r="F73" s="3" t="n">
        <v>18.42</v>
      </c>
      <c r="G73" s="3" t="n">
        <v>1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s="3" t="n">
        <v>22</v>
      </c>
      <c r="N73" s="3" t="n">
        <v>95.52</v>
      </c>
      <c r="O73" s="3" t="n">
        <v>10.56105610561056</v>
      </c>
    </row>
    <row r="74" hidden="1">
      <c r="A74" s="5" t="n">
        <v>46147</v>
      </c>
      <c r="B74" s="6" t="inlineStr">
        <is>
          <t>Leandro de Souza Silva</t>
        </is>
      </c>
      <c r="C74" s="3" t="inlineStr">
        <is>
          <t>JR</t>
        </is>
      </c>
      <c r="D74" s="3" t="n">
        <v>17</v>
      </c>
      <c r="E74" s="3" t="n">
        <v>17</v>
      </c>
      <c r="F74" s="3" t="n">
        <v>22.35</v>
      </c>
      <c r="G74" s="3" t="n">
        <v>5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IF(K74&lt;-5,"CRÍTICO",IF(K74&lt;0,"ATENÇÃO",IF(K74&lt;=5,"BOM","EXCELENTE")))</f>
        <v/>
      </c>
      <c r="M74" s="3" t="n">
        <v>16</v>
      </c>
      <c r="N74" s="3" t="n">
        <v>100</v>
      </c>
      <c r="O74" s="3" t="n">
        <v>16.95906432748538</v>
      </c>
    </row>
    <row r="75" hidden="1">
      <c r="A75" s="5" t="n">
        <v>46147</v>
      </c>
      <c r="B75" s="6" t="inlineStr">
        <is>
          <t>Leandro Oliveira de Sousa</t>
        </is>
      </c>
      <c r="C75" s="9" t="inlineStr">
        <is>
          <t>Técnico III</t>
        </is>
      </c>
      <c r="D75" s="3" t="n">
        <v>29</v>
      </c>
      <c r="E75" s="3" t="n">
        <v>25</v>
      </c>
      <c r="F75" s="3" t="n">
        <v>16.4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IF(K75&lt;-5,"CRÍTICO",IF(K75&lt;0,"ATENÇÃO",IF(K75&lt;=5,"BOM","EXCELENTE")))</f>
        <v/>
      </c>
      <c r="M75" s="3" t="n">
        <v>32</v>
      </c>
      <c r="N75" s="3" t="n">
        <v>100</v>
      </c>
      <c r="O75" s="3" t="n">
        <v>15.58441558441558</v>
      </c>
    </row>
    <row r="76" hidden="1">
      <c r="A76" s="5" t="n">
        <v>46147</v>
      </c>
      <c r="B76" s="6" t="inlineStr">
        <is>
          <t>Lizandra Gomes Duarte</t>
        </is>
      </c>
      <c r="C76" s="3" t="inlineStr">
        <is>
          <t>Técnico II</t>
        </is>
      </c>
      <c r="D76" s="3" t="n">
        <v>18</v>
      </c>
      <c r="E76" s="3" t="n">
        <v>18</v>
      </c>
      <c r="F76" s="3" t="n">
        <v>18.28</v>
      </c>
      <c r="G76" s="3" t="n">
        <v>4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IF(K76&lt;-5,"CRÍTICO",IF(K76&lt;0,"ATENÇÃO",IF(K76&lt;=5,"BOM","EXCELENTE")))</f>
        <v/>
      </c>
      <c r="M76" s="3" t="n">
        <v>25</v>
      </c>
      <c r="N76" s="3" t="n">
        <v>98.61</v>
      </c>
      <c r="O76" s="3" t="n">
        <v>16.86746987951807</v>
      </c>
    </row>
    <row r="77" hidden="1">
      <c r="A77" s="5" t="n">
        <v>46147</v>
      </c>
      <c r="B77" s="6" t="inlineStr">
        <is>
          <t>Lorena Dias de Araujo</t>
        </is>
      </c>
      <c r="C77" s="3" t="inlineStr">
        <is>
          <t>Técnico II</t>
        </is>
      </c>
      <c r="D77" s="3" t="n">
        <v>37</v>
      </c>
      <c r="E77" s="3" t="n">
        <v>35</v>
      </c>
      <c r="F77" s="3" t="n">
        <v>15.27</v>
      </c>
      <c r="G77" s="3" t="n">
        <v>0</v>
      </c>
      <c r="H77" s="3" t="n">
        <v>0</v>
      </c>
      <c r="I77" s="3" t="n">
        <v>0</v>
      </c>
      <c r="J77" s="3" t="n">
        <v>0</v>
      </c>
      <c r="K77" s="3" t="n">
        <v>0</v>
      </c>
      <c r="L77" s="3">
        <f>IF(K77&lt;-5,"CRÍTICO",IF(K77&lt;0,"ATENÇÃO",IF(K77&lt;=5,"BOM","EXCELENTE")))</f>
        <v/>
      </c>
      <c r="M77" s="3" t="n">
        <v>37</v>
      </c>
      <c r="N77" s="3" t="n">
        <v>100</v>
      </c>
      <c r="O77" s="3" t="n">
        <v>20.82018927444795</v>
      </c>
    </row>
    <row r="78" hidden="1">
      <c r="A78" s="5" t="n">
        <v>46147</v>
      </c>
      <c r="B78" s="6" t="inlineStr">
        <is>
          <t>Lucas Luiz Romero</t>
        </is>
      </c>
      <c r="C78" s="3" t="inlineStr">
        <is>
          <t>Técnico III</t>
        </is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IF(K78&lt;-5,"CRÍTICO",IF(K78&lt;0,"ATENÇÃO",IF(K78&lt;=5,"BOM","EXCELENTE")))</f>
        <v/>
      </c>
      <c r="M78" s="3" t="n">
        <v>0</v>
      </c>
      <c r="N78" s="3" t="n">
        <v>100</v>
      </c>
      <c r="O78" s="3" t="n">
        <v>4.347826086956522</v>
      </c>
    </row>
    <row r="79" hidden="1">
      <c r="A79" s="5" t="n">
        <v>46147</v>
      </c>
      <c r="B79" s="6" t="inlineStr">
        <is>
          <t>Luiz Fernando de Carvalho Junior</t>
        </is>
      </c>
      <c r="C79" s="3" t="inlineStr">
        <is>
          <t>Técnico I</t>
        </is>
      </c>
      <c r="D79" s="3" t="n">
        <v>31</v>
      </c>
      <c r="E79" s="3" t="n">
        <v>28</v>
      </c>
      <c r="F79" s="3" t="n">
        <v>17.33</v>
      </c>
      <c r="G79" s="3" t="n">
        <v>1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IF(K79&lt;-5,"CRÍTICO",IF(K79&lt;0,"ATENÇÃO",IF(K79&lt;=5,"BOM","EXCELENTE")))</f>
        <v/>
      </c>
      <c r="M79" s="3" t="n">
        <v>30</v>
      </c>
      <c r="N79" s="3" t="n">
        <v>93.26000000000001</v>
      </c>
      <c r="O79" s="3" t="n">
        <v>19.93957703927493</v>
      </c>
    </row>
    <row r="80" hidden="1">
      <c r="A80" s="5" t="n">
        <v>46147</v>
      </c>
      <c r="B80" s="6" t="inlineStr">
        <is>
          <t>Matheus Farias De Souza</t>
        </is>
      </c>
      <c r="C80" s="3" t="inlineStr">
        <is>
          <t>Técnico III</t>
        </is>
      </c>
      <c r="D80" s="3" t="n">
        <v>14</v>
      </c>
      <c r="E80" s="3" t="n">
        <v>14</v>
      </c>
      <c r="F80" s="3" t="n">
        <v>15.35</v>
      </c>
      <c r="G80" s="3" t="n">
        <v>0</v>
      </c>
      <c r="H80" s="3" t="n">
        <v>21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IF(K80&lt;-5,"CRÍTICO",IF(K80&lt;0,"ATENÇÃO",IF(K80&lt;=5,"BOM","EXCELENTE")))</f>
        <v/>
      </c>
      <c r="M80" s="3" t="n">
        <v>28</v>
      </c>
      <c r="N80" s="3" t="n">
        <v>98.28</v>
      </c>
      <c r="O80" s="3" t="n">
        <v>9.037900874635568</v>
      </c>
    </row>
    <row r="81" hidden="1">
      <c r="A81" s="5" t="n">
        <v>46147</v>
      </c>
      <c r="B81" s="6" t="inlineStr">
        <is>
          <t>Maysa Victoria Dias Moura</t>
        </is>
      </c>
      <c r="C81" s="3" t="inlineStr">
        <is>
          <t>Técnico III</t>
        </is>
      </c>
      <c r="D81" s="3" t="n">
        <v>32</v>
      </c>
      <c r="E81" s="3" t="n">
        <v>30</v>
      </c>
      <c r="F81" s="3" t="n">
        <v>15.03</v>
      </c>
      <c r="G81" s="3" t="n">
        <v>10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IF(K81&lt;-5,"CRÍTICO",IF(K81&lt;0,"ATENÇÃO",IF(K81&lt;=5,"BOM","EXCELENTE")))</f>
        <v/>
      </c>
      <c r="M81" s="3" t="n">
        <v>37</v>
      </c>
      <c r="N81" s="3" t="n">
        <v>97.22</v>
      </c>
      <c r="O81" s="3" t="n">
        <v>19.09547738693467</v>
      </c>
    </row>
    <row r="82" hidden="1">
      <c r="A82" s="5" t="n">
        <v>46147</v>
      </c>
      <c r="B82" s="6" t="inlineStr">
        <is>
          <t>Milena Sales</t>
        </is>
      </c>
      <c r="C82" s="3" t="inlineStr">
        <is>
          <t>JR</t>
        </is>
      </c>
      <c r="D82" s="3" t="n">
        <v>56</v>
      </c>
      <c r="E82" s="3" t="n">
        <v>34</v>
      </c>
      <c r="F82" s="3" t="n">
        <v>11.53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IF(K82&lt;-5,"CRÍTICO",IF(K82&lt;0,"ATENÇÃO",IF(K82&lt;=5,"BOM","EXCELENTE")))</f>
        <v/>
      </c>
      <c r="M82" s="3" t="n">
        <v>22</v>
      </c>
      <c r="N82" s="3" t="n">
        <v>98</v>
      </c>
      <c r="O82" s="3" t="n">
        <v>16.43835616438356</v>
      </c>
    </row>
    <row r="83" hidden="1">
      <c r="A83" s="5" t="n">
        <v>46147</v>
      </c>
      <c r="B83" s="6" t="inlineStr">
        <is>
          <t>Patrícia Karla de Sousa Araújo</t>
        </is>
      </c>
      <c r="C83" s="3" t="inlineStr">
        <is>
          <t>Técnico II</t>
        </is>
      </c>
      <c r="D83" s="3" t="n">
        <v>27</v>
      </c>
      <c r="E83" s="3" t="n">
        <v>25</v>
      </c>
      <c r="F83" s="3" t="n">
        <v>17.39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IF(K83&lt;-5,"CRÍTICO",IF(K83&lt;0,"ATENÇÃO",IF(K83&lt;=5,"BOM","EXCELENTE")))</f>
        <v/>
      </c>
      <c r="M83" s="3" t="n">
        <v>21</v>
      </c>
      <c r="N83" s="3" t="n">
        <v>100</v>
      </c>
      <c r="O83" s="3" t="n">
        <v>16.89497716894977</v>
      </c>
    </row>
    <row r="84" hidden="1">
      <c r="A84" s="5" t="n">
        <v>46147</v>
      </c>
      <c r="B84" s="6" t="inlineStr">
        <is>
          <t>Paulo Ricardo Santos</t>
        </is>
      </c>
      <c r="C84" s="3" t="inlineStr">
        <is>
          <t>JR</t>
        </is>
      </c>
      <c r="D84" s="3" t="n">
        <v>18</v>
      </c>
      <c r="E84" s="3" t="n">
        <v>17</v>
      </c>
      <c r="F84" s="3" t="n">
        <v>20.04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IF(K84&lt;-5,"CRÍTICO",IF(K84&lt;0,"ATENÇÃO",IF(K84&lt;=5,"BOM","EXCELENTE")))</f>
        <v/>
      </c>
      <c r="M84" s="3" t="n">
        <v>17</v>
      </c>
      <c r="N84" s="3" t="n">
        <v>100</v>
      </c>
      <c r="O84" s="3" t="n">
        <v>19.13875598086124</v>
      </c>
    </row>
    <row r="85" hidden="1">
      <c r="A85" s="5" t="n">
        <v>46147</v>
      </c>
      <c r="B85" s="6" t="inlineStr">
        <is>
          <t>Pedro Luiz Mota Sousa</t>
        </is>
      </c>
      <c r="C85" s="3" t="inlineStr">
        <is>
          <t>JR</t>
        </is>
      </c>
      <c r="D85" s="3" t="n">
        <v>11</v>
      </c>
      <c r="E85" s="3" t="n">
        <v>11</v>
      </c>
      <c r="F85" s="3" t="n">
        <v>18.23</v>
      </c>
      <c r="G85" s="3" t="n">
        <v>9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IF(K85&lt;-5,"CRÍTICO",IF(K85&lt;0,"ATENÇÃO",IF(K85&lt;=5,"BOM","EXCELENTE")))</f>
        <v/>
      </c>
      <c r="M85" s="3" t="n">
        <v>19</v>
      </c>
      <c r="N85" s="3" t="n">
        <v>100</v>
      </c>
      <c r="O85" s="3" t="n">
        <v>15.02145922746781</v>
      </c>
    </row>
    <row r="86" hidden="1">
      <c r="A86" s="5" t="n">
        <v>46147</v>
      </c>
      <c r="B86" s="6" t="inlineStr">
        <is>
          <t>Raane Batista Matos</t>
        </is>
      </c>
      <c r="C86" s="3" t="inlineStr">
        <is>
          <t>Técnico I</t>
        </is>
      </c>
      <c r="D86" s="3" t="n">
        <v>31</v>
      </c>
      <c r="E86" s="3" t="n">
        <v>26</v>
      </c>
      <c r="F86" s="3" t="n">
        <v>13.5</v>
      </c>
      <c r="G86" s="3" t="n">
        <v>10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IF(K86&lt;-5,"CRÍTICO",IF(K86&lt;0,"ATENÇÃO",IF(K86&lt;=5,"BOM","EXCELENTE")))</f>
        <v/>
      </c>
      <c r="M86" s="3" t="n">
        <v>21</v>
      </c>
      <c r="N86" s="3" t="n">
        <v>97.56</v>
      </c>
      <c r="O86" s="3" t="n">
        <v>19.28783382789317</v>
      </c>
    </row>
    <row r="87" hidden="1">
      <c r="A87" s="5" t="n">
        <v>46147</v>
      </c>
      <c r="B87" s="6" t="inlineStr">
        <is>
          <t>Rafael Gomes de Morais</t>
        </is>
      </c>
      <c r="C87" s="3" t="inlineStr">
        <is>
          <t>Técnico III</t>
        </is>
      </c>
      <c r="D87" s="3" t="n">
        <v>49</v>
      </c>
      <c r="E87" s="3" t="n">
        <v>45</v>
      </c>
      <c r="F87" s="3" t="n">
        <v>10.46</v>
      </c>
      <c r="G87" s="3" t="n">
        <v>9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IF(K87&lt;-5,"CRÍTICO",IF(K87&lt;0,"ATENÇÃO",IF(K87&lt;=5,"BOM","EXCELENTE")))</f>
        <v/>
      </c>
      <c r="M87" s="3" t="n">
        <v>49</v>
      </c>
      <c r="N87" s="3" t="n">
        <v>99.29000000000001</v>
      </c>
      <c r="O87" s="3" t="n">
        <v>22.49443207126949</v>
      </c>
    </row>
    <row r="88" hidden="1">
      <c r="A88" s="5" t="n">
        <v>46147</v>
      </c>
      <c r="B88" s="6" t="inlineStr">
        <is>
          <t>Sara Maria Monteiro Lopes</t>
        </is>
      </c>
      <c r="C88" s="3" t="inlineStr">
        <is>
          <t>Técnico I</t>
        </is>
      </c>
      <c r="D88" s="3" t="n">
        <v>14</v>
      </c>
      <c r="E88" s="3" t="n">
        <v>14</v>
      </c>
      <c r="F88" s="3" t="n">
        <v>35.53</v>
      </c>
      <c r="G88" s="3" t="n">
        <v>3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IF(K88&lt;-5,"CRÍTICO",IF(K88&lt;0,"ATENÇÃO",IF(K88&lt;=5,"BOM","EXCELENTE")))</f>
        <v/>
      </c>
      <c r="M88" s="3" t="n">
        <v>10</v>
      </c>
      <c r="N88" s="3" t="n">
        <v>100</v>
      </c>
      <c r="O88" s="3" t="n">
        <v>16.97247706422019</v>
      </c>
    </row>
    <row r="89" hidden="1">
      <c r="A89" s="5" t="n">
        <v>46147</v>
      </c>
      <c r="B89" s="6" t="inlineStr">
        <is>
          <t>Sarah Steffanie de Lima Borges</t>
        </is>
      </c>
      <c r="C89" s="3" t="inlineStr">
        <is>
          <t>Técnico III</t>
        </is>
      </c>
      <c r="D89" s="3" t="n">
        <v>33</v>
      </c>
      <c r="E89" s="3" t="n">
        <v>32</v>
      </c>
      <c r="F89" s="3" t="n">
        <v>15.31</v>
      </c>
      <c r="G89" s="3" t="n">
        <v>0</v>
      </c>
      <c r="H89" s="3" t="n">
        <v>0</v>
      </c>
      <c r="I89" s="3">
        <f>E89+G89+H89</f>
        <v/>
      </c>
      <c r="J89" s="3">
        <f>ROUND(MIN(IF(C89="Técnico III",35,IF(C89="Técnico II",28,IF(C89="Técnico I",23,IF(C89="JR",20,IF(C89="Estágio",10,0))))),IF(C89="Técnico III",SUMIFS($D:$D,$A:$A,$A89,$B:$B,"&lt;&gt;Patrícia Karla de Sousa Araújo",$B:$B,"&lt;&gt;Lorena Dias de Araujo",$B:$B,"&lt;&gt;Lucas Luiz Romero")*(35/1083),IF(C89="Técnico II",SUMIFS($D:$D,$A:$A,$A89,$B:$B,"&lt;&gt;Patrícia Karla de Sousa Araújo",$B:$B,"&lt;&gt;Lorena Dias de Araujo",$B:$B,"&lt;&gt;Lucas Luiz Romero")*(28/1083),IF(C89="Técnico I",SUMIFS($D:$D,$A:$A,$A89,$B:$B,"&lt;&gt;Patrícia Karla de Sousa Araújo",$B:$B,"&lt;&gt;Lorena Dias de Araujo",$B:$B,"&lt;&gt;Lucas Luiz Romero")*(23/1083),IF(C89="JR",SUMIFS($D:$D,$A:$A,$A89,$B:$B,"&lt;&gt;Patrícia Karla de Sousa Araújo",$B:$B,"&lt;&gt;Lorena Dias de Araujo",$B:$B,"&lt;&gt;Lucas Luiz Romero")*(20/1083),IF(C89="Estágio",SUMIFS($D:$D,$A:$A,$A89,$B:$B,"&lt;&gt;Patrícia Karla de Sousa Araújo",$B:$B,"&lt;&gt;Lorena Dias de Araujo",$B:$B,"&lt;&gt;Lucas Luiz Romero")*(10/1083),0)))))),0)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28</v>
      </c>
      <c r="N89" s="3" t="n">
        <v>97.33</v>
      </c>
      <c r="O89" s="3" t="n">
        <v>15.80547112462006</v>
      </c>
    </row>
    <row r="90" hidden="1">
      <c r="A90" s="5" t="n">
        <v>46148</v>
      </c>
      <c r="B90" s="6" t="inlineStr">
        <is>
          <t>Alisson de Freitas Silva</t>
        </is>
      </c>
      <c r="C90" s="3" t="inlineStr">
        <is>
          <t>Técnico II</t>
        </is>
      </c>
      <c r="D90" s="3" t="n">
        <v>35</v>
      </c>
      <c r="E90" s="3" t="n">
        <v>29</v>
      </c>
      <c r="F90" t="n">
        <v>12.32</v>
      </c>
      <c r="G90" s="3" t="n">
        <v>11</v>
      </c>
      <c r="H90" s="3" t="n">
        <v>0</v>
      </c>
      <c r="I90" s="3">
        <f>E90+G90+H90</f>
        <v/>
      </c>
      <c r="J90" s="3">
        <f>ROUND(MIN(IF(C90="Técnico III",35,IF(C90="Técnico II",28,IF(C90="Técnico I",23,IF(C90="JR",20,IF(C90="Estágio",10,0))))),IF(C90="Técnico III",SUMIFS($D:$D,$A:$A,$A90,$B:$B,"&lt;&gt;Patrícia Karla de Sousa Araújo",$B:$B,"&lt;&gt;Lorena Dias de Araujo",$B:$B,"&lt;&gt;Lucas Luiz Romero")*(35/1083),IF(C90="Técnico II",SUMIFS($D:$D,$A:$A,$A90,$B:$B,"&lt;&gt;Patrícia Karla de Sousa Araújo",$B:$B,"&lt;&gt;Lorena Dias de Araujo",$B:$B,"&lt;&gt;Lucas Luiz Romero")*(28/1083),IF(C90="Técnico I",SUMIFS($D:$D,$A:$A,$A90,$B:$B,"&lt;&gt;Patrícia Karla de Sousa Araújo",$B:$B,"&lt;&gt;Lorena Dias de Araujo",$B:$B,"&lt;&gt;Lucas Luiz Romero")*(23/1083),IF(C90="JR",SUMIFS($D:$D,$A:$A,$A90,$B:$B,"&lt;&gt;Patrícia Karla de Sousa Araújo",$B:$B,"&lt;&gt;Lorena Dias de Araujo",$B:$B,"&lt;&gt;Lucas Luiz Romero")*(20/1083),IF(C90="Estágio",SUMIFS($D:$D,$A:$A,$A90,$B:$B,"&lt;&gt;Patrícia Karla de Sousa Araújo",$B:$B,"&lt;&gt;Lorena Dias de Araujo",$B:$B,"&lt;&gt;Lucas Luiz Romero")*(10/1083),0)))))),0)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32</v>
      </c>
      <c r="N90" s="3" t="n">
        <v>98.94</v>
      </c>
      <c r="O90" s="3" t="n">
        <v>19.61414790996785</v>
      </c>
    </row>
    <row r="91" hidden="1">
      <c r="A91" s="5" t="n">
        <v>46148</v>
      </c>
      <c r="B91" s="6" t="inlineStr">
        <is>
          <t>Amanda Moura Ferreira</t>
        </is>
      </c>
      <c r="C91" s="3" t="inlineStr">
        <is>
          <t>Técnico III</t>
        </is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IF(K91&lt;-5,"CRÍTICO",IF(K91&lt;0,"ATENÇÃO",IF(K91&lt;=5,"BOM","EXCELENTE")))</f>
        <v/>
      </c>
      <c r="M91" s="9" t="n">
        <v>0</v>
      </c>
      <c r="N91" s="9" t="n">
        <v>100</v>
      </c>
      <c r="O91" s="9" t="n">
        <v>0</v>
      </c>
    </row>
    <row r="92" hidden="1">
      <c r="A92" s="5" t="n">
        <v>46148</v>
      </c>
      <c r="B92" s="6" t="inlineStr">
        <is>
          <t>Ana Karollyne Souza Faria</t>
        </is>
      </c>
      <c r="C92" s="3" t="inlineStr">
        <is>
          <t>Técnico I</t>
        </is>
      </c>
      <c r="D92" s="3" t="n">
        <v>50</v>
      </c>
      <c r="E92" s="3" t="n">
        <v>43</v>
      </c>
      <c r="F92" t="n">
        <v>14.05</v>
      </c>
      <c r="G92" s="3" t="n">
        <v>6</v>
      </c>
      <c r="H92" s="3" t="n">
        <v>0</v>
      </c>
      <c r="I92" s="3">
        <f>E92+G92+H92</f>
        <v/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/>
      </c>
      <c r="K92" s="3">
        <f>I92-J92</f>
        <v/>
      </c>
      <c r="L92" s="3">
        <f>IF(K92&lt;-5,"CRÍTICO",IF(K92&lt;0,"ATENÇÃO",IF(K92&lt;=5,"BOM","EXCELENTE")))</f>
        <v/>
      </c>
      <c r="M92" s="3" t="n">
        <v>43</v>
      </c>
      <c r="N92" s="3" t="n">
        <v>95.38</v>
      </c>
      <c r="O92" s="3" t="n">
        <v>21.5962441314554</v>
      </c>
    </row>
    <row r="93" hidden="1">
      <c r="A93" s="5" t="n">
        <v>46148</v>
      </c>
      <c r="B93" s="6" t="inlineStr">
        <is>
          <t>Ana Paula Da Luz Silva Aleixo</t>
        </is>
      </c>
      <c r="C93" s="9" t="inlineStr">
        <is>
          <t>Técnico III</t>
        </is>
      </c>
      <c r="D93" s="3" t="n">
        <v>22</v>
      </c>
      <c r="E93" s="3" t="n">
        <v>20</v>
      </c>
      <c r="F93" t="n">
        <v>18.47</v>
      </c>
      <c r="G93" s="3" t="n">
        <v>12</v>
      </c>
      <c r="H93" s="3" t="n">
        <v>0</v>
      </c>
      <c r="I93" s="3">
        <f>E93+G93+H93</f>
        <v/>
      </c>
      <c r="J93" s="3">
        <f>ROUND(MIN(IF(C93="Técnico III",35,IF(C93="Técnico II",28,IF(C93="Técnico I",23,IF(C93="JR",20,IF(C93="Estágio",10,0))))),IF(C93="Técnico III",SUMIFS($D:$D,$A:$A,$A93,$B:$B,"&lt;&gt;Patrícia Karla de Sousa Araújo",$B:$B,"&lt;&gt;Lorena Dias de Araujo",$B:$B,"&lt;&gt;Lucas Luiz Romero")*(35/1083),IF(C93="Técnico II",SUMIFS($D:$D,$A:$A,$A93,$B:$B,"&lt;&gt;Patrícia Karla de Sousa Araújo",$B:$B,"&lt;&gt;Lorena Dias de Araujo",$B:$B,"&lt;&gt;Lucas Luiz Romero")*(28/1083),IF(C93="Técnico I",SUMIFS($D:$D,$A:$A,$A93,$B:$B,"&lt;&gt;Patrícia Karla de Sousa Araújo",$B:$B,"&lt;&gt;Lorena Dias de Araujo",$B:$B,"&lt;&gt;Lucas Luiz Romero")*(23/1083),IF(C93="JR",SUMIFS($D:$D,$A:$A,$A93,$B:$B,"&lt;&gt;Patrícia Karla de Sousa Araújo",$B:$B,"&lt;&gt;Lorena Dias de Araujo",$B:$B,"&lt;&gt;Lucas Luiz Romero")*(20/1083),IF(C93="Estágio",SUMIFS($D:$D,$A:$A,$A93,$B:$B,"&lt;&gt;Patrícia Karla de Sousa Araújo",$B:$B,"&lt;&gt;Lorena Dias de Araujo",$B:$B,"&lt;&gt;Lucas Luiz Romero")*(10/1083),0)))))),0)</f>
        <v/>
      </c>
      <c r="K93" s="3">
        <f>I93-J93</f>
        <v/>
      </c>
      <c r="L93" s="3">
        <f>IF(K93&lt;-5,"CRÍTICO",IF(K93&lt;0,"ATENÇÃO",IF(K93&lt;=5,"BOM","EXCELENTE")))</f>
        <v/>
      </c>
      <c r="M93" s="3" t="n">
        <v>30</v>
      </c>
      <c r="N93" s="3" t="n">
        <v>96.34</v>
      </c>
      <c r="O93" s="3" t="n">
        <v>17.57188498402556</v>
      </c>
    </row>
    <row r="94" hidden="1">
      <c r="A94" s="5" t="n">
        <v>46148</v>
      </c>
      <c r="B94" s="6" t="inlineStr">
        <is>
          <t>Brenda de Menezes Silva</t>
        </is>
      </c>
      <c r="C94" s="3" t="inlineStr">
        <is>
          <t>Técnico II</t>
        </is>
      </c>
      <c r="D94" s="3" t="n">
        <v>31</v>
      </c>
      <c r="E94" s="3" t="n">
        <v>28</v>
      </c>
      <c r="F94" t="n">
        <v>18.45</v>
      </c>
      <c r="G94" s="3" t="n">
        <v>9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35</v>
      </c>
      <c r="N94" s="3" t="n">
        <v>99.13</v>
      </c>
      <c r="O94" s="3" t="n">
        <v>14.7239263803681</v>
      </c>
    </row>
    <row r="95" hidden="1">
      <c r="A95" s="5" t="n">
        <v>46148</v>
      </c>
      <c r="B95" s="6" t="inlineStr">
        <is>
          <t>Carlos Mateus Cassimiro Nunes</t>
        </is>
      </c>
      <c r="C95" s="9" t="inlineStr">
        <is>
          <t>Técnico II</t>
        </is>
      </c>
      <c r="D95" s="3" t="n">
        <v>34</v>
      </c>
      <c r="E95" s="3" t="n">
        <v>32</v>
      </c>
      <c r="F95" t="n">
        <v>14.16</v>
      </c>
      <c r="G95" s="3" t="n">
        <v>1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31</v>
      </c>
      <c r="N95" s="3" t="n">
        <v>98.8</v>
      </c>
      <c r="O95" s="3" t="n">
        <v>16.89750692520776</v>
      </c>
    </row>
    <row r="96" hidden="1">
      <c r="A96" s="5" t="n">
        <v>46148</v>
      </c>
      <c r="B96" s="6" t="inlineStr">
        <is>
          <t>Anna Luiza Rezende Tavares</t>
        </is>
      </c>
      <c r="C96" s="3" t="inlineStr">
        <is>
          <t>Estágio</t>
        </is>
      </c>
      <c r="D96" s="3" t="n">
        <v>27</v>
      </c>
      <c r="E96" s="3" t="n">
        <v>26</v>
      </c>
      <c r="F96" t="n">
        <v>23.4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25</v>
      </c>
      <c r="N96" s="3" t="n">
        <v>99.11</v>
      </c>
      <c r="O96" s="3" t="n">
        <v>17.72151898734177</v>
      </c>
    </row>
    <row r="97" hidden="1">
      <c r="A97" s="5" t="n">
        <v>46148</v>
      </c>
      <c r="B97" s="6" t="inlineStr">
        <is>
          <t>Claudio de Sousa Velasco Filho</t>
        </is>
      </c>
      <c r="C97" s="3" t="inlineStr">
        <is>
          <t>Estágio</t>
        </is>
      </c>
      <c r="D97" s="3" t="n">
        <v>13</v>
      </c>
      <c r="E97" s="3" t="n">
        <v>12</v>
      </c>
      <c r="F97" t="n">
        <v>20.07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9</v>
      </c>
      <c r="N97" s="3" t="n">
        <v>96.43000000000001</v>
      </c>
      <c r="O97" s="3" t="n">
        <v>20</v>
      </c>
    </row>
    <row r="98" hidden="1">
      <c r="A98" s="5" t="n">
        <v>46148</v>
      </c>
      <c r="B98" s="6" t="inlineStr">
        <is>
          <t>Emilly Caylane Costa</t>
        </is>
      </c>
      <c r="C98" s="3" t="inlineStr">
        <is>
          <t>Estágio</t>
        </is>
      </c>
      <c r="D98" s="3" t="n">
        <v>56</v>
      </c>
      <c r="E98" s="3" t="n">
        <v>43</v>
      </c>
      <c r="F98" t="n">
        <v>5.13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2</v>
      </c>
      <c r="N98" s="3" t="n">
        <v>100</v>
      </c>
      <c r="O98" s="3" t="n">
        <v>29.03225806451613</v>
      </c>
    </row>
    <row r="99" hidden="1">
      <c r="A99" s="5" t="n">
        <v>46148</v>
      </c>
      <c r="B99" s="6" t="inlineStr">
        <is>
          <t>Maria Eduarda Sousa Costa</t>
        </is>
      </c>
      <c r="C99" s="3" t="inlineStr">
        <is>
          <t>Estágio</t>
        </is>
      </c>
      <c r="D99" s="3" t="n">
        <v>66</v>
      </c>
      <c r="E99" s="3" t="n">
        <v>38</v>
      </c>
      <c r="F99" t="n">
        <v>7.02</v>
      </c>
      <c r="G99" s="3" t="n">
        <v>0</v>
      </c>
      <c r="H99" s="3" t="n">
        <v>0</v>
      </c>
      <c r="I99" s="3">
        <f>E99+G99+H99</f>
        <v/>
      </c>
      <c r="J99" s="3">
        <f>ROUND(MIN(IF(C99="Técnico III",35,IF(C99="Técnico II",28,IF(C99="Técnico I",23,IF(C99="JR",20,IF(C99="Estágio",10,0))))),IF(C99="Técnico III",SUMIFS($D:$D,$A:$A,$A99,$B:$B,"&lt;&gt;Patrícia Karla de Sousa Araújo",$B:$B,"&lt;&gt;Lorena Dias de Araujo",$B:$B,"&lt;&gt;Lucas Luiz Romero")*(35/1083),IF(C99="Técnico II",SUMIFS($D:$D,$A:$A,$A99,$B:$B,"&lt;&gt;Patrícia Karla de Sousa Araújo",$B:$B,"&lt;&gt;Lorena Dias de Araujo",$B:$B,"&lt;&gt;Lucas Luiz Romero")*(28/1083),IF(C99="Técnico I",SUMIFS($D:$D,$A:$A,$A99,$B:$B,"&lt;&gt;Patrícia Karla de Sousa Araújo",$B:$B,"&lt;&gt;Lorena Dias de Araujo",$B:$B,"&lt;&gt;Lucas Luiz Romero")*(23/1083),IF(C99="JR",SUMIFS($D:$D,$A:$A,$A99,$B:$B,"&lt;&gt;Patrícia Karla de Sousa Araújo",$B:$B,"&lt;&gt;Lorena Dias de Araujo",$B:$B,"&lt;&gt;Lucas Luiz Romero")*(20/1083),IF(C99="Estágio",SUMIFS($D:$D,$A:$A,$A99,$B:$B,"&lt;&gt;Patrícia Karla de Sousa Araújo",$B:$B,"&lt;&gt;Lorena Dias de Araujo",$B:$B,"&lt;&gt;Lucas Luiz Romero")*(10/1083),0)))))),0)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3</v>
      </c>
      <c r="N99" s="3" t="n">
        <v>100</v>
      </c>
      <c r="O99" s="3" t="n">
        <v>11.86440677966102</v>
      </c>
    </row>
    <row r="100" hidden="1">
      <c r="A100" s="5" t="n">
        <v>46148</v>
      </c>
      <c r="B100" s="6" t="inlineStr">
        <is>
          <t>Michelle G Santos</t>
        </is>
      </c>
      <c r="C100" s="3" t="inlineStr">
        <is>
          <t>Estágio</t>
        </is>
      </c>
      <c r="D100" s="3" t="n">
        <v>9</v>
      </c>
      <c r="E100" s="3" t="n">
        <v>8</v>
      </c>
      <c r="F100" t="n">
        <v>30.08</v>
      </c>
      <c r="G100" s="3" t="n">
        <v>0</v>
      </c>
      <c r="H100" s="3" t="n">
        <v>0</v>
      </c>
      <c r="I100" s="3">
        <f>E100+G100+H100</f>
        <v/>
      </c>
      <c r="J100" s="3">
        <f>ROUND(MIN(IF(C100="Técnico III",35,IF(C100="Técnico II",28,IF(C100="Técnico I",23,IF(C100="JR",20,IF(C100="Estágio",10,0))))),IF(C100="Técnico III",SUMIFS($D:$D,$A:$A,$A100,$B:$B,"&lt;&gt;Patrícia Karla de Sousa Araújo",$B:$B,"&lt;&gt;Lorena Dias de Araujo",$B:$B,"&lt;&gt;Lucas Luiz Romero")*(35/1083),IF(C100="Técnico II",SUMIFS($D:$D,$A:$A,$A100,$B:$B,"&lt;&gt;Patrícia Karla de Sousa Araújo",$B:$B,"&lt;&gt;Lorena Dias de Araujo",$B:$B,"&lt;&gt;Lucas Luiz Romero")*(28/1083),IF(C100="Técnico I",SUMIFS($D:$D,$A:$A,$A100,$B:$B,"&lt;&gt;Patrícia Karla de Sousa Araújo",$B:$B,"&lt;&gt;Lorena Dias de Araujo",$B:$B,"&lt;&gt;Lucas Luiz Romero")*(23/1083),IF(C100="JR",SUMIFS($D:$D,$A:$A,$A100,$B:$B,"&lt;&gt;Patrícia Karla de Sousa Araújo",$B:$B,"&lt;&gt;Lorena Dias de Araujo",$B:$B,"&lt;&gt;Lucas Luiz Romero")*(20/1083),IF(C100="Estágio",SUMIFS($D:$D,$A:$A,$A100,$B:$B,"&lt;&gt;Patrícia Karla de Sousa Araújo",$B:$B,"&lt;&gt;Lorena Dias de Araujo",$B:$B,"&lt;&gt;Lucas Luiz Romero")*(10/1083),0)))))),0)</f>
        <v/>
      </c>
      <c r="K100" s="3">
        <f>I100-J100</f>
        <v/>
      </c>
      <c r="L100" s="3">
        <f>IF(K100&lt;-5,"CRÍTICO",IF(K100&lt;0,"ATENÇÃO",IF(K100&lt;=5,"BOM","EXCELENTE")))</f>
        <v/>
      </c>
      <c r="M100" s="3" t="n">
        <v>7</v>
      </c>
      <c r="N100" s="3" t="n">
        <v>100</v>
      </c>
      <c r="O100" s="3" t="n">
        <v>16.8141592920354</v>
      </c>
    </row>
    <row r="101" hidden="1">
      <c r="A101" s="5" t="n">
        <v>46148</v>
      </c>
      <c r="B101" s="6" t="inlineStr">
        <is>
          <t>Quirino Diogo Leite Torres</t>
        </is>
      </c>
      <c r="C101" s="3" t="inlineStr">
        <is>
          <t>Estágio</t>
        </is>
      </c>
      <c r="D101" s="3" t="n">
        <v>17</v>
      </c>
      <c r="E101" s="3" t="n">
        <v>15</v>
      </c>
      <c r="F101" t="n">
        <v>22.06</v>
      </c>
      <c r="G101" s="3" t="n">
        <v>0</v>
      </c>
      <c r="H101" s="3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IF(K101&lt;-5,"CRÍTICO",IF(K101&lt;0,"ATENÇÃO",IF(K101&lt;=5,"BOM","EXCELENTE")))</f>
        <v/>
      </c>
      <c r="M101" s="3" t="n">
        <v>14</v>
      </c>
      <c r="N101" s="3" t="n">
        <v>98.11</v>
      </c>
      <c r="O101" s="3" t="n">
        <v>20.40816326530612</v>
      </c>
    </row>
    <row r="102" hidden="1">
      <c r="A102" s="5" t="n">
        <v>46148</v>
      </c>
      <c r="B102" s="6" t="inlineStr">
        <is>
          <t>Clessiane Pereira dos Santos</t>
        </is>
      </c>
      <c r="C102" s="3" t="inlineStr">
        <is>
          <t>Técnico I</t>
        </is>
      </c>
      <c r="D102" s="3" t="n">
        <v>24</v>
      </c>
      <c r="E102" s="3" t="n">
        <v>23</v>
      </c>
      <c r="F102" t="n">
        <v>17.07</v>
      </c>
      <c r="G102" s="3" t="n">
        <v>9</v>
      </c>
      <c r="H102" s="3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IF(K102&lt;-5,"CRÍTICO",IF(K102&lt;0,"ATENÇÃO",IF(K102&lt;=5,"BOM","EXCELENTE")))</f>
        <v/>
      </c>
      <c r="M102" s="3" t="n">
        <v>30</v>
      </c>
      <c r="N102" s="3" t="n">
        <v>96.88</v>
      </c>
      <c r="O102" s="3" t="n">
        <v>19.52662721893491</v>
      </c>
    </row>
    <row r="103" hidden="1">
      <c r="A103" s="5" t="n">
        <v>46148</v>
      </c>
      <c r="B103" s="6" t="inlineStr">
        <is>
          <t>Cristiane Ramos da Silva Rocha</t>
        </is>
      </c>
      <c r="C103" s="3" t="inlineStr">
        <is>
          <t>Técnico III</t>
        </is>
      </c>
      <c r="D103" s="3" t="n">
        <v>48</v>
      </c>
      <c r="E103" s="3" t="n">
        <v>44</v>
      </c>
      <c r="F103" t="n">
        <v>12.07</v>
      </c>
      <c r="G103" s="3" t="n">
        <v>0</v>
      </c>
      <c r="H103" s="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IF(K103&lt;-5,"CRÍTICO",IF(K103&lt;0,"ATENÇÃO",IF(K103&lt;=5,"BOM","EXCELENTE")))</f>
        <v/>
      </c>
      <c r="M103" s="3" t="n">
        <v>41</v>
      </c>
      <c r="N103" s="3" t="n">
        <v>91.84999999999999</v>
      </c>
      <c r="O103" s="3" t="n">
        <v>20.87155963302752</v>
      </c>
    </row>
    <row r="104" hidden="1">
      <c r="A104" s="5" t="n">
        <v>46148</v>
      </c>
      <c r="B104" s="6" t="inlineStr">
        <is>
          <t>Damyllis Lorraine de Oliveira Gonçalves</t>
        </is>
      </c>
      <c r="C104" s="3" t="inlineStr">
        <is>
          <t>Técnico II</t>
        </is>
      </c>
      <c r="D104" s="3" t="n">
        <v>40</v>
      </c>
      <c r="E104" s="3" t="n">
        <v>35</v>
      </c>
      <c r="F104" t="n">
        <v>15.25</v>
      </c>
      <c r="G104" s="3" t="n">
        <v>0</v>
      </c>
      <c r="H104" s="3" t="n">
        <v>0</v>
      </c>
      <c r="I104" s="3" t="n">
        <v>0</v>
      </c>
      <c r="J104" s="3" t="n">
        <v>0</v>
      </c>
      <c r="K104" s="3" t="n">
        <v>0</v>
      </c>
      <c r="L104" s="3">
        <f>IF(K104&lt;-5,"CRÍTICO",IF(K104&lt;0,"ATENÇÃO",IF(K104&lt;=5,"BOM","EXCELENTE")))</f>
        <v/>
      </c>
      <c r="M104" s="3" t="n">
        <v>29</v>
      </c>
      <c r="N104" s="3" t="n">
        <v>98.63</v>
      </c>
      <c r="O104" s="3" t="n">
        <v>18.75</v>
      </c>
    </row>
    <row r="105" hidden="1">
      <c r="A105" s="5" t="n">
        <v>46148</v>
      </c>
      <c r="B105" s="6" t="inlineStr">
        <is>
          <t>Daniel Gomes da Silva</t>
        </is>
      </c>
      <c r="C105" s="3" t="inlineStr">
        <is>
          <t>Técnico I</t>
        </is>
      </c>
      <c r="D105" s="3" t="n">
        <v>19</v>
      </c>
      <c r="E105" s="3" t="n">
        <v>16</v>
      </c>
      <c r="F105" t="n">
        <v>16.51</v>
      </c>
      <c r="G105" s="3" t="n">
        <v>0</v>
      </c>
      <c r="H105" s="3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IF(K105&lt;-5,"CRÍTICO",IF(K105&lt;0,"ATENÇÃO",IF(K105&lt;=5,"BOM","EXCELENTE")))</f>
        <v/>
      </c>
      <c r="M105" s="3" t="n">
        <v>13</v>
      </c>
      <c r="N105" s="3" t="n">
        <v>100</v>
      </c>
      <c r="O105" s="3" t="n">
        <v>18.14516129032258</v>
      </c>
    </row>
    <row r="106" hidden="1">
      <c r="A106" s="5" t="n">
        <v>46148</v>
      </c>
      <c r="B106" s="6" t="inlineStr">
        <is>
          <t>Davylla Rodrigues Freitas Silva</t>
        </is>
      </c>
      <c r="C106" s="9" t="inlineStr">
        <is>
          <t>Técnico III</t>
        </is>
      </c>
      <c r="D106" s="3" t="n">
        <v>24</v>
      </c>
      <c r="E106" s="3" t="n">
        <v>22</v>
      </c>
      <c r="F106" t="n">
        <v>17.18</v>
      </c>
      <c r="G106" s="3" t="n">
        <v>0</v>
      </c>
      <c r="H106" s="3" t="n">
        <v>0</v>
      </c>
      <c r="I106" s="3" t="n">
        <v>0</v>
      </c>
      <c r="J106" s="3" t="n">
        <v>0</v>
      </c>
      <c r="K106" s="3" t="n">
        <v>0</v>
      </c>
      <c r="L106" s="3">
        <f>IF(K106&lt;-5,"CRÍTICO",IF(K106&lt;0,"ATENÇÃO",IF(K106&lt;=5,"BOM","EXCELENTE")))</f>
        <v/>
      </c>
      <c r="M106" s="3" t="n">
        <v>32</v>
      </c>
      <c r="N106" s="3" t="n">
        <v>99.06</v>
      </c>
      <c r="O106" s="3" t="n">
        <v>22.95719844357977</v>
      </c>
    </row>
    <row r="107" hidden="1">
      <c r="A107" s="5" t="n">
        <v>46148</v>
      </c>
      <c r="B107" s="6" t="inlineStr">
        <is>
          <t>Emilly Kamilly Medeiros Miranda</t>
        </is>
      </c>
      <c r="C107" s="3" t="inlineStr">
        <is>
          <t>Técnico II</t>
        </is>
      </c>
      <c r="D107" s="3" t="n">
        <v>15</v>
      </c>
      <c r="E107" s="3" t="n">
        <v>14</v>
      </c>
      <c r="F107" t="n">
        <v>17.31</v>
      </c>
      <c r="G107" s="3" t="n">
        <v>9</v>
      </c>
      <c r="H107" s="3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IF(K107&lt;-5,"CRÍTICO",IF(K107&lt;0,"ATENÇÃO",IF(K107&lt;=5,"BOM","EXCELENTE")))</f>
        <v/>
      </c>
      <c r="M107" s="3" t="n">
        <v>22</v>
      </c>
      <c r="N107" s="3" t="n">
        <v>100</v>
      </c>
      <c r="O107" s="3" t="n">
        <v>13.8121546961326</v>
      </c>
    </row>
    <row r="108" hidden="1">
      <c r="A108" s="5" t="n">
        <v>46148</v>
      </c>
      <c r="B108" s="6" t="inlineStr">
        <is>
          <t>Francielson de Oliveira</t>
        </is>
      </c>
      <c r="C108" s="9" t="inlineStr">
        <is>
          <t>Técnico III</t>
        </is>
      </c>
      <c r="D108" s="3" t="n">
        <v>0</v>
      </c>
      <c r="E108" s="3" t="n">
        <v>0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>
        <v>0</v>
      </c>
      <c r="L108" s="3">
        <f>IF(K108&lt;-5,"CRÍTICO",IF(K108&lt;0,"ATENÇÃO",IF(K108&lt;=5,"BOM","EXCELENTE")))</f>
        <v/>
      </c>
      <c r="M108" s="3" t="n">
        <v>0</v>
      </c>
      <c r="N108" s="3" t="n">
        <v>100</v>
      </c>
      <c r="O108" s="3" t="n">
        <v>9.523809523809524</v>
      </c>
    </row>
    <row r="109" hidden="1">
      <c r="A109" s="5" t="n">
        <v>46148</v>
      </c>
      <c r="B109" s="6" t="inlineStr">
        <is>
          <t>Francilene Ferreira de Jesus</t>
        </is>
      </c>
      <c r="C109" s="3" t="inlineStr">
        <is>
          <t>Técnico II</t>
        </is>
      </c>
      <c r="D109" s="3" t="n">
        <v>0</v>
      </c>
      <c r="E109" s="3" t="n">
        <v>0</v>
      </c>
      <c r="F109" s="3" t="n">
        <v>0</v>
      </c>
      <c r="G109" s="3" t="n">
        <v>0</v>
      </c>
      <c r="H109" s="3" t="n">
        <v>0</v>
      </c>
      <c r="I109" s="3" t="n">
        <v>0</v>
      </c>
      <c r="J109" s="3" t="n">
        <v>0</v>
      </c>
      <c r="K109" s="3" t="n">
        <v>0</v>
      </c>
      <c r="L109" s="3">
        <f>IF(K109&lt;-5,"CRÍTICO",IF(K109&lt;0,"ATENÇÃO",IF(K109&lt;=5,"BOM","EXCELENTE")))</f>
        <v/>
      </c>
      <c r="M109" s="3" t="n">
        <v>0</v>
      </c>
      <c r="N109" s="3" t="n">
        <v>100</v>
      </c>
      <c r="O109" s="3" t="n">
        <v>17.24137931034483</v>
      </c>
    </row>
    <row r="110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N110" t="n">
        <v>98.91</v>
      </c>
      <c r="O110" t="n">
        <v>31.36729222520107</v>
      </c>
    </row>
    <row r="111" hidden="1">
      <c r="A111" s="5" t="n">
        <v>46148</v>
      </c>
      <c r="B111" s="6" t="inlineStr">
        <is>
          <t>Isabella Borges de Oliveira</t>
        </is>
      </c>
      <c r="C111" s="9" t="inlineStr">
        <is>
          <t>Técnico II</t>
        </is>
      </c>
      <c r="D111" s="3" t="n">
        <v>33</v>
      </c>
      <c r="E111" s="3" t="n">
        <v>32</v>
      </c>
      <c r="F111" t="n">
        <v>20.01</v>
      </c>
      <c r="G111" s="3" t="n">
        <v>9</v>
      </c>
      <c r="H111" s="3" t="n">
        <v>0</v>
      </c>
      <c r="I111" s="3">
        <f>E111+G111+H111</f>
        <v/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/>
      </c>
      <c r="K111" s="3">
        <f>I111-J111</f>
        <v/>
      </c>
      <c r="L111" s="3">
        <f>IF(K111&lt;-5,"CRÍTICO",IF(K111&lt;0,"ATENÇÃO",IF(K111&lt;=5,"BOM","EXCELENTE")))</f>
        <v/>
      </c>
      <c r="M111" s="3" t="n">
        <v>30</v>
      </c>
      <c r="N111" s="3" t="n">
        <v>98.63</v>
      </c>
      <c r="O111" s="3" t="n">
        <v>15.75757575757576</v>
      </c>
    </row>
    <row r="112" hidden="1">
      <c r="A112" s="5" t="n">
        <v>46148</v>
      </c>
      <c r="B112" s="6" t="inlineStr">
        <is>
          <t>Janaina Lima dos Reis Urany</t>
        </is>
      </c>
      <c r="C112" s="3" t="inlineStr">
        <is>
          <t>Técnico III</t>
        </is>
      </c>
      <c r="D112" s="3" t="n">
        <v>52</v>
      </c>
      <c r="E112" s="3" t="n">
        <v>45</v>
      </c>
      <c r="F112" t="n">
        <v>13.59</v>
      </c>
      <c r="G112" s="3" t="n">
        <v>23</v>
      </c>
      <c r="H112" s="3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IF(K112&lt;-5,"CRÍTICO",IF(K112&lt;0,"ATENÇÃO",IF(K112&lt;=5,"BOM","EXCELENTE")))</f>
        <v/>
      </c>
      <c r="M112" s="3" t="n">
        <v>55</v>
      </c>
      <c r="N112" s="3" t="n">
        <v>98.64</v>
      </c>
      <c r="O112" s="3" t="n">
        <v>16.6383701188455</v>
      </c>
    </row>
    <row r="113" hidden="1">
      <c r="A113" s="5" t="n">
        <v>46148</v>
      </c>
      <c r="B113" s="6" t="inlineStr">
        <is>
          <t>Jaqueline Evangelista da Silva Martins</t>
        </is>
      </c>
      <c r="C113" s="3" t="inlineStr">
        <is>
          <t>Técnico III</t>
        </is>
      </c>
      <c r="D113" s="3" t="n">
        <v>27</v>
      </c>
      <c r="E113" s="3" t="n">
        <v>26</v>
      </c>
      <c r="F113" t="n">
        <v>12.18</v>
      </c>
      <c r="G113" s="3" t="n">
        <v>7</v>
      </c>
      <c r="H113" s="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IF(K113&lt;-5,"CRÍTICO",IF(K113&lt;0,"ATENÇÃO",IF(K113&lt;=5,"BOM","EXCELENTE")))</f>
        <v/>
      </c>
      <c r="M113" s="3" t="n">
        <v>26</v>
      </c>
      <c r="N113" s="3" t="n">
        <v>95.40000000000001</v>
      </c>
      <c r="O113" s="3" t="n">
        <v>20.53333333333333</v>
      </c>
    </row>
    <row r="114" hidden="1">
      <c r="A114" s="5" t="n">
        <v>46148</v>
      </c>
      <c r="B114" s="6" t="inlineStr">
        <is>
          <t>Jessica Faria da Silveira</t>
        </is>
      </c>
      <c r="C114" s="3" t="inlineStr">
        <is>
          <t>Técnico II</t>
        </is>
      </c>
      <c r="D114" s="3" t="n">
        <v>29</v>
      </c>
      <c r="E114" s="3" t="n">
        <v>28</v>
      </c>
      <c r="F114" t="n">
        <v>10.28</v>
      </c>
      <c r="G114" s="3" t="n">
        <v>7</v>
      </c>
      <c r="H114" s="3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IF(K114&lt;-5,"CRÍTICO",IF(K114&lt;0,"ATENÇÃO",IF(K114&lt;=5,"BOM","EXCELENTE")))</f>
        <v/>
      </c>
      <c r="M114" s="3" t="n">
        <v>34</v>
      </c>
      <c r="N114" s="3" t="n">
        <v>98.61</v>
      </c>
      <c r="O114" s="3" t="n">
        <v>16.97530864197531</v>
      </c>
    </row>
    <row r="115" hidden="1">
      <c r="A115" s="5" t="n">
        <v>46148</v>
      </c>
      <c r="B115" s="6" t="inlineStr">
        <is>
          <t>Jéssica Fé Moura</t>
        </is>
      </c>
      <c r="C115" s="3" t="inlineStr">
        <is>
          <t>Técnico III</t>
        </is>
      </c>
      <c r="D115" s="3" t="n">
        <v>0</v>
      </c>
      <c r="E115" s="3" t="n">
        <v>0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0</v>
      </c>
      <c r="L115" s="3">
        <f>IF(K115&lt;-5,"CRÍTICO",IF(K115&lt;0,"ATENÇÃO",IF(K115&lt;=5,"BOM","EXCELENTE")))</f>
        <v/>
      </c>
      <c r="M115" s="3" t="n">
        <v>0</v>
      </c>
      <c r="N115" s="3" t="n">
        <v>0</v>
      </c>
      <c r="O115" s="3" t="n">
        <v>0</v>
      </c>
    </row>
    <row r="116" hidden="1">
      <c r="A116" s="5" t="n">
        <v>46148</v>
      </c>
      <c r="B116" s="6" t="inlineStr">
        <is>
          <t>Karina Gonçalves Martins</t>
        </is>
      </c>
      <c r="C116" s="3" t="inlineStr">
        <is>
          <t>JR</t>
        </is>
      </c>
      <c r="D116" s="3" t="n">
        <v>22</v>
      </c>
      <c r="E116" s="3" t="n">
        <v>22</v>
      </c>
      <c r="F116" t="n">
        <v>30.08</v>
      </c>
      <c r="G116" s="3" t="n">
        <v>1</v>
      </c>
      <c r="H116" s="3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IF(K116&lt;-5,"CRÍTICO",IF(K116&lt;0,"ATENÇÃO",IF(K116&lt;=5,"BOM","EXCELENTE")))</f>
        <v/>
      </c>
      <c r="M116" s="3" t="n">
        <v>22</v>
      </c>
      <c r="N116" s="3" t="n">
        <v>97.01000000000001</v>
      </c>
      <c r="O116" s="3" t="n">
        <v>13.96103896103896</v>
      </c>
    </row>
    <row r="117" hidden="1">
      <c r="A117" s="5" t="n">
        <v>46148</v>
      </c>
      <c r="B117" s="6" t="inlineStr">
        <is>
          <t>Kerollen Cristielly de Jesus Siqueira</t>
        </is>
      </c>
      <c r="C117" s="9" t="inlineStr">
        <is>
          <t>Técnico III</t>
        </is>
      </c>
      <c r="D117" s="3" t="n">
        <v>27</v>
      </c>
      <c r="E117" s="3" t="n">
        <v>25</v>
      </c>
      <c r="F117" t="n">
        <v>22.17</v>
      </c>
      <c r="G117" s="3" t="n">
        <v>1</v>
      </c>
      <c r="H117" s="3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IF(K117&lt;-5,"CRÍTICO",IF(K117&lt;0,"ATENÇÃO",IF(K117&lt;=5,"BOM","EXCELENTE")))</f>
        <v/>
      </c>
      <c r="M117" s="3" t="n">
        <v>26</v>
      </c>
      <c r="N117" s="3" t="n">
        <v>95.52</v>
      </c>
      <c r="O117" s="3" t="n">
        <v>10.56105610561056</v>
      </c>
    </row>
    <row r="118" hidden="1">
      <c r="A118" s="5" t="n">
        <v>46148</v>
      </c>
      <c r="B118" s="6" t="inlineStr">
        <is>
          <t>Leandro de Souza Silva</t>
        </is>
      </c>
      <c r="C118" s="3" t="inlineStr">
        <is>
          <t>JR</t>
        </is>
      </c>
      <c r="D118" s="3" t="n">
        <v>13</v>
      </c>
      <c r="E118" s="3" t="n">
        <v>12</v>
      </c>
      <c r="F118" t="n">
        <v>30.43</v>
      </c>
      <c r="G118" s="3" t="n">
        <v>12</v>
      </c>
      <c r="H118" s="3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IF(K118&lt;-5,"CRÍTICO",IF(K118&lt;0,"ATENÇÃO",IF(K118&lt;=5,"BOM","EXCELENTE")))</f>
        <v/>
      </c>
      <c r="M118" s="3" t="n">
        <v>17</v>
      </c>
      <c r="N118" s="3" t="n">
        <v>100</v>
      </c>
      <c r="O118" s="3" t="n">
        <v>16.95906432748538</v>
      </c>
    </row>
    <row r="119" hidden="1">
      <c r="A119" s="5" t="n">
        <v>46148</v>
      </c>
      <c r="B119" s="6" t="inlineStr">
        <is>
          <t>Leandro Oliveira de Sousa</t>
        </is>
      </c>
      <c r="C119" s="9" t="inlineStr">
        <is>
          <t>Técnico III</t>
        </is>
      </c>
      <c r="D119" s="3" t="n">
        <v>38</v>
      </c>
      <c r="E119" s="3" t="n">
        <v>38</v>
      </c>
      <c r="F119" t="n">
        <v>16.42</v>
      </c>
      <c r="G119" s="3" t="n">
        <v>0</v>
      </c>
      <c r="H119" s="3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IF(K119&lt;-5,"CRÍTICO",IF(K119&lt;0,"ATENÇÃO",IF(K119&lt;=5,"BOM","EXCELENTE")))</f>
        <v/>
      </c>
      <c r="M119" s="3" t="n">
        <v>36</v>
      </c>
      <c r="N119" s="3" t="n">
        <v>100</v>
      </c>
      <c r="O119" s="3" t="n">
        <v>15.58441558441558</v>
      </c>
    </row>
    <row r="120" hidden="1">
      <c r="A120" s="5" t="n">
        <v>46148</v>
      </c>
      <c r="B120" s="6" t="inlineStr">
        <is>
          <t>Lizandra Gomes Duarte</t>
        </is>
      </c>
      <c r="C120" s="3" t="inlineStr">
        <is>
          <t>Técnico II</t>
        </is>
      </c>
      <c r="D120" s="3" t="n">
        <v>38</v>
      </c>
      <c r="E120" s="3" t="n">
        <v>36</v>
      </c>
      <c r="F120" t="n">
        <v>15.35</v>
      </c>
      <c r="G120" s="3" t="n">
        <v>2</v>
      </c>
      <c r="H120" s="3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IF(K120&lt;-5,"CRÍTICO",IF(K120&lt;0,"ATENÇÃO",IF(K120&lt;=5,"BOM","EXCELENTE")))</f>
        <v/>
      </c>
      <c r="M120" s="3" t="n">
        <v>16</v>
      </c>
      <c r="N120" s="3" t="n">
        <v>98.61</v>
      </c>
      <c r="O120" s="3" t="n">
        <v>16.86746987951807</v>
      </c>
    </row>
    <row r="121" hidden="1">
      <c r="A121" s="5" t="n">
        <v>46148</v>
      </c>
      <c r="B121" s="6" t="inlineStr">
        <is>
          <t>Lorena Dias de Araujo</t>
        </is>
      </c>
      <c r="C121" s="3" t="inlineStr">
        <is>
          <t>Técnico II</t>
        </is>
      </c>
      <c r="D121" s="3" t="n">
        <v>34</v>
      </c>
      <c r="E121" s="3" t="n">
        <v>31</v>
      </c>
      <c r="F121" t="n">
        <v>16.42</v>
      </c>
      <c r="G121" s="3" t="n">
        <v>0</v>
      </c>
      <c r="H121" s="3" t="n">
        <v>0</v>
      </c>
      <c r="I121" s="3" t="n">
        <v>0</v>
      </c>
      <c r="J121" s="3" t="n">
        <v>0</v>
      </c>
      <c r="K121" s="3" t="n">
        <v>0</v>
      </c>
      <c r="L121" s="3">
        <f>IF(K121&lt;-5,"CRÍTICO",IF(K121&lt;0,"ATENÇÃO",IF(K121&lt;=5,"BOM","EXCELENTE")))</f>
        <v/>
      </c>
      <c r="M121" s="3" t="n">
        <v>28</v>
      </c>
      <c r="N121" s="3" t="n">
        <v>100</v>
      </c>
      <c r="O121" s="3" t="n">
        <v>20.82018927444795</v>
      </c>
    </row>
    <row r="122" hidden="1">
      <c r="A122" s="5" t="n">
        <v>46148</v>
      </c>
      <c r="B122" s="6" t="inlineStr">
        <is>
          <t>Lucas Luiz Romero</t>
        </is>
      </c>
      <c r="C122" s="3" t="inlineStr">
        <is>
          <t>Técnico III</t>
        </is>
      </c>
      <c r="D122" s="3" t="n">
        <v>0</v>
      </c>
      <c r="E122" s="3" t="n">
        <v>0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0</v>
      </c>
      <c r="L122" s="3">
        <f>IF(K122&lt;-5,"CRÍTICO",IF(K122&lt;0,"ATENÇÃO",IF(K122&lt;=5,"BOM","EXCELENTE")))</f>
        <v/>
      </c>
      <c r="M122" s="3" t="n">
        <v>0</v>
      </c>
      <c r="N122" s="3" t="n">
        <v>100</v>
      </c>
      <c r="O122" s="3" t="n">
        <v>4.347826086956522</v>
      </c>
    </row>
    <row r="123" hidden="1">
      <c r="A123" s="5" t="n">
        <v>46148</v>
      </c>
      <c r="B123" s="6" t="inlineStr">
        <is>
          <t>Luiz Fernando de Carvalho Junior</t>
        </is>
      </c>
      <c r="C123" s="3" t="inlineStr">
        <is>
          <t>Técnico I</t>
        </is>
      </c>
      <c r="D123" s="3" t="n">
        <v>31</v>
      </c>
      <c r="E123" s="3" t="n">
        <v>30</v>
      </c>
      <c r="F123" t="n">
        <v>17.33</v>
      </c>
      <c r="G123" s="3" t="n">
        <v>8</v>
      </c>
      <c r="H123" s="3" t="n">
        <v>0</v>
      </c>
      <c r="I123" s="3">
        <f>E123+G123+H123</f>
        <v/>
      </c>
      <c r="J123" s="3">
        <f>ROUND(MIN(IF(C123="Técnico III",35,IF(C123="Técnico II",28,IF(C123="Técnico I",23,IF(C123="JR",20,IF(C123="Estágio",10,0))))),IF(C123="Técnico III",SUMIFS($D:$D,$A:$A,$A123,$B:$B,"&lt;&gt;Patrícia Karla de Sousa Araújo",$B:$B,"&lt;&gt;Lorena Dias de Araujo",$B:$B,"&lt;&gt;Lucas Luiz Romero")*(35/1083),IF(C123="Técnico II",SUMIFS($D:$D,$A:$A,$A123,$B:$B,"&lt;&gt;Patrícia Karla de Sousa Araújo",$B:$B,"&lt;&gt;Lorena Dias de Araujo",$B:$B,"&lt;&gt;Lucas Luiz Romero")*(28/1083),IF(C123="Técnico I",SUMIFS($D:$D,$A:$A,$A123,$B:$B,"&lt;&gt;Patrícia Karla de Sousa Araújo",$B:$B,"&lt;&gt;Lorena Dias de Araujo",$B:$B,"&lt;&gt;Lucas Luiz Romero")*(23/1083),IF(C123="JR",SUMIFS($D:$D,$A:$A,$A123,$B:$B,"&lt;&gt;Patrícia Karla de Sousa Araújo",$B:$B,"&lt;&gt;Lorena Dias de Araujo",$B:$B,"&lt;&gt;Lucas Luiz Romero")*(20/1083),IF(C123="Estágio",SUMIFS($D:$D,$A:$A,$A123,$B:$B,"&lt;&gt;Patrícia Karla de Sousa Araújo",$B:$B,"&lt;&gt;Lorena Dias de Araujo",$B:$B,"&lt;&gt;Lucas Luiz Romero")*(10/1083),0)))))),0)</f>
        <v/>
      </c>
      <c r="K123" s="3">
        <f>I123-J123</f>
        <v/>
      </c>
      <c r="L123" s="3">
        <f>IF(K123&lt;-5,"CRÍTICO",IF(K123&lt;0,"ATENÇÃO",IF(K123&lt;=5,"BOM","EXCELENTE")))</f>
        <v/>
      </c>
      <c r="M123" s="3" t="n">
        <v>36</v>
      </c>
      <c r="N123" s="3" t="n">
        <v>93.26000000000001</v>
      </c>
      <c r="O123" s="3" t="n">
        <v>19.93957703927493</v>
      </c>
    </row>
    <row r="124" hidden="1">
      <c r="A124" s="5" t="n">
        <v>46148</v>
      </c>
      <c r="B124" s="6" t="inlineStr">
        <is>
          <t>Matheus Farias De Souza</t>
        </is>
      </c>
      <c r="C124" s="3" t="inlineStr">
        <is>
          <t>Técnico III</t>
        </is>
      </c>
      <c r="D124" s="3" t="n">
        <v>24</v>
      </c>
      <c r="E124" s="3" t="n">
        <v>24</v>
      </c>
      <c r="F124" t="n">
        <v>18.39</v>
      </c>
      <c r="G124" s="3" t="n">
        <v>0</v>
      </c>
      <c r="H124" s="3" t="n">
        <v>17</v>
      </c>
      <c r="I124" s="3">
        <f>E124+G124+H124</f>
        <v/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/>
      </c>
      <c r="K124" s="3">
        <f>I124-J124</f>
        <v/>
      </c>
      <c r="L124" s="3">
        <f>IF(K124&lt;-5,"CRÍTICO",IF(K124&lt;0,"ATENÇÃO",IF(K124&lt;=5,"BOM","EXCELENTE")))</f>
        <v/>
      </c>
      <c r="M124" s="3" t="n">
        <v>31</v>
      </c>
      <c r="N124" s="3" t="n">
        <v>98.28</v>
      </c>
      <c r="O124" s="3" t="n">
        <v>9.037900874635568</v>
      </c>
    </row>
    <row r="125" hidden="1">
      <c r="A125" s="5" t="n">
        <v>46148</v>
      </c>
      <c r="B125" s="6" t="inlineStr">
        <is>
          <t>Maysa Victoria Dias Moura</t>
        </is>
      </c>
      <c r="C125" s="3" t="inlineStr">
        <is>
          <t>Técnico III</t>
        </is>
      </c>
      <c r="D125" s="3" t="n">
        <v>32</v>
      </c>
      <c r="E125" s="3" t="n">
        <v>30</v>
      </c>
      <c r="F125" t="n">
        <v>19.04</v>
      </c>
      <c r="G125" s="3" t="n">
        <v>1</v>
      </c>
      <c r="H125" s="3" t="n">
        <v>0</v>
      </c>
      <c r="I125" s="3">
        <f>E125+G125+H125</f>
        <v/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/>
      </c>
      <c r="K125" s="3">
        <f>I125-J125</f>
        <v/>
      </c>
      <c r="L125" s="3">
        <f>IF(K125&lt;-5,"CRÍTICO",IF(K125&lt;0,"ATENÇÃO",IF(K125&lt;=5,"BOM","EXCELENTE")))</f>
        <v/>
      </c>
      <c r="M125" s="3" t="n">
        <v>31</v>
      </c>
      <c r="N125" s="3" t="n">
        <v>97.22</v>
      </c>
      <c r="O125" s="3" t="n">
        <v>19.09547738693467</v>
      </c>
    </row>
    <row r="126" hidden="1">
      <c r="A126" s="5" t="n">
        <v>46148</v>
      </c>
      <c r="B126" s="6" t="inlineStr">
        <is>
          <t>Milena Sales</t>
        </is>
      </c>
      <c r="C126" s="3" t="inlineStr">
        <is>
          <t>JR</t>
        </is>
      </c>
      <c r="D126" s="3" t="n">
        <v>0</v>
      </c>
      <c r="E126" s="3" t="n">
        <v>0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0</v>
      </c>
      <c r="L126" s="3">
        <f>IF(K126&lt;-5,"CRÍTICO",IF(K126&lt;0,"ATENÇÃO",IF(K126&lt;=5,"BOM","EXCELENTE")))</f>
        <v/>
      </c>
      <c r="M126" s="3" t="n">
        <v>0</v>
      </c>
      <c r="N126" s="3" t="n">
        <v>98</v>
      </c>
      <c r="O126" s="3" t="n">
        <v>16.43835616438356</v>
      </c>
    </row>
    <row r="127" hidden="1">
      <c r="A127" s="5" t="n">
        <v>46148</v>
      </c>
      <c r="B127" s="6" t="inlineStr">
        <is>
          <t>Patrícia Karla de Sousa Araújo</t>
        </is>
      </c>
      <c r="C127" s="3" t="inlineStr">
        <is>
          <t>Técnico II</t>
        </is>
      </c>
      <c r="D127" s="3" t="n">
        <v>35</v>
      </c>
      <c r="E127" s="3" t="n">
        <v>33</v>
      </c>
      <c r="F127" t="n">
        <v>15.19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3" t="n">
        <v>30</v>
      </c>
      <c r="N127" s="3" t="n">
        <v>100</v>
      </c>
      <c r="O127" s="3" t="n">
        <v>16.89497716894977</v>
      </c>
    </row>
    <row r="128" hidden="1">
      <c r="A128" s="5" t="n">
        <v>46148</v>
      </c>
      <c r="B128" s="6" t="inlineStr">
        <is>
          <t>Paulo Ricardo Santos</t>
        </is>
      </c>
      <c r="C128" s="3" t="inlineStr">
        <is>
          <t>JR</t>
        </is>
      </c>
      <c r="D128" s="3" t="n">
        <v>17</v>
      </c>
      <c r="E128" s="3" t="n">
        <v>17</v>
      </c>
      <c r="F128" t="n">
        <v>20.34</v>
      </c>
      <c r="G128" s="3" t="n">
        <v>0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3" t="n">
        <v>15</v>
      </c>
      <c r="N128" s="3" t="n">
        <v>100</v>
      </c>
      <c r="O128" s="3" t="n">
        <v>19.13875598086124</v>
      </c>
    </row>
    <row r="129" hidden="1">
      <c r="A129" s="5" t="n">
        <v>46148</v>
      </c>
      <c r="B129" s="6" t="inlineStr">
        <is>
          <t>Pedro Luiz Mota Sousa</t>
        </is>
      </c>
      <c r="C129" s="3" t="inlineStr">
        <is>
          <t>JR</t>
        </is>
      </c>
      <c r="D129" s="3" t="n">
        <v>22</v>
      </c>
      <c r="E129" s="3" t="n">
        <v>21</v>
      </c>
      <c r="F129" t="n">
        <v>17.24</v>
      </c>
      <c r="G129" s="3" t="n">
        <v>3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3" t="n">
        <v>18</v>
      </c>
      <c r="N129" s="3" t="n">
        <v>100</v>
      </c>
      <c r="O129" s="3" t="n">
        <v>15.02145922746781</v>
      </c>
    </row>
    <row r="130" hidden="1">
      <c r="A130" s="5" t="n">
        <v>46148</v>
      </c>
      <c r="B130" s="6" t="inlineStr">
        <is>
          <t>Raane Batista Matos</t>
        </is>
      </c>
      <c r="C130" s="3" t="inlineStr">
        <is>
          <t>Técnico I</t>
        </is>
      </c>
      <c r="D130" s="3" t="n">
        <v>34</v>
      </c>
      <c r="E130" s="3" t="n">
        <v>30</v>
      </c>
      <c r="F130" t="n">
        <v>13.25</v>
      </c>
      <c r="G130" s="3" t="n">
        <v>5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3" t="n">
        <v>23</v>
      </c>
      <c r="N130" s="3" t="n">
        <v>97.56</v>
      </c>
      <c r="O130" s="3" t="n">
        <v>19.28783382789317</v>
      </c>
    </row>
    <row r="131" hidden="1">
      <c r="A131" s="5" t="n">
        <v>46148</v>
      </c>
      <c r="B131" s="6" t="inlineStr">
        <is>
          <t>Rafael Gomes de Morais</t>
        </is>
      </c>
      <c r="C131" s="3" t="inlineStr">
        <is>
          <t>Técnico III</t>
        </is>
      </c>
      <c r="D131" s="3" t="n">
        <v>57</v>
      </c>
      <c r="E131" s="3" t="n">
        <v>51</v>
      </c>
      <c r="F131" t="n">
        <v>10.53</v>
      </c>
      <c r="G131" s="3" t="n">
        <v>1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3" t="n">
        <v>37</v>
      </c>
      <c r="N131" s="3" t="n">
        <v>99.29000000000001</v>
      </c>
      <c r="O131" s="3" t="n">
        <v>22.49443207126949</v>
      </c>
    </row>
    <row r="132" hidden="1">
      <c r="A132" s="5" t="n">
        <v>46148</v>
      </c>
      <c r="B132" s="6" t="inlineStr">
        <is>
          <t>Sara Maria Monteiro Lopes</t>
        </is>
      </c>
      <c r="C132" s="3" t="inlineStr">
        <is>
          <t>Técnico I</t>
        </is>
      </c>
      <c r="D132" s="3" t="n">
        <v>19</v>
      </c>
      <c r="E132" s="3" t="n">
        <v>18</v>
      </c>
      <c r="F132" t="n">
        <v>26.43</v>
      </c>
      <c r="G132" s="3" t="n">
        <v>1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18</v>
      </c>
      <c r="N132" s="3" t="n">
        <v>100</v>
      </c>
      <c r="O132" s="3" t="n">
        <v>16.97247706422019</v>
      </c>
    </row>
    <row r="133" hidden="1">
      <c r="A133" s="5" t="n">
        <v>46148</v>
      </c>
      <c r="B133" s="6" t="inlineStr">
        <is>
          <t>Sarah Steffanie de Lima Borges</t>
        </is>
      </c>
      <c r="C133" s="3" t="inlineStr">
        <is>
          <t>Técnico III</t>
        </is>
      </c>
      <c r="D133" s="3" t="n">
        <v>21</v>
      </c>
      <c r="E133" s="3" t="n">
        <v>20</v>
      </c>
      <c r="F133" t="n">
        <v>18.47</v>
      </c>
      <c r="G133" s="3" t="n">
        <v>8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25</v>
      </c>
      <c r="N133" s="3" t="n">
        <v>97.33</v>
      </c>
      <c r="O133" s="3" t="n">
        <v>15.80547112462006</v>
      </c>
    </row>
    <row r="134" hidden="1">
      <c r="A134" s="5" t="n">
        <v>46149</v>
      </c>
      <c r="B134" s="6" t="inlineStr">
        <is>
          <t>Alisson de Freitas Silva</t>
        </is>
      </c>
      <c r="C134" s="3" t="inlineStr">
        <is>
          <t>Técnico II</t>
        </is>
      </c>
      <c r="D134" s="3" t="n">
        <v>39</v>
      </c>
      <c r="E134" s="3" t="n">
        <v>34</v>
      </c>
      <c r="F134" t="n">
        <v>8.33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19</v>
      </c>
      <c r="N134" s="3" t="n">
        <v>98.94</v>
      </c>
      <c r="O134" s="3" t="n">
        <v>19.61414790996785</v>
      </c>
    </row>
    <row r="135" hidden="1">
      <c r="A135" s="5" t="n">
        <v>46149</v>
      </c>
      <c r="B135" s="6" t="inlineStr">
        <is>
          <t>Amanda Moura Ferreira</t>
        </is>
      </c>
      <c r="C135" s="3" t="inlineStr">
        <is>
          <t>Técnico III</t>
        </is>
      </c>
      <c r="D135" s="3" t="n">
        <v>0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>
        <f>IF(K135&lt;-5,"CRÍTICO",IF(K135&lt;0,"ATENÇÃO",IF(K135&lt;=5,"BOM","EXCELENTE")))</f>
        <v/>
      </c>
      <c r="M135" s="9" t="n">
        <v>0</v>
      </c>
      <c r="N135" s="9" t="n">
        <v>100</v>
      </c>
      <c r="O135" s="9" t="n">
        <v>0</v>
      </c>
    </row>
    <row r="136" hidden="1">
      <c r="A136" s="5" t="n">
        <v>46149</v>
      </c>
      <c r="B136" s="6" t="inlineStr">
        <is>
          <t>Ana Karollyne Souza Faria</t>
        </is>
      </c>
      <c r="C136" s="3" t="inlineStr">
        <is>
          <t>Técnico I</t>
        </is>
      </c>
      <c r="D136" s="3" t="n">
        <v>31</v>
      </c>
      <c r="E136" s="3" t="n">
        <v>28</v>
      </c>
      <c r="F136" t="n">
        <v>15.11</v>
      </c>
      <c r="G136" s="3" t="n">
        <v>10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36</v>
      </c>
      <c r="N136" s="3" t="n">
        <v>95.38</v>
      </c>
      <c r="O136" s="3" t="n">
        <v>21.5962441314554</v>
      </c>
    </row>
    <row r="137" hidden="1">
      <c r="A137" s="5" t="n">
        <v>46149</v>
      </c>
      <c r="B137" s="6" t="inlineStr">
        <is>
          <t>Ana Paula Da Luz Silva Aleixo</t>
        </is>
      </c>
      <c r="C137" s="9" t="inlineStr">
        <is>
          <t>Técnico III</t>
        </is>
      </c>
      <c r="D137" s="3" t="n">
        <v>32</v>
      </c>
      <c r="E137" s="3" t="n">
        <v>32</v>
      </c>
      <c r="F137" t="n">
        <v>17.26</v>
      </c>
      <c r="G137" s="3" t="n">
        <v>0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33</v>
      </c>
      <c r="N137" s="3" t="n">
        <v>96.34</v>
      </c>
      <c r="O137" s="3" t="n">
        <v>17.57188498402556</v>
      </c>
    </row>
    <row r="138" hidden="1">
      <c r="A138" s="5" t="n">
        <v>46149</v>
      </c>
      <c r="B138" s="6" t="inlineStr">
        <is>
          <t>Brenda de Menezes Silva</t>
        </is>
      </c>
      <c r="C138" s="3" t="inlineStr">
        <is>
          <t>Técnico II</t>
        </is>
      </c>
      <c r="D138" s="3" t="n">
        <v>33</v>
      </c>
      <c r="E138" s="3" t="n">
        <v>29</v>
      </c>
      <c r="F138" t="n">
        <v>13.37</v>
      </c>
      <c r="G138" s="3" t="n">
        <v>5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31</v>
      </c>
      <c r="N138" s="3" t="n">
        <v>99.13</v>
      </c>
      <c r="O138" s="3" t="n">
        <v>14.7239263803681</v>
      </c>
    </row>
    <row r="139" hidden="1">
      <c r="A139" s="5" t="n">
        <v>46149</v>
      </c>
      <c r="B139" s="6" t="inlineStr">
        <is>
          <t>Carlos Mateus Cassimiro Nunes</t>
        </is>
      </c>
      <c r="C139" s="9" t="inlineStr">
        <is>
          <t>Técnico II</t>
        </is>
      </c>
      <c r="D139" s="3" t="n">
        <v>24</v>
      </c>
      <c r="E139" s="3" t="n">
        <v>24</v>
      </c>
      <c r="F139" t="n">
        <v>25.23</v>
      </c>
      <c r="G139" s="3" t="n">
        <v>5</v>
      </c>
      <c r="H139" s="3" t="n">
        <v>0</v>
      </c>
      <c r="I139" s="3">
        <f>E139+G139+H139</f>
        <v/>
      </c>
      <c r="J139" s="3">
        <f>ROUND(MIN(IF(C139="Técnico III",35,IF(C139="Técnico II",28,IF(C139="Técnico I",23,IF(C139="JR",20,IF(C139="Estágio",10,0))))),IF(C139="Técnico III",SUMIFS($D:$D,$A:$A,$A139,$B:$B,"&lt;&gt;Patrícia Karla de Sousa Araújo",$B:$B,"&lt;&gt;Lorena Dias de Araujo",$B:$B,"&lt;&gt;Lucas Luiz Romero")*(35/1083),IF(C139="Técnico II",SUMIFS($D:$D,$A:$A,$A139,$B:$B,"&lt;&gt;Patrícia Karla de Sousa Araújo",$B:$B,"&lt;&gt;Lorena Dias de Araujo",$B:$B,"&lt;&gt;Lucas Luiz Romero")*(28/1083),IF(C139="Técnico I",SUMIFS($D:$D,$A:$A,$A139,$B:$B,"&lt;&gt;Patrícia Karla de Sousa Araújo",$B:$B,"&lt;&gt;Lorena Dias de Araujo",$B:$B,"&lt;&gt;Lucas Luiz Romero")*(23/1083),IF(C139="JR",SUMIFS($D:$D,$A:$A,$A139,$B:$B,"&lt;&gt;Patrícia Karla de Sousa Araújo",$B:$B,"&lt;&gt;Lorena Dias de Araujo",$B:$B,"&lt;&gt;Lucas Luiz Romero")*(20/1083),IF(C139="Estágio",SUMIFS($D:$D,$A:$A,$A139,$B:$B,"&lt;&gt;Patrícia Karla de Sousa Araújo",$B:$B,"&lt;&gt;Lorena Dias de Araujo",$B:$B,"&lt;&gt;Lucas Luiz Romero")*(10/1083),0)))))),0)</f>
        <v/>
      </c>
      <c r="K139" s="3">
        <f>I139-J139</f>
        <v/>
      </c>
      <c r="L139" s="3">
        <f>IF(K139&lt;-5,"CRÍTICO",IF(K139&lt;0,"ATENÇÃO",IF(K139&lt;=5,"BOM","EXCELENTE")))</f>
        <v/>
      </c>
      <c r="M139" s="3" t="n">
        <v>27</v>
      </c>
      <c r="N139" s="3" t="n">
        <v>98.8</v>
      </c>
      <c r="O139" s="3" t="n">
        <v>16.89750692520776</v>
      </c>
    </row>
    <row r="140" hidden="1">
      <c r="A140" s="5" t="n">
        <v>46149</v>
      </c>
      <c r="B140" s="6" t="inlineStr">
        <is>
          <t>Anna Luiza Rezende Tavares</t>
        </is>
      </c>
      <c r="C140" s="3" t="inlineStr">
        <is>
          <t>Estágio</t>
        </is>
      </c>
      <c r="D140" s="3" t="n">
        <v>33</v>
      </c>
      <c r="E140" s="3" t="n">
        <v>32</v>
      </c>
      <c r="F140" t="n">
        <v>19.09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30</v>
      </c>
      <c r="N140" s="3" t="n">
        <v>99.11</v>
      </c>
      <c r="O140" s="3" t="n">
        <v>17.72151898734177</v>
      </c>
    </row>
    <row r="141" hidden="1">
      <c r="A141" s="5" t="n">
        <v>46149</v>
      </c>
      <c r="B141" s="6" t="inlineStr">
        <is>
          <t>Claudio de Sousa Velasco Filho</t>
        </is>
      </c>
      <c r="C141" s="3" t="inlineStr">
        <is>
          <t>Estágio</t>
        </is>
      </c>
      <c r="D141" s="3" t="n">
        <v>12</v>
      </c>
      <c r="E141" s="3" t="n">
        <v>12</v>
      </c>
      <c r="F141" t="n">
        <v>19.17</v>
      </c>
      <c r="G141" s="3" t="n">
        <v>0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9</v>
      </c>
      <c r="N141" s="3" t="n">
        <v>96.43000000000001</v>
      </c>
      <c r="O141" s="3" t="n">
        <v>20</v>
      </c>
    </row>
    <row r="142" hidden="1">
      <c r="A142" s="5" t="n">
        <v>46149</v>
      </c>
      <c r="B142" s="6" t="inlineStr">
        <is>
          <t>Emilly Caylane Costa</t>
        </is>
      </c>
      <c r="C142" s="3" t="inlineStr">
        <is>
          <t>Estágio</t>
        </is>
      </c>
      <c r="D142" s="3" t="n">
        <v>51</v>
      </c>
      <c r="E142" s="3" t="n">
        <v>32</v>
      </c>
      <c r="F142" t="n">
        <v>3.44</v>
      </c>
      <c r="G142" s="3" t="n">
        <v>0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1</v>
      </c>
      <c r="N142" s="3" t="n">
        <v>100</v>
      </c>
      <c r="O142" s="3" t="n">
        <v>29.03225806451613</v>
      </c>
    </row>
    <row r="143" hidden="1">
      <c r="A143" s="5" t="n">
        <v>46149</v>
      </c>
      <c r="B143" s="6" t="inlineStr">
        <is>
          <t>Maria Eduarda Sousa Costa</t>
        </is>
      </c>
      <c r="C143" s="3" t="inlineStr">
        <is>
          <t>Estágio</t>
        </is>
      </c>
      <c r="D143" s="3" t="n">
        <v>52</v>
      </c>
      <c r="E143" s="3" t="n">
        <v>37</v>
      </c>
      <c r="F143" t="n">
        <v>5.49</v>
      </c>
      <c r="G143" s="3" t="n">
        <v>0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4</v>
      </c>
      <c r="N143" s="3" t="n">
        <v>100</v>
      </c>
      <c r="O143" s="3" t="n">
        <v>11.86440677966102</v>
      </c>
    </row>
    <row r="144" hidden="1">
      <c r="A144" s="5" t="n">
        <v>46149</v>
      </c>
      <c r="B144" s="6" t="inlineStr">
        <is>
          <t>Clessiane Pereira dos Santos</t>
        </is>
      </c>
      <c r="C144" s="3" t="inlineStr">
        <is>
          <t>Técnico I</t>
        </is>
      </c>
      <c r="D144" s="3" t="n">
        <v>25</v>
      </c>
      <c r="E144" s="3" t="n">
        <v>23</v>
      </c>
      <c r="F144" t="n">
        <v>16.56</v>
      </c>
      <c r="G144" s="3" t="n">
        <v>1</v>
      </c>
      <c r="H144" s="3" t="n">
        <v>0</v>
      </c>
      <c r="I144" s="3">
        <f>E144+G144+H144</f>
        <v/>
      </c>
      <c r="J144" s="3">
        <f>ROUND(MIN(IF(C144="Técnico III",35,IF(C144="Técnico II",28,IF(C144="Técnico I",23,IF(C144="JR",20,IF(C144="Estágio",10,0))))),IF(C144="Técnico III",SUMIFS($D:$D,$A:$A,$A144,$B:$B,"&lt;&gt;Patrícia Karla de Sousa Araújo",$B:$B,"&lt;&gt;Lorena Dias de Araujo",$B:$B,"&lt;&gt;Lucas Luiz Romero")*(35/1083),IF(C144="Técnico II",SUMIFS($D:$D,$A:$A,$A144,$B:$B,"&lt;&gt;Patrícia Karla de Sousa Araújo",$B:$B,"&lt;&gt;Lorena Dias de Araujo",$B:$B,"&lt;&gt;Lucas Luiz Romero")*(28/1083),IF(C144="Técnico I",SUMIFS($D:$D,$A:$A,$A144,$B:$B,"&lt;&gt;Patrícia Karla de Sousa Araújo",$B:$B,"&lt;&gt;Lorena Dias de Araujo",$B:$B,"&lt;&gt;Lucas Luiz Romero")*(23/1083),IF(C144="JR",SUMIFS($D:$D,$A:$A,$A144,$B:$B,"&lt;&gt;Patrícia Karla de Sousa Araújo",$B:$B,"&lt;&gt;Lorena Dias de Araujo",$B:$B,"&lt;&gt;Lucas Luiz Romero")*(20/1083),IF(C144="Estágio",SUMIFS($D:$D,$A:$A,$A144,$B:$B,"&lt;&gt;Patrícia Karla de Sousa Araújo",$B:$B,"&lt;&gt;Lorena Dias de Araujo",$B:$B,"&lt;&gt;Lucas Luiz Romero")*(10/1083),0)))))),0)</f>
        <v/>
      </c>
      <c r="K144" s="3">
        <f>I144-J144</f>
        <v/>
      </c>
      <c r="L144" s="3">
        <f>IF(K144&lt;-5,"CRÍTICO",IF(K144&lt;0,"ATENÇÃO",IF(K144&lt;=5,"BOM","EXCELENTE")))</f>
        <v/>
      </c>
      <c r="M144" s="3" t="n">
        <v>22</v>
      </c>
      <c r="N144" s="3" t="n">
        <v>96.88</v>
      </c>
      <c r="O144" s="3" t="n">
        <v>19.52662721893491</v>
      </c>
    </row>
    <row r="145" hidden="1">
      <c r="A145" s="5" t="n">
        <v>46149</v>
      </c>
      <c r="B145" s="6" t="inlineStr">
        <is>
          <t>Cristiane Ramos da Silva Rocha</t>
        </is>
      </c>
      <c r="C145" s="3" t="inlineStr">
        <is>
          <t>Técnico III</t>
        </is>
      </c>
      <c r="D145" s="3" t="n">
        <v>47</v>
      </c>
      <c r="E145" s="3" t="n">
        <v>44</v>
      </c>
      <c r="F145" t="n">
        <v>11.45</v>
      </c>
      <c r="G145" s="3" t="n">
        <v>0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38</v>
      </c>
      <c r="N145" s="3" t="n">
        <v>91.84999999999999</v>
      </c>
      <c r="O145" s="3" t="n">
        <v>20.87155963302752</v>
      </c>
    </row>
    <row r="146" hidden="1">
      <c r="A146" s="5" t="n">
        <v>46149</v>
      </c>
      <c r="B146" s="6" t="inlineStr">
        <is>
          <t>Damyllis Lorraine de Oliveira Gonçalves</t>
        </is>
      </c>
      <c r="C146" s="3" t="inlineStr">
        <is>
          <t>Técnico II</t>
        </is>
      </c>
      <c r="D146" s="3" t="n">
        <v>17</v>
      </c>
      <c r="E146" s="3" t="n">
        <v>16</v>
      </c>
      <c r="F146" t="n">
        <v>30.25</v>
      </c>
      <c r="G146" s="3" t="n">
        <v>0</v>
      </c>
      <c r="H146" s="3" t="n">
        <v>0</v>
      </c>
      <c r="I146" s="3" t="n">
        <v>0</v>
      </c>
      <c r="J146" s="3" t="n">
        <v>0</v>
      </c>
      <c r="K146" s="3" t="n">
        <v>0</v>
      </c>
      <c r="L146" s="3">
        <f>IF(K146&lt;-5,"CRÍTICO",IF(K146&lt;0,"ATENÇÃO",IF(K146&lt;=5,"BOM","EXCELENTE")))</f>
        <v/>
      </c>
      <c r="M146" s="3" t="n">
        <v>19</v>
      </c>
      <c r="N146" s="3" t="n">
        <v>98.63</v>
      </c>
      <c r="O146" s="3" t="n">
        <v>18.75</v>
      </c>
    </row>
    <row r="147" hidden="1">
      <c r="A147" s="5" t="n">
        <v>46149</v>
      </c>
      <c r="B147" s="6" t="inlineStr">
        <is>
          <t>Daniel Gomes da Silva</t>
        </is>
      </c>
      <c r="C147" s="3" t="inlineStr">
        <is>
          <t>Técnico I</t>
        </is>
      </c>
      <c r="D147" s="3" t="n">
        <v>17</v>
      </c>
      <c r="E147" s="3" t="n">
        <v>17</v>
      </c>
      <c r="F147" t="n">
        <v>16.5</v>
      </c>
      <c r="G147" s="3" t="n">
        <v>7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s="3" t="n">
        <v>19</v>
      </c>
      <c r="N147" s="3" t="n">
        <v>100</v>
      </c>
      <c r="O147" s="3" t="n">
        <v>18.14516129032258</v>
      </c>
    </row>
    <row r="148" hidden="1">
      <c r="A148" s="5" t="n">
        <v>46149</v>
      </c>
      <c r="B148" s="6" t="inlineStr">
        <is>
          <t>Davylla Rodrigues Freitas Silva</t>
        </is>
      </c>
      <c r="C148" s="9" t="inlineStr">
        <is>
          <t>Técnico III</t>
        </is>
      </c>
      <c r="D148" s="3" t="n">
        <v>31</v>
      </c>
      <c r="E148" s="3" t="n">
        <v>30</v>
      </c>
      <c r="F148" t="n">
        <v>21.48</v>
      </c>
      <c r="G148" s="3" t="n">
        <v>0</v>
      </c>
      <c r="H148" s="3" t="n">
        <v>0</v>
      </c>
      <c r="I148" s="3" t="n">
        <v>0</v>
      </c>
      <c r="J148" s="3" t="n">
        <v>0</v>
      </c>
      <c r="K148" s="3" t="n">
        <v>0</v>
      </c>
      <c r="L148" s="3">
        <f>IF(K148&lt;-5,"CRÍTICO",IF(K148&lt;0,"ATENÇÃO",IF(K148&lt;=5,"BOM","EXCELENTE")))</f>
        <v/>
      </c>
      <c r="M148" s="3" t="n">
        <v>29</v>
      </c>
      <c r="N148" s="3" t="n">
        <v>99.06</v>
      </c>
      <c r="O148" s="3" t="n">
        <v>22.95719844357977</v>
      </c>
    </row>
    <row r="149" hidden="1">
      <c r="A149" s="5" t="n">
        <v>46149</v>
      </c>
      <c r="B149" s="6" t="inlineStr">
        <is>
          <t>Michelle G Santos</t>
        </is>
      </c>
      <c r="C149" s="3" t="inlineStr">
        <is>
          <t>Estágio</t>
        </is>
      </c>
      <c r="D149" s="3" t="n">
        <v>16</v>
      </c>
      <c r="E149" s="3" t="n">
        <v>15</v>
      </c>
      <c r="F149" t="n">
        <v>27.04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s="3" t="n">
        <v>13</v>
      </c>
      <c r="N149" s="3" t="n">
        <v>100</v>
      </c>
      <c r="O149" s="3" t="n">
        <v>16.8141592920354</v>
      </c>
    </row>
    <row r="150" hidden="1">
      <c r="A150" s="5" t="n">
        <v>46149</v>
      </c>
      <c r="B150" s="6" t="inlineStr">
        <is>
          <t>Quirino Diogo Leite Torres</t>
        </is>
      </c>
      <c r="C150" s="3" t="inlineStr">
        <is>
          <t>Estágio</t>
        </is>
      </c>
      <c r="D150" s="3" t="n">
        <v>15</v>
      </c>
      <c r="E150" s="3" t="n">
        <v>15</v>
      </c>
      <c r="F150" t="n">
        <v>32.02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s="3" t="n">
        <v>13</v>
      </c>
      <c r="N150" s="3" t="n">
        <v>98.11</v>
      </c>
      <c r="O150" s="3" t="n">
        <v>20.40816326530612</v>
      </c>
    </row>
    <row r="151" hidden="1">
      <c r="A151" s="5" t="n">
        <v>46149</v>
      </c>
      <c r="B151" s="6" t="inlineStr">
        <is>
          <t>Emilly Kamilly Medeiros Miranda</t>
        </is>
      </c>
      <c r="C151" s="3" t="inlineStr">
        <is>
          <t>Técnico II</t>
        </is>
      </c>
      <c r="D151" s="3" t="n">
        <v>30</v>
      </c>
      <c r="E151" s="3" t="n">
        <v>29</v>
      </c>
      <c r="F151" t="n">
        <v>17.1</v>
      </c>
      <c r="G151" s="3" t="n">
        <v>2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s="3" t="n">
        <v>28</v>
      </c>
      <c r="N151" s="3" t="n">
        <v>100</v>
      </c>
      <c r="O151" s="3" t="n">
        <v>13.8121546961326</v>
      </c>
    </row>
    <row r="152" hidden="1">
      <c r="A152" s="5" t="n">
        <v>46149</v>
      </c>
      <c r="B152" s="6" t="inlineStr">
        <is>
          <t>Francielson de Oliveira</t>
        </is>
      </c>
      <c r="C152" s="9" t="inlineStr">
        <is>
          <t>Técnico III</t>
        </is>
      </c>
      <c r="D152" s="3" t="n">
        <v>0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0</v>
      </c>
      <c r="L152" s="3">
        <f>IF(K152&lt;-5,"CRÍTICO",IF(K152&lt;0,"ATENÇÃO",IF(K152&lt;=5,"BOM","EXCELENTE")))</f>
        <v/>
      </c>
      <c r="M152" s="3" t="n">
        <v>0</v>
      </c>
      <c r="N152" s="3" t="n">
        <v>100</v>
      </c>
      <c r="O152" s="3" t="n">
        <v>9.523809523809524</v>
      </c>
    </row>
    <row r="153" hidden="1">
      <c r="A153" s="5" t="n">
        <v>46149</v>
      </c>
      <c r="B153" s="6" t="inlineStr">
        <is>
          <t>Francilene Ferreira de Jesus</t>
        </is>
      </c>
      <c r="C153" s="3" t="inlineStr">
        <is>
          <t>Técnico II</t>
        </is>
      </c>
      <c r="D153" s="3" t="n">
        <v>0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0</v>
      </c>
      <c r="L153" s="3">
        <f>IF(K153&lt;-5,"CRÍTICO",IF(K153&lt;0,"ATENÇÃO",IF(K153&lt;=5,"BOM","EXCELENTE")))</f>
        <v/>
      </c>
      <c r="M153" s="3" t="n">
        <v>0</v>
      </c>
      <c r="N153" s="3" t="n">
        <v>100</v>
      </c>
      <c r="O153" s="3" t="n">
        <v>17.24137931034483</v>
      </c>
    </row>
    <row r="154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N154" t="n">
        <v>98.91</v>
      </c>
      <c r="O154" t="n">
        <v>31.36729222520107</v>
      </c>
    </row>
    <row r="155" hidden="1">
      <c r="A155" s="5" t="n">
        <v>46149</v>
      </c>
      <c r="B155" s="6" t="inlineStr">
        <is>
          <t>Isabella Borges de Oliveira</t>
        </is>
      </c>
      <c r="C155" s="9" t="inlineStr">
        <is>
          <t>Técnico II</t>
        </is>
      </c>
      <c r="D155" s="3" t="n">
        <v>25</v>
      </c>
      <c r="E155" s="3" t="n">
        <v>24</v>
      </c>
      <c r="F155" t="n">
        <v>24.02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s="3" t="n">
        <v>22</v>
      </c>
      <c r="N155" s="3" t="n">
        <v>98.63</v>
      </c>
      <c r="O155" s="3" t="n">
        <v>15.75757575757576</v>
      </c>
    </row>
    <row r="156" hidden="1">
      <c r="A156" s="5" t="n">
        <v>46149</v>
      </c>
      <c r="B156" s="6" t="inlineStr">
        <is>
          <t>Janaina Lima dos Reis Urany</t>
        </is>
      </c>
      <c r="C156" s="3" t="inlineStr">
        <is>
          <t>Técnico III</t>
        </is>
      </c>
      <c r="D156" s="3" t="n">
        <v>56</v>
      </c>
      <c r="E156" s="3" t="n">
        <v>51</v>
      </c>
      <c r="F156" t="n">
        <v>13.48</v>
      </c>
      <c r="G156" s="3" t="n">
        <v>9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s="3" t="n">
        <v>49</v>
      </c>
      <c r="N156" s="3" t="n">
        <v>98.64</v>
      </c>
      <c r="O156" s="3" t="n">
        <v>16.6383701188455</v>
      </c>
    </row>
    <row r="157" hidden="1">
      <c r="A157" s="5" t="n">
        <v>46149</v>
      </c>
      <c r="B157" s="6" t="inlineStr">
        <is>
          <t>Jaqueline Evangelista da Silva Martins</t>
        </is>
      </c>
      <c r="C157" s="3" t="inlineStr">
        <is>
          <t>Técnico III</t>
        </is>
      </c>
      <c r="D157" s="3" t="n">
        <v>48</v>
      </c>
      <c r="E157" s="3" t="n">
        <v>39</v>
      </c>
      <c r="F157" t="n">
        <v>10.43</v>
      </c>
      <c r="G157" s="3" t="n">
        <v>6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s="3" t="n">
        <v>41</v>
      </c>
      <c r="N157" s="3" t="n">
        <v>95.40000000000001</v>
      </c>
      <c r="O157" s="3" t="n">
        <v>20.53333333333333</v>
      </c>
    </row>
    <row r="158" hidden="1">
      <c r="A158" s="5" t="n">
        <v>46149</v>
      </c>
      <c r="B158" s="6" t="inlineStr">
        <is>
          <t>Jessica Faria da Silveira</t>
        </is>
      </c>
      <c r="C158" s="3" t="inlineStr">
        <is>
          <t>Técnico II</t>
        </is>
      </c>
      <c r="D158" s="3" t="n">
        <v>34</v>
      </c>
      <c r="E158" s="3" t="n">
        <v>28</v>
      </c>
      <c r="F158" t="n">
        <v>13.53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s="3" t="n">
        <v>26</v>
      </c>
      <c r="N158" s="3" t="n">
        <v>98.61</v>
      </c>
      <c r="O158" s="3" t="n">
        <v>16.97530864197531</v>
      </c>
    </row>
    <row r="159" hidden="1">
      <c r="A159" s="5" t="n">
        <v>46149</v>
      </c>
      <c r="B159" s="6" t="inlineStr">
        <is>
          <t>Jéssica Fé Moura</t>
        </is>
      </c>
      <c r="C159" s="3" t="inlineStr">
        <is>
          <t>Técnico III</t>
        </is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0</v>
      </c>
      <c r="L159" s="3">
        <f>IF(K159&lt;-5,"CRÍTICO",IF(K159&lt;0,"ATENÇÃO",IF(K159&lt;=5,"BOM","EXCELENTE")))</f>
        <v/>
      </c>
      <c r="M159" s="3" t="n">
        <v>0</v>
      </c>
      <c r="N159" s="3" t="n">
        <v>0</v>
      </c>
      <c r="O159" s="3" t="n">
        <v>0</v>
      </c>
    </row>
    <row r="160" hidden="1">
      <c r="A160" s="5" t="n">
        <v>46149</v>
      </c>
      <c r="B160" s="6" t="inlineStr">
        <is>
          <t>Karina Gonçalves Martins</t>
        </is>
      </c>
      <c r="C160" s="3" t="inlineStr">
        <is>
          <t>JR</t>
        </is>
      </c>
      <c r="D160" s="3" t="n">
        <v>18</v>
      </c>
      <c r="E160" s="3" t="n">
        <v>17</v>
      </c>
      <c r="F160" t="n">
        <v>23.23</v>
      </c>
      <c r="G160" s="3" t="n">
        <v>9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s="3" t="n">
        <v>22</v>
      </c>
      <c r="N160" s="3" t="n">
        <v>97.01000000000001</v>
      </c>
      <c r="O160" s="3" t="n">
        <v>13.96103896103896</v>
      </c>
    </row>
    <row r="161" hidden="1">
      <c r="A161" s="5" t="n">
        <v>46149</v>
      </c>
      <c r="B161" s="6" t="inlineStr">
        <is>
          <t>Kerollen Cristielly de Jesus Siqueira</t>
        </is>
      </c>
      <c r="C161" s="9" t="inlineStr">
        <is>
          <t>Técnico III</t>
        </is>
      </c>
      <c r="D161" s="3" t="n">
        <v>20</v>
      </c>
      <c r="E161" s="3" t="n">
        <v>19</v>
      </c>
      <c r="F161" t="n">
        <v>20.33</v>
      </c>
      <c r="G161" s="3" t="n">
        <v>4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s="3" t="n">
        <v>23</v>
      </c>
      <c r="N161" s="3" t="n">
        <v>95.52</v>
      </c>
      <c r="O161" s="3" t="n">
        <v>10.56105610561056</v>
      </c>
    </row>
    <row r="162" hidden="1">
      <c r="A162" s="5" t="n">
        <v>46149</v>
      </c>
      <c r="B162" s="6" t="inlineStr">
        <is>
          <t>Leandro de Souza Silva</t>
        </is>
      </c>
      <c r="C162" s="3" t="inlineStr">
        <is>
          <t>JR</t>
        </is>
      </c>
      <c r="D162" s="3" t="n">
        <v>12</v>
      </c>
      <c r="E162" s="3" t="n">
        <v>11</v>
      </c>
      <c r="F162" t="n">
        <v>36.43</v>
      </c>
      <c r="G162" s="3" t="n">
        <v>4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s="3" t="n">
        <v>8</v>
      </c>
      <c r="N162" s="3" t="n">
        <v>100</v>
      </c>
      <c r="O162" s="3" t="n">
        <v>16.95906432748538</v>
      </c>
    </row>
    <row r="163" hidden="1">
      <c r="A163" s="5" t="n">
        <v>46149</v>
      </c>
      <c r="B163" s="6" t="inlineStr">
        <is>
          <t>Leandro Oliveira de Sousa</t>
        </is>
      </c>
      <c r="C163" s="9" t="inlineStr">
        <is>
          <t>Técnico III</t>
        </is>
      </c>
      <c r="D163" s="3" t="n">
        <v>25</v>
      </c>
      <c r="E163" s="3" t="n">
        <v>23</v>
      </c>
      <c r="F163" t="n">
        <v>20.42</v>
      </c>
      <c r="G163" s="3" t="n">
        <v>0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s="3" t="n">
        <v>25</v>
      </c>
      <c r="N163" s="3" t="n">
        <v>100</v>
      </c>
      <c r="O163" s="3" t="n">
        <v>15.58441558441558</v>
      </c>
    </row>
    <row r="164" hidden="1">
      <c r="A164" s="5" t="n">
        <v>46149</v>
      </c>
      <c r="B164" s="6" t="inlineStr">
        <is>
          <t>Lizandra Gomes Duarte</t>
        </is>
      </c>
      <c r="C164" s="3" t="inlineStr">
        <is>
          <t>Técnico II</t>
        </is>
      </c>
      <c r="D164" s="3" t="n">
        <v>40</v>
      </c>
      <c r="E164" s="3" t="n">
        <v>37</v>
      </c>
      <c r="F164" t="n">
        <v>13.54</v>
      </c>
      <c r="G164" s="3" t="n">
        <v>6</v>
      </c>
      <c r="H164" s="3" t="n">
        <v>0</v>
      </c>
      <c r="I164" s="3">
        <f>E164+G164+H164</f>
        <v/>
      </c>
      <c r="J164" s="3">
        <f>ROUND(MIN(IF(C164="Técnico III",35,IF(C164="Técnico II",28,IF(C164="Técnico I",23,IF(C164="JR",20,IF(C164="Estágio",10,0))))),IF(C164="Técnico III",SUMIFS($D:$D,$A:$A,$A164,$B:$B,"&lt;&gt;Patrícia Karla de Sousa Araújo",$B:$B,"&lt;&gt;Lorena Dias de Araujo",$B:$B,"&lt;&gt;Lucas Luiz Romero")*(35/1083),IF(C164="Técnico II",SUMIFS($D:$D,$A:$A,$A164,$B:$B,"&lt;&gt;Patrícia Karla de Sousa Araújo",$B:$B,"&lt;&gt;Lorena Dias de Araujo",$B:$B,"&lt;&gt;Lucas Luiz Romero")*(28/1083),IF(C164="Técnico I",SUMIFS($D:$D,$A:$A,$A164,$B:$B,"&lt;&gt;Patrícia Karla de Sousa Araújo",$B:$B,"&lt;&gt;Lorena Dias de Araujo",$B:$B,"&lt;&gt;Lucas Luiz Romero")*(23/1083),IF(C164="JR",SUMIFS($D:$D,$A:$A,$A164,$B:$B,"&lt;&gt;Patrícia Karla de Sousa Araújo",$B:$B,"&lt;&gt;Lorena Dias de Araujo",$B:$B,"&lt;&gt;Lucas Luiz Romero")*(20/1083),IF(C164="Estágio",SUMIFS($D:$D,$A:$A,$A164,$B:$B,"&lt;&gt;Patrícia Karla de Sousa Araújo",$B:$B,"&lt;&gt;Lorena Dias de Araujo",$B:$B,"&lt;&gt;Lucas Luiz Romero")*(10/1083),0)))))),0)</f>
        <v/>
      </c>
      <c r="K164" s="3">
        <f>I164-J164</f>
        <v/>
      </c>
      <c r="L164" s="3">
        <f>IF(K164&lt;-5,"CRÍTICO",IF(K164&lt;0,"ATENÇÃO",IF(K164&lt;=5,"BOM","EXCELENTE")))</f>
        <v/>
      </c>
      <c r="M164" s="3" t="n">
        <v>51</v>
      </c>
      <c r="N164" s="3" t="n">
        <v>98.61</v>
      </c>
      <c r="O164" s="3" t="n">
        <v>16.86746987951807</v>
      </c>
    </row>
    <row r="165" hidden="1">
      <c r="A165" s="5" t="n">
        <v>46149</v>
      </c>
      <c r="B165" s="6" t="inlineStr">
        <is>
          <t>Lorena Dias de Araujo</t>
        </is>
      </c>
      <c r="C165" s="3" t="inlineStr">
        <is>
          <t>Técnico II</t>
        </is>
      </c>
      <c r="D165" s="3" t="n">
        <v>26</v>
      </c>
      <c r="E165" s="3" t="n">
        <v>24</v>
      </c>
      <c r="F165" t="n">
        <v>18.21</v>
      </c>
      <c r="G165" s="3" t="n">
        <v>0</v>
      </c>
      <c r="H165" s="3" t="n">
        <v>0</v>
      </c>
      <c r="I165" s="3" t="n">
        <v>0</v>
      </c>
      <c r="J165" s="3" t="n">
        <v>0</v>
      </c>
      <c r="K165" s="3" t="n">
        <v>0</v>
      </c>
      <c r="L165" s="3">
        <f>IF(K165&lt;-5,"CRÍTICO",IF(K165&lt;0,"ATENÇÃO",IF(K165&lt;=5,"BOM","EXCELENTE")))</f>
        <v/>
      </c>
      <c r="M165" s="3" t="n">
        <v>26</v>
      </c>
      <c r="N165" s="3" t="n">
        <v>100</v>
      </c>
      <c r="O165" s="3" t="n">
        <v>20.82018927444795</v>
      </c>
    </row>
    <row r="166" hidden="1">
      <c r="A166" s="5" t="n">
        <v>46149</v>
      </c>
      <c r="B166" s="6" t="inlineStr">
        <is>
          <t>Lucas Luiz Romero</t>
        </is>
      </c>
      <c r="C166" s="3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IF(K166&lt;-5,"CRÍTICO",IF(K166&lt;0,"ATENÇÃO",IF(K166&lt;=5,"BOM","EXCELENTE")))</f>
        <v/>
      </c>
      <c r="M166" s="3" t="n">
        <v>0</v>
      </c>
      <c r="N166" s="3" t="n">
        <v>100</v>
      </c>
      <c r="O166" s="3" t="n">
        <v>4.347826086956522</v>
      </c>
    </row>
    <row r="167" hidden="1">
      <c r="A167" s="5" t="n">
        <v>46149</v>
      </c>
      <c r="B167" s="6" t="inlineStr">
        <is>
          <t>Luiz Fernando de Carvalho Junior</t>
        </is>
      </c>
      <c r="C167" s="3" t="inlineStr">
        <is>
          <t>Técnico I</t>
        </is>
      </c>
      <c r="D167" s="3" t="n">
        <v>25</v>
      </c>
      <c r="E167" s="3" t="n">
        <v>25</v>
      </c>
      <c r="F167" t="n">
        <v>25.28</v>
      </c>
      <c r="G167" s="3" t="n">
        <v>1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s="3" t="n">
        <v>25</v>
      </c>
      <c r="N167" s="3" t="n">
        <v>93.26000000000001</v>
      </c>
      <c r="O167" s="3" t="n">
        <v>19.93957703927493</v>
      </c>
    </row>
    <row r="168" hidden="1">
      <c r="A168" s="5" t="n">
        <v>46149</v>
      </c>
      <c r="B168" s="6" t="inlineStr">
        <is>
          <t>Matheus Farias De Souza</t>
        </is>
      </c>
      <c r="C168" s="3" t="inlineStr">
        <is>
          <t>Técnico III</t>
        </is>
      </c>
      <c r="D168" s="3" t="n">
        <v>15</v>
      </c>
      <c r="E168" s="3" t="n">
        <v>14</v>
      </c>
      <c r="F168" t="n">
        <v>9.02</v>
      </c>
      <c r="G168" s="3" t="n">
        <v>0</v>
      </c>
      <c r="H168" s="3" t="n">
        <v>32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s="3" t="n">
        <v>35</v>
      </c>
      <c r="N168" s="3" t="n">
        <v>98.28</v>
      </c>
      <c r="O168" s="3" t="n">
        <v>9.037900874635568</v>
      </c>
    </row>
    <row r="169" hidden="1">
      <c r="A169" s="5" t="n">
        <v>46149</v>
      </c>
      <c r="B169" s="6" t="inlineStr">
        <is>
          <t>Maysa Victoria Dias Moura</t>
        </is>
      </c>
      <c r="C169" s="3" t="inlineStr">
        <is>
          <t>Técnico III</t>
        </is>
      </c>
      <c r="D169" s="3" t="n">
        <v>26</v>
      </c>
      <c r="E169" s="3" t="n">
        <v>23</v>
      </c>
      <c r="F169" t="n">
        <v>15.28</v>
      </c>
      <c r="G169" s="3" t="n">
        <v>6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s="3" t="n">
        <v>26</v>
      </c>
      <c r="N169" s="3" t="n">
        <v>97.22</v>
      </c>
      <c r="O169" s="3" t="n">
        <v>19.09547738693467</v>
      </c>
    </row>
    <row r="170" hidden="1">
      <c r="A170" s="5" t="n">
        <v>46149</v>
      </c>
      <c r="B170" s="6" t="inlineStr">
        <is>
          <t>Milena Sales</t>
        </is>
      </c>
      <c r="C170" s="3" t="inlineStr">
        <is>
          <t>JR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IF(K170&lt;-5,"CRÍTICO",IF(K170&lt;0,"ATENÇÃO",IF(K170&lt;=5,"BOM","EXCELENTE")))</f>
        <v/>
      </c>
      <c r="M170" s="3" t="n">
        <v>0</v>
      </c>
      <c r="N170" s="3" t="n">
        <v>98</v>
      </c>
      <c r="O170" s="3" t="n">
        <v>16.43835616438356</v>
      </c>
    </row>
    <row r="171" hidden="1">
      <c r="A171" s="5" t="n">
        <v>46149</v>
      </c>
      <c r="B171" s="6" t="inlineStr">
        <is>
          <t>Patrícia Karla de Sousa Araújo</t>
        </is>
      </c>
      <c r="C171" s="3" t="inlineStr">
        <is>
          <t>Técnico II</t>
        </is>
      </c>
      <c r="D171" s="3" t="n">
        <v>10</v>
      </c>
      <c r="E171" s="3" t="n">
        <v>10</v>
      </c>
      <c r="F171" t="n">
        <v>28.38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s="3" t="n">
        <v>9</v>
      </c>
      <c r="N171" s="3" t="n">
        <v>100</v>
      </c>
      <c r="O171" s="3" t="n">
        <v>16.89497716894977</v>
      </c>
    </row>
    <row r="172" hidden="1">
      <c r="A172" s="5" t="n">
        <v>46149</v>
      </c>
      <c r="B172" s="6" t="inlineStr">
        <is>
          <t>Paulo Ricardo Santos</t>
        </is>
      </c>
      <c r="C172" s="3" t="inlineStr">
        <is>
          <t>JR</t>
        </is>
      </c>
      <c r="D172" s="3" t="n">
        <v>16</v>
      </c>
      <c r="E172" s="3" t="n">
        <v>16</v>
      </c>
      <c r="F172" t="n">
        <v>21.57</v>
      </c>
      <c r="G172" s="3" t="n">
        <v>8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s="3" t="n">
        <v>18</v>
      </c>
      <c r="N172" s="3" t="n">
        <v>100</v>
      </c>
      <c r="O172" s="3" t="n">
        <v>19.13875598086124</v>
      </c>
    </row>
    <row r="173" hidden="1">
      <c r="A173" s="5" t="n">
        <v>46149</v>
      </c>
      <c r="B173" s="6" t="inlineStr">
        <is>
          <t>Pedro Luiz Mota Sousa</t>
        </is>
      </c>
      <c r="C173" s="3" t="inlineStr">
        <is>
          <t>JR</t>
        </is>
      </c>
      <c r="D173" s="3" t="n">
        <v>19</v>
      </c>
      <c r="E173" s="3" t="n">
        <v>19</v>
      </c>
      <c r="F173" t="n">
        <v>17.09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s="3" t="n">
        <v>25</v>
      </c>
      <c r="N173" s="3" t="n">
        <v>100</v>
      </c>
      <c r="O173" s="3" t="n">
        <v>15.02145922746781</v>
      </c>
    </row>
    <row r="174" hidden="1">
      <c r="A174" s="5" t="n">
        <v>46149</v>
      </c>
      <c r="B174" s="6" t="inlineStr">
        <is>
          <t>Raane Batista Matos</t>
        </is>
      </c>
      <c r="C174" s="3" t="inlineStr">
        <is>
          <t>Técnico I</t>
        </is>
      </c>
      <c r="D174" s="3" t="n">
        <v>31</v>
      </c>
      <c r="E174" s="3" t="n">
        <v>26</v>
      </c>
      <c r="F174" t="n">
        <v>11.59</v>
      </c>
      <c r="G174" s="3" t="n">
        <v>14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s="3" t="n">
        <v>23</v>
      </c>
      <c r="N174" s="3" t="n">
        <v>97.56</v>
      </c>
      <c r="O174" s="3" t="n">
        <v>19.28783382789317</v>
      </c>
    </row>
    <row r="175" hidden="1">
      <c r="A175" s="5" t="n">
        <v>46149</v>
      </c>
      <c r="B175" s="6" t="inlineStr">
        <is>
          <t>Rafael Gomes de Morais</t>
        </is>
      </c>
      <c r="C175" s="3" t="inlineStr">
        <is>
          <t>Técnico III</t>
        </is>
      </c>
      <c r="D175" s="3" t="n">
        <v>35</v>
      </c>
      <c r="E175" s="3" t="n">
        <v>30</v>
      </c>
      <c r="F175" t="n">
        <v>13.33</v>
      </c>
      <c r="G175" s="3" t="n">
        <v>8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s="3" t="n">
        <v>37</v>
      </c>
      <c r="N175" s="3" t="n">
        <v>99.29000000000001</v>
      </c>
      <c r="O175" s="3" t="n">
        <v>22.49443207126949</v>
      </c>
    </row>
    <row r="176" hidden="1">
      <c r="A176" s="5" t="n">
        <v>46149</v>
      </c>
      <c r="B176" s="6" t="inlineStr">
        <is>
          <t>Sara Maria Monteiro Lopes</t>
        </is>
      </c>
      <c r="C176" s="3" t="inlineStr">
        <is>
          <t>Técnico I</t>
        </is>
      </c>
      <c r="D176" s="3" t="n">
        <v>14</v>
      </c>
      <c r="E176" s="3" t="n">
        <v>14</v>
      </c>
      <c r="F176" t="n">
        <v>33.45</v>
      </c>
      <c r="G176" s="3" t="n">
        <v>6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s="3" t="n">
        <v>20</v>
      </c>
      <c r="N176" s="3" t="n">
        <v>100</v>
      </c>
      <c r="O176" s="3" t="n">
        <v>16.97247706422019</v>
      </c>
    </row>
    <row r="177" hidden="1">
      <c r="A177" s="5" t="n">
        <v>46149</v>
      </c>
      <c r="B177" s="6" t="inlineStr">
        <is>
          <t>Sarah Steffanie de Lima Borges</t>
        </is>
      </c>
      <c r="C177" s="3" t="inlineStr">
        <is>
          <t>Técnico III</t>
        </is>
      </c>
      <c r="D177" s="3" t="n">
        <v>34</v>
      </c>
      <c r="E177" s="3" t="n">
        <v>31</v>
      </c>
      <c r="F177" t="n">
        <v>15.09</v>
      </c>
      <c r="G177" s="3" t="n">
        <v>1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s="3" t="n">
        <v>28</v>
      </c>
      <c r="N177" s="3" t="n">
        <v>97.33</v>
      </c>
      <c r="O177" s="3" t="n">
        <v>15.80547112462006</v>
      </c>
    </row>
    <row r="178" hidden="1">
      <c r="A178" s="5" t="n">
        <v>46150</v>
      </c>
      <c r="B178" s="6" t="inlineStr">
        <is>
          <t>Alisson de Freitas Silva</t>
        </is>
      </c>
      <c r="C178" s="3" t="inlineStr">
        <is>
          <t>Técnico II</t>
        </is>
      </c>
      <c r="D178" s="3" t="n">
        <v>34</v>
      </c>
      <c r="E178" s="3" t="n">
        <v>30</v>
      </c>
      <c r="F178" t="n">
        <v>11.56</v>
      </c>
      <c r="G178" s="3" t="n">
        <v>4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s="3" t="n">
        <v>21</v>
      </c>
      <c r="N178" s="3" t="n">
        <v>98.94</v>
      </c>
      <c r="O178" s="3" t="n">
        <v>19.61414790996785</v>
      </c>
    </row>
    <row r="179" hidden="1">
      <c r="A179" s="5" t="n">
        <v>46150</v>
      </c>
      <c r="B179" s="6" t="inlineStr">
        <is>
          <t>Amanda Moura Ferreira</t>
        </is>
      </c>
      <c r="C179" s="3" t="inlineStr">
        <is>
          <t>Técnico III</t>
        </is>
      </c>
      <c r="D179" s="3" t="n">
        <v>0</v>
      </c>
      <c r="E179" s="3" t="n">
        <v>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>
        <f>IF(K179&lt;-5,"CRÍTICO",IF(K179&lt;0,"ATENÇÃO",IF(K179&lt;=5,"BOM","EXCELENTE")))</f>
        <v/>
      </c>
      <c r="M179" s="9" t="n">
        <v>0</v>
      </c>
      <c r="N179" s="9" t="n">
        <v>100</v>
      </c>
      <c r="O179" s="9" t="n">
        <v>0</v>
      </c>
    </row>
    <row r="180" hidden="1">
      <c r="A180" s="5" t="n">
        <v>46150</v>
      </c>
      <c r="B180" s="6" t="inlineStr">
        <is>
          <t>Ana Karollyne Souza Faria</t>
        </is>
      </c>
      <c r="C180" s="3" t="inlineStr">
        <is>
          <t>Técnico I</t>
        </is>
      </c>
      <c r="D180" s="3" t="n">
        <v>26</v>
      </c>
      <c r="E180" s="3" t="n">
        <v>25</v>
      </c>
      <c r="F180" t="n">
        <v>22.39</v>
      </c>
      <c r="G180" s="3" t="n">
        <v>0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s="3" t="n">
        <v>24</v>
      </c>
      <c r="N180" s="3" t="n">
        <v>95.38</v>
      </c>
      <c r="O180" s="3" t="n">
        <v>21.5962441314554</v>
      </c>
    </row>
    <row r="181" hidden="1">
      <c r="A181" s="5" t="n">
        <v>46150</v>
      </c>
      <c r="B181" s="6" t="inlineStr">
        <is>
          <t>Ana Paula Da Luz Silva Aleixo</t>
        </is>
      </c>
      <c r="C181" s="9" t="inlineStr">
        <is>
          <t>Técnico III</t>
        </is>
      </c>
      <c r="D181" s="3" t="n">
        <v>22</v>
      </c>
      <c r="E181" s="3" t="n">
        <v>21</v>
      </c>
      <c r="F181" t="n">
        <v>16.5</v>
      </c>
      <c r="G181" s="3" t="n">
        <v>3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20</v>
      </c>
      <c r="N181" t="n">
        <v>96.34</v>
      </c>
      <c r="O181" t="n">
        <v>17.57188498402556</v>
      </c>
    </row>
    <row r="182" hidden="1">
      <c r="A182" s="5" t="n">
        <v>46150</v>
      </c>
      <c r="B182" s="6" t="inlineStr">
        <is>
          <t>Brenda de Menezes Silva</t>
        </is>
      </c>
      <c r="C182" s="3" t="inlineStr">
        <is>
          <t>Técnico II</t>
        </is>
      </c>
      <c r="D182" s="3" t="n">
        <v>31</v>
      </c>
      <c r="E182" s="3" t="n">
        <v>28</v>
      </c>
      <c r="F182" t="n">
        <v>15.19</v>
      </c>
      <c r="G182" s="3" t="n">
        <v>4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35</v>
      </c>
      <c r="N182" t="n">
        <v>99.13</v>
      </c>
      <c r="O182" t="n">
        <v>14.7239263803681</v>
      </c>
    </row>
    <row r="183" hidden="1">
      <c r="A183" s="5" t="n">
        <v>46150</v>
      </c>
      <c r="B183" s="6" t="inlineStr">
        <is>
          <t>Carlos Mateus Cassimiro Nunes</t>
        </is>
      </c>
      <c r="C183" s="9" t="inlineStr">
        <is>
          <t>Técnico II</t>
        </is>
      </c>
      <c r="D183" s="3" t="n">
        <v>12</v>
      </c>
      <c r="E183" s="3" t="n">
        <v>12</v>
      </c>
      <c r="F183" t="n">
        <v>38.58</v>
      </c>
      <c r="G183" s="3" t="n">
        <v>0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12</v>
      </c>
      <c r="N183" t="n">
        <v>98.8</v>
      </c>
      <c r="O183" t="n">
        <v>16.89750692520776</v>
      </c>
    </row>
    <row r="184" hidden="1">
      <c r="A184" s="5" t="n">
        <v>46150</v>
      </c>
      <c r="B184" s="6" t="inlineStr">
        <is>
          <t>Clessiane Pereira dos Santos</t>
        </is>
      </c>
      <c r="C184" s="3" t="inlineStr">
        <is>
          <t>Técnico I</t>
        </is>
      </c>
      <c r="D184" s="3" t="n">
        <v>25</v>
      </c>
      <c r="E184" s="3" t="n">
        <v>24</v>
      </c>
      <c r="F184" t="n">
        <v>17.35</v>
      </c>
      <c r="G184" s="3" t="n">
        <v>6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27</v>
      </c>
      <c r="N184" t="n">
        <v>96.88</v>
      </c>
      <c r="O184" t="n">
        <v>19.52662721893491</v>
      </c>
    </row>
    <row r="185" hidden="1">
      <c r="A185" s="5" t="n">
        <v>46150</v>
      </c>
      <c r="B185" s="6" t="inlineStr">
        <is>
          <t>Cristiane Ramos da Silva Rocha</t>
        </is>
      </c>
      <c r="C185" s="3" t="inlineStr">
        <is>
          <t>Técnico III</t>
        </is>
      </c>
      <c r="D185" s="3" t="n">
        <v>27</v>
      </c>
      <c r="E185" s="3" t="n">
        <v>26</v>
      </c>
      <c r="F185" t="n">
        <v>17.37</v>
      </c>
      <c r="G185" s="3" t="n">
        <v>0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25</v>
      </c>
      <c r="N185" t="n">
        <v>91.84999999999999</v>
      </c>
      <c r="O185" t="n">
        <v>20.87155963302752</v>
      </c>
    </row>
    <row r="186" hidden="1">
      <c r="A186" s="5" t="n">
        <v>46150</v>
      </c>
      <c r="B186" s="6" t="inlineStr">
        <is>
          <t>Damyllis Lorraine de Oliveira Gonçalves</t>
        </is>
      </c>
      <c r="C186" s="3" t="inlineStr">
        <is>
          <t>Técnico II</t>
        </is>
      </c>
      <c r="D186" s="3" t="n">
        <v>19</v>
      </c>
      <c r="E186" s="3" t="n">
        <v>17</v>
      </c>
      <c r="F186" t="n">
        <v>23.59</v>
      </c>
      <c r="G186" s="3" t="n">
        <v>0</v>
      </c>
      <c r="H186" s="3" t="n">
        <v>0</v>
      </c>
      <c r="I186" s="3" t="n">
        <v>0</v>
      </c>
      <c r="J186" s="3" t="n">
        <v>0</v>
      </c>
      <c r="K186" s="3" t="n">
        <v>0</v>
      </c>
      <c r="L186" s="3">
        <f>IF(K186&lt;-5,"CRÍTICO",IF(K186&lt;0,"ATENÇÃO",IF(K186&lt;=5,"BOM","EXCELENTE")))</f>
        <v/>
      </c>
      <c r="M186" t="n">
        <v>16</v>
      </c>
      <c r="N186" t="n">
        <v>98.63</v>
      </c>
      <c r="O186" t="n">
        <v>18.75</v>
      </c>
    </row>
    <row r="187" hidden="1">
      <c r="A187" s="5" t="n">
        <v>46150</v>
      </c>
      <c r="B187" s="6" t="inlineStr">
        <is>
          <t>Daniel Gomes da Silva</t>
        </is>
      </c>
      <c r="C187" s="3" t="inlineStr">
        <is>
          <t>Técnico I</t>
        </is>
      </c>
      <c r="D187" s="3" t="n">
        <v>16</v>
      </c>
      <c r="E187" s="3" t="n">
        <v>16</v>
      </c>
      <c r="F187" t="n">
        <v>23.51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11</v>
      </c>
      <c r="N187" t="n">
        <v>100</v>
      </c>
      <c r="O187" t="n">
        <v>18.14516129032258</v>
      </c>
    </row>
    <row r="188" hidden="1">
      <c r="A188" s="5" t="n">
        <v>46150</v>
      </c>
      <c r="B188" s="6" t="inlineStr">
        <is>
          <t>Davylla Rodrigues Freitas Silva</t>
        </is>
      </c>
      <c r="C188" s="9" t="inlineStr">
        <is>
          <t>Técnico III</t>
        </is>
      </c>
      <c r="D188" s="3" t="n">
        <v>17</v>
      </c>
      <c r="E188" s="3" t="n">
        <v>17</v>
      </c>
      <c r="F188" t="n">
        <v>25.05</v>
      </c>
      <c r="G188" s="3" t="n">
        <v>0</v>
      </c>
      <c r="H188" s="3" t="n">
        <v>0</v>
      </c>
      <c r="I188" s="3" t="n">
        <v>0</v>
      </c>
      <c r="J188" s="3" t="n">
        <v>0</v>
      </c>
      <c r="K188" s="3" t="n">
        <v>0</v>
      </c>
      <c r="L188" s="3">
        <f>IF(K188&lt;-5,"CRÍTICO",IF(K188&lt;0,"ATENÇÃO",IF(K188&lt;=5,"BOM","EXCELENTE")))</f>
        <v/>
      </c>
      <c r="M188" t="n">
        <v>22</v>
      </c>
      <c r="N188" t="n">
        <v>99.06</v>
      </c>
      <c r="O188" t="n">
        <v>22.95719844357977</v>
      </c>
    </row>
    <row r="189" hidden="1">
      <c r="A189" s="5" t="n">
        <v>46150</v>
      </c>
      <c r="B189" s="6" t="inlineStr">
        <is>
          <t>Anna Luiza Rezende Tavares</t>
        </is>
      </c>
      <c r="C189" s="3" t="inlineStr">
        <is>
          <t>Estágio</t>
        </is>
      </c>
      <c r="D189" s="3" t="n">
        <v>38</v>
      </c>
      <c r="E189" s="3" t="n">
        <v>35</v>
      </c>
      <c r="F189" t="n">
        <v>15.27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29</v>
      </c>
      <c r="N189" t="n">
        <v>99.11</v>
      </c>
      <c r="O189" t="n">
        <v>17.72151898734177</v>
      </c>
    </row>
    <row r="190" hidden="1">
      <c r="A190" s="5" t="n">
        <v>46150</v>
      </c>
      <c r="B190" s="6" t="inlineStr">
        <is>
          <t>Claudio de Sousa Velasco Filho</t>
        </is>
      </c>
      <c r="C190" s="3" t="inlineStr">
        <is>
          <t>Estágio</t>
        </is>
      </c>
      <c r="D190" s="3" t="n">
        <v>10</v>
      </c>
      <c r="E190" s="3" t="n">
        <v>9</v>
      </c>
      <c r="F190" t="n">
        <v>17.38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IF(K190&lt;-5,"CRÍTICO",IF(K190&lt;0,"ATENÇÃO",IF(K190&lt;=5,"BOM","EXCELENTE")))</f>
        <v/>
      </c>
      <c r="M190" t="n">
        <v>7</v>
      </c>
      <c r="N190" t="n">
        <v>96.43000000000001</v>
      </c>
      <c r="O190" t="n">
        <v>20</v>
      </c>
    </row>
    <row r="191" hidden="1">
      <c r="A191" s="5" t="n">
        <v>46150</v>
      </c>
      <c r="B191" s="6" t="inlineStr">
        <is>
          <t>Emilly Caylane Costa</t>
        </is>
      </c>
      <c r="C191" s="3" t="inlineStr">
        <is>
          <t>Estágio</t>
        </is>
      </c>
      <c r="D191" s="3" t="n">
        <v>9</v>
      </c>
      <c r="E191" s="3" t="n">
        <v>8</v>
      </c>
      <c r="F191" t="n">
        <v>27.06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IF(K191&lt;-5,"CRÍTICO",IF(K191&lt;0,"ATENÇÃO",IF(K191&lt;=5,"BOM","EXCELENTE")))</f>
        <v/>
      </c>
      <c r="M191" t="n">
        <v>6</v>
      </c>
      <c r="N191" t="n">
        <v>100</v>
      </c>
      <c r="O191" t="n">
        <v>29.03225806451613</v>
      </c>
    </row>
    <row r="192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N192" t="n">
        <v>98.91</v>
      </c>
      <c r="O192" t="n">
        <v>31.36729222520107</v>
      </c>
    </row>
    <row r="193" hidden="1">
      <c r="A193" s="5" t="n">
        <v>46150</v>
      </c>
      <c r="B193" s="6" t="inlineStr">
        <is>
          <t>Maria Eduarda Sousa Costa</t>
        </is>
      </c>
      <c r="C193" s="3" t="inlineStr">
        <is>
          <t>Estágio</t>
        </is>
      </c>
      <c r="D193" s="3" t="n">
        <v>55</v>
      </c>
      <c r="E193" s="3" t="n">
        <v>34</v>
      </c>
      <c r="F193" t="n">
        <v>5.58</v>
      </c>
      <c r="G193" s="3" t="n">
        <v>0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IF(K193&lt;-5,"CRÍTICO",IF(K193&lt;0,"ATENÇÃO",IF(K193&lt;=5,"BOM","EXCELENTE")))</f>
        <v/>
      </c>
      <c r="M193" t="n">
        <v>1</v>
      </c>
      <c r="N193" t="n">
        <v>100</v>
      </c>
      <c r="O193" t="n">
        <v>11.86440677966102</v>
      </c>
    </row>
    <row r="194" hidden="1">
      <c r="A194" s="5" t="n">
        <v>46150</v>
      </c>
      <c r="B194" s="6" t="inlineStr">
        <is>
          <t>Michelle G Santos</t>
        </is>
      </c>
      <c r="C194" s="3" t="inlineStr">
        <is>
          <t>Estágio</t>
        </is>
      </c>
      <c r="D194" s="3" t="n">
        <v>14</v>
      </c>
      <c r="E194" s="3" t="n">
        <v>13</v>
      </c>
      <c r="F194" t="n">
        <v>41.45</v>
      </c>
      <c r="G194" s="3" t="n">
        <v>0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IF(K194&lt;-5,"CRÍTICO",IF(K194&lt;0,"ATENÇÃO",IF(K194&lt;=5,"BOM","EXCELENTE")))</f>
        <v/>
      </c>
      <c r="M194" t="n">
        <v>9</v>
      </c>
      <c r="N194" t="n">
        <v>100</v>
      </c>
      <c r="O194" t="n">
        <v>16.8141592920354</v>
      </c>
    </row>
    <row r="195" hidden="1">
      <c r="A195" s="5" t="n">
        <v>46150</v>
      </c>
      <c r="B195" s="6" t="inlineStr">
        <is>
          <t>Quirino Diogo Leite Torres</t>
        </is>
      </c>
      <c r="C195" s="3" t="inlineStr">
        <is>
          <t>Estágio</t>
        </is>
      </c>
      <c r="D195" s="3" t="n">
        <v>17</v>
      </c>
      <c r="E195" s="3" t="n">
        <v>17</v>
      </c>
      <c r="F195" t="n">
        <v>28.35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IF(K195&lt;-5,"CRÍTICO",IF(K195&lt;0,"ATENÇÃO",IF(K195&lt;=5,"BOM","EXCELENTE")))</f>
        <v/>
      </c>
      <c r="M195" t="n">
        <v>11</v>
      </c>
      <c r="N195" t="n">
        <v>98.11</v>
      </c>
      <c r="O195" t="n">
        <v>20.40816326530612</v>
      </c>
    </row>
    <row r="196" hidden="1">
      <c r="A196" s="5" t="n">
        <v>46150</v>
      </c>
      <c r="B196" s="6" t="inlineStr">
        <is>
          <t>Emilly Kamilly Medeiros Miranda</t>
        </is>
      </c>
      <c r="C196" s="3" t="inlineStr">
        <is>
          <t>Técnico II</t>
        </is>
      </c>
      <c r="D196" s="3" t="n">
        <v>25</v>
      </c>
      <c r="E196" s="3" t="n">
        <v>23</v>
      </c>
      <c r="F196" t="n">
        <v>12.17</v>
      </c>
      <c r="G196" s="3" t="n">
        <v>6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IF(K196&lt;-5,"CRÍTICO",IF(K196&lt;0,"ATENÇÃO",IF(K196&lt;=5,"BOM","EXCELENTE")))</f>
        <v/>
      </c>
      <c r="M196" t="n">
        <v>26</v>
      </c>
      <c r="N196" t="n">
        <v>100</v>
      </c>
      <c r="O196" t="n">
        <v>13.8121546961326</v>
      </c>
    </row>
    <row r="197" hidden="1">
      <c r="A197" s="5" t="n">
        <v>46150</v>
      </c>
      <c r="B197" s="6" t="inlineStr">
        <is>
          <t>Francielson de Oliveira</t>
        </is>
      </c>
      <c r="C197" s="9" t="inlineStr">
        <is>
          <t>Técnico III</t>
        </is>
      </c>
      <c r="D197" s="3" t="n">
        <v>0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0</v>
      </c>
      <c r="L197" s="3">
        <f>IF(K197&lt;-5,"CRÍTICO",IF(K197&lt;0,"ATENÇÃO",IF(K197&lt;=5,"BOM","EXCELENTE")))</f>
        <v/>
      </c>
      <c r="M197" s="9" t="n">
        <v>0</v>
      </c>
      <c r="N197" s="9" t="n">
        <v>100</v>
      </c>
      <c r="O197" s="9" t="n">
        <v>9.523809523809524</v>
      </c>
    </row>
    <row r="198" hidden="1">
      <c r="A198" s="5" t="n">
        <v>46150</v>
      </c>
      <c r="B198" s="6" t="inlineStr">
        <is>
          <t>Francilene Ferreira de Jesus</t>
        </is>
      </c>
      <c r="C198" s="3" t="inlineStr">
        <is>
          <t>Técnico II</t>
        </is>
      </c>
      <c r="D198" s="3" t="n">
        <v>0</v>
      </c>
      <c r="E198" s="3" t="n">
        <v>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0</v>
      </c>
      <c r="L198" s="3">
        <f>IF(K198&lt;-5,"CRÍTICO",IF(K198&lt;0,"ATENÇÃO",IF(K198&lt;=5,"BOM","EXCELENTE")))</f>
        <v/>
      </c>
      <c r="M198" s="9" t="n">
        <v>0</v>
      </c>
      <c r="N198" s="9" t="n">
        <v>100</v>
      </c>
      <c r="O198" s="9" t="n">
        <v>17.24137931034483</v>
      </c>
    </row>
    <row r="199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N199" t="n">
        <v>98.91</v>
      </c>
      <c r="O199" t="n">
        <v>31.36729222520107</v>
      </c>
    </row>
    <row r="200" hidden="1">
      <c r="A200" s="5" t="n">
        <v>46150</v>
      </c>
      <c r="B200" s="6" t="inlineStr">
        <is>
          <t>Isabella Borges de Oliveira</t>
        </is>
      </c>
      <c r="C200" s="9" t="inlineStr">
        <is>
          <t>Técnico II</t>
        </is>
      </c>
      <c r="D200" s="3" t="n">
        <v>30</v>
      </c>
      <c r="E200" s="3" t="n">
        <v>27</v>
      </c>
      <c r="F200" t="n">
        <v>15.28</v>
      </c>
      <c r="G200" s="3" t="n">
        <v>0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IF(K200&lt;-5,"CRÍTICO",IF(K200&lt;0,"ATENÇÃO",IF(K200&lt;=5,"BOM","EXCELENTE")))</f>
        <v/>
      </c>
      <c r="M200" t="n">
        <v>22</v>
      </c>
      <c r="N200" t="n">
        <v>98.63</v>
      </c>
      <c r="O200" t="n">
        <v>15.75757575757576</v>
      </c>
    </row>
    <row r="201" hidden="1">
      <c r="A201" s="5" t="n">
        <v>46150</v>
      </c>
      <c r="B201" s="6" t="inlineStr">
        <is>
          <t>Janaina Lima dos Reis Urany</t>
        </is>
      </c>
      <c r="C201" s="3" t="inlineStr">
        <is>
          <t>Técnico III</t>
        </is>
      </c>
      <c r="D201" s="3" t="n">
        <v>41</v>
      </c>
      <c r="E201" s="3" t="n">
        <v>37</v>
      </c>
      <c r="F201" t="n">
        <v>14.1</v>
      </c>
      <c r="G201" s="3" t="n">
        <v>8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IF(K201&lt;-5,"CRÍTICO",IF(K201&lt;0,"ATENÇÃO",IF(K201&lt;=5,"BOM","EXCELENTE")))</f>
        <v/>
      </c>
      <c r="M201" t="n">
        <v>41</v>
      </c>
      <c r="N201" t="n">
        <v>98.64</v>
      </c>
      <c r="O201" t="n">
        <v>16.6383701188455</v>
      </c>
    </row>
    <row r="202" hidden="1">
      <c r="A202" s="5" t="n">
        <v>46150</v>
      </c>
      <c r="B202" s="6" t="inlineStr">
        <is>
          <t>Jaqueline Evangelista da Silva Martins</t>
        </is>
      </c>
      <c r="C202" s="3" t="inlineStr">
        <is>
          <t>Técnico III</t>
        </is>
      </c>
      <c r="D202" s="3" t="n">
        <v>20</v>
      </c>
      <c r="E202" s="3" t="n">
        <v>19</v>
      </c>
      <c r="F202" t="n">
        <v>12.31</v>
      </c>
      <c r="G202" s="3" t="n">
        <v>5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IF(K202&lt;-5,"CRÍTICO",IF(K202&lt;0,"ATENÇÃO",IF(K202&lt;=5,"BOM","EXCELENTE")))</f>
        <v/>
      </c>
      <c r="M202" t="n">
        <v>21</v>
      </c>
      <c r="N202" t="n">
        <v>95.40000000000001</v>
      </c>
      <c r="O202" t="n">
        <v>20.53333333333333</v>
      </c>
    </row>
    <row r="203" hidden="1">
      <c r="A203" s="5" t="n">
        <v>46150</v>
      </c>
      <c r="B203" s="6" t="inlineStr">
        <is>
          <t>Jessica Faria da Silveira</t>
        </is>
      </c>
      <c r="C203" s="3" t="inlineStr">
        <is>
          <t>Técnico II</t>
        </is>
      </c>
      <c r="D203" s="3" t="n">
        <v>25</v>
      </c>
      <c r="E203" s="3" t="n">
        <v>20</v>
      </c>
      <c r="F203" t="n">
        <v>14.16</v>
      </c>
      <c r="G203" s="3" t="n">
        <v>3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IF(K203&lt;-5,"CRÍTICO",IF(K203&lt;0,"ATENÇÃO",IF(K203&lt;=5,"BOM","EXCELENTE")))</f>
        <v/>
      </c>
      <c r="M203" t="n">
        <v>24</v>
      </c>
      <c r="N203" t="n">
        <v>98.61</v>
      </c>
      <c r="O203" t="n">
        <v>16.97530864197531</v>
      </c>
    </row>
    <row r="204" hidden="1">
      <c r="A204" s="5" t="n">
        <v>46150</v>
      </c>
      <c r="B204" s="6" t="inlineStr">
        <is>
          <t>Jéssica Fé Moura</t>
        </is>
      </c>
      <c r="C204" s="3" t="inlineStr">
        <is>
          <t>Técnico III</t>
        </is>
      </c>
      <c r="D204" s="3" t="n">
        <v>0</v>
      </c>
      <c r="E204" s="3" t="n">
        <v>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0</v>
      </c>
      <c r="L204" s="3">
        <f>IF(K204&lt;-5,"CRÍTICO",IF(K204&lt;0,"ATENÇÃO",IF(K204&lt;=5,"BOM","EXCELENTE")))</f>
        <v/>
      </c>
      <c r="M204" s="9" t="n">
        <v>0</v>
      </c>
      <c r="N204" s="9" t="n">
        <v>0</v>
      </c>
      <c r="O204" s="9" t="n">
        <v>0</v>
      </c>
    </row>
    <row r="205" hidden="1">
      <c r="A205" s="5" t="n">
        <v>46150</v>
      </c>
      <c r="B205" s="6" t="inlineStr">
        <is>
          <t>Karina Gonçalves Martins</t>
        </is>
      </c>
      <c r="C205" s="3" t="inlineStr">
        <is>
          <t>JR</t>
        </is>
      </c>
      <c r="D205" s="3" t="n">
        <v>21</v>
      </c>
      <c r="E205" s="3" t="n">
        <v>20</v>
      </c>
      <c r="F205" t="n">
        <v>22.21</v>
      </c>
      <c r="G205" s="3" t="n">
        <v>1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IF(K205&lt;-5,"CRÍTICO",IF(K205&lt;0,"ATENÇÃO",IF(K205&lt;=5,"BOM","EXCELENTE")))</f>
        <v/>
      </c>
      <c r="M205" t="n">
        <v>16</v>
      </c>
      <c r="N205" t="n">
        <v>97.01000000000001</v>
      </c>
      <c r="O205" t="n">
        <v>13.96103896103896</v>
      </c>
    </row>
    <row r="206" hidden="1">
      <c r="A206" s="5" t="n">
        <v>46150</v>
      </c>
      <c r="B206" s="6" t="inlineStr">
        <is>
          <t>Kerollen Cristielly de Jesus Siqueira</t>
        </is>
      </c>
      <c r="C206" s="9" t="inlineStr">
        <is>
          <t>Técnico III</t>
        </is>
      </c>
      <c r="D206" s="3" t="n">
        <v>4</v>
      </c>
      <c r="E206" s="3" t="n">
        <v>4</v>
      </c>
      <c r="F206" t="n">
        <v>30.5</v>
      </c>
      <c r="G206" s="3" t="n">
        <v>0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IF(K206&lt;-5,"CRÍTICO",IF(K206&lt;0,"ATENÇÃO",IF(K206&lt;=5,"BOM","EXCELENTE")))</f>
        <v/>
      </c>
      <c r="M206" t="n">
        <v>4</v>
      </c>
      <c r="N206" t="n">
        <v>95.52</v>
      </c>
      <c r="O206" t="n">
        <v>10.56105610561056</v>
      </c>
    </row>
    <row r="207" hidden="1">
      <c r="A207" s="5" t="n">
        <v>46150</v>
      </c>
      <c r="B207" s="6" t="inlineStr">
        <is>
          <t>Leandro de Souza Silva</t>
        </is>
      </c>
      <c r="C207" s="3" t="inlineStr">
        <is>
          <t>JR</t>
        </is>
      </c>
      <c r="D207" s="3" t="n">
        <v>11</v>
      </c>
      <c r="E207" s="3" t="n">
        <v>11</v>
      </c>
      <c r="F207" t="n">
        <v>33.55</v>
      </c>
      <c r="G207" s="3" t="n">
        <v>4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IF(K207&lt;-5,"CRÍTICO",IF(K207&lt;0,"ATENÇÃO",IF(K207&lt;=5,"BOM","EXCELENTE")))</f>
        <v/>
      </c>
      <c r="M207" t="n">
        <v>14</v>
      </c>
      <c r="N207" t="n">
        <v>100</v>
      </c>
      <c r="O207" t="n">
        <v>16.95906432748538</v>
      </c>
    </row>
    <row r="208" hidden="1">
      <c r="A208" s="5" t="n">
        <v>46150</v>
      </c>
      <c r="B208" s="6" t="inlineStr">
        <is>
          <t>Leandro Oliveira de Sousa</t>
        </is>
      </c>
      <c r="C208" s="9" t="inlineStr">
        <is>
          <t>Técnico III</t>
        </is>
      </c>
      <c r="D208" s="3" t="n">
        <v>29</v>
      </c>
      <c r="E208" s="3" t="n">
        <v>28</v>
      </c>
      <c r="F208" t="n">
        <v>22.03</v>
      </c>
      <c r="G208" s="3" t="n">
        <v>0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IF(K208&lt;-5,"CRÍTICO",IF(K208&lt;0,"ATENÇÃO",IF(K208&lt;=5,"BOM","EXCELENTE")))</f>
        <v/>
      </c>
      <c r="M208" t="n">
        <v>24</v>
      </c>
      <c r="N208" t="n">
        <v>100</v>
      </c>
      <c r="O208" t="n">
        <v>15.58441558441558</v>
      </c>
    </row>
    <row r="209" hidden="1">
      <c r="A209" s="5" t="n">
        <v>46150</v>
      </c>
      <c r="B209" s="6" t="inlineStr">
        <is>
          <t>Lizandra Gomes Duarte</t>
        </is>
      </c>
      <c r="C209" s="3" t="inlineStr">
        <is>
          <t>Técnico II</t>
        </is>
      </c>
      <c r="D209" s="3" t="n">
        <v>22</v>
      </c>
      <c r="E209" s="3" t="n">
        <v>18</v>
      </c>
      <c r="F209" t="n">
        <v>15.45</v>
      </c>
      <c r="G209" s="3" t="n">
        <v>3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IF(K209&lt;-5,"CRÍTICO",IF(K209&lt;0,"ATENÇÃO",IF(K209&lt;=5,"BOM","EXCELENTE")))</f>
        <v/>
      </c>
      <c r="M209" t="n">
        <v>18</v>
      </c>
      <c r="N209" t="n">
        <v>98.61</v>
      </c>
      <c r="O209" t="n">
        <v>16.86746987951807</v>
      </c>
    </row>
    <row r="210" hidden="1">
      <c r="A210" s="5" t="n">
        <v>46150</v>
      </c>
      <c r="B210" s="6" t="inlineStr">
        <is>
          <t>Lorena Dias de Araujo</t>
        </is>
      </c>
      <c r="C210" s="3" t="inlineStr">
        <is>
          <t>Técnico II</t>
        </is>
      </c>
      <c r="D210" s="3" t="n">
        <v>26</v>
      </c>
      <c r="E210" s="3" t="n">
        <v>26</v>
      </c>
      <c r="F210" t="n">
        <v>20.06</v>
      </c>
      <c r="G210" s="3" t="n">
        <v>0</v>
      </c>
      <c r="H210" s="3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IF(K210&lt;-5,"CRÍTICO",IF(K210&lt;0,"ATENÇÃO",IF(K210&lt;=5,"BOM","EXCELENTE")))</f>
        <v/>
      </c>
      <c r="M210" t="n">
        <v>21</v>
      </c>
      <c r="N210" t="n">
        <v>100</v>
      </c>
      <c r="O210" t="n">
        <v>20.82018927444795</v>
      </c>
    </row>
    <row r="211" hidden="1">
      <c r="A211" s="5" t="n">
        <v>46150</v>
      </c>
      <c r="B211" s="6" t="inlineStr">
        <is>
          <t>Lucas Luiz Romero</t>
        </is>
      </c>
      <c r="C211" s="3" t="inlineStr">
        <is>
          <t>Técnico III</t>
        </is>
      </c>
      <c r="D211" s="3" t="n">
        <v>0</v>
      </c>
      <c r="E211" s="3" t="n">
        <v>0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IF(K211&lt;-5,"CRÍTICO",IF(K211&lt;0,"ATENÇÃO",IF(K211&lt;=5,"BOM","EXCELENTE")))</f>
        <v/>
      </c>
      <c r="M211" s="9" t="n">
        <v>0</v>
      </c>
      <c r="N211" s="9" t="n">
        <v>100</v>
      </c>
      <c r="O211" s="9" t="n">
        <v>4.347826086956522</v>
      </c>
    </row>
    <row r="212" hidden="1">
      <c r="A212" s="5" t="n">
        <v>46150</v>
      </c>
      <c r="B212" s="6" t="inlineStr">
        <is>
          <t>Luiz Fernando de Carvalho Junior</t>
        </is>
      </c>
      <c r="C212" s="3" t="inlineStr">
        <is>
          <t>Técnico I</t>
        </is>
      </c>
      <c r="D212" s="3" t="n">
        <v>18</v>
      </c>
      <c r="E212" s="3" t="n">
        <v>17</v>
      </c>
      <c r="F212" t="n">
        <v>25.06</v>
      </c>
      <c r="G212" s="3" t="n">
        <v>6</v>
      </c>
      <c r="H212" s="3" t="n">
        <v>0</v>
      </c>
      <c r="I212" s="3">
        <f>E212+G212+H212</f>
        <v/>
      </c>
      <c r="J212" s="3">
        <f>ROUND(MIN(IF(C212="Técnico III",35,IF(C212="Técnico II",28,IF(C212="Técnico I",23,IF(C212="JR",20,IF(C212="Estágio",10,0))))),IF(C212="Técnico III",SUMIFS($D:$D,$A:$A,$A212,$B:$B,"&lt;&gt;Patrícia Karla de Sousa Araújo",$B:$B,"&lt;&gt;Lorena Dias de Araujo",$B:$B,"&lt;&gt;Lucas Luiz Romero")*(35/1083),IF(C212="Técnico II",SUMIFS($D:$D,$A:$A,$A212,$B:$B,"&lt;&gt;Patrícia Karla de Sousa Araújo",$B:$B,"&lt;&gt;Lorena Dias de Araujo",$B:$B,"&lt;&gt;Lucas Luiz Romero")*(28/1083),IF(C212="Técnico I",SUMIFS($D:$D,$A:$A,$A212,$B:$B,"&lt;&gt;Patrícia Karla de Sousa Araújo",$B:$B,"&lt;&gt;Lorena Dias de Araujo",$B:$B,"&lt;&gt;Lucas Luiz Romero")*(23/1083),IF(C212="JR",SUMIFS($D:$D,$A:$A,$A212,$B:$B,"&lt;&gt;Patrícia Karla de Sousa Araújo",$B:$B,"&lt;&gt;Lorena Dias de Araujo",$B:$B,"&lt;&gt;Lucas Luiz Romero")*(20/1083),IF(C212="Estágio",SUMIFS($D:$D,$A:$A,$A212,$B:$B,"&lt;&gt;Patrícia Karla de Sousa Araújo",$B:$B,"&lt;&gt;Lorena Dias de Araujo",$B:$B,"&lt;&gt;Lucas Luiz Romero")*(10/1083),0)))))),0)</f>
        <v/>
      </c>
      <c r="K212" s="3">
        <f>I212-J212</f>
        <v/>
      </c>
      <c r="L212" s="3">
        <f>IF(K212&lt;-5,"CRÍTICO",IF(K212&lt;0,"ATENÇÃO",IF(K212&lt;=5,"BOM","EXCELENTE")))</f>
        <v/>
      </c>
      <c r="M212" t="n">
        <v>23</v>
      </c>
      <c r="N212" t="n">
        <v>93.26000000000001</v>
      </c>
      <c r="O212" t="n">
        <v>19.93957703927493</v>
      </c>
    </row>
    <row r="213" hidden="1">
      <c r="A213" s="5" t="n">
        <v>46150</v>
      </c>
      <c r="B213" s="6" t="inlineStr">
        <is>
          <t>Matheus Farias De Souza</t>
        </is>
      </c>
      <c r="C213" s="3" t="inlineStr">
        <is>
          <t>Técnico III</t>
        </is>
      </c>
      <c r="D213" s="3" t="n">
        <v>0</v>
      </c>
      <c r="E213" s="3" t="n">
        <v>0</v>
      </c>
      <c r="F213" t="n">
        <v>0</v>
      </c>
      <c r="G213" s="3" t="n">
        <v>0</v>
      </c>
      <c r="H213" s="3" t="n">
        <v>31</v>
      </c>
      <c r="I213" s="3">
        <f>E213+G213+H213</f>
        <v/>
      </c>
      <c r="J213" s="3">
        <f>ROUND(MIN(IF(C213="Técnico III",35,IF(C213="Técnico II",28,IF(C213="Técnico I",23,IF(C213="JR",20,IF(C213="Estágio",10,0))))),IF(C213="Técnico III",SUMIFS($D:$D,$A:$A,$A213,$B:$B,"&lt;&gt;Patrícia Karla de Sousa Araújo",$B:$B,"&lt;&gt;Lorena Dias de Araujo",$B:$B,"&lt;&gt;Lucas Luiz Romero")*(35/1083),IF(C213="Técnico II",SUMIFS($D:$D,$A:$A,$A213,$B:$B,"&lt;&gt;Patrícia Karla de Sousa Araújo",$B:$B,"&lt;&gt;Lorena Dias de Araujo",$B:$B,"&lt;&gt;Lucas Luiz Romero")*(28/1083),IF(C213="Técnico I",SUMIFS($D:$D,$A:$A,$A213,$B:$B,"&lt;&gt;Patrícia Karla de Sousa Araújo",$B:$B,"&lt;&gt;Lorena Dias de Araujo",$B:$B,"&lt;&gt;Lucas Luiz Romero")*(23/1083),IF(C213="JR",SUMIFS($D:$D,$A:$A,$A213,$B:$B,"&lt;&gt;Patrícia Karla de Sousa Araújo",$B:$B,"&lt;&gt;Lorena Dias de Araujo",$B:$B,"&lt;&gt;Lucas Luiz Romero")*(20/1083),IF(C213="Estágio",SUMIFS($D:$D,$A:$A,$A213,$B:$B,"&lt;&gt;Patrícia Karla de Sousa Araújo",$B:$B,"&lt;&gt;Lorena Dias de Araujo",$B:$B,"&lt;&gt;Lucas Luiz Romero")*(10/1083),0)))))),0)</f>
        <v/>
      </c>
      <c r="K213" s="3">
        <f>I213-J213</f>
        <v/>
      </c>
      <c r="L213" s="3">
        <f>IF(K213&lt;-5,"CRÍTICO",IF(K213&lt;0,"ATENÇÃO",IF(K213&lt;=5,"BOM","EXCELENTE")))</f>
        <v/>
      </c>
      <c r="M213" t="n">
        <v>21</v>
      </c>
      <c r="N213" t="n">
        <v>98.28</v>
      </c>
      <c r="O213" t="n">
        <v>9.037900874635568</v>
      </c>
    </row>
    <row r="214" hidden="1">
      <c r="A214" s="5" t="n">
        <v>46150</v>
      </c>
      <c r="B214" s="6" t="inlineStr">
        <is>
          <t>Maysa Victoria Dias Moura</t>
        </is>
      </c>
      <c r="C214" s="3" t="inlineStr">
        <is>
          <t>Técnico III</t>
        </is>
      </c>
      <c r="D214" s="3" t="n">
        <v>30</v>
      </c>
      <c r="E214" s="3" t="n">
        <v>28</v>
      </c>
      <c r="F214" t="n">
        <v>13.33</v>
      </c>
      <c r="G214" s="3" t="n">
        <v>1</v>
      </c>
      <c r="H214" s="3" t="n">
        <v>0</v>
      </c>
      <c r="I214" s="3">
        <f>E214+G214+H214</f>
        <v/>
      </c>
      <c r="J214" s="3">
        <f>ROUND(MIN(IF(C214="Técnico III",35,IF(C214="Técnico II",28,IF(C214="Técnico I",23,IF(C214="JR",20,IF(C214="Estágio",10,0))))),IF(C214="Técnico III",SUMIFS($D:$D,$A:$A,$A214,$B:$B,"&lt;&gt;Patrícia Karla de Sousa Araújo",$B:$B,"&lt;&gt;Lorena Dias de Araujo",$B:$B,"&lt;&gt;Lucas Luiz Romero")*(35/1083),IF(C214="Técnico II",SUMIFS($D:$D,$A:$A,$A214,$B:$B,"&lt;&gt;Patrícia Karla de Sousa Araújo",$B:$B,"&lt;&gt;Lorena Dias de Araujo",$B:$B,"&lt;&gt;Lucas Luiz Romero")*(28/1083),IF(C214="Técnico I",SUMIFS($D:$D,$A:$A,$A214,$B:$B,"&lt;&gt;Patrícia Karla de Sousa Araújo",$B:$B,"&lt;&gt;Lorena Dias de Araujo",$B:$B,"&lt;&gt;Lucas Luiz Romero")*(23/1083),IF(C214="JR",SUMIFS($D:$D,$A:$A,$A214,$B:$B,"&lt;&gt;Patrícia Karla de Sousa Araújo",$B:$B,"&lt;&gt;Lorena Dias de Araujo",$B:$B,"&lt;&gt;Lucas Luiz Romero")*(20/1083),IF(C214="Estágio",SUMIFS($D:$D,$A:$A,$A214,$B:$B,"&lt;&gt;Patrícia Karla de Sousa Araújo",$B:$B,"&lt;&gt;Lorena Dias de Araujo",$B:$B,"&lt;&gt;Lucas Luiz Romero")*(10/1083),0)))))),0)</f>
        <v/>
      </c>
      <c r="K214" s="3">
        <f>I214-J214</f>
        <v/>
      </c>
      <c r="L214" s="3">
        <f>IF(K214&lt;-5,"CRÍTICO",IF(K214&lt;0,"ATENÇÃO",IF(K214&lt;=5,"BOM","EXCELENTE")))</f>
        <v/>
      </c>
      <c r="M214" t="n">
        <v>23</v>
      </c>
      <c r="N214" t="n">
        <v>97.22</v>
      </c>
      <c r="O214" t="n">
        <v>19.09547738693467</v>
      </c>
    </row>
    <row r="215" hidden="1">
      <c r="A215" s="5" t="n">
        <v>46150</v>
      </c>
      <c r="B215" s="6" t="inlineStr">
        <is>
          <t>Milena Sales</t>
        </is>
      </c>
      <c r="C215" s="3" t="inlineStr">
        <is>
          <t>JR</t>
        </is>
      </c>
      <c r="D215" s="3" t="n">
        <v>53</v>
      </c>
      <c r="E215" s="3" t="n">
        <v>26</v>
      </c>
      <c r="F215" t="n">
        <v>5.5</v>
      </c>
      <c r="G215" s="3" t="n">
        <v>0</v>
      </c>
      <c r="H215" s="3" t="n">
        <v>0</v>
      </c>
      <c r="I215" s="3">
        <f>E215+G215+H215</f>
        <v/>
      </c>
      <c r="J215" s="3">
        <f>ROUND(MIN(IF(C215="Técnico III",35,IF(C215="Técnico II",28,IF(C215="Técnico I",23,IF(C215="JR",20,IF(C215="Estágio",10,0))))),IF(C215="Técnico III",SUMIFS($D:$D,$A:$A,$A215,$B:$B,"&lt;&gt;Patrícia Karla de Sousa Araújo",$B:$B,"&lt;&gt;Lorena Dias de Araujo",$B:$B,"&lt;&gt;Lucas Luiz Romero")*(35/1083),IF(C215="Técnico II",SUMIFS($D:$D,$A:$A,$A215,$B:$B,"&lt;&gt;Patrícia Karla de Sousa Araújo",$B:$B,"&lt;&gt;Lorena Dias de Araujo",$B:$B,"&lt;&gt;Lucas Luiz Romero")*(28/1083),IF(C215="Técnico I",SUMIFS($D:$D,$A:$A,$A215,$B:$B,"&lt;&gt;Patrícia Karla de Sousa Araújo",$B:$B,"&lt;&gt;Lorena Dias de Araujo",$B:$B,"&lt;&gt;Lucas Luiz Romero")*(23/1083),IF(C215="JR",SUMIFS($D:$D,$A:$A,$A215,$B:$B,"&lt;&gt;Patrícia Karla de Sousa Araújo",$B:$B,"&lt;&gt;Lorena Dias de Araujo",$B:$B,"&lt;&gt;Lucas Luiz Romero")*(20/1083),IF(C215="Estágio",SUMIFS($D:$D,$A:$A,$A215,$B:$B,"&lt;&gt;Patrícia Karla de Sousa Araújo",$B:$B,"&lt;&gt;Lorena Dias de Araujo",$B:$B,"&lt;&gt;Lucas Luiz Romero")*(10/1083),0)))))),0)</f>
        <v/>
      </c>
      <c r="K215" s="3">
        <f>I215-J215</f>
        <v/>
      </c>
      <c r="L215" s="3">
        <f>IF(K215&lt;-5,"CRÍTICO",IF(K215&lt;0,"ATENÇÃO",IF(K215&lt;=5,"BOM","EXCELENTE")))</f>
        <v/>
      </c>
      <c r="M215" t="n">
        <v>20</v>
      </c>
      <c r="N215" t="n">
        <v>98</v>
      </c>
      <c r="O215" t="n">
        <v>16.43835616438356</v>
      </c>
    </row>
    <row r="216" hidden="1">
      <c r="A216" s="5" t="n">
        <v>46150</v>
      </c>
      <c r="B216" s="6" t="inlineStr">
        <is>
          <t>Patrícia Karla de Sousa Araújo</t>
        </is>
      </c>
      <c r="C216" s="3" t="inlineStr">
        <is>
          <t>Técnico II</t>
        </is>
      </c>
      <c r="D216" s="3" t="n">
        <v>19</v>
      </c>
      <c r="E216" s="3" t="n">
        <v>19</v>
      </c>
      <c r="F216" t="n">
        <v>17.08</v>
      </c>
      <c r="G216" s="3" t="n">
        <v>0</v>
      </c>
      <c r="H216" s="3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IF(K216&lt;-5,"CRÍTICO",IF(K216&lt;0,"ATENÇÃO",IF(K216&lt;=5,"BOM","EXCELENTE")))</f>
        <v/>
      </c>
      <c r="M216" t="n">
        <v>17</v>
      </c>
      <c r="N216" t="n">
        <v>100</v>
      </c>
      <c r="O216" t="n">
        <v>16.89497716894977</v>
      </c>
    </row>
    <row r="217" hidden="1">
      <c r="A217" s="5" t="n">
        <v>46150</v>
      </c>
      <c r="B217" s="6" t="inlineStr">
        <is>
          <t>Paulo Ricardo Santos</t>
        </is>
      </c>
      <c r="C217" s="3" t="inlineStr">
        <is>
          <t>JR</t>
        </is>
      </c>
      <c r="D217" s="3" t="n">
        <v>14</v>
      </c>
      <c r="E217" s="3" t="n">
        <v>14</v>
      </c>
      <c r="F217" t="n">
        <v>23.46</v>
      </c>
      <c r="G217" s="3" t="n">
        <v>0</v>
      </c>
      <c r="H217" s="3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IF(K217&lt;-5,"CRÍTICO",IF(K217&lt;0,"ATENÇÃO",IF(K217&lt;=5,"BOM","EXCELENTE")))</f>
        <v/>
      </c>
      <c r="M217" t="n">
        <v>14</v>
      </c>
      <c r="N217" t="n">
        <v>100</v>
      </c>
      <c r="O217" t="n">
        <v>19.13875598086124</v>
      </c>
    </row>
    <row r="218" hidden="1">
      <c r="A218" s="5" t="n">
        <v>46150</v>
      </c>
      <c r="B218" s="6" t="inlineStr">
        <is>
          <t>Pedro Luiz Mota Sousa</t>
        </is>
      </c>
      <c r="C218" s="3" t="inlineStr">
        <is>
          <t>JR</t>
        </is>
      </c>
      <c r="D218" s="3" t="n">
        <v>18</v>
      </c>
      <c r="E218" s="3" t="n">
        <v>17</v>
      </c>
      <c r="F218" t="n">
        <v>18.3</v>
      </c>
      <c r="G218" s="3" t="n">
        <v>0</v>
      </c>
      <c r="H218" s="3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IF(K218&lt;-5,"CRÍTICO",IF(K218&lt;0,"ATENÇÃO",IF(K218&lt;=5,"BOM","EXCELENTE")))</f>
        <v/>
      </c>
      <c r="M218" t="n">
        <v>16</v>
      </c>
      <c r="N218" t="n">
        <v>100</v>
      </c>
      <c r="O218" t="n">
        <v>15.02145922746781</v>
      </c>
    </row>
    <row r="219" hidden="1">
      <c r="A219" s="5" t="n">
        <v>46150</v>
      </c>
      <c r="B219" s="6" t="inlineStr">
        <is>
          <t>Raane Batista Matos</t>
        </is>
      </c>
      <c r="C219" s="3" t="inlineStr">
        <is>
          <t>Técnico I</t>
        </is>
      </c>
      <c r="D219" s="3" t="n">
        <v>39</v>
      </c>
      <c r="E219" s="3" t="n">
        <v>34</v>
      </c>
      <c r="F219" t="n">
        <v>12.08</v>
      </c>
      <c r="G219" s="3" t="n">
        <v>2</v>
      </c>
      <c r="H219" s="3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IF(K219&lt;-5,"CRÍTICO",IF(K219&lt;0,"ATENÇÃO",IF(K219&lt;=5,"BOM","EXCELENTE")))</f>
        <v/>
      </c>
      <c r="M219" t="n">
        <v>32</v>
      </c>
      <c r="N219" t="n">
        <v>97.56</v>
      </c>
      <c r="O219" t="n">
        <v>19.28783382789317</v>
      </c>
    </row>
    <row r="220" hidden="1">
      <c r="A220" s="5" t="n">
        <v>46150</v>
      </c>
      <c r="B220" s="6" t="inlineStr">
        <is>
          <t>Rafael Gomes de Morais</t>
        </is>
      </c>
      <c r="C220" s="3" t="inlineStr">
        <is>
          <t>Técnico III</t>
        </is>
      </c>
      <c r="D220" s="3" t="n">
        <v>44</v>
      </c>
      <c r="E220" s="3" t="n">
        <v>38</v>
      </c>
      <c r="F220" t="n">
        <v>10.22</v>
      </c>
      <c r="G220" s="3" t="n">
        <v>0</v>
      </c>
      <c r="H220" s="3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IF(K220&lt;-5,"CRÍTICO",IF(K220&lt;0,"ATENÇÃO",IF(K220&lt;=5,"BOM","EXCELENTE")))</f>
        <v/>
      </c>
      <c r="M220" t="n">
        <v>26</v>
      </c>
      <c r="N220" t="n">
        <v>99.29000000000001</v>
      </c>
      <c r="O220" t="n">
        <v>22.49443207126949</v>
      </c>
    </row>
    <row r="221" hidden="1">
      <c r="A221" s="5" t="n">
        <v>46150</v>
      </c>
      <c r="B221" s="6" t="inlineStr">
        <is>
          <t>Sara Maria Monteiro Lopes</t>
        </is>
      </c>
      <c r="C221" s="3" t="inlineStr">
        <is>
          <t>Técnico I</t>
        </is>
      </c>
      <c r="D221" s="3" t="n">
        <v>0</v>
      </c>
      <c r="E221" s="3" t="n">
        <v>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>
        <f>IF(K221&lt;-5,"CRÍTICO",IF(K221&lt;0,"ATENÇÃO",IF(K221&lt;=5,"BOM","EXCELENTE")))</f>
        <v/>
      </c>
      <c r="M221" s="9" t="n">
        <v>0</v>
      </c>
      <c r="N221" s="9" t="n">
        <v>100</v>
      </c>
      <c r="O221" s="9" t="n">
        <v>16.97247706422019</v>
      </c>
    </row>
    <row r="222" hidden="1">
      <c r="A222" s="5" t="n">
        <v>46150</v>
      </c>
      <c r="B222" s="6" t="inlineStr">
        <is>
          <t>Sarah Steffanie de Lima Borges</t>
        </is>
      </c>
      <c r="C222" s="3" t="inlineStr">
        <is>
          <t>Técnico III</t>
        </is>
      </c>
      <c r="D222" s="3" t="n">
        <v>22</v>
      </c>
      <c r="E222" s="3" t="n">
        <v>21</v>
      </c>
      <c r="F222" t="n">
        <v>14.04</v>
      </c>
      <c r="G222" s="3" t="n">
        <v>5</v>
      </c>
      <c r="H222" s="3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IF(K222&lt;-5,"CRÍTICO",IF(K222&lt;0,"ATENÇÃO",IF(K222&lt;=5,"BOM","EXCELENTE")))</f>
        <v/>
      </c>
      <c r="M222" t="n">
        <v>25</v>
      </c>
      <c r="N222" t="n">
        <v>97.33</v>
      </c>
      <c r="O222" t="n">
        <v>15.80547112462006</v>
      </c>
    </row>
    <row r="223" hidden="1">
      <c r="A223" s="5" t="n">
        <v>46153</v>
      </c>
      <c r="B223" s="6" t="inlineStr">
        <is>
          <t>Alisson de Freitas Silva</t>
        </is>
      </c>
      <c r="C223" s="3" t="inlineStr">
        <is>
          <t>Técnico II</t>
        </is>
      </c>
      <c r="D223" s="3" t="n">
        <v>36</v>
      </c>
      <c r="E223" s="3" t="n">
        <v>29</v>
      </c>
      <c r="F223" t="n">
        <v>11.5</v>
      </c>
      <c r="G223" s="3" t="n">
        <v>5</v>
      </c>
      <c r="H223" s="3" t="n">
        <v>0</v>
      </c>
      <c r="I223" s="3">
        <f>E223+G223+H223</f>
        <v/>
      </c>
      <c r="J223" s="3">
        <f>ROUND(MIN(IF(C223="Técnico III",35,IF(C223="Técnico II",28,IF(C223="Técnico I",23,IF(C223="JR",20,IF(C223="Estágio",10,0))))),IF(C223="Técnico III",SUMIFS($D:$D,$A:$A,$A223,$B:$B,"&lt;&gt;Patrícia Karla de Sousa Araújo",$B:$B,"&lt;&gt;Lorena Dias de Araujo",$B:$B,"&lt;&gt;Lucas Luiz Romero")*(35/1083),IF(C223="Técnico II",SUMIFS($D:$D,$A:$A,$A223,$B:$B,"&lt;&gt;Patrícia Karla de Sousa Araújo",$B:$B,"&lt;&gt;Lorena Dias de Araujo",$B:$B,"&lt;&gt;Lucas Luiz Romero")*(28/1083),IF(C223="Técnico I",SUMIFS($D:$D,$A:$A,$A223,$B:$B,"&lt;&gt;Patrícia Karla de Sousa Araújo",$B:$B,"&lt;&gt;Lorena Dias de Araujo",$B:$B,"&lt;&gt;Lucas Luiz Romero")*(23/1083),IF(C223="JR",SUMIFS($D:$D,$A:$A,$A223,$B:$B,"&lt;&gt;Patrícia Karla de Sousa Araújo",$B:$B,"&lt;&gt;Lorena Dias de Araujo",$B:$B,"&lt;&gt;Lucas Luiz Romero")*(20/1083),IF(C223="Estágio",SUMIFS($D:$D,$A:$A,$A223,$B:$B,"&lt;&gt;Patrícia Karla de Sousa Araújo",$B:$B,"&lt;&gt;Lorena Dias de Araujo",$B:$B,"&lt;&gt;Lucas Luiz Romero")*(10/1083),0)))))),0)</f>
        <v/>
      </c>
      <c r="K223" s="3">
        <f>I223-J223</f>
        <v/>
      </c>
      <c r="L223" s="3">
        <f>IF(K223&lt;-5,"CRÍTICO",IF(K223&lt;0,"ATENÇÃO",IF(K223&lt;=5,"BOM","EXCELENTE")))</f>
        <v/>
      </c>
      <c r="M223" s="3" t="n">
        <v>18</v>
      </c>
      <c r="N223" s="3" t="n">
        <v>98.94</v>
      </c>
      <c r="O223" s="3" t="n">
        <v>19.61414790996785</v>
      </c>
    </row>
    <row r="224" hidden="1">
      <c r="A224" s="5" t="n">
        <v>46153</v>
      </c>
      <c r="B224" s="6" t="inlineStr">
        <is>
          <t>Amanda Moura Ferreira</t>
        </is>
      </c>
      <c r="C224" s="3" t="inlineStr">
        <is>
          <t>Técnico III</t>
        </is>
      </c>
      <c r="D224" s="3" t="n">
        <v>0</v>
      </c>
      <c r="E224" s="3" t="n">
        <v>0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0</v>
      </c>
      <c r="L224" s="3">
        <f>IF(K224&lt;-5,"CRÍTICO",IF(K224&lt;0,"ATENÇÃO",IF(K224&lt;=5,"BOM","EXCELENTE")))</f>
        <v/>
      </c>
      <c r="M224" s="9" t="n">
        <v>0</v>
      </c>
      <c r="N224" s="9" t="n">
        <v>100</v>
      </c>
      <c r="O224" s="9" t="n">
        <v>0</v>
      </c>
    </row>
    <row r="225" hidden="1">
      <c r="A225" s="5" t="n">
        <v>46153</v>
      </c>
      <c r="B225" s="6" t="inlineStr">
        <is>
          <t>Ana Karollyne Souza Faria</t>
        </is>
      </c>
      <c r="C225" s="3" t="inlineStr">
        <is>
          <t>Técnico I</t>
        </is>
      </c>
      <c r="D225" s="3" t="n">
        <v>40</v>
      </c>
      <c r="E225" s="3" t="n">
        <v>38</v>
      </c>
      <c r="F225" t="n">
        <v>13.44</v>
      </c>
      <c r="G225" s="3" t="n">
        <v>8</v>
      </c>
      <c r="H225" s="3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IF(K225&lt;-5,"CRÍTICO",IF(K225&lt;0,"ATENÇÃO",IF(K225&lt;=5,"BOM","EXCELENTE")))</f>
        <v/>
      </c>
      <c r="M225" s="3" t="n">
        <v>38</v>
      </c>
      <c r="N225" s="3" t="n">
        <v>95.38</v>
      </c>
      <c r="O225" s="3" t="n">
        <v>21.5962441314554</v>
      </c>
    </row>
    <row r="226" hidden="1">
      <c r="A226" s="5" t="n">
        <v>46153</v>
      </c>
      <c r="B226" s="6" t="inlineStr">
        <is>
          <t>Ana Paula Da Luz Silva Aleixo</t>
        </is>
      </c>
      <c r="C226" s="9" t="inlineStr">
        <is>
          <t>Técnico III</t>
        </is>
      </c>
      <c r="D226" s="3" t="n">
        <v>18</v>
      </c>
      <c r="E226" s="3" t="n">
        <v>16</v>
      </c>
      <c r="F226" t="n">
        <v>23.31</v>
      </c>
      <c r="G226" s="3" t="n">
        <v>0</v>
      </c>
      <c r="H226" s="3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IF(K226&lt;-5,"CRÍTICO",IF(K226&lt;0,"ATENÇÃO",IF(K226&lt;=5,"BOM","EXCELENTE")))</f>
        <v/>
      </c>
      <c r="M226" t="n">
        <v>13</v>
      </c>
      <c r="N226" t="n">
        <v>96.34</v>
      </c>
      <c r="O226" t="n">
        <v>17.57188498402556</v>
      </c>
    </row>
    <row r="227" hidden="1">
      <c r="A227" s="5" t="n">
        <v>46153</v>
      </c>
      <c r="B227" s="6" t="inlineStr">
        <is>
          <t>Brenda de Menezes Silva</t>
        </is>
      </c>
      <c r="C227" s="3" t="inlineStr">
        <is>
          <t>Técnico II</t>
        </is>
      </c>
      <c r="D227" s="3" t="n">
        <v>31</v>
      </c>
      <c r="E227" s="3" t="n">
        <v>29</v>
      </c>
      <c r="F227" t="n">
        <v>17.13</v>
      </c>
      <c r="G227" s="3" t="n">
        <v>1</v>
      </c>
      <c r="H227" s="3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IF(K227&lt;-5,"CRÍTICO",IF(K227&lt;0,"ATENÇÃO",IF(K227&lt;=5,"BOM","EXCELENTE")))</f>
        <v/>
      </c>
      <c r="M227" t="n">
        <v>30</v>
      </c>
      <c r="N227" t="n">
        <v>99.13</v>
      </c>
      <c r="O227" t="n">
        <v>14.7239263803681</v>
      </c>
    </row>
    <row r="228" hidden="1">
      <c r="A228" s="5" t="n">
        <v>46153</v>
      </c>
      <c r="B228" s="6" t="inlineStr">
        <is>
          <t>Carlos Mateus Cassimiro Nunes</t>
        </is>
      </c>
      <c r="C228" s="9" t="inlineStr">
        <is>
          <t>Técnico II</t>
        </is>
      </c>
      <c r="D228" s="3" t="n">
        <v>22</v>
      </c>
      <c r="E228" s="3" t="n">
        <v>22</v>
      </c>
      <c r="F228" t="n">
        <v>26.55</v>
      </c>
      <c r="G228" s="3" t="n">
        <v>4</v>
      </c>
      <c r="H228" s="3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IF(K228&lt;-5,"CRÍTICO",IF(K228&lt;0,"ATENÇÃO",IF(K228&lt;=5,"BOM","EXCELENTE")))</f>
        <v/>
      </c>
      <c r="M228" t="n">
        <v>26</v>
      </c>
      <c r="N228" t="n">
        <v>98.8</v>
      </c>
      <c r="O228" t="n">
        <v>16.89750692520776</v>
      </c>
    </row>
    <row r="229" hidden="1">
      <c r="A229" s="5" t="n">
        <v>46153</v>
      </c>
      <c r="B229" s="6" t="inlineStr">
        <is>
          <t>Clessiane Pereira dos Santos</t>
        </is>
      </c>
      <c r="C229" s="3" t="inlineStr">
        <is>
          <t>Técnico I</t>
        </is>
      </c>
      <c r="D229" s="3" t="n">
        <v>24</v>
      </c>
      <c r="E229" s="3" t="n">
        <v>23</v>
      </c>
      <c r="F229" t="n">
        <v>18.57</v>
      </c>
      <c r="G229" s="3" t="n">
        <v>2</v>
      </c>
      <c r="H229" s="3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IF(K229&lt;-5,"CRÍTICO",IF(K229&lt;0,"ATENÇÃO",IF(K229&lt;=5,"BOM","EXCELENTE")))</f>
        <v/>
      </c>
      <c r="M229" t="n">
        <v>21</v>
      </c>
      <c r="N229" t="n">
        <v>96.88</v>
      </c>
      <c r="O229" t="n">
        <v>19.52662721893491</v>
      </c>
    </row>
    <row r="230" hidden="1">
      <c r="A230" s="5" t="n">
        <v>46153</v>
      </c>
      <c r="B230" s="6" t="inlineStr">
        <is>
          <t>Cristiane Ramos da Silva Rocha</t>
        </is>
      </c>
      <c r="C230" s="3" t="inlineStr">
        <is>
          <t>Técnico III</t>
        </is>
      </c>
      <c r="D230" s="3" t="n">
        <v>35</v>
      </c>
      <c r="E230" s="3" t="n">
        <v>35</v>
      </c>
      <c r="F230" t="n">
        <v>12.1</v>
      </c>
      <c r="G230" s="3" t="n">
        <v>0</v>
      </c>
      <c r="H230" s="3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IF(K230&lt;-5,"CRÍTICO",IF(K230&lt;0,"ATENÇÃO",IF(K230&lt;=5,"BOM","EXCELENTE")))</f>
        <v/>
      </c>
      <c r="M230" t="n">
        <v>31</v>
      </c>
      <c r="N230" t="n">
        <v>91.84999999999999</v>
      </c>
      <c r="O230" t="n">
        <v>20.87155963302752</v>
      </c>
    </row>
    <row r="231" hidden="1">
      <c r="A231" s="5" t="n">
        <v>46153</v>
      </c>
      <c r="B231" s="6" t="inlineStr">
        <is>
          <t>Damyllis Lorraine de Oliveira Gonçalves</t>
        </is>
      </c>
      <c r="C231" s="3" t="inlineStr">
        <is>
          <t>Técnico II</t>
        </is>
      </c>
      <c r="D231" s="3" t="n">
        <v>30</v>
      </c>
      <c r="E231" s="3" t="n">
        <v>27</v>
      </c>
      <c r="F231" t="n">
        <v>16.46</v>
      </c>
      <c r="G231" s="3" t="n">
        <v>0</v>
      </c>
      <c r="H231" s="3" t="n">
        <v>0</v>
      </c>
      <c r="I231" s="3" t="n">
        <v>0</v>
      </c>
      <c r="J231" s="3" t="n">
        <v>0</v>
      </c>
      <c r="K231" s="3" t="n">
        <v>0</v>
      </c>
      <c r="L231" s="3">
        <f>IF(K231&lt;-5,"CRÍTICO",IF(K231&lt;0,"ATENÇÃO",IF(K231&lt;=5,"BOM","EXCELENTE")))</f>
        <v/>
      </c>
      <c r="M231" t="n">
        <v>22</v>
      </c>
      <c r="N231" t="n">
        <v>98.63</v>
      </c>
      <c r="O231" t="n">
        <v>18.75</v>
      </c>
    </row>
    <row r="232" hidden="1">
      <c r="A232" s="5" t="n">
        <v>46153</v>
      </c>
      <c r="B232" s="6" t="inlineStr">
        <is>
          <t>Daniel Gomes da Silva</t>
        </is>
      </c>
      <c r="C232" s="3" t="inlineStr">
        <is>
          <t>Técnico I</t>
        </is>
      </c>
      <c r="D232" s="3" t="n">
        <v>24</v>
      </c>
      <c r="E232" s="3" t="n">
        <v>20</v>
      </c>
      <c r="F232" t="n">
        <v>13.37</v>
      </c>
      <c r="G232" s="3" t="n">
        <v>2</v>
      </c>
      <c r="H232" s="3" t="n">
        <v>0</v>
      </c>
      <c r="I232" s="3">
        <f>E232+G232+H232</f>
        <v/>
      </c>
      <c r="J232" s="3">
        <f>ROUND(MIN(IF(C232="Técnico III",35,IF(C232="Técnico II",28,IF(C232="Técnico I",23,IF(C232="JR",20,IF(C232="Estágio",10,0))))),IF(C232="Técnico III",SUMIFS($D:$D,$A:$A,$A232,$B:$B,"&lt;&gt;Patrícia Karla de Sousa Araújo",$B:$B,"&lt;&gt;Lorena Dias de Araujo",$B:$B,"&lt;&gt;Lucas Luiz Romero")*(35/1083),IF(C232="Técnico II",SUMIFS($D:$D,$A:$A,$A232,$B:$B,"&lt;&gt;Patrícia Karla de Sousa Araújo",$B:$B,"&lt;&gt;Lorena Dias de Araujo",$B:$B,"&lt;&gt;Lucas Luiz Romero")*(28/1083),IF(C232="Técnico I",SUMIFS($D:$D,$A:$A,$A232,$B:$B,"&lt;&gt;Patrícia Karla de Sousa Araújo",$B:$B,"&lt;&gt;Lorena Dias de Araujo",$B:$B,"&lt;&gt;Lucas Luiz Romero")*(23/1083),IF(C232="JR",SUMIFS($D:$D,$A:$A,$A232,$B:$B,"&lt;&gt;Patrícia Karla de Sousa Araújo",$B:$B,"&lt;&gt;Lorena Dias de Araujo",$B:$B,"&lt;&gt;Lucas Luiz Romero")*(20/1083),IF(C232="Estágio",SUMIFS($D:$D,$A:$A,$A232,$B:$B,"&lt;&gt;Patrícia Karla de Sousa Araújo",$B:$B,"&lt;&gt;Lorena Dias de Araujo",$B:$B,"&lt;&gt;Lucas Luiz Romero")*(10/1083),0)))))),0)</f>
        <v/>
      </c>
      <c r="K232" s="3">
        <f>I232-J232</f>
        <v/>
      </c>
      <c r="L232" s="3">
        <f>IF(K232&lt;-5,"CRÍTICO",IF(K232&lt;0,"ATENÇÃO",IF(K232&lt;=5,"BOM","EXCELENTE")))</f>
        <v/>
      </c>
      <c r="M232" t="n">
        <v>19</v>
      </c>
      <c r="N232" t="n">
        <v>100</v>
      </c>
      <c r="O232" t="n">
        <v>18.14516129032258</v>
      </c>
    </row>
    <row r="233" hidden="1">
      <c r="A233" s="5" t="n">
        <v>46153</v>
      </c>
      <c r="B233" s="6" t="inlineStr">
        <is>
          <t>Davylla Rodrigues Freitas Silva</t>
        </is>
      </c>
      <c r="C233" s="9" t="inlineStr">
        <is>
          <t>Técnico III</t>
        </is>
      </c>
      <c r="D233" s="3" t="n">
        <v>25</v>
      </c>
      <c r="E233" s="3" t="n">
        <v>25</v>
      </c>
      <c r="F233" t="n">
        <v>29.18</v>
      </c>
      <c r="G233" s="3" t="n">
        <v>0</v>
      </c>
      <c r="H233" s="3" t="n">
        <v>0</v>
      </c>
      <c r="I233" s="3" t="n">
        <v>0</v>
      </c>
      <c r="J233" s="3" t="n">
        <v>0</v>
      </c>
      <c r="K233" s="3" t="n">
        <v>0</v>
      </c>
      <c r="L233" s="3">
        <f>IF(K233&lt;-5,"CRÍTICO",IF(K233&lt;0,"ATENÇÃO",IF(K233&lt;=5,"BOM","EXCELENTE")))</f>
        <v/>
      </c>
      <c r="M233" t="n">
        <v>25</v>
      </c>
      <c r="N233" t="n">
        <v>99.06</v>
      </c>
      <c r="O233" t="n">
        <v>22.95719844357977</v>
      </c>
    </row>
    <row r="234" hidden="1">
      <c r="A234" s="5" t="n">
        <v>46153</v>
      </c>
      <c r="B234" s="6" t="inlineStr">
        <is>
          <t>Anna Luiza Rezende Tavares</t>
        </is>
      </c>
      <c r="C234" s="3" t="inlineStr">
        <is>
          <t>Estágio</t>
        </is>
      </c>
      <c r="D234" s="3" t="n">
        <v>32</v>
      </c>
      <c r="E234" s="3" t="n">
        <v>32</v>
      </c>
      <c r="F234" t="n">
        <v>15.35</v>
      </c>
      <c r="G234" s="3" t="n">
        <v>0</v>
      </c>
      <c r="H234" s="3" t="n">
        <v>0</v>
      </c>
      <c r="I234" s="3">
        <f>E234+G234+H234</f>
        <v/>
      </c>
      <c r="J234" s="3">
        <f>ROUND(MIN(IF(C234="Técnico III",35,IF(C234="Técnico II",28,IF(C234="Técnico I",23,IF(C234="JR",20,IF(C234="Estágio",10,0))))),IF(C234="Técnico III",SUMIFS($D:$D,$A:$A,$A234,$B:$B,"&lt;&gt;Patrícia Karla de Sousa Araújo",$B:$B,"&lt;&gt;Lorena Dias de Araujo",$B:$B,"&lt;&gt;Lucas Luiz Romero")*(35/1083),IF(C234="Técnico II",SUMIFS($D:$D,$A:$A,$A234,$B:$B,"&lt;&gt;Patrícia Karla de Sousa Araújo",$B:$B,"&lt;&gt;Lorena Dias de Araujo",$B:$B,"&lt;&gt;Lucas Luiz Romero")*(28/1083),IF(C234="Técnico I",SUMIFS($D:$D,$A:$A,$A234,$B:$B,"&lt;&gt;Patrícia Karla de Sousa Araújo",$B:$B,"&lt;&gt;Lorena Dias de Araujo",$B:$B,"&lt;&gt;Lucas Luiz Romero")*(23/1083),IF(C234="JR",SUMIFS($D:$D,$A:$A,$A234,$B:$B,"&lt;&gt;Patrícia Karla de Sousa Araújo",$B:$B,"&lt;&gt;Lorena Dias de Araujo",$B:$B,"&lt;&gt;Lucas Luiz Romero")*(20/1083),IF(C234="Estágio",SUMIFS($D:$D,$A:$A,$A234,$B:$B,"&lt;&gt;Patrícia Karla de Sousa Araújo",$B:$B,"&lt;&gt;Lorena Dias de Araujo",$B:$B,"&lt;&gt;Lucas Luiz Romero")*(10/1083),0)))))),0)</f>
        <v/>
      </c>
      <c r="K234" s="3">
        <f>I234-J234</f>
        <v/>
      </c>
      <c r="L234" s="3">
        <f>IF(K234&lt;-5,"CRÍTICO",IF(K234&lt;0,"ATENÇÃO",IF(K234&lt;=5,"BOM","EXCELENTE")))</f>
        <v/>
      </c>
      <c r="M234" t="n">
        <v>29</v>
      </c>
      <c r="N234" t="n">
        <v>99.11</v>
      </c>
      <c r="O234" t="n">
        <v>17.72151898734177</v>
      </c>
    </row>
    <row r="235" hidden="1">
      <c r="A235" s="5" t="n">
        <v>46153</v>
      </c>
      <c r="B235" s="6" t="inlineStr">
        <is>
          <t>Claudio de Sousa Velasco Filho</t>
        </is>
      </c>
      <c r="C235" s="3" t="inlineStr">
        <is>
          <t>Estágio</t>
        </is>
      </c>
      <c r="D235" s="3" t="n">
        <v>1</v>
      </c>
      <c r="E235" s="3" t="n">
        <v>1</v>
      </c>
      <c r="F235" t="n">
        <v>45.11</v>
      </c>
      <c r="G235" s="3" t="n">
        <v>0</v>
      </c>
      <c r="H235" s="3" t="n">
        <v>0</v>
      </c>
      <c r="I235" s="3">
        <f>E235+G235+H235</f>
        <v/>
      </c>
      <c r="J235" s="3">
        <f>ROUND(MIN(IF(C235="Técnico III",35,IF(C235="Técnico II",28,IF(C235="Técnico I",23,IF(C235="JR",20,IF(C235="Estágio",10,0))))),IF(C235="Técnico III",SUMIFS($D:$D,$A:$A,$A235,$B:$B,"&lt;&gt;Patrícia Karla de Sousa Araújo",$B:$B,"&lt;&gt;Lorena Dias de Araujo",$B:$B,"&lt;&gt;Lucas Luiz Romero")*(35/1083),IF(C235="Técnico II",SUMIFS($D:$D,$A:$A,$A235,$B:$B,"&lt;&gt;Patrícia Karla de Sousa Araújo",$B:$B,"&lt;&gt;Lorena Dias de Araujo",$B:$B,"&lt;&gt;Lucas Luiz Romero")*(28/1083),IF(C235="Técnico I",SUMIFS($D:$D,$A:$A,$A235,$B:$B,"&lt;&gt;Patrícia Karla de Sousa Araújo",$B:$B,"&lt;&gt;Lorena Dias de Araujo",$B:$B,"&lt;&gt;Lucas Luiz Romero")*(23/1083),IF(C235="JR",SUMIFS($D:$D,$A:$A,$A235,$B:$B,"&lt;&gt;Patrícia Karla de Sousa Araújo",$B:$B,"&lt;&gt;Lorena Dias de Araujo",$B:$B,"&lt;&gt;Lucas Luiz Romero")*(20/1083),IF(C235="Estágio",SUMIFS($D:$D,$A:$A,$A235,$B:$B,"&lt;&gt;Patrícia Karla de Sousa Araújo",$B:$B,"&lt;&gt;Lorena Dias de Araujo",$B:$B,"&lt;&gt;Lucas Luiz Romero")*(10/1083),0)))))),0)</f>
        <v/>
      </c>
      <c r="K235" s="3">
        <f>I235-J235</f>
        <v/>
      </c>
      <c r="L235" s="3">
        <f>IF(K235&lt;-5,"CRÍTICO",IF(K235&lt;0,"ATENÇÃO",IF(K235&lt;=5,"BOM","EXCELENTE")))</f>
        <v/>
      </c>
      <c r="M235" t="n">
        <v>1</v>
      </c>
      <c r="N235" t="n">
        <v>96.43000000000001</v>
      </c>
      <c r="O235" t="n">
        <v>20</v>
      </c>
    </row>
    <row r="236" hidden="1">
      <c r="A236" s="5" t="n">
        <v>46153</v>
      </c>
      <c r="B236" s="6" t="inlineStr">
        <is>
          <t>Emilly Caylane Costa</t>
        </is>
      </c>
      <c r="C236" s="3" t="inlineStr">
        <is>
          <t>Estágio</t>
        </is>
      </c>
      <c r="D236" s="3" t="n">
        <v>8</v>
      </c>
      <c r="E236" s="3" t="n">
        <v>5</v>
      </c>
      <c r="F236" t="n">
        <v>21.51</v>
      </c>
      <c r="G236" s="3" t="n">
        <v>0</v>
      </c>
      <c r="H236" s="3" t="n">
        <v>0</v>
      </c>
      <c r="I236" s="3">
        <f>E236+G236+H236</f>
        <v/>
      </c>
      <c r="J236" s="3">
        <f>ROUND(MIN(IF(C236="Técnico III",35,IF(C236="Técnico II",28,IF(C236="Técnico I",23,IF(C236="JR",20,IF(C236="Estágio",10,0))))),IF(C236="Técnico III",SUMIFS($D:$D,$A:$A,$A236,$B:$B,"&lt;&gt;Patrícia Karla de Sousa Araújo",$B:$B,"&lt;&gt;Lorena Dias de Araujo",$B:$B,"&lt;&gt;Lucas Luiz Romero")*(35/1083),IF(C236="Técnico II",SUMIFS($D:$D,$A:$A,$A236,$B:$B,"&lt;&gt;Patrícia Karla de Sousa Araújo",$B:$B,"&lt;&gt;Lorena Dias de Araujo",$B:$B,"&lt;&gt;Lucas Luiz Romero")*(28/1083),IF(C236="Técnico I",SUMIFS($D:$D,$A:$A,$A236,$B:$B,"&lt;&gt;Patrícia Karla de Sousa Araújo",$B:$B,"&lt;&gt;Lorena Dias de Araujo",$B:$B,"&lt;&gt;Lucas Luiz Romero")*(23/1083),IF(C236="JR",SUMIFS($D:$D,$A:$A,$A236,$B:$B,"&lt;&gt;Patrícia Karla de Sousa Araújo",$B:$B,"&lt;&gt;Lorena Dias de Araujo",$B:$B,"&lt;&gt;Lucas Luiz Romero")*(20/1083),IF(C236="Estágio",SUMIFS($D:$D,$A:$A,$A236,$B:$B,"&lt;&gt;Patrícia Karla de Sousa Araújo",$B:$B,"&lt;&gt;Lorena Dias de Araujo",$B:$B,"&lt;&gt;Lucas Luiz Romero")*(10/1083),0)))))),0)</f>
        <v/>
      </c>
      <c r="K236" s="3">
        <f>I236-J236</f>
        <v/>
      </c>
      <c r="L236" s="3">
        <f>IF(K236&lt;-5,"CRÍTICO",IF(K236&lt;0,"ATENÇÃO",IF(K236&lt;=5,"BOM","EXCELENTE")))</f>
        <v/>
      </c>
      <c r="M236" t="n">
        <v>2</v>
      </c>
      <c r="N236" t="n">
        <v>100</v>
      </c>
      <c r="O236" t="n">
        <v>29.03225806451613</v>
      </c>
    </row>
    <row r="237" hidden="1">
      <c r="A237" s="5" t="n">
        <v>46153</v>
      </c>
      <c r="B237" s="6" t="inlineStr">
        <is>
          <t>Emilly Kamilly Medeiros Miranda</t>
        </is>
      </c>
      <c r="C237" s="3" t="inlineStr">
        <is>
          <t>Técnico II</t>
        </is>
      </c>
      <c r="D237" s="3" t="n">
        <v>28</v>
      </c>
      <c r="E237" s="3" t="n">
        <v>27</v>
      </c>
      <c r="F237" t="n">
        <v>15.05</v>
      </c>
      <c r="G237" s="3" t="n">
        <v>4</v>
      </c>
      <c r="H237" s="3" t="n">
        <v>0</v>
      </c>
      <c r="I237" s="3">
        <f>E237+G237+H237</f>
        <v/>
      </c>
      <c r="J237" s="3">
        <f>ROUND(MIN(IF(C237="Técnico III",35,IF(C237="Técnico II",28,IF(C237="Técnico I",23,IF(C237="JR",20,IF(C237="Estágio",10,0))))),IF(C237="Técnico III",SUMIFS($D:$D,$A:$A,$A237,$B:$B,"&lt;&gt;Patrícia Karla de Sousa Araújo",$B:$B,"&lt;&gt;Lorena Dias de Araujo",$B:$B,"&lt;&gt;Lucas Luiz Romero")*(35/1083),IF(C237="Técnico II",SUMIFS($D:$D,$A:$A,$A237,$B:$B,"&lt;&gt;Patrícia Karla de Sousa Araújo",$B:$B,"&lt;&gt;Lorena Dias de Araujo",$B:$B,"&lt;&gt;Lucas Luiz Romero")*(28/1083),IF(C237="Técnico I",SUMIFS($D:$D,$A:$A,$A237,$B:$B,"&lt;&gt;Patrícia Karla de Sousa Araújo",$B:$B,"&lt;&gt;Lorena Dias de Araujo",$B:$B,"&lt;&gt;Lucas Luiz Romero")*(23/1083),IF(C237="JR",SUMIFS($D:$D,$A:$A,$A237,$B:$B,"&lt;&gt;Patrícia Karla de Sousa Araújo",$B:$B,"&lt;&gt;Lorena Dias de Araujo",$B:$B,"&lt;&gt;Lucas Luiz Romero")*(20/1083),IF(C237="Estágio",SUMIFS($D:$D,$A:$A,$A237,$B:$B,"&lt;&gt;Patrícia Karla de Sousa Araújo",$B:$B,"&lt;&gt;Lorena Dias de Araujo",$B:$B,"&lt;&gt;Lucas Luiz Romero")*(10/1083),0)))))),0)</f>
        <v/>
      </c>
      <c r="K237" s="3">
        <f>I237-J237</f>
        <v/>
      </c>
      <c r="L237" s="3">
        <f>IF(K237&lt;-5,"CRÍTICO",IF(K237&lt;0,"ATENÇÃO",IF(K237&lt;=5,"BOM","EXCELENTE")))</f>
        <v/>
      </c>
      <c r="M237" t="n">
        <v>27</v>
      </c>
      <c r="N237" t="n">
        <v>100</v>
      </c>
      <c r="O237" t="n">
        <v>13.8121546961326</v>
      </c>
    </row>
    <row r="238" hidden="1">
      <c r="A238" s="5" t="n">
        <v>46153</v>
      </c>
      <c r="B238" s="6" t="inlineStr">
        <is>
          <t>Francielson de Oliveira</t>
        </is>
      </c>
      <c r="C238" s="9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IF(K238&lt;-5,"CRÍTICO",IF(K238&lt;0,"ATENÇÃO",IF(K238&lt;=5,"BOM","EXCELENTE")))</f>
        <v/>
      </c>
      <c r="M238" s="9" t="n">
        <v>0</v>
      </c>
      <c r="N238" s="9" t="n">
        <v>100</v>
      </c>
      <c r="O238" s="9" t="n">
        <v>9.523809523809524</v>
      </c>
    </row>
    <row r="239" hidden="1">
      <c r="A239" s="5" t="n">
        <v>46153</v>
      </c>
      <c r="B239" s="6" t="inlineStr">
        <is>
          <t>Francilene Ferreira de Jesus</t>
        </is>
      </c>
      <c r="C239" s="3" t="inlineStr">
        <is>
          <t>Técnico II</t>
        </is>
      </c>
      <c r="D239" s="3" t="n">
        <v>0</v>
      </c>
      <c r="E239" s="3" t="n">
        <v>0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IF(K239&lt;-5,"CRÍTICO",IF(K239&lt;0,"ATENÇÃO",IF(K239&lt;=5,"BOM","EXCELENTE")))</f>
        <v/>
      </c>
      <c r="M239" s="9" t="n">
        <v>0</v>
      </c>
      <c r="N239" s="9" t="n">
        <v>100</v>
      </c>
      <c r="O239" s="9" t="n">
        <v>17.24137931034483</v>
      </c>
    </row>
    <row r="240" hidden="1">
      <c r="A240" s="5" t="n">
        <v>46153</v>
      </c>
      <c r="B240" s="6" t="inlineStr">
        <is>
          <t>Maria Eduarda Sousa Costa</t>
        </is>
      </c>
      <c r="C240" s="3" t="inlineStr">
        <is>
          <t>Estágio</t>
        </is>
      </c>
      <c r="D240" s="3" t="n">
        <v>52</v>
      </c>
      <c r="E240" s="3" t="n">
        <v>32</v>
      </c>
      <c r="F240" t="n">
        <v>5.18</v>
      </c>
      <c r="G240" s="3" t="n">
        <v>0</v>
      </c>
      <c r="H240" s="3" t="n">
        <v>0</v>
      </c>
      <c r="I240" s="3">
        <f>E240+G240+H240</f>
        <v/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/>
      </c>
      <c r="K240" s="3">
        <f>I240-J240</f>
        <v/>
      </c>
      <c r="L240" s="3">
        <f>IF(K240&lt;-5,"CRÍTICO",IF(K240&lt;0,"ATENÇÃO",IF(K240&lt;=5,"BOM","EXCELENTE")))</f>
        <v/>
      </c>
      <c r="M240" t="n">
        <v>4</v>
      </c>
      <c r="N240" t="n">
        <v>100</v>
      </c>
      <c r="O240" t="n">
        <v>11.86440677966102</v>
      </c>
    </row>
    <row r="241" hidden="1">
      <c r="A241" s="5" t="n">
        <v>46153</v>
      </c>
      <c r="B241" s="6" t="inlineStr">
        <is>
          <t>Michelle G Santos</t>
        </is>
      </c>
      <c r="C241" s="3" t="inlineStr">
        <is>
          <t>Estágio</t>
        </is>
      </c>
      <c r="D241" s="3" t="n">
        <v>7</v>
      </c>
      <c r="E241" s="3" t="n">
        <v>7</v>
      </c>
      <c r="F241" t="n">
        <v>29.17</v>
      </c>
      <c r="G241" s="3" t="n">
        <v>0</v>
      </c>
      <c r="H241" s="3" t="n">
        <v>0</v>
      </c>
      <c r="I241" s="3">
        <f>E241+G241+H241</f>
        <v/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/>
      </c>
      <c r="K241" s="3">
        <f>I241-J241</f>
        <v/>
      </c>
      <c r="L241" s="3">
        <f>IF(K241&lt;-5,"CRÍTICO",IF(K241&lt;0,"ATENÇÃO",IF(K241&lt;=5,"BOM","EXCELENTE")))</f>
        <v/>
      </c>
      <c r="M241" t="n">
        <v>4</v>
      </c>
      <c r="N241" t="n">
        <v>100</v>
      </c>
      <c r="O241" t="n">
        <v>16.8141592920354</v>
      </c>
    </row>
    <row r="242" hidden="1">
      <c r="A242" s="5" t="n">
        <v>46153</v>
      </c>
      <c r="B242" s="6" t="inlineStr">
        <is>
          <t>Quirino Diogo Leite Torres</t>
        </is>
      </c>
      <c r="C242" s="3" t="inlineStr">
        <is>
          <t>Estágio</t>
        </is>
      </c>
      <c r="D242" s="3" t="n">
        <v>16</v>
      </c>
      <c r="E242" s="3" t="n">
        <v>16</v>
      </c>
      <c r="F242" t="n">
        <v>30.41</v>
      </c>
      <c r="G242" s="3" t="n">
        <v>0</v>
      </c>
      <c r="H242" s="3" t="n">
        <v>0</v>
      </c>
      <c r="I242" s="3">
        <f>E242+G242+H242</f>
        <v/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/>
      </c>
      <c r="K242" s="3">
        <f>I242-J242</f>
        <v/>
      </c>
      <c r="L242" s="3">
        <f>IF(K242&lt;-5,"CRÍTICO",IF(K242&lt;0,"ATENÇÃO",IF(K242&lt;=5,"BOM","EXCELENTE")))</f>
        <v/>
      </c>
      <c r="M242" t="n">
        <v>15</v>
      </c>
      <c r="N242" t="n">
        <v>98.11</v>
      </c>
      <c r="O242" t="n">
        <v>20.40816326530612</v>
      </c>
    </row>
    <row r="243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N243" t="n">
        <v>98.91</v>
      </c>
      <c r="O243" t="n">
        <v>31.36729222520107</v>
      </c>
    </row>
    <row r="244" hidden="1">
      <c r="A244" s="5" t="n">
        <v>46153</v>
      </c>
      <c r="B244" s="6" t="inlineStr">
        <is>
          <t>Isabella Borges de Oliveira</t>
        </is>
      </c>
      <c r="C244" s="9" t="inlineStr">
        <is>
          <t>Técnico II</t>
        </is>
      </c>
      <c r="D244" s="3" t="n">
        <v>26</v>
      </c>
      <c r="E244" s="3" t="n">
        <v>24</v>
      </c>
      <c r="F244" t="n">
        <v>18.31</v>
      </c>
      <c r="G244" s="3" t="n">
        <v>0</v>
      </c>
      <c r="H244" s="3" t="n">
        <v>0</v>
      </c>
      <c r="I244" s="3">
        <f>E244+G244+H244</f>
        <v/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/>
      </c>
      <c r="K244" s="3">
        <f>I244-J244</f>
        <v/>
      </c>
      <c r="L244" s="3">
        <f>IF(K244&lt;-5,"CRÍTICO",IF(K244&lt;0,"ATENÇÃO",IF(K244&lt;=5,"BOM","EXCELENTE")))</f>
        <v/>
      </c>
      <c r="M244" t="n">
        <v>23</v>
      </c>
      <c r="N244" t="n">
        <v>98.63</v>
      </c>
      <c r="O244" t="n">
        <v>15.75757575757576</v>
      </c>
    </row>
    <row r="245" hidden="1">
      <c r="A245" s="5" t="n">
        <v>46153</v>
      </c>
      <c r="B245" s="6" t="inlineStr">
        <is>
          <t>Janaina Lima dos Reis Urany</t>
        </is>
      </c>
      <c r="C245" s="3" t="inlineStr">
        <is>
          <t>Técnico III</t>
        </is>
      </c>
      <c r="D245" s="3" t="n">
        <v>53</v>
      </c>
      <c r="E245" s="3" t="n">
        <v>46</v>
      </c>
      <c r="F245" t="n">
        <v>11.56</v>
      </c>
      <c r="G245" s="3" t="n">
        <v>3</v>
      </c>
      <c r="H245" s="3" t="n">
        <v>0</v>
      </c>
      <c r="I245" s="3">
        <f>E245+G245+H245</f>
        <v/>
      </c>
      <c r="J245" s="3">
        <f>ROUND(MIN(IF(C245="Técnico III",35,IF(C245="Técnico II",28,IF(C245="Técnico I",23,IF(C245="JR",20,IF(C245="Estágio",10,0))))),IF(C245="Técnico III",SUMIFS($D:$D,$A:$A,$A245,$B:$B,"&lt;&gt;Patrícia Karla de Sousa Araújo",$B:$B,"&lt;&gt;Lorena Dias de Araujo",$B:$B,"&lt;&gt;Lucas Luiz Romero")*(35/1083),IF(C245="Técnico II",SUMIFS($D:$D,$A:$A,$A245,$B:$B,"&lt;&gt;Patrícia Karla de Sousa Araújo",$B:$B,"&lt;&gt;Lorena Dias de Araujo",$B:$B,"&lt;&gt;Lucas Luiz Romero")*(28/1083),IF(C245="Técnico I",SUMIFS($D:$D,$A:$A,$A245,$B:$B,"&lt;&gt;Patrícia Karla de Sousa Araújo",$B:$B,"&lt;&gt;Lorena Dias de Araujo",$B:$B,"&lt;&gt;Lucas Luiz Romero")*(23/1083),IF(C245="JR",SUMIFS($D:$D,$A:$A,$A245,$B:$B,"&lt;&gt;Patrícia Karla de Sousa Araújo",$B:$B,"&lt;&gt;Lorena Dias de Araujo",$B:$B,"&lt;&gt;Lucas Luiz Romero")*(20/1083),IF(C245="Estágio",SUMIFS($D:$D,$A:$A,$A245,$B:$B,"&lt;&gt;Patrícia Karla de Sousa Araújo",$B:$B,"&lt;&gt;Lorena Dias de Araujo",$B:$B,"&lt;&gt;Lucas Luiz Romero")*(10/1083),0)))))),0)</f>
        <v/>
      </c>
      <c r="K245" s="3">
        <f>I245-J245</f>
        <v/>
      </c>
      <c r="L245" s="3">
        <f>IF(K245&lt;-5,"CRÍTICO",IF(K245&lt;0,"ATENÇÃO",IF(K245&lt;=5,"BOM","EXCELENTE")))</f>
        <v/>
      </c>
      <c r="M245" t="n">
        <v>44</v>
      </c>
      <c r="N245" t="n">
        <v>98.64</v>
      </c>
      <c r="O245" t="n">
        <v>16.6383701188455</v>
      </c>
    </row>
    <row r="246" hidden="1">
      <c r="A246" s="5" t="n">
        <v>46153</v>
      </c>
      <c r="B246" s="6" t="inlineStr">
        <is>
          <t>Jaqueline Evangelista da Silva Martins</t>
        </is>
      </c>
      <c r="C246" s="3" t="inlineStr">
        <is>
          <t>Técnico III</t>
        </is>
      </c>
      <c r="D246" s="3" t="n">
        <v>22</v>
      </c>
      <c r="E246" s="3" t="n">
        <v>20</v>
      </c>
      <c r="F246" t="n">
        <v>11.59</v>
      </c>
      <c r="G246" s="3" t="n">
        <v>4</v>
      </c>
      <c r="H246" s="3" t="n">
        <v>0</v>
      </c>
      <c r="I246" s="3">
        <f>E246+G246+H246</f>
        <v/>
      </c>
      <c r="J246" s="3">
        <f>ROUND(MIN(IF(C246="Técnico III",35,IF(C246="Técnico II",28,IF(C246="Técnico I",23,IF(C246="JR",20,IF(C246="Estágio",10,0))))),IF(C246="Técnico III",SUMIFS($D:$D,$A:$A,$A246,$B:$B,"&lt;&gt;Patrícia Karla de Sousa Araújo",$B:$B,"&lt;&gt;Lorena Dias de Araujo",$B:$B,"&lt;&gt;Lucas Luiz Romero")*(35/1083),IF(C246="Técnico II",SUMIFS($D:$D,$A:$A,$A246,$B:$B,"&lt;&gt;Patrícia Karla de Sousa Araújo",$B:$B,"&lt;&gt;Lorena Dias de Araujo",$B:$B,"&lt;&gt;Lucas Luiz Romero")*(28/1083),IF(C246="Técnico I",SUMIFS($D:$D,$A:$A,$A246,$B:$B,"&lt;&gt;Patrícia Karla de Sousa Araújo",$B:$B,"&lt;&gt;Lorena Dias de Araujo",$B:$B,"&lt;&gt;Lucas Luiz Romero")*(23/1083),IF(C246="JR",SUMIFS($D:$D,$A:$A,$A246,$B:$B,"&lt;&gt;Patrícia Karla de Sousa Araújo",$B:$B,"&lt;&gt;Lorena Dias de Araujo",$B:$B,"&lt;&gt;Lucas Luiz Romero")*(20/1083),IF(C246="Estágio",SUMIFS($D:$D,$A:$A,$A246,$B:$B,"&lt;&gt;Patrícia Karla de Sousa Araújo",$B:$B,"&lt;&gt;Lorena Dias de Araujo",$B:$B,"&lt;&gt;Lucas Luiz Romero")*(10/1083),0)))))),0)</f>
        <v/>
      </c>
      <c r="K246" s="3">
        <f>I246-J246</f>
        <v/>
      </c>
      <c r="L246" s="3">
        <f>IF(K246&lt;-5,"CRÍTICO",IF(K246&lt;0,"ATENÇÃO",IF(K246&lt;=5,"BOM","EXCELENTE")))</f>
        <v/>
      </c>
      <c r="M246" t="n">
        <v>17</v>
      </c>
      <c r="N246" t="n">
        <v>95.40000000000001</v>
      </c>
      <c r="O246" t="n">
        <v>20.53333333333333</v>
      </c>
    </row>
    <row r="247" hidden="1">
      <c r="A247" s="5" t="n">
        <v>46153</v>
      </c>
      <c r="B247" s="6" t="inlineStr">
        <is>
          <t>Jessica Faria da Silveira</t>
        </is>
      </c>
      <c r="C247" s="3" t="inlineStr">
        <is>
          <t>Técnico II</t>
        </is>
      </c>
      <c r="D247" s="3" t="n">
        <v>39</v>
      </c>
      <c r="E247" s="3" t="n">
        <v>31</v>
      </c>
      <c r="F247" t="n">
        <v>12</v>
      </c>
      <c r="G247" s="3" t="n">
        <v>1</v>
      </c>
      <c r="H247" s="3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IF(K247&lt;-5,"CRÍTICO",IF(K247&lt;0,"ATENÇÃO",IF(K247&lt;=5,"BOM","EXCELENTE")))</f>
        <v/>
      </c>
      <c r="M247" t="n">
        <v>25</v>
      </c>
      <c r="N247" t="n">
        <v>98.61</v>
      </c>
      <c r="O247" t="n">
        <v>16.97530864197531</v>
      </c>
    </row>
    <row r="248" hidden="1">
      <c r="A248" s="5" t="n">
        <v>46153</v>
      </c>
      <c r="B248" s="6" t="inlineStr">
        <is>
          <t>Jéssica Fé Moura</t>
        </is>
      </c>
      <c r="C248" s="3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IF(K248&lt;-5,"CRÍTICO",IF(K248&lt;0,"ATENÇÃO",IF(K248&lt;=5,"BOM","EXCELENTE")))</f>
        <v/>
      </c>
      <c r="M248" s="9" t="n">
        <v>0</v>
      </c>
      <c r="N248" s="9" t="n">
        <v>0</v>
      </c>
      <c r="O248" s="9" t="n">
        <v>0</v>
      </c>
    </row>
    <row r="249" hidden="1">
      <c r="A249" s="5" t="n">
        <v>46153</v>
      </c>
      <c r="B249" s="6" t="inlineStr">
        <is>
          <t>Karina Gonçalves Martins</t>
        </is>
      </c>
      <c r="C249" s="3" t="inlineStr">
        <is>
          <t>JR</t>
        </is>
      </c>
      <c r="D249" s="3" t="n">
        <v>17</v>
      </c>
      <c r="E249" s="3" t="n">
        <v>17</v>
      </c>
      <c r="F249" t="n">
        <v>30.53</v>
      </c>
      <c r="G249" s="3" t="n">
        <v>2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t="n">
        <v>18</v>
      </c>
      <c r="N249" t="n">
        <v>97.01000000000001</v>
      </c>
      <c r="O249" t="n">
        <v>13.96103896103896</v>
      </c>
    </row>
    <row r="250" hidden="1">
      <c r="A250" s="5" t="n">
        <v>46153</v>
      </c>
      <c r="B250" s="6" t="inlineStr">
        <is>
          <t>Kerollen Cristielly de Jesus Siqueira</t>
        </is>
      </c>
      <c r="C250" s="9" t="inlineStr">
        <is>
          <t>Técnico III</t>
        </is>
      </c>
      <c r="D250" s="3" t="n">
        <v>24</v>
      </c>
      <c r="E250" s="3" t="n">
        <v>23</v>
      </c>
      <c r="F250" t="n">
        <v>20</v>
      </c>
      <c r="G250" s="3" t="n">
        <v>1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t="n">
        <v>23</v>
      </c>
      <c r="N250" t="n">
        <v>95.52</v>
      </c>
      <c r="O250" t="n">
        <v>10.56105610561056</v>
      </c>
    </row>
    <row r="251" hidden="1">
      <c r="A251" s="5" t="n">
        <v>46153</v>
      </c>
      <c r="B251" s="6" t="inlineStr">
        <is>
          <t>Leandro de Souza Silva</t>
        </is>
      </c>
      <c r="C251" s="3" t="inlineStr">
        <is>
          <t>JR</t>
        </is>
      </c>
      <c r="D251" s="3" t="n">
        <v>12</v>
      </c>
      <c r="E251" s="3" t="n">
        <v>11</v>
      </c>
      <c r="F251" t="n">
        <v>22.06</v>
      </c>
      <c r="G251" s="3" t="n">
        <v>1</v>
      </c>
      <c r="H251" s="3" t="n">
        <v>0</v>
      </c>
      <c r="I251" s="3">
        <f>E251+G251+H251</f>
        <v/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/>
      </c>
      <c r="K251" s="3">
        <f>I251-J251</f>
        <v/>
      </c>
      <c r="L251" s="3">
        <f>IF(K251&lt;-5,"CRÍTICO",IF(K251&lt;0,"ATENÇÃO",IF(K251&lt;=5,"BOM","EXCELENTE")))</f>
        <v/>
      </c>
      <c r="M251" t="n">
        <v>11</v>
      </c>
      <c r="N251" t="n">
        <v>100</v>
      </c>
      <c r="O251" t="n">
        <v>16.95906432748538</v>
      </c>
    </row>
    <row r="252" hidden="1">
      <c r="A252" s="5" t="n">
        <v>46153</v>
      </c>
      <c r="B252" s="6" t="inlineStr">
        <is>
          <t>Leandro Oliveira de Sousa</t>
        </is>
      </c>
      <c r="C252" s="9" t="inlineStr">
        <is>
          <t>Técnico III</t>
        </is>
      </c>
      <c r="D252" s="3" t="n">
        <v>31</v>
      </c>
      <c r="E252" s="3" t="n">
        <v>29</v>
      </c>
      <c r="F252" t="n">
        <v>14.18</v>
      </c>
      <c r="G252" s="3" t="n">
        <v>0</v>
      </c>
      <c r="H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IF(K252&lt;-5,"CRÍTICO",IF(K252&lt;0,"ATENÇÃO",IF(K252&lt;=5,"BOM","EXCELENTE")))</f>
        <v/>
      </c>
      <c r="M252" t="n">
        <v>29</v>
      </c>
      <c r="N252" t="n">
        <v>100</v>
      </c>
      <c r="O252" t="n">
        <v>15.58441558441558</v>
      </c>
    </row>
    <row r="253" hidden="1">
      <c r="A253" s="5" t="n">
        <v>46153</v>
      </c>
      <c r="B253" s="6" t="inlineStr">
        <is>
          <t>Lizandra Gomes Duarte</t>
        </is>
      </c>
      <c r="C253" s="3" t="inlineStr">
        <is>
          <t>Técnico II</t>
        </is>
      </c>
      <c r="D253" s="3" t="n">
        <v>25</v>
      </c>
      <c r="E253" s="3" t="n">
        <v>22</v>
      </c>
      <c r="F253" t="n">
        <v>17.13</v>
      </c>
      <c r="G253" s="3" t="n">
        <v>2</v>
      </c>
      <c r="H253" s="3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IF(K253&lt;-5,"CRÍTICO",IF(K253&lt;0,"ATENÇÃO",IF(K253&lt;=5,"BOM","EXCELENTE")))</f>
        <v/>
      </c>
      <c r="M253" t="n">
        <v>21</v>
      </c>
      <c r="N253" t="n">
        <v>98.61</v>
      </c>
      <c r="O253" t="n">
        <v>16.86746987951807</v>
      </c>
    </row>
    <row r="254" hidden="1">
      <c r="A254" s="5" t="n">
        <v>46153</v>
      </c>
      <c r="B254" s="6" t="inlineStr">
        <is>
          <t>Lorena Dias de Araujo</t>
        </is>
      </c>
      <c r="C254" s="3" t="inlineStr">
        <is>
          <t>Técnico II</t>
        </is>
      </c>
      <c r="D254" s="3" t="n">
        <v>31</v>
      </c>
      <c r="E254" s="3" t="n">
        <v>30</v>
      </c>
      <c r="F254" t="n">
        <v>17.05</v>
      </c>
      <c r="G254" s="3" t="n">
        <v>0</v>
      </c>
      <c r="H254" s="3" t="n">
        <v>0</v>
      </c>
      <c r="I254" s="3" t="n">
        <v>0</v>
      </c>
      <c r="J254" s="3" t="n">
        <v>0</v>
      </c>
      <c r="K254" s="3" t="n">
        <v>0</v>
      </c>
      <c r="L254" s="3">
        <f>IF(K254&lt;-5,"CRÍTICO",IF(K254&lt;0,"ATENÇÃO",IF(K254&lt;=5,"BOM","EXCELENTE")))</f>
        <v/>
      </c>
      <c r="M254" t="n">
        <v>25</v>
      </c>
      <c r="N254" t="n">
        <v>100</v>
      </c>
      <c r="O254" t="n">
        <v>20.82018927444795</v>
      </c>
    </row>
    <row r="255" hidden="1">
      <c r="A255" s="5" t="n">
        <v>46153</v>
      </c>
      <c r="B255" s="6" t="inlineStr">
        <is>
          <t>Lucas Luiz Romero</t>
        </is>
      </c>
      <c r="C255" s="3" t="inlineStr">
        <is>
          <t>Técnico III</t>
        </is>
      </c>
      <c r="D255" s="3" t="n">
        <v>0</v>
      </c>
      <c r="E255" s="3" t="n">
        <v>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0</v>
      </c>
      <c r="L255" s="3">
        <f>IF(K255&lt;-5,"CRÍTICO",IF(K255&lt;0,"ATENÇÃO",IF(K255&lt;=5,"BOM","EXCELENTE")))</f>
        <v/>
      </c>
      <c r="M255" s="9" t="n">
        <v>0</v>
      </c>
      <c r="N255" s="9" t="n">
        <v>100</v>
      </c>
      <c r="O255" s="9" t="n">
        <v>4.347826086956522</v>
      </c>
    </row>
    <row r="256" hidden="1">
      <c r="A256" s="5" t="n">
        <v>46153</v>
      </c>
      <c r="B256" s="6" t="inlineStr">
        <is>
          <t>Luiz Fernando de Carvalho Junior</t>
        </is>
      </c>
      <c r="C256" s="3" t="inlineStr">
        <is>
          <t>Técnico I</t>
        </is>
      </c>
      <c r="D256" s="3" t="n">
        <v>24</v>
      </c>
      <c r="E256" s="3" t="n">
        <v>23</v>
      </c>
      <c r="F256" t="n">
        <v>17.22</v>
      </c>
      <c r="G256" s="3" t="n">
        <v>1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t="n">
        <v>25</v>
      </c>
      <c r="N256" t="n">
        <v>93.26000000000001</v>
      </c>
      <c r="O256" t="n">
        <v>19.93957703927493</v>
      </c>
    </row>
    <row r="257" hidden="1">
      <c r="A257" s="5" t="n">
        <v>46153</v>
      </c>
      <c r="B257" s="6" t="inlineStr">
        <is>
          <t>Matheus Farias De Souza</t>
        </is>
      </c>
      <c r="C257" s="3" t="inlineStr">
        <is>
          <t>Técnico III</t>
        </is>
      </c>
      <c r="D257" s="3" t="n">
        <v>0</v>
      </c>
      <c r="E257" s="3" t="n">
        <v>0</v>
      </c>
      <c r="F257" t="n">
        <v>0</v>
      </c>
      <c r="H257" s="3" t="n">
        <v>46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t="n">
        <v>27</v>
      </c>
      <c r="N257" t="n">
        <v>98.28</v>
      </c>
      <c r="O257" t="n">
        <v>9.037900874635568</v>
      </c>
    </row>
    <row r="258" hidden="1">
      <c r="A258" s="5" t="n">
        <v>46153</v>
      </c>
      <c r="B258" s="6" t="inlineStr">
        <is>
          <t>Maysa Victoria Dias Moura</t>
        </is>
      </c>
      <c r="C258" s="3" t="inlineStr">
        <is>
          <t>Técnico III</t>
        </is>
      </c>
      <c r="D258" s="3" t="n">
        <v>33</v>
      </c>
      <c r="E258" s="3" t="n">
        <v>24</v>
      </c>
      <c r="F258" t="n">
        <v>8.43</v>
      </c>
      <c r="G258" s="3" t="n">
        <v>5</v>
      </c>
      <c r="H258" s="3" t="n">
        <v>0</v>
      </c>
      <c r="I258" s="3">
        <f>E258+G258+H258</f>
        <v/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/>
      </c>
      <c r="K258" s="3">
        <f>I258-J258</f>
        <v/>
      </c>
      <c r="L258" s="3">
        <f>IF(K258&lt;-5,"CRÍTICO",IF(K258&lt;0,"ATENÇÃO",IF(K258&lt;=5,"BOM","EXCELENTE")))</f>
        <v/>
      </c>
      <c r="M258" t="n">
        <v>26</v>
      </c>
      <c r="N258" t="n">
        <v>97.22</v>
      </c>
      <c r="O258" t="n">
        <v>19.09547738693467</v>
      </c>
    </row>
    <row r="259" hidden="1">
      <c r="A259" s="5" t="n">
        <v>46153</v>
      </c>
      <c r="B259" s="6" t="inlineStr">
        <is>
          <t>Milena Sales</t>
        </is>
      </c>
      <c r="C259" s="3" t="inlineStr">
        <is>
          <t>JR</t>
        </is>
      </c>
      <c r="D259" s="3" t="n">
        <v>44</v>
      </c>
      <c r="E259" s="3" t="n">
        <v>23</v>
      </c>
      <c r="F259" t="n">
        <v>10.02</v>
      </c>
      <c r="G259" s="3" t="n">
        <v>0</v>
      </c>
      <c r="H259" s="3" t="n">
        <v>0</v>
      </c>
      <c r="I259" s="3">
        <f>E259+G259+H259</f>
        <v/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/>
      </c>
      <c r="K259" s="3">
        <f>I259-J259</f>
        <v/>
      </c>
      <c r="L259" s="3">
        <f>IF(K259&lt;-5,"CRÍTICO",IF(K259&lt;0,"ATENÇÃO",IF(K259&lt;=5,"BOM","EXCELENTE")))</f>
        <v/>
      </c>
      <c r="M259" t="n">
        <v>13</v>
      </c>
      <c r="N259" t="n">
        <v>98</v>
      </c>
      <c r="O259" t="n">
        <v>16.43835616438356</v>
      </c>
    </row>
    <row r="260" hidden="1">
      <c r="A260" s="5" t="n">
        <v>46153</v>
      </c>
      <c r="B260" s="6" t="inlineStr">
        <is>
          <t>Patrícia Karla de Sousa Araújo</t>
        </is>
      </c>
      <c r="C260" s="3" t="inlineStr">
        <is>
          <t>Técnico II</t>
        </is>
      </c>
      <c r="D260" s="3" t="n">
        <v>9</v>
      </c>
      <c r="E260" s="3" t="n">
        <v>8</v>
      </c>
      <c r="F260" t="n">
        <v>23.37</v>
      </c>
      <c r="G260" s="3" t="n">
        <v>0</v>
      </c>
      <c r="H260" s="3" t="n">
        <v>0</v>
      </c>
      <c r="I260" s="3">
        <f>E260+G260+H260</f>
        <v/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/>
      </c>
      <c r="K260" s="3">
        <f>I260-J260</f>
        <v/>
      </c>
      <c r="L260" s="3">
        <f>IF(K260&lt;-5,"CRÍTICO",IF(K260&lt;0,"ATENÇÃO",IF(K260&lt;=5,"BOM","EXCELENTE")))</f>
        <v/>
      </c>
      <c r="M260" t="n">
        <v>7</v>
      </c>
      <c r="N260" t="n">
        <v>100</v>
      </c>
      <c r="O260" t="n">
        <v>16.89497716894977</v>
      </c>
    </row>
    <row r="261" hidden="1">
      <c r="A261" s="5" t="n">
        <v>46153</v>
      </c>
      <c r="B261" s="6" t="inlineStr">
        <is>
          <t>Paulo Ricardo Santos</t>
        </is>
      </c>
      <c r="C261" s="3" t="inlineStr">
        <is>
          <t>JR</t>
        </is>
      </c>
      <c r="D261" s="3" t="n">
        <v>11</v>
      </c>
      <c r="E261" s="3" t="n">
        <v>11</v>
      </c>
      <c r="F261" t="n">
        <v>15.43</v>
      </c>
      <c r="G261" s="3" t="n">
        <v>0</v>
      </c>
      <c r="H261" s="3" t="n">
        <v>0</v>
      </c>
      <c r="I261" s="3">
        <f>E261+G261+H261</f>
        <v/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/>
      </c>
      <c r="K261" s="3">
        <f>I261-J261</f>
        <v/>
      </c>
      <c r="L261" s="3">
        <f>IF(K261&lt;-5,"CRÍTICO",IF(K261&lt;0,"ATENÇÃO",IF(K261&lt;=5,"BOM","EXCELENTE")))</f>
        <v/>
      </c>
      <c r="M261" t="n">
        <v>12</v>
      </c>
      <c r="N261" t="n">
        <v>100</v>
      </c>
      <c r="O261" t="n">
        <v>19.13875598086124</v>
      </c>
    </row>
    <row r="262" hidden="1">
      <c r="A262" s="5" t="n">
        <v>46153</v>
      </c>
      <c r="B262" s="6" t="inlineStr">
        <is>
          <t>Pedro Luiz Mota Sousa</t>
        </is>
      </c>
      <c r="C262" s="3" t="inlineStr">
        <is>
          <t>JR</t>
        </is>
      </c>
      <c r="D262" s="3" t="n">
        <v>17</v>
      </c>
      <c r="E262" s="3" t="n">
        <v>17</v>
      </c>
      <c r="F262" t="n">
        <v>20.21</v>
      </c>
      <c r="G262" s="3" t="n">
        <v>3</v>
      </c>
      <c r="H262" s="3" t="n">
        <v>0</v>
      </c>
      <c r="I262" s="3">
        <f>E262+G262+H262</f>
        <v/>
      </c>
      <c r="J262" s="3">
        <f>ROUND(MIN(IF(C262="Técnico III",35,IF(C262="Técnico II",28,IF(C262="Técnico I",23,IF(C262="JR",20,IF(C262="Estágio",10,0))))),IF(C262="Técnico III",SUMIFS($D:$D,$A:$A,$A262,$B:$B,"&lt;&gt;Patrícia Karla de Sousa Araújo",$B:$B,"&lt;&gt;Lorena Dias de Araujo",$B:$B,"&lt;&gt;Lucas Luiz Romero")*(35/1083),IF(C262="Técnico II",SUMIFS($D:$D,$A:$A,$A262,$B:$B,"&lt;&gt;Patrícia Karla de Sousa Araújo",$B:$B,"&lt;&gt;Lorena Dias de Araujo",$B:$B,"&lt;&gt;Lucas Luiz Romero")*(28/1083),IF(C262="Técnico I",SUMIFS($D:$D,$A:$A,$A262,$B:$B,"&lt;&gt;Patrícia Karla de Sousa Araújo",$B:$B,"&lt;&gt;Lorena Dias de Araujo",$B:$B,"&lt;&gt;Lucas Luiz Romero")*(23/1083),IF(C262="JR",SUMIFS($D:$D,$A:$A,$A262,$B:$B,"&lt;&gt;Patrícia Karla de Sousa Araújo",$B:$B,"&lt;&gt;Lorena Dias de Araujo",$B:$B,"&lt;&gt;Lucas Luiz Romero")*(20/1083),IF(C262="Estágio",SUMIFS($D:$D,$A:$A,$A262,$B:$B,"&lt;&gt;Patrícia Karla de Sousa Araújo",$B:$B,"&lt;&gt;Lorena Dias de Araujo",$B:$B,"&lt;&gt;Lucas Luiz Romero")*(10/1083),0)))))),0)</f>
        <v/>
      </c>
      <c r="K262" s="3">
        <f>I262-J262</f>
        <v/>
      </c>
      <c r="L262" s="3">
        <f>IF(K262&lt;-5,"CRÍTICO",IF(K262&lt;0,"ATENÇÃO",IF(K262&lt;=5,"BOM","EXCELENTE")))</f>
        <v/>
      </c>
      <c r="M262" t="n">
        <v>17</v>
      </c>
      <c r="N262" t="n">
        <v>100</v>
      </c>
      <c r="O262" t="n">
        <v>15.02145922746781</v>
      </c>
    </row>
    <row r="263" hidden="1">
      <c r="A263" s="5" t="n">
        <v>46153</v>
      </c>
      <c r="B263" s="6" t="inlineStr">
        <is>
          <t>Raane Batista Matos</t>
        </is>
      </c>
      <c r="C263" s="3" t="inlineStr">
        <is>
          <t>Técnico I</t>
        </is>
      </c>
      <c r="D263" s="3" t="n">
        <v>29</v>
      </c>
      <c r="E263" s="3" t="n">
        <v>25</v>
      </c>
      <c r="F263" t="n">
        <v>22.14</v>
      </c>
      <c r="G263" s="3" t="n">
        <v>6</v>
      </c>
      <c r="H263" s="3" t="n">
        <v>0</v>
      </c>
      <c r="I263" s="3">
        <f>E263+G263+H263</f>
        <v/>
      </c>
      <c r="J263" s="3">
        <f>ROUND(MIN(IF(C263="Técnico III",35,IF(C263="Técnico II",28,IF(C263="Técnico I",23,IF(C263="JR",20,IF(C263="Estágio",10,0))))),IF(C263="Técnico III",SUMIFS($D:$D,$A:$A,$A263,$B:$B,"&lt;&gt;Patrícia Karla de Sousa Araújo",$B:$B,"&lt;&gt;Lorena Dias de Araujo",$B:$B,"&lt;&gt;Lucas Luiz Romero")*(35/1083),IF(C263="Técnico II",SUMIFS($D:$D,$A:$A,$A263,$B:$B,"&lt;&gt;Patrícia Karla de Sousa Araújo",$B:$B,"&lt;&gt;Lorena Dias de Araujo",$B:$B,"&lt;&gt;Lucas Luiz Romero")*(28/1083),IF(C263="Técnico I",SUMIFS($D:$D,$A:$A,$A263,$B:$B,"&lt;&gt;Patrícia Karla de Sousa Araújo",$B:$B,"&lt;&gt;Lorena Dias de Araujo",$B:$B,"&lt;&gt;Lucas Luiz Romero")*(23/1083),IF(C263="JR",SUMIFS($D:$D,$A:$A,$A263,$B:$B,"&lt;&gt;Patrícia Karla de Sousa Araújo",$B:$B,"&lt;&gt;Lorena Dias de Araujo",$B:$B,"&lt;&gt;Lucas Luiz Romero")*(20/1083),IF(C263="Estágio",SUMIFS($D:$D,$A:$A,$A263,$B:$B,"&lt;&gt;Patrícia Karla de Sousa Araújo",$B:$B,"&lt;&gt;Lorena Dias de Araujo",$B:$B,"&lt;&gt;Lucas Luiz Romero")*(10/1083),0)))))),0)</f>
        <v/>
      </c>
      <c r="K263" s="3">
        <f>I263-J263</f>
        <v/>
      </c>
      <c r="L263" s="3">
        <f>IF(K263&lt;-5,"CRÍTICO",IF(K263&lt;0,"ATENÇÃO",IF(K263&lt;=5,"BOM","EXCELENTE")))</f>
        <v/>
      </c>
      <c r="M263" t="n">
        <v>24</v>
      </c>
      <c r="N263" t="n">
        <v>97.56</v>
      </c>
      <c r="O263" t="n">
        <v>19.28783382789317</v>
      </c>
    </row>
    <row r="264" hidden="1">
      <c r="A264" s="5" t="n">
        <v>46153</v>
      </c>
      <c r="B264" s="6" t="inlineStr">
        <is>
          <t>Rafael Gomes de Morais</t>
        </is>
      </c>
      <c r="C264" s="3" t="inlineStr">
        <is>
          <t>Técnico III</t>
        </is>
      </c>
      <c r="D264" s="3" t="n">
        <v>23</v>
      </c>
      <c r="E264" s="3" t="n">
        <v>21</v>
      </c>
      <c r="F264" t="n">
        <v>17.37</v>
      </c>
      <c r="G264" s="3" t="n">
        <v>2</v>
      </c>
      <c r="H264" s="3" t="n">
        <v>0</v>
      </c>
      <c r="I264" s="3">
        <f>E264+G264+H264</f>
        <v/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/>
      </c>
      <c r="K264" s="3">
        <f>I264-J264</f>
        <v/>
      </c>
      <c r="L264" s="3">
        <f>IF(K264&lt;-5,"CRÍTICO",IF(K264&lt;0,"ATENÇÃO",IF(K264&lt;=5,"BOM","EXCELENTE")))</f>
        <v/>
      </c>
      <c r="M264" t="n">
        <v>17</v>
      </c>
      <c r="N264" t="n">
        <v>99.29000000000001</v>
      </c>
      <c r="O264" t="n">
        <v>22.49443207126949</v>
      </c>
    </row>
    <row r="265" hidden="1">
      <c r="A265" s="5" t="n">
        <v>46153</v>
      </c>
      <c r="B265" s="6" t="inlineStr">
        <is>
          <t>Sara Maria Monteiro Lopes</t>
        </is>
      </c>
      <c r="C265" s="3" t="inlineStr">
        <is>
          <t>Técnico I</t>
        </is>
      </c>
      <c r="D265" s="3" t="n">
        <v>16</v>
      </c>
      <c r="E265" s="3" t="n">
        <v>16</v>
      </c>
      <c r="F265" t="n">
        <v>33.21</v>
      </c>
      <c r="G265" s="3" t="n">
        <v>1</v>
      </c>
      <c r="H265" s="3" t="n">
        <v>0</v>
      </c>
      <c r="I265" s="3">
        <f>E265+G265+H265</f>
        <v/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/>
      </c>
      <c r="K265" s="3">
        <f>I265-J265</f>
        <v/>
      </c>
      <c r="L265" s="3">
        <f>IF(K265&lt;-5,"CRÍTICO",IF(K265&lt;0,"ATENÇÃO",IF(K265&lt;=5,"BOM","EXCELENTE")))</f>
        <v/>
      </c>
      <c r="M265" t="n">
        <v>15</v>
      </c>
      <c r="N265" t="n">
        <v>100</v>
      </c>
      <c r="O265" t="n">
        <v>16.97247706422019</v>
      </c>
    </row>
    <row r="266" hidden="1">
      <c r="A266" s="5" t="n">
        <v>46153</v>
      </c>
      <c r="B266" s="6" t="inlineStr">
        <is>
          <t>Sarah Steffanie de Lima Borges</t>
        </is>
      </c>
      <c r="C266" s="3" t="inlineStr">
        <is>
          <t>Técnico III</t>
        </is>
      </c>
      <c r="D266" s="3" t="n">
        <v>25</v>
      </c>
      <c r="E266" s="3" t="n">
        <v>21</v>
      </c>
      <c r="F266" t="n">
        <v>15.04</v>
      </c>
      <c r="G266" s="3" t="n">
        <v>0</v>
      </c>
      <c r="H266" s="3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IF(K266&lt;-5,"CRÍTICO",IF(K266&lt;0,"ATENÇÃO",IF(K266&lt;=5,"BOM","EXCELENTE")))</f>
        <v/>
      </c>
      <c r="M266" t="n">
        <v>16</v>
      </c>
      <c r="N266" t="n">
        <v>97.33</v>
      </c>
      <c r="O266" t="n">
        <v>15.80547112462006</v>
      </c>
    </row>
    <row r="267" hidden="1">
      <c r="A267" s="5" t="n">
        <v>46154</v>
      </c>
      <c r="B267" s="6" t="inlineStr">
        <is>
          <t>Alisson de Freitas Silva</t>
        </is>
      </c>
      <c r="C267" s="3" t="inlineStr">
        <is>
          <t>Técnico II</t>
        </is>
      </c>
      <c r="D267" s="3" t="n">
        <v>25</v>
      </c>
      <c r="E267" s="3" t="n">
        <v>18</v>
      </c>
      <c r="F267" t="n">
        <v>9</v>
      </c>
      <c r="G267" s="3" t="n">
        <v>8</v>
      </c>
      <c r="H267" s="3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IF(K267&lt;-5,"CRÍTICO",IF(K267&lt;0,"ATENÇÃO",IF(K267&lt;=5,"BOM","EXCELENTE")))</f>
        <v/>
      </c>
      <c r="M267" s="3" t="n">
        <v>17</v>
      </c>
      <c r="N267" s="3" t="n">
        <v>98.94</v>
      </c>
      <c r="O267" s="3" t="n">
        <v>19.61414790996785</v>
      </c>
    </row>
    <row r="268" hidden="1">
      <c r="A268" s="5" t="n">
        <v>46154</v>
      </c>
      <c r="B268" s="6" t="inlineStr">
        <is>
          <t>Amanda Moura Ferreira</t>
        </is>
      </c>
      <c r="C268" s="3" t="inlineStr">
        <is>
          <t>Técnico III</t>
        </is>
      </c>
      <c r="D268" s="3" t="n">
        <v>0</v>
      </c>
      <c r="E268" s="3" t="n">
        <v>0</v>
      </c>
      <c r="F268" s="3" t="n">
        <v>0</v>
      </c>
      <c r="G268" s="3" t="n">
        <v>0</v>
      </c>
      <c r="H268" s="3" t="n">
        <v>0</v>
      </c>
      <c r="I268" s="3" t="n">
        <v>0</v>
      </c>
      <c r="J268" s="3" t="n">
        <v>0</v>
      </c>
      <c r="K268" s="3" t="n">
        <v>0</v>
      </c>
      <c r="L268" s="3">
        <f>IF(K268&lt;-5,"CRÍTICO",IF(K268&lt;0,"ATENÇÃO",IF(K268&lt;=5,"BOM","EXCELENTE")))</f>
        <v/>
      </c>
      <c r="M268" s="9" t="n">
        <v>0</v>
      </c>
      <c r="N268" s="9" t="n">
        <v>100</v>
      </c>
      <c r="O268" s="9" t="n">
        <v>0</v>
      </c>
    </row>
    <row r="269" hidden="1">
      <c r="A269" s="5" t="n">
        <v>46154</v>
      </c>
      <c r="B269" s="6" t="inlineStr">
        <is>
          <t>Ana Karollyne Souza Faria</t>
        </is>
      </c>
      <c r="C269" s="3" t="inlineStr">
        <is>
          <t>Técnico I</t>
        </is>
      </c>
      <c r="D269" s="3" t="n">
        <v>31</v>
      </c>
      <c r="E269" s="3" t="n">
        <v>29</v>
      </c>
      <c r="F269" t="n">
        <v>17.38</v>
      </c>
      <c r="G269" s="3" t="n">
        <v>2</v>
      </c>
      <c r="H269" s="3" t="n">
        <v>0</v>
      </c>
      <c r="I269" s="3">
        <f>E269+G269+H269</f>
        <v/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/>
      </c>
      <c r="K269" s="3">
        <f>I269-J269</f>
        <v/>
      </c>
      <c r="L269" s="3">
        <f>IF(K269&lt;-5,"CRÍTICO",IF(K269&lt;0,"ATENÇÃO",IF(K269&lt;=5,"BOM","EXCELENTE")))</f>
        <v/>
      </c>
      <c r="M269" s="3" t="n">
        <v>27</v>
      </c>
      <c r="N269" s="3" t="n">
        <v>95.38</v>
      </c>
      <c r="O269" s="3" t="n">
        <v>21.5962441314554</v>
      </c>
    </row>
    <row r="270" hidden="1">
      <c r="A270" s="5" t="n">
        <v>46154</v>
      </c>
      <c r="B270" s="6" t="inlineStr">
        <is>
          <t>Ana Paula Da Luz Silva Aleixo</t>
        </is>
      </c>
      <c r="C270" s="9" t="inlineStr">
        <is>
          <t>Técnico III</t>
        </is>
      </c>
      <c r="D270" s="3" t="n">
        <v>28</v>
      </c>
      <c r="E270" s="3" t="n">
        <v>24</v>
      </c>
      <c r="F270" t="n">
        <v>15.56</v>
      </c>
      <c r="G270" s="3" t="n">
        <v>4</v>
      </c>
      <c r="H270" s="3" t="n">
        <v>0</v>
      </c>
      <c r="I270" s="3">
        <f>E270+G270+H270</f>
        <v/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/>
      </c>
      <c r="K270" s="3">
        <f>I270-J270</f>
        <v/>
      </c>
      <c r="L270" s="3">
        <f>IF(K270&lt;-5,"CRÍTICO",IF(K270&lt;0,"ATENÇÃO",IF(K270&lt;=5,"BOM","EXCELENTE")))</f>
        <v/>
      </c>
      <c r="M270" t="n">
        <v>25</v>
      </c>
      <c r="N270" t="n">
        <v>96.34</v>
      </c>
      <c r="O270" t="n">
        <v>17.57188498402556</v>
      </c>
    </row>
    <row r="271" hidden="1">
      <c r="A271" s="5" t="n">
        <v>46154</v>
      </c>
      <c r="B271" s="6" t="inlineStr">
        <is>
          <t>Brenda de Menezes Silva</t>
        </is>
      </c>
      <c r="C271" s="3" t="inlineStr">
        <is>
          <t>Técnico II</t>
        </is>
      </c>
      <c r="D271" s="3" t="n">
        <v>38</v>
      </c>
      <c r="E271" s="3" t="n">
        <v>35</v>
      </c>
      <c r="F271" t="n">
        <v>12.22</v>
      </c>
      <c r="G271" s="3" t="n">
        <v>3</v>
      </c>
      <c r="H271" s="3" t="n">
        <v>0</v>
      </c>
      <c r="I271" s="3">
        <f>E271+G271+H271</f>
        <v/>
      </c>
      <c r="J271" s="3">
        <f>ROUND(MIN(IF(C271="Técnico III",35,IF(C271="Técnico II",28,IF(C271="Técnico I",23,IF(C271="JR",20,IF(C271="Estágio",10,0))))),IF(C271="Técnico III",SUMIFS($D:$D,$A:$A,$A271,$B:$B,"&lt;&gt;Patrícia Karla de Sousa Araújo",$B:$B,"&lt;&gt;Lorena Dias de Araujo",$B:$B,"&lt;&gt;Lucas Luiz Romero")*(35/1083),IF(C271="Técnico II",SUMIFS($D:$D,$A:$A,$A271,$B:$B,"&lt;&gt;Patrícia Karla de Sousa Araújo",$B:$B,"&lt;&gt;Lorena Dias de Araujo",$B:$B,"&lt;&gt;Lucas Luiz Romero")*(28/1083),IF(C271="Técnico I",SUMIFS($D:$D,$A:$A,$A271,$B:$B,"&lt;&gt;Patrícia Karla de Sousa Araújo",$B:$B,"&lt;&gt;Lorena Dias de Araujo",$B:$B,"&lt;&gt;Lucas Luiz Romero")*(23/1083),IF(C271="JR",SUMIFS($D:$D,$A:$A,$A271,$B:$B,"&lt;&gt;Patrícia Karla de Sousa Araújo",$B:$B,"&lt;&gt;Lorena Dias de Araujo",$B:$B,"&lt;&gt;Lucas Luiz Romero")*(20/1083),IF(C271="Estágio",SUMIFS($D:$D,$A:$A,$A271,$B:$B,"&lt;&gt;Patrícia Karla de Sousa Araújo",$B:$B,"&lt;&gt;Lorena Dias de Araujo",$B:$B,"&lt;&gt;Lucas Luiz Romero")*(10/1083),0)))))),0)</f>
        <v/>
      </c>
      <c r="K271" s="3">
        <f>I271-J271</f>
        <v/>
      </c>
      <c r="L271" s="3">
        <f>IF(K271&lt;-5,"CRÍTICO",IF(K271&lt;0,"ATENÇÃO",IF(K271&lt;=5,"BOM","EXCELENTE")))</f>
        <v/>
      </c>
      <c r="M271" t="n">
        <v>34</v>
      </c>
      <c r="N271" t="n">
        <v>99.13</v>
      </c>
      <c r="O271" t="n">
        <v>14.7239263803681</v>
      </c>
    </row>
    <row r="272" hidden="1">
      <c r="A272" s="5" t="n">
        <v>46154</v>
      </c>
      <c r="B272" s="6" t="inlineStr">
        <is>
          <t>Carlos Mateus Cassimiro Nunes</t>
        </is>
      </c>
      <c r="C272" s="9" t="inlineStr">
        <is>
          <t>Técnico II</t>
        </is>
      </c>
      <c r="D272" s="3" t="n">
        <v>26</v>
      </c>
      <c r="E272" s="3" t="n">
        <v>26</v>
      </c>
      <c r="F272" t="n">
        <v>27</v>
      </c>
      <c r="G272" s="3" t="n">
        <v>0</v>
      </c>
      <c r="H272" s="3" t="n">
        <v>0</v>
      </c>
      <c r="I272" s="3">
        <f>E272+G272+H272</f>
        <v/>
      </c>
      <c r="J272" s="3">
        <f>ROUND(MIN(IF(C272="Técnico III",35,IF(C272="Técnico II",28,IF(C272="Técnico I",23,IF(C272="JR",20,IF(C272="Estágio",10,0))))),IF(C272="Técnico III",SUMIFS($D:$D,$A:$A,$A272,$B:$B,"&lt;&gt;Patrícia Karla de Sousa Araújo",$B:$B,"&lt;&gt;Lorena Dias de Araujo",$B:$B,"&lt;&gt;Lucas Luiz Romero")*(35/1083),IF(C272="Técnico II",SUMIFS($D:$D,$A:$A,$A272,$B:$B,"&lt;&gt;Patrícia Karla de Sousa Araújo",$B:$B,"&lt;&gt;Lorena Dias de Araujo",$B:$B,"&lt;&gt;Lucas Luiz Romero")*(28/1083),IF(C272="Técnico I",SUMIFS($D:$D,$A:$A,$A272,$B:$B,"&lt;&gt;Patrícia Karla de Sousa Araújo",$B:$B,"&lt;&gt;Lorena Dias de Araujo",$B:$B,"&lt;&gt;Lucas Luiz Romero")*(23/1083),IF(C272="JR",SUMIFS($D:$D,$A:$A,$A272,$B:$B,"&lt;&gt;Patrícia Karla de Sousa Araújo",$B:$B,"&lt;&gt;Lorena Dias de Araujo",$B:$B,"&lt;&gt;Lucas Luiz Romero")*(20/1083),IF(C272="Estágio",SUMIFS($D:$D,$A:$A,$A272,$B:$B,"&lt;&gt;Patrícia Karla de Sousa Araújo",$B:$B,"&lt;&gt;Lorena Dias de Araujo",$B:$B,"&lt;&gt;Lucas Luiz Romero")*(10/1083),0)))))),0)</f>
        <v/>
      </c>
      <c r="K272" s="3">
        <f>I272-J272</f>
        <v/>
      </c>
      <c r="L272" s="3">
        <f>IF(K272&lt;-5,"CRÍTICO",IF(K272&lt;0,"ATENÇÃO",IF(K272&lt;=5,"BOM","EXCELENTE")))</f>
        <v/>
      </c>
      <c r="M272" t="n">
        <v>24</v>
      </c>
      <c r="N272" t="n">
        <v>98.8</v>
      </c>
      <c r="O272" t="n">
        <v>16.89750692520776</v>
      </c>
    </row>
    <row r="273" hidden="1">
      <c r="A273" s="5" t="n">
        <v>46154</v>
      </c>
      <c r="B273" s="6" t="inlineStr">
        <is>
          <t>Clessiane Pereira dos Santos</t>
        </is>
      </c>
      <c r="C273" s="3" t="inlineStr">
        <is>
          <t>Técnico I</t>
        </is>
      </c>
      <c r="D273" s="3" t="n">
        <v>24</v>
      </c>
      <c r="E273" s="3" t="n">
        <v>23</v>
      </c>
      <c r="F273" t="n">
        <v>13.58</v>
      </c>
      <c r="G273" s="3" t="n">
        <v>5</v>
      </c>
      <c r="H273" s="3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IF(K273&lt;-5,"CRÍTICO",IF(K273&lt;0,"ATENÇÃO",IF(K273&lt;=5,"BOM","EXCELENTE")))</f>
        <v/>
      </c>
      <c r="M273" t="n">
        <v>25</v>
      </c>
      <c r="N273" t="n">
        <v>96.88</v>
      </c>
      <c r="O273" t="n">
        <v>19.52662721893491</v>
      </c>
    </row>
    <row r="274" hidden="1">
      <c r="A274" s="5" t="n">
        <v>46154</v>
      </c>
      <c r="B274" s="6" t="inlineStr">
        <is>
          <t>Cristiane Ramos da Silva Rocha</t>
        </is>
      </c>
      <c r="C274" s="3" t="inlineStr">
        <is>
          <t>Técnico III</t>
        </is>
      </c>
      <c r="D274" s="3" t="n">
        <v>41</v>
      </c>
      <c r="E274" s="3" t="n">
        <v>39</v>
      </c>
      <c r="F274" t="n">
        <v>10.52</v>
      </c>
      <c r="G274" s="3" t="n">
        <v>0</v>
      </c>
      <c r="H274" s="3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IF(K274&lt;-5,"CRÍTICO",IF(K274&lt;0,"ATENÇÃO",IF(K274&lt;=5,"BOM","EXCELENTE")))</f>
        <v/>
      </c>
      <c r="M274" t="n">
        <v>33</v>
      </c>
      <c r="N274" t="n">
        <v>91.84999999999999</v>
      </c>
      <c r="O274" t="n">
        <v>20.87155963302752</v>
      </c>
    </row>
    <row r="275" hidden="1">
      <c r="A275" s="5" t="n">
        <v>46154</v>
      </c>
      <c r="B275" s="6" t="inlineStr">
        <is>
          <t>Damyllis Lorraine de Oliveira Gonçalves</t>
        </is>
      </c>
      <c r="C275" s="3" t="inlineStr">
        <is>
          <t>Técnico II</t>
        </is>
      </c>
      <c r="D275" s="3" t="n">
        <v>37</v>
      </c>
      <c r="E275" s="3" t="n">
        <v>30</v>
      </c>
      <c r="F275" t="n">
        <v>13.28</v>
      </c>
      <c r="G275" s="3" t="n">
        <v>0</v>
      </c>
      <c r="H275" s="3" t="n">
        <v>0</v>
      </c>
      <c r="I275" s="3" t="n">
        <v>0</v>
      </c>
      <c r="J275" s="3" t="n">
        <v>0</v>
      </c>
      <c r="K275" s="3" t="n">
        <v>0</v>
      </c>
      <c r="L275" s="3">
        <f>IF(K275&lt;-5,"CRÍTICO",IF(K275&lt;0,"ATENÇÃO",IF(K275&lt;=5,"BOM","EXCELENTE")))</f>
        <v/>
      </c>
      <c r="M275" t="n">
        <v>27</v>
      </c>
      <c r="N275" t="n">
        <v>98.63</v>
      </c>
      <c r="O275" t="n">
        <v>18.75</v>
      </c>
    </row>
    <row r="276" hidden="1">
      <c r="A276" s="5" t="n">
        <v>46154</v>
      </c>
      <c r="B276" s="6" t="inlineStr">
        <is>
          <t>Daniel Gomes da Silva</t>
        </is>
      </c>
      <c r="C276" s="3" t="inlineStr">
        <is>
          <t>Técnico I</t>
        </is>
      </c>
      <c r="D276" s="3" t="n">
        <v>28</v>
      </c>
      <c r="E276" s="3" t="n">
        <v>26</v>
      </c>
      <c r="F276" t="n">
        <v>11.47</v>
      </c>
      <c r="G276" s="3" t="n">
        <v>0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t="n">
        <v>17</v>
      </c>
      <c r="N276" t="n">
        <v>100</v>
      </c>
      <c r="O276" t="n">
        <v>18.14516129032258</v>
      </c>
    </row>
    <row r="277" hidden="1">
      <c r="A277" s="5" t="n">
        <v>46154</v>
      </c>
      <c r="B277" s="6" t="inlineStr">
        <is>
          <t>Davylla Rodrigues Freitas Silva</t>
        </is>
      </c>
      <c r="C277" s="9" t="inlineStr">
        <is>
          <t>Técnico III</t>
        </is>
      </c>
      <c r="D277" s="3" t="n">
        <v>23</v>
      </c>
      <c r="E277" s="3" t="n">
        <v>23</v>
      </c>
      <c r="F277" t="n">
        <v>25.03</v>
      </c>
      <c r="G277" s="3" t="n">
        <v>0</v>
      </c>
      <c r="H277" s="3" t="n">
        <v>0</v>
      </c>
      <c r="I277" s="3" t="n">
        <v>0</v>
      </c>
      <c r="J277" s="3" t="n">
        <v>0</v>
      </c>
      <c r="K277" s="3" t="n">
        <v>0</v>
      </c>
      <c r="L277" s="3">
        <f>IF(K277&lt;-5,"CRÍTICO",IF(K277&lt;0,"ATENÇÃO",IF(K277&lt;=5,"BOM","EXCELENTE")))</f>
        <v/>
      </c>
      <c r="M277" t="n">
        <v>27</v>
      </c>
      <c r="N277" t="n">
        <v>99.06</v>
      </c>
      <c r="O277" t="n">
        <v>22.95719844357977</v>
      </c>
    </row>
    <row r="278" hidden="1">
      <c r="A278" s="5" t="n">
        <v>46154</v>
      </c>
      <c r="B278" s="6" t="inlineStr">
        <is>
          <t>Emilly Kamilly Medeiros Miranda</t>
        </is>
      </c>
      <c r="C278" s="3" t="inlineStr">
        <is>
          <t>Técnico II</t>
        </is>
      </c>
      <c r="D278" s="3" t="n">
        <v>25</v>
      </c>
      <c r="E278" s="3" t="n">
        <v>24</v>
      </c>
      <c r="F278" t="n">
        <v>17.21</v>
      </c>
      <c r="G278" s="3" t="n">
        <v>5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t="n">
        <v>26</v>
      </c>
      <c r="N278" t="n">
        <v>100</v>
      </c>
      <c r="O278" t="n">
        <v>13.8121546961326</v>
      </c>
    </row>
    <row r="279" hidden="1">
      <c r="A279" s="5" t="n">
        <v>46154</v>
      </c>
      <c r="B279" s="6" t="inlineStr">
        <is>
          <t>Francielson de Oliveira</t>
        </is>
      </c>
      <c r="C279" s="9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IF(K279&lt;-5,"CRÍTICO",IF(K279&lt;0,"ATENÇÃO",IF(K279&lt;=5,"BOM","EXCELENTE")))</f>
        <v/>
      </c>
      <c r="M279" s="9" t="n">
        <v>0</v>
      </c>
      <c r="N279" s="9" t="n">
        <v>100</v>
      </c>
      <c r="O279" s="9" t="n">
        <v>9.523809523809524</v>
      </c>
    </row>
    <row r="280" hidden="1">
      <c r="A280" s="5" t="n">
        <v>46154</v>
      </c>
      <c r="B280" s="6" t="inlineStr">
        <is>
          <t>Francilene Ferreira de Jesus</t>
        </is>
      </c>
      <c r="C280" s="3" t="inlineStr">
        <is>
          <t>Técnico II</t>
        </is>
      </c>
      <c r="D280" s="3" t="n">
        <v>0</v>
      </c>
      <c r="E280" s="3" t="n">
        <v>0</v>
      </c>
      <c r="F280" s="3" t="n">
        <v>0</v>
      </c>
      <c r="G280" s="3" t="n">
        <v>0</v>
      </c>
      <c r="H280" s="3" t="n">
        <v>0</v>
      </c>
      <c r="I280" s="3" t="n">
        <v>0</v>
      </c>
      <c r="J280" s="3" t="n">
        <v>0</v>
      </c>
      <c r="K280" s="3" t="n">
        <v>0</v>
      </c>
      <c r="L280" s="3">
        <f>IF(K280&lt;-5,"CRÍTICO",IF(K280&lt;0,"ATENÇÃO",IF(K280&lt;=5,"BOM","EXCELENTE")))</f>
        <v/>
      </c>
      <c r="M280" s="9" t="n">
        <v>0</v>
      </c>
      <c r="N280" s="9" t="n">
        <v>100</v>
      </c>
      <c r="O280" s="9" t="n">
        <v>17.24137931034483</v>
      </c>
    </row>
    <row r="281" hidden="1">
      <c r="A281" s="5" t="n">
        <v>46154</v>
      </c>
      <c r="B281" s="6" t="inlineStr">
        <is>
          <t>Anna Luiza Rezende Tavares</t>
        </is>
      </c>
      <c r="C281" s="3" t="inlineStr">
        <is>
          <t>Estágio</t>
        </is>
      </c>
      <c r="D281" s="3" t="n">
        <v>25</v>
      </c>
      <c r="E281" s="3" t="n">
        <v>25</v>
      </c>
      <c r="F281" t="n">
        <v>20.14</v>
      </c>
      <c r="G281" s="3" t="n">
        <v>0</v>
      </c>
      <c r="H281" s="3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IF(K281&lt;-5,"CRÍTICO",IF(K281&lt;0,"ATENÇÃO",IF(K281&lt;=5,"BOM","EXCELENTE")))</f>
        <v/>
      </c>
      <c r="M281" t="n">
        <v>18</v>
      </c>
      <c r="N281" t="n">
        <v>99.11</v>
      </c>
      <c r="O281" t="n">
        <v>17.72151898734177</v>
      </c>
    </row>
    <row r="282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N282" t="n">
        <v>98.91</v>
      </c>
      <c r="O282" t="n">
        <v>31.36729222520107</v>
      </c>
    </row>
    <row r="283" hidden="1">
      <c r="A283" s="5" t="n">
        <v>46154</v>
      </c>
      <c r="B283" s="6" t="inlineStr">
        <is>
          <t>Isabella Borges de Oliveira</t>
        </is>
      </c>
      <c r="C283" s="9" t="inlineStr">
        <is>
          <t>Técnico II</t>
        </is>
      </c>
      <c r="D283" s="3" t="n">
        <v>26</v>
      </c>
      <c r="E283" s="3" t="n">
        <v>24</v>
      </c>
      <c r="F283" t="n">
        <v>25.14</v>
      </c>
      <c r="G283" s="3" t="n">
        <v>0</v>
      </c>
      <c r="H283" s="3" t="n">
        <v>0</v>
      </c>
      <c r="I283" s="3">
        <f>E283+G283+H283</f>
        <v/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/>
      </c>
      <c r="K283" s="3">
        <f>I283-J283</f>
        <v/>
      </c>
      <c r="L283" s="3">
        <f>IF(K283&lt;-5,"CRÍTICO",IF(K283&lt;0,"ATENÇÃO",IF(K283&lt;=5,"BOM","EXCELENTE")))</f>
        <v/>
      </c>
      <c r="M283" t="n">
        <v>18</v>
      </c>
      <c r="N283" t="n">
        <v>98.63</v>
      </c>
      <c r="O283" t="n">
        <v>15.75757575757576</v>
      </c>
    </row>
    <row r="284" hidden="1">
      <c r="A284" s="5" t="n">
        <v>46154</v>
      </c>
      <c r="B284" s="6" t="inlineStr">
        <is>
          <t>Janaina Lima dos Reis Urany</t>
        </is>
      </c>
      <c r="C284" s="3" t="inlineStr">
        <is>
          <t>Técnico III</t>
        </is>
      </c>
      <c r="D284" s="3" t="n">
        <v>47</v>
      </c>
      <c r="E284" s="3" t="n">
        <v>43</v>
      </c>
      <c r="F284" t="n">
        <v>10.34</v>
      </c>
      <c r="G284" s="3" t="n">
        <v>8</v>
      </c>
      <c r="H284" s="3" t="n">
        <v>0</v>
      </c>
      <c r="I284" s="3">
        <f>E284+G284+H284</f>
        <v/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/>
      </c>
      <c r="K284" s="3">
        <f>I284-J284</f>
        <v/>
      </c>
      <c r="L284" s="3">
        <f>IF(K284&lt;-5,"CRÍTICO",IF(K284&lt;0,"ATENÇÃO",IF(K284&lt;=5,"BOM","EXCELENTE")))</f>
        <v/>
      </c>
      <c r="M284" t="n">
        <v>45</v>
      </c>
      <c r="N284" t="n">
        <v>98.64</v>
      </c>
      <c r="O284" t="n">
        <v>16.6383701188455</v>
      </c>
    </row>
    <row r="285" hidden="1">
      <c r="A285" s="5" t="n">
        <v>46154</v>
      </c>
      <c r="B285" s="6" t="inlineStr">
        <is>
          <t>Jaqueline Evangelista da Silva Martins</t>
        </is>
      </c>
      <c r="C285" s="3" t="inlineStr">
        <is>
          <t>Técnico III</t>
        </is>
      </c>
      <c r="D285" s="3" t="n">
        <v>42</v>
      </c>
      <c r="E285" s="3" t="n">
        <v>37</v>
      </c>
      <c r="F285" t="n">
        <v>10.49</v>
      </c>
      <c r="G285" s="3" t="n">
        <v>9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t="n">
        <v>37</v>
      </c>
      <c r="N285" t="n">
        <v>95.40000000000001</v>
      </c>
      <c r="O285" t="n">
        <v>20.53333333333333</v>
      </c>
    </row>
    <row r="286" hidden="1">
      <c r="A286" s="5" t="n">
        <v>46154</v>
      </c>
      <c r="B286" s="6" t="inlineStr">
        <is>
          <t>Jessica Faria da Silveira</t>
        </is>
      </c>
      <c r="C286" s="3" t="inlineStr">
        <is>
          <t>Técnico II</t>
        </is>
      </c>
      <c r="D286" s="3" t="n">
        <v>29</v>
      </c>
      <c r="E286" s="3" t="n">
        <v>26</v>
      </c>
      <c r="F286" t="n">
        <v>15.07</v>
      </c>
      <c r="G286" s="3" t="n">
        <v>5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t="n">
        <v>26</v>
      </c>
      <c r="N286" t="n">
        <v>98.61</v>
      </c>
      <c r="O286" t="n">
        <v>16.97530864197531</v>
      </c>
    </row>
    <row r="287" hidden="1">
      <c r="A287" s="5" t="n">
        <v>46154</v>
      </c>
      <c r="B287" s="6" t="inlineStr">
        <is>
          <t>Jéssica Fé Moura</t>
        </is>
      </c>
      <c r="C287" s="3" t="inlineStr">
        <is>
          <t>Técnico III</t>
        </is>
      </c>
      <c r="D287" s="3" t="n">
        <v>0</v>
      </c>
      <c r="E287" s="3" t="n">
        <v>0</v>
      </c>
      <c r="F287" s="3" t="n">
        <v>0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9" t="n">
        <v>0</v>
      </c>
      <c r="N287" s="9" t="n">
        <v>0</v>
      </c>
      <c r="O287" s="9" t="n">
        <v>0</v>
      </c>
    </row>
    <row r="288" hidden="1">
      <c r="A288" s="5" t="n">
        <v>46154</v>
      </c>
      <c r="B288" s="6" t="inlineStr">
        <is>
          <t>Karina Gonçalves Martins</t>
        </is>
      </c>
      <c r="C288" s="3" t="inlineStr">
        <is>
          <t>JR</t>
        </is>
      </c>
      <c r="D288" s="3" t="n">
        <v>26</v>
      </c>
      <c r="E288" s="3" t="n">
        <v>22</v>
      </c>
      <c r="F288" t="n">
        <v>21.43</v>
      </c>
      <c r="G288" s="3" t="n">
        <v>0</v>
      </c>
      <c r="H288" s="3" t="n">
        <v>0</v>
      </c>
      <c r="I288" s="3">
        <f>E288+G288+H288</f>
        <v/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/>
      </c>
      <c r="K288" s="3">
        <f>I288-J288</f>
        <v/>
      </c>
      <c r="L288" s="3">
        <f>IF(K288&lt;-5,"CRÍTICO",IF(K288&lt;0,"ATENÇÃO",IF(K288&lt;=5,"BOM","EXCELENTE")))</f>
        <v/>
      </c>
      <c r="M288" t="n">
        <v>22</v>
      </c>
      <c r="N288" t="n">
        <v>97.01000000000001</v>
      </c>
      <c r="O288" t="n">
        <v>13.96103896103896</v>
      </c>
    </row>
    <row r="289" hidden="1">
      <c r="A289" s="5" t="n">
        <v>46154</v>
      </c>
      <c r="B289" s="6" t="inlineStr">
        <is>
          <t>Kerollen Cristielly de Jesus Siqueira</t>
        </is>
      </c>
      <c r="C289" s="9" t="inlineStr">
        <is>
          <t>Técnico III</t>
        </is>
      </c>
      <c r="D289" s="3" t="n">
        <v>19</v>
      </c>
      <c r="E289" s="3" t="n">
        <v>17</v>
      </c>
      <c r="F289" t="n">
        <v>25.12</v>
      </c>
      <c r="G289" s="3" t="n">
        <v>1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t="n">
        <v>18</v>
      </c>
      <c r="N289" t="n">
        <v>95.52</v>
      </c>
      <c r="O289" t="n">
        <v>10.56105610561056</v>
      </c>
    </row>
    <row r="290" hidden="1">
      <c r="A290" s="5" t="n">
        <v>46154</v>
      </c>
      <c r="B290" s="6" t="inlineStr">
        <is>
          <t>Leandro de Souza Silva</t>
        </is>
      </c>
      <c r="C290" s="3" t="inlineStr">
        <is>
          <t>JR</t>
        </is>
      </c>
      <c r="D290" s="3" t="n">
        <v>10</v>
      </c>
      <c r="E290" s="3" t="n">
        <v>6</v>
      </c>
      <c r="F290" t="n">
        <v>33.28</v>
      </c>
      <c r="G290" s="3" t="n">
        <v>7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t="n">
        <v>12</v>
      </c>
      <c r="N290" t="n">
        <v>100</v>
      </c>
      <c r="O290" t="n">
        <v>16.95906432748538</v>
      </c>
    </row>
    <row r="291" hidden="1">
      <c r="A291" s="5" t="n">
        <v>46154</v>
      </c>
      <c r="B291" s="6" t="inlineStr">
        <is>
          <t>Leandro Oliveira de Sousa</t>
        </is>
      </c>
      <c r="C291" s="9" t="inlineStr">
        <is>
          <t>Técnico III</t>
        </is>
      </c>
      <c r="D291" s="3" t="n">
        <v>31</v>
      </c>
      <c r="E291" s="3" t="n">
        <v>25</v>
      </c>
      <c r="F291" t="n">
        <v>16.55</v>
      </c>
      <c r="G291" s="3" t="n">
        <v>0</v>
      </c>
      <c r="H291" s="3" t="n">
        <v>0</v>
      </c>
      <c r="I291" s="3">
        <f>E291+G291+H291</f>
        <v/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/>
      </c>
      <c r="K291" s="3">
        <f>I291-J291</f>
        <v/>
      </c>
      <c r="L291" s="3">
        <f>IF(K291&lt;-5,"CRÍTICO",IF(K291&lt;0,"ATENÇÃO",IF(K291&lt;=5,"BOM","EXCELENTE")))</f>
        <v/>
      </c>
      <c r="M291" t="n">
        <v>28</v>
      </c>
      <c r="N291" t="n">
        <v>100</v>
      </c>
      <c r="O291" t="n">
        <v>15.58441558441558</v>
      </c>
    </row>
    <row r="292" hidden="1">
      <c r="A292" s="5" t="n">
        <v>46154</v>
      </c>
      <c r="B292" s="6" t="inlineStr">
        <is>
          <t>Lizandra Gomes Duarte</t>
        </is>
      </c>
      <c r="C292" s="3" t="inlineStr">
        <is>
          <t>Técnico II</t>
        </is>
      </c>
      <c r="D292" s="3" t="n">
        <v>28</v>
      </c>
      <c r="E292" s="3" t="n">
        <v>26</v>
      </c>
      <c r="F292" t="n">
        <v>23.59</v>
      </c>
      <c r="G292" s="3" t="n">
        <v>2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t="n">
        <v>22</v>
      </c>
      <c r="N292" t="n">
        <v>98.61</v>
      </c>
      <c r="O292" t="n">
        <v>16.86746987951807</v>
      </c>
    </row>
    <row r="293" hidden="1">
      <c r="A293" s="5" t="n">
        <v>46154</v>
      </c>
      <c r="B293" s="6" t="inlineStr">
        <is>
          <t>Lorena Dias de Araujo</t>
        </is>
      </c>
      <c r="C293" s="3" t="inlineStr">
        <is>
          <t>Técnico II</t>
        </is>
      </c>
      <c r="D293" s="3" t="n">
        <v>25</v>
      </c>
      <c r="E293" s="3" t="n">
        <v>24</v>
      </c>
      <c r="F293" t="n">
        <v>25.44</v>
      </c>
      <c r="G293" s="3" t="n">
        <v>0</v>
      </c>
      <c r="H293" s="3" t="n">
        <v>0</v>
      </c>
      <c r="I293" s="3" t="n">
        <v>0</v>
      </c>
      <c r="J293" s="3" t="n">
        <v>0</v>
      </c>
      <c r="K293" s="3" t="n">
        <v>0</v>
      </c>
      <c r="L293" s="3">
        <f>IF(K293&lt;-5,"CRÍTICO",IF(K293&lt;0,"ATENÇÃO",IF(K293&lt;=5,"BOM","EXCELENTE")))</f>
        <v/>
      </c>
      <c r="M293" t="n">
        <v>19</v>
      </c>
      <c r="N293" t="n">
        <v>100</v>
      </c>
      <c r="O293" t="n">
        <v>20.82018927444795</v>
      </c>
    </row>
    <row r="294" hidden="1">
      <c r="A294" s="5" t="n">
        <v>46154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9" t="n">
        <v>0</v>
      </c>
      <c r="N294" s="9" t="n">
        <v>100</v>
      </c>
      <c r="O294" s="9" t="n">
        <v>4.347826086956522</v>
      </c>
    </row>
    <row r="295" hidden="1">
      <c r="A295" s="5" t="n">
        <v>46154</v>
      </c>
      <c r="B295" s="6" t="inlineStr">
        <is>
          <t>Luiz Fernando de Carvalho Junior</t>
        </is>
      </c>
      <c r="C295" s="3" t="inlineStr">
        <is>
          <t>Técnico I</t>
        </is>
      </c>
      <c r="D295" s="3" t="n">
        <v>24</v>
      </c>
      <c r="E295" s="3" t="n">
        <v>20</v>
      </c>
      <c r="F295" t="n">
        <v>19.15</v>
      </c>
      <c r="G295" s="3" t="n">
        <v>4</v>
      </c>
      <c r="H295" s="3" t="n">
        <v>0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t="n">
        <v>22</v>
      </c>
      <c r="N295" t="n">
        <v>93.26000000000001</v>
      </c>
      <c r="O295" t="n">
        <v>19.93957703927493</v>
      </c>
    </row>
    <row r="296" hidden="1">
      <c r="A296" s="5" t="n">
        <v>46154</v>
      </c>
      <c r="B296" s="6" t="inlineStr">
        <is>
          <t>Claudio de Sousa Velasco Filho</t>
        </is>
      </c>
      <c r="C296" s="3" t="inlineStr">
        <is>
          <t>Estágio</t>
        </is>
      </c>
      <c r="D296" s="3" t="n">
        <v>8</v>
      </c>
      <c r="E296" s="3" t="n">
        <v>7</v>
      </c>
      <c r="F296" t="n">
        <v>33.4</v>
      </c>
      <c r="G296" s="3" t="n">
        <v>0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t="n">
        <v>6</v>
      </c>
      <c r="N296" t="n">
        <v>96.43000000000001</v>
      </c>
      <c r="O296" t="n">
        <v>20</v>
      </c>
    </row>
    <row r="297" hidden="1">
      <c r="A297" s="5" t="n">
        <v>46154</v>
      </c>
      <c r="B297" s="6" t="inlineStr">
        <is>
          <t>Emilly Caylane Costa</t>
        </is>
      </c>
      <c r="C297" s="3" t="inlineStr">
        <is>
          <t>Estágio</t>
        </is>
      </c>
      <c r="D297" s="3" t="n">
        <v>28</v>
      </c>
      <c r="E297" s="3" t="n">
        <v>16</v>
      </c>
      <c r="F297" t="n">
        <v>3.55</v>
      </c>
      <c r="G297" s="3" t="n">
        <v>0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t="n">
        <v>0</v>
      </c>
      <c r="N297" t="n">
        <v>100</v>
      </c>
      <c r="O297" t="n">
        <v>29.03225806451613</v>
      </c>
    </row>
    <row r="298" hidden="1">
      <c r="A298" s="5" t="n">
        <v>46154</v>
      </c>
      <c r="B298" s="6" t="inlineStr">
        <is>
          <t>Maria Eduarda Sousa Costa</t>
        </is>
      </c>
      <c r="C298" s="3" t="inlineStr">
        <is>
          <t>Estágio</t>
        </is>
      </c>
      <c r="D298" s="3" t="n">
        <v>45</v>
      </c>
      <c r="E298" s="3" t="n">
        <v>27</v>
      </c>
      <c r="F298" t="n">
        <v>7.15</v>
      </c>
      <c r="G298" s="3" t="n">
        <v>0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t="n">
        <v>1</v>
      </c>
      <c r="N298" t="n">
        <v>100</v>
      </c>
      <c r="O298" t="n">
        <v>11.86440677966102</v>
      </c>
    </row>
    <row r="299" hidden="1">
      <c r="A299" s="5" t="n">
        <v>46154</v>
      </c>
      <c r="B299" s="6" t="inlineStr">
        <is>
          <t>Michelle G Santos</t>
        </is>
      </c>
      <c r="C299" s="3" t="inlineStr">
        <is>
          <t>Estágio</t>
        </is>
      </c>
      <c r="D299" s="3" t="n">
        <v>9</v>
      </c>
      <c r="E299" s="3" t="n">
        <v>7</v>
      </c>
      <c r="F299" t="n">
        <v>29.01</v>
      </c>
      <c r="G299" s="3" t="n">
        <v>0</v>
      </c>
      <c r="H299" s="3" t="n">
        <v>0</v>
      </c>
      <c r="I299" s="3">
        <f>E299+G299+H299</f>
        <v/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/>
      </c>
      <c r="K299" s="3">
        <f>I299-J299</f>
        <v/>
      </c>
      <c r="L299" s="3">
        <f>IF(K299&lt;-5,"CRÍTICO",IF(K299&lt;0,"ATENÇÃO",IF(K299&lt;=5,"BOM","EXCELENTE")))</f>
        <v/>
      </c>
      <c r="M299" t="n">
        <v>4</v>
      </c>
      <c r="N299" t="n">
        <v>100</v>
      </c>
      <c r="O299" t="n">
        <v>16.8141592920354</v>
      </c>
    </row>
    <row r="300" hidden="1">
      <c r="A300" s="5" t="n">
        <v>46154</v>
      </c>
      <c r="B300" s="6" t="inlineStr">
        <is>
          <t>Quirino Diogo Leite Torres</t>
        </is>
      </c>
      <c r="C300" s="3" t="inlineStr">
        <is>
          <t>Estágio</t>
        </is>
      </c>
      <c r="D300" s="3" t="n">
        <v>20</v>
      </c>
      <c r="E300" s="3" t="n">
        <v>17</v>
      </c>
      <c r="F300" t="n">
        <v>24.05</v>
      </c>
      <c r="G300" s="3" t="n">
        <v>0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13</v>
      </c>
      <c r="N300" t="n">
        <v>98.11</v>
      </c>
      <c r="O300" t="n">
        <v>20.40816326530612</v>
      </c>
    </row>
    <row r="301" hidden="1">
      <c r="A301" s="5" t="n">
        <v>46154</v>
      </c>
      <c r="B301" s="6" t="inlineStr">
        <is>
          <t>Matheus Farias De Souza</t>
        </is>
      </c>
      <c r="C301" s="3" t="inlineStr">
        <is>
          <t>Técnico III</t>
        </is>
      </c>
      <c r="D301" s="3" t="n">
        <v>0</v>
      </c>
      <c r="E301" s="3" t="n">
        <v>0</v>
      </c>
      <c r="F301" t="n">
        <v>0</v>
      </c>
      <c r="H301" s="3" t="n">
        <v>51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98.28</v>
      </c>
      <c r="O301" t="n">
        <v>9.037900874635568</v>
      </c>
    </row>
    <row r="302" hidden="1">
      <c r="A302" s="5" t="n">
        <v>46154</v>
      </c>
      <c r="B302" s="6" t="inlineStr">
        <is>
          <t>Maysa Victoria Dias Moura</t>
        </is>
      </c>
      <c r="C302" s="3" t="inlineStr">
        <is>
          <t>Técnico III</t>
        </is>
      </c>
      <c r="D302" s="3" t="n">
        <v>36</v>
      </c>
      <c r="E302" s="3" t="n">
        <v>31</v>
      </c>
      <c r="F302" t="n">
        <v>13.49</v>
      </c>
      <c r="G302" s="3" t="n">
        <v>2</v>
      </c>
      <c r="H302" s="3" t="n">
        <v>0</v>
      </c>
      <c r="I302" s="3">
        <f>E302+G302+H302</f>
        <v/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/>
      </c>
      <c r="K302" s="3">
        <f>I302-J302</f>
        <v/>
      </c>
      <c r="L302" s="3">
        <f>IF(K302&lt;-5,"CRÍTICO",IF(K302&lt;0,"ATENÇÃO",IF(K302&lt;=5,"BOM","EXCELENTE")))</f>
        <v/>
      </c>
      <c r="M302" t="n">
        <v>28</v>
      </c>
      <c r="N302" t="n">
        <v>97.22</v>
      </c>
      <c r="O302" t="n">
        <v>19.09547738693467</v>
      </c>
    </row>
    <row r="303" hidden="1">
      <c r="A303" s="5" t="n">
        <v>46154</v>
      </c>
      <c r="B303" s="6" t="inlineStr">
        <is>
          <t>Milena Sales</t>
        </is>
      </c>
      <c r="C303" s="3" t="inlineStr">
        <is>
          <t>JR</t>
        </is>
      </c>
      <c r="D303" s="3" t="n">
        <v>47</v>
      </c>
      <c r="E303" s="3" t="n">
        <v>23</v>
      </c>
      <c r="F303" t="n">
        <v>8.380000000000001</v>
      </c>
      <c r="G303" s="3" t="n">
        <v>0</v>
      </c>
      <c r="H303" s="3" t="n">
        <v>0</v>
      </c>
      <c r="I303" s="3">
        <f>E303+G303+H303</f>
        <v/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/>
      </c>
      <c r="K303" s="3">
        <f>I303-J303</f>
        <v/>
      </c>
      <c r="L303" s="3">
        <f>IF(K303&lt;-5,"CRÍTICO",IF(K303&lt;0,"ATENÇÃO",IF(K303&lt;=5,"BOM","EXCELENTE")))</f>
        <v/>
      </c>
      <c r="M303" t="n">
        <v>15</v>
      </c>
      <c r="N303" t="n">
        <v>98</v>
      </c>
      <c r="O303" t="n">
        <v>16.43835616438356</v>
      </c>
    </row>
    <row r="304" hidden="1">
      <c r="A304" s="5" t="n">
        <v>46154</v>
      </c>
      <c r="B304" s="6" t="inlineStr">
        <is>
          <t>Patrícia Karla de Sousa Araújo</t>
        </is>
      </c>
      <c r="C304" s="3" t="inlineStr">
        <is>
          <t>Técnico II</t>
        </is>
      </c>
      <c r="D304" s="3" t="n">
        <v>30</v>
      </c>
      <c r="E304" s="3" t="n">
        <v>26</v>
      </c>
      <c r="F304" t="n">
        <v>17.19</v>
      </c>
      <c r="G304" s="3" t="n">
        <v>0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22</v>
      </c>
      <c r="N304" t="n">
        <v>100</v>
      </c>
      <c r="O304" t="n">
        <v>16.89497716894977</v>
      </c>
    </row>
    <row r="305" hidden="1">
      <c r="A305" s="5" t="n">
        <v>46154</v>
      </c>
      <c r="B305" s="6" t="inlineStr">
        <is>
          <t>Paulo Ricardo Santos</t>
        </is>
      </c>
      <c r="C305" s="3" t="inlineStr">
        <is>
          <t>JR</t>
        </is>
      </c>
      <c r="D305" s="3" t="n">
        <v>21</v>
      </c>
      <c r="E305" s="3" t="n">
        <v>21</v>
      </c>
      <c r="F305" t="n">
        <v>21.44</v>
      </c>
      <c r="G305" s="3" t="n">
        <v>0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19</v>
      </c>
      <c r="N305" t="n">
        <v>100</v>
      </c>
      <c r="O305" t="n">
        <v>19.13875598086124</v>
      </c>
    </row>
    <row r="306" hidden="1">
      <c r="A306" s="5" t="n">
        <v>46154</v>
      </c>
      <c r="B306" s="6" t="inlineStr">
        <is>
          <t>Pedro Luiz Mota Sousa</t>
        </is>
      </c>
      <c r="C306" s="3" t="inlineStr">
        <is>
          <t>JR</t>
        </is>
      </c>
      <c r="D306" s="3" t="n">
        <v>12</v>
      </c>
      <c r="E306" s="3" t="n">
        <v>12</v>
      </c>
      <c r="F306" t="n">
        <v>21.47</v>
      </c>
      <c r="G306" s="3" t="n">
        <v>0</v>
      </c>
      <c r="H306" s="3" t="n">
        <v>0</v>
      </c>
      <c r="I306" s="3">
        <f>E306+G306+H306</f>
        <v/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/>
      </c>
      <c r="K306" s="3">
        <f>I306-J306</f>
        <v/>
      </c>
      <c r="L306" s="3">
        <f>IF(K306&lt;-5,"CRÍTICO",IF(K306&lt;0,"ATENÇÃO",IF(K306&lt;=5,"BOM","EXCELENTE")))</f>
        <v/>
      </c>
      <c r="M306" t="n">
        <v>9</v>
      </c>
      <c r="N306" t="n">
        <v>100</v>
      </c>
      <c r="O306" t="n">
        <v>15.02145922746781</v>
      </c>
    </row>
    <row r="307" hidden="1">
      <c r="A307" s="5" t="n">
        <v>46154</v>
      </c>
      <c r="B307" s="6" t="inlineStr">
        <is>
          <t>Raane Batista Matos</t>
        </is>
      </c>
      <c r="C307" s="3" t="inlineStr">
        <is>
          <t>Técnico I</t>
        </is>
      </c>
      <c r="D307" s="3" t="n">
        <v>27</v>
      </c>
      <c r="E307" s="3" t="n">
        <v>26</v>
      </c>
      <c r="F307" t="n">
        <v>17.2</v>
      </c>
      <c r="G307" s="3" t="n">
        <v>1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20</v>
      </c>
      <c r="N307" t="n">
        <v>97.56</v>
      </c>
      <c r="O307" t="n">
        <v>19.28783382789317</v>
      </c>
    </row>
    <row r="308" hidden="1">
      <c r="A308" s="5" t="n">
        <v>46154</v>
      </c>
      <c r="B308" s="6" t="inlineStr">
        <is>
          <t>Rafael Gomes de Morais</t>
        </is>
      </c>
      <c r="C308" s="3" t="inlineStr">
        <is>
          <t>Técnico III</t>
        </is>
      </c>
      <c r="D308" s="3" t="n">
        <v>33</v>
      </c>
      <c r="E308" s="3" t="n">
        <v>28</v>
      </c>
      <c r="F308" t="n">
        <v>13.43</v>
      </c>
      <c r="G308" s="3" t="n">
        <v>1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22</v>
      </c>
      <c r="N308" t="n">
        <v>99.29000000000001</v>
      </c>
      <c r="O308" t="n">
        <v>22.49443207126949</v>
      </c>
    </row>
    <row r="309" hidden="1">
      <c r="A309" s="5" t="n">
        <v>46154</v>
      </c>
      <c r="B309" s="6" t="inlineStr">
        <is>
          <t>Sara Maria Monteiro Lopes</t>
        </is>
      </c>
      <c r="C309" s="3" t="inlineStr">
        <is>
          <t>Técnico I</t>
        </is>
      </c>
      <c r="D309" s="3" t="n">
        <v>19</v>
      </c>
      <c r="E309" s="3" t="n">
        <v>19</v>
      </c>
      <c r="F309" t="n">
        <v>30.07</v>
      </c>
      <c r="G309" s="3" t="n">
        <v>0</v>
      </c>
      <c r="H309" s="3" t="n">
        <v>0</v>
      </c>
      <c r="I309" s="3">
        <f>E309+G309+H309</f>
        <v/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/>
      </c>
      <c r="K309" s="3">
        <f>I309-J309</f>
        <v/>
      </c>
      <c r="L309" s="3">
        <f>IF(K309&lt;-5,"CRÍTICO",IF(K309&lt;0,"ATENÇÃO",IF(K309&lt;=5,"BOM","EXCELENTE")))</f>
        <v/>
      </c>
      <c r="M309" t="n">
        <v>19</v>
      </c>
      <c r="N309" t="n">
        <v>100</v>
      </c>
      <c r="O309" t="n">
        <v>16.97247706422019</v>
      </c>
    </row>
    <row r="310" hidden="1">
      <c r="A310" s="5" t="n">
        <v>46154</v>
      </c>
      <c r="B310" s="6" t="inlineStr">
        <is>
          <t>Sarah Steffanie de Lima Borges</t>
        </is>
      </c>
      <c r="C310" s="3" t="inlineStr">
        <is>
          <t>Técnico III</t>
        </is>
      </c>
      <c r="D310" s="3" t="n">
        <v>29</v>
      </c>
      <c r="E310" s="3" t="n">
        <v>28</v>
      </c>
      <c r="F310" t="n">
        <v>14.1</v>
      </c>
      <c r="G310" s="3" t="n">
        <v>4</v>
      </c>
      <c r="H310" s="3" t="n">
        <v>0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25</v>
      </c>
      <c r="N310" t="n">
        <v>97.33</v>
      </c>
      <c r="O310" t="n">
        <v>15.80547112462006</v>
      </c>
    </row>
    <row r="311" hidden="1">
      <c r="A311" s="5" t="n">
        <v>46155</v>
      </c>
      <c r="B311" s="6" t="inlineStr">
        <is>
          <t>Alisson de Freitas Silva</t>
        </is>
      </c>
      <c r="C311" s="3" t="inlineStr">
        <is>
          <t>Técnico II</t>
        </is>
      </c>
      <c r="D311" s="3" t="n">
        <v>28</v>
      </c>
      <c r="E311" s="3" t="n">
        <v>21</v>
      </c>
      <c r="F311" t="n">
        <v>17.22</v>
      </c>
      <c r="G311" s="3" t="n">
        <v>2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s="3" t="n">
        <v>17</v>
      </c>
      <c r="N311" s="3" t="n">
        <v>98.94</v>
      </c>
      <c r="O311" s="3" t="n">
        <v>19.61414790996785</v>
      </c>
    </row>
    <row r="312" hidden="1">
      <c r="A312" s="5" t="n">
        <v>46155</v>
      </c>
      <c r="B312" s="6" t="inlineStr">
        <is>
          <t>Amanda Moura Ferreira</t>
        </is>
      </c>
      <c r="C312" s="3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IF(K312&lt;-5,"CRÍTICO",IF(K312&lt;0,"ATENÇÃO",IF(K312&lt;=5,"BOM","EXCELENTE")))</f>
        <v/>
      </c>
      <c r="M312" s="9" t="n">
        <v>0</v>
      </c>
      <c r="N312" s="9" t="n">
        <v>100</v>
      </c>
      <c r="O312" s="9" t="n">
        <v>0</v>
      </c>
    </row>
    <row r="313" hidden="1">
      <c r="A313" s="5" t="n">
        <v>46155</v>
      </c>
      <c r="B313" s="6" t="inlineStr">
        <is>
          <t>Ana Karollyne Souza Faria</t>
        </is>
      </c>
      <c r="C313" s="3" t="inlineStr">
        <is>
          <t>Técnico I</t>
        </is>
      </c>
      <c r="D313" s="3" t="n">
        <v>25</v>
      </c>
      <c r="E313" s="3" t="n">
        <v>21</v>
      </c>
      <c r="F313" t="n">
        <v>22.22</v>
      </c>
      <c r="G313" s="3" t="n">
        <v>7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s="3" t="n">
        <v>26</v>
      </c>
      <c r="N313" s="3" t="n">
        <v>95.38</v>
      </c>
      <c r="O313" s="3" t="n">
        <v>21.5962441314554</v>
      </c>
    </row>
    <row r="314" hidden="1">
      <c r="A314" s="5" t="n">
        <v>46155</v>
      </c>
      <c r="B314" s="6" t="inlineStr">
        <is>
          <t>Ana Paula Da Luz Silva Aleixo</t>
        </is>
      </c>
      <c r="C314" s="9" t="inlineStr">
        <is>
          <t>Técnico III</t>
        </is>
      </c>
      <c r="D314" s="3" t="n">
        <v>26</v>
      </c>
      <c r="E314" s="3" t="n">
        <v>23</v>
      </c>
      <c r="F314" t="n">
        <v>18.24</v>
      </c>
      <c r="G314" s="3" t="n">
        <v>0</v>
      </c>
      <c r="H314" s="3" t="n">
        <v>0</v>
      </c>
      <c r="I314" s="3">
        <f>E314+G314+H314</f>
        <v/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/>
      </c>
      <c r="K314" s="3">
        <f>I314-J314</f>
        <v/>
      </c>
      <c r="L314" s="3">
        <f>IF(K314&lt;-5,"CRÍTICO",IF(K314&lt;0,"ATENÇÃO",IF(K314&lt;=5,"BOM","EXCELENTE")))</f>
        <v/>
      </c>
      <c r="M314" t="n">
        <v>21</v>
      </c>
      <c r="N314" t="n">
        <v>96.34</v>
      </c>
      <c r="O314" t="n">
        <v>17.57188498402556</v>
      </c>
    </row>
    <row r="315" hidden="1">
      <c r="A315" s="5" t="n">
        <v>46155</v>
      </c>
      <c r="B315" s="6" t="inlineStr">
        <is>
          <t>Brenda de Menezes Silva</t>
        </is>
      </c>
      <c r="C315" s="3" t="inlineStr">
        <is>
          <t>Técnico II</t>
        </is>
      </c>
      <c r="D315" s="3" t="n">
        <v>33</v>
      </c>
      <c r="E315" s="3" t="n">
        <v>29</v>
      </c>
      <c r="F315" t="n">
        <v>18.31</v>
      </c>
      <c r="G315" s="3" t="n">
        <v>1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30</v>
      </c>
      <c r="N315" t="n">
        <v>99.13</v>
      </c>
      <c r="O315" t="n">
        <v>14.7239263803681</v>
      </c>
    </row>
    <row r="316" hidden="1">
      <c r="A316" s="5" t="n">
        <v>46155</v>
      </c>
      <c r="B316" s="6" t="inlineStr">
        <is>
          <t>Carlos Mateus Cassimiro Nunes</t>
        </is>
      </c>
      <c r="C316" s="9" t="inlineStr">
        <is>
          <t>Técnico II</t>
        </is>
      </c>
      <c r="D316" s="3" t="n">
        <v>17</v>
      </c>
      <c r="E316" s="3" t="n">
        <v>16</v>
      </c>
      <c r="F316" t="n">
        <v>28.53</v>
      </c>
      <c r="G316" s="3" t="n">
        <v>5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19</v>
      </c>
      <c r="N316" t="n">
        <v>98.8</v>
      </c>
      <c r="O316" t="n">
        <v>16.89750692520776</v>
      </c>
    </row>
    <row r="317" hidden="1">
      <c r="A317" s="5" t="n">
        <v>46155</v>
      </c>
      <c r="B317" s="6" t="inlineStr">
        <is>
          <t>Clessiane Pereira dos Santos</t>
        </is>
      </c>
      <c r="C317" s="3" t="inlineStr">
        <is>
          <t>Técnico I</t>
        </is>
      </c>
      <c r="D317" s="3" t="n">
        <v>37</v>
      </c>
      <c r="E317" s="3" t="n">
        <v>32</v>
      </c>
      <c r="F317" t="n">
        <v>15.32</v>
      </c>
      <c r="G317" s="3" t="n">
        <v>3</v>
      </c>
      <c r="H317" s="3" t="n">
        <v>0</v>
      </c>
      <c r="I317" s="3">
        <f>E317+G317+H317</f>
        <v/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/>
      </c>
      <c r="K317" s="3">
        <f>I317-J317</f>
        <v/>
      </c>
      <c r="L317" s="3">
        <f>IF(K317&lt;-5,"CRÍTICO",IF(K317&lt;0,"ATENÇÃO",IF(K317&lt;=5,"BOM","EXCELENTE")))</f>
        <v/>
      </c>
      <c r="M317" t="n">
        <v>26</v>
      </c>
      <c r="N317" t="n">
        <v>96.88</v>
      </c>
      <c r="O317" t="n">
        <v>19.52662721893491</v>
      </c>
    </row>
    <row r="318" hidden="1">
      <c r="A318" s="5" t="n">
        <v>46155</v>
      </c>
      <c r="B318" s="6" t="inlineStr">
        <is>
          <t>Cristiane Ramos da Silva Rocha</t>
        </is>
      </c>
      <c r="C318" s="3" t="inlineStr">
        <is>
          <t>Técnico III</t>
        </is>
      </c>
      <c r="D318" s="3" t="n">
        <v>34</v>
      </c>
      <c r="E318" s="3" t="n">
        <v>30</v>
      </c>
      <c r="F318" t="n">
        <v>12.09</v>
      </c>
      <c r="G318" s="3" t="n">
        <v>0</v>
      </c>
      <c r="H318" s="3" t="n">
        <v>0</v>
      </c>
      <c r="I318" s="3">
        <f>E318+G318+H318</f>
        <v/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/>
      </c>
      <c r="K318" s="3">
        <f>I318-J318</f>
        <v/>
      </c>
      <c r="L318" s="3">
        <f>IF(K318&lt;-5,"CRÍTICO",IF(K318&lt;0,"ATENÇÃO",IF(K318&lt;=5,"BOM","EXCELENTE")))</f>
        <v/>
      </c>
      <c r="M318" t="n">
        <v>31</v>
      </c>
      <c r="N318" t="n">
        <v>91.84999999999999</v>
      </c>
      <c r="O318" t="n">
        <v>20.87155963302752</v>
      </c>
    </row>
    <row r="319" hidden="1">
      <c r="A319" s="5" t="n">
        <v>46155</v>
      </c>
      <c r="B319" s="6" t="inlineStr">
        <is>
          <t>Damyllis Lorraine de Oliveira Gonçalves</t>
        </is>
      </c>
      <c r="C319" s="3" t="inlineStr">
        <is>
          <t>Técnico II</t>
        </is>
      </c>
      <c r="D319" s="3" t="n">
        <v>12</v>
      </c>
      <c r="E319" s="3" t="n">
        <v>9</v>
      </c>
      <c r="F319" t="n">
        <v>22.13</v>
      </c>
      <c r="G319" s="3" t="n">
        <v>0</v>
      </c>
      <c r="H319" s="3" t="n">
        <v>0</v>
      </c>
      <c r="I319" s="3" t="n">
        <v>0</v>
      </c>
      <c r="J319" s="3" t="n">
        <v>0</v>
      </c>
      <c r="K319" s="3" t="n">
        <v>0</v>
      </c>
      <c r="L319" s="3">
        <f>IF(K319&lt;-5,"CRÍTICO",IF(K319&lt;0,"ATENÇÃO",IF(K319&lt;=5,"BOM","EXCELENTE")))</f>
        <v/>
      </c>
      <c r="M319" t="n">
        <v>13</v>
      </c>
      <c r="N319" t="n">
        <v>98.63</v>
      </c>
      <c r="O319" t="n">
        <v>18.75</v>
      </c>
    </row>
    <row r="320" hidden="1">
      <c r="A320" s="5" t="n">
        <v>46155</v>
      </c>
      <c r="B320" s="6" t="inlineStr">
        <is>
          <t>Daniel Gomes da Silva</t>
        </is>
      </c>
      <c r="C320" s="3" t="inlineStr">
        <is>
          <t>Técnico I</t>
        </is>
      </c>
      <c r="D320" s="3" t="n">
        <v>17</v>
      </c>
      <c r="E320" s="3" t="n">
        <v>16</v>
      </c>
      <c r="F320" t="n">
        <v>21.54</v>
      </c>
      <c r="G320" s="3" t="n">
        <v>5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19</v>
      </c>
      <c r="N320" t="n">
        <v>100</v>
      </c>
      <c r="O320" t="n">
        <v>18.14516129032258</v>
      </c>
    </row>
    <row r="321" hidden="1">
      <c r="A321" s="5" t="n">
        <v>46155</v>
      </c>
      <c r="B321" s="6" t="inlineStr">
        <is>
          <t>Davylla Rodrigues Freitas Silva</t>
        </is>
      </c>
      <c r="C321" s="9" t="inlineStr">
        <is>
          <t>Técnico III</t>
        </is>
      </c>
      <c r="D321" s="3" t="n">
        <v>23</v>
      </c>
      <c r="E321" s="3" t="n">
        <v>23</v>
      </c>
      <c r="F321" t="n">
        <v>25.33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t="n">
        <v>21</v>
      </c>
      <c r="N321" t="n">
        <v>99.06</v>
      </c>
      <c r="O321" t="n">
        <v>22.95719844357977</v>
      </c>
    </row>
    <row r="322" hidden="1">
      <c r="A322" s="5" t="n">
        <v>46155</v>
      </c>
      <c r="B322" s="6" t="inlineStr">
        <is>
          <t>Emilly Kamilly Medeiros Miranda</t>
        </is>
      </c>
      <c r="C322" s="3" t="inlineStr">
        <is>
          <t>Técnico II</t>
        </is>
      </c>
      <c r="D322" s="3" t="n">
        <v>28</v>
      </c>
      <c r="E322" s="3" t="n">
        <v>25</v>
      </c>
      <c r="F322" t="n">
        <v>20.05</v>
      </c>
      <c r="G322" s="3" t="n">
        <v>2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19</v>
      </c>
      <c r="N322" t="n">
        <v>100</v>
      </c>
      <c r="O322" t="n">
        <v>13.8121546961326</v>
      </c>
    </row>
    <row r="323" hidden="1">
      <c r="A323" s="5" t="n">
        <v>46155</v>
      </c>
      <c r="B323" s="6" t="inlineStr">
        <is>
          <t>Francielson de Oliveira</t>
        </is>
      </c>
      <c r="C323" s="9" t="inlineStr">
        <is>
          <t>Técnico III</t>
        </is>
      </c>
      <c r="D323" s="3" t="n">
        <v>0</v>
      </c>
      <c r="E323" s="3" t="n">
        <v>0</v>
      </c>
      <c r="F323" s="3" t="n">
        <v>0</v>
      </c>
      <c r="G323" s="3" t="n">
        <v>0</v>
      </c>
      <c r="H323" s="3" t="n">
        <v>0</v>
      </c>
      <c r="I323" s="3" t="n">
        <v>0</v>
      </c>
      <c r="J323" s="3" t="n">
        <v>0</v>
      </c>
      <c r="K323" s="3" t="n">
        <v>0</v>
      </c>
      <c r="L323" s="3">
        <f>IF(K323&lt;-5,"CRÍTICO",IF(K323&lt;0,"ATENÇÃO",IF(K323&lt;=5,"BOM","EXCELENTE")))</f>
        <v/>
      </c>
      <c r="M323" s="9" t="n">
        <v>0</v>
      </c>
      <c r="N323" s="9" t="n">
        <v>100</v>
      </c>
      <c r="O323" s="9" t="n">
        <v>9.523809523809524</v>
      </c>
    </row>
    <row r="324" hidden="1">
      <c r="A324" s="5" t="n">
        <v>46155</v>
      </c>
      <c r="B324" s="6" t="inlineStr">
        <is>
          <t>Francilene Ferreira de Jesus</t>
        </is>
      </c>
      <c r="C324" s="3" t="inlineStr">
        <is>
          <t>Técnico 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17.24137931034483</v>
      </c>
    </row>
    <row r="325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N325" t="n">
        <v>98.91</v>
      </c>
      <c r="O325" t="n">
        <v>31.36729222520107</v>
      </c>
    </row>
    <row r="326" hidden="1">
      <c r="A326" s="5" t="n">
        <v>46155</v>
      </c>
      <c r="B326" s="6" t="inlineStr">
        <is>
          <t>Isabella Borges de Oliveira</t>
        </is>
      </c>
      <c r="C326" s="9" t="inlineStr">
        <is>
          <t>Técnico II</t>
        </is>
      </c>
      <c r="D326" s="3" t="n">
        <v>21</v>
      </c>
      <c r="E326" s="3" t="n">
        <v>21</v>
      </c>
      <c r="F326" t="n">
        <v>28.56</v>
      </c>
      <c r="G326" s="3" t="n">
        <v>1</v>
      </c>
      <c r="H326" s="3" t="n">
        <v>0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22</v>
      </c>
      <c r="N326" t="n">
        <v>98.63</v>
      </c>
      <c r="O326" t="n">
        <v>15.75757575757576</v>
      </c>
    </row>
    <row r="327" hidden="1">
      <c r="A327" s="5" t="n">
        <v>46155</v>
      </c>
      <c r="B327" s="6" t="inlineStr">
        <is>
          <t>Janaina Lima dos Reis Urany</t>
        </is>
      </c>
      <c r="C327" s="3" t="inlineStr">
        <is>
          <t>Técnico III</t>
        </is>
      </c>
      <c r="D327" s="3" t="n">
        <v>46</v>
      </c>
      <c r="E327" s="3" t="n">
        <v>40</v>
      </c>
      <c r="F327" t="n">
        <v>16.42</v>
      </c>
      <c r="G327" s="3" t="n">
        <v>3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37</v>
      </c>
      <c r="N327" t="n">
        <v>98.64</v>
      </c>
      <c r="O327" t="n">
        <v>16.6383701188455</v>
      </c>
    </row>
    <row r="328" hidden="1">
      <c r="A328" s="5" t="n">
        <v>46155</v>
      </c>
      <c r="B328" s="6" t="inlineStr">
        <is>
          <t>Jaqueline Evangelista da Silva Martins</t>
        </is>
      </c>
      <c r="C328" s="3" t="inlineStr">
        <is>
          <t>Técnico III</t>
        </is>
      </c>
      <c r="D328" s="3" t="n">
        <v>30</v>
      </c>
      <c r="E328" s="3" t="n">
        <v>29</v>
      </c>
      <c r="F328" t="n">
        <v>12.34</v>
      </c>
      <c r="G328" s="3" t="n">
        <v>5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31</v>
      </c>
      <c r="N328" t="n">
        <v>95.40000000000001</v>
      </c>
      <c r="O328" t="n">
        <v>20.53333333333333</v>
      </c>
    </row>
    <row r="329" hidden="1">
      <c r="A329" s="5" t="n">
        <v>46155</v>
      </c>
      <c r="B329" s="6" t="inlineStr">
        <is>
          <t>Jessica Faria da Silveira</t>
        </is>
      </c>
      <c r="C329" s="3" t="inlineStr">
        <is>
          <t>Técnico II</t>
        </is>
      </c>
      <c r="D329" s="3" t="n">
        <v>33</v>
      </c>
      <c r="E329" s="3" t="n">
        <v>27</v>
      </c>
      <c r="F329" t="n">
        <v>15.43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23</v>
      </c>
      <c r="N329" t="n">
        <v>98.61</v>
      </c>
      <c r="O329" t="n">
        <v>16.97530864197531</v>
      </c>
    </row>
    <row r="330" hidden="1">
      <c r="A330" s="5" t="n">
        <v>46155</v>
      </c>
      <c r="B330" s="6" t="inlineStr">
        <is>
          <t>Jéssica Fé Moura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0</v>
      </c>
      <c r="O330" s="9" t="n">
        <v>0</v>
      </c>
    </row>
    <row r="331" hidden="1">
      <c r="A331" s="5" t="n">
        <v>46155</v>
      </c>
      <c r="B331" s="6" t="inlineStr">
        <is>
          <t>Karina Gonçalves Martins</t>
        </is>
      </c>
      <c r="C331" s="3" t="inlineStr">
        <is>
          <t>JR</t>
        </is>
      </c>
      <c r="D331" s="3" t="n">
        <v>17</v>
      </c>
      <c r="E331" s="3" t="n">
        <v>14</v>
      </c>
      <c r="F331" t="n">
        <v>24.07</v>
      </c>
      <c r="G331" s="3" t="n">
        <v>6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18</v>
      </c>
      <c r="N331" t="n">
        <v>97.01000000000001</v>
      </c>
      <c r="O331" t="n">
        <v>13.96103896103896</v>
      </c>
    </row>
    <row r="332" hidden="1">
      <c r="A332" s="5" t="n">
        <v>46155</v>
      </c>
      <c r="B332" s="6" t="inlineStr">
        <is>
          <t>Kerollen Cristielly de Jesus Siqueira</t>
        </is>
      </c>
      <c r="C332" s="9" t="inlineStr">
        <is>
          <t>Técnico III</t>
        </is>
      </c>
      <c r="D332" s="3" t="n">
        <v>27</v>
      </c>
      <c r="E332" s="3" t="n">
        <v>26</v>
      </c>
      <c r="F332" t="n">
        <v>15.44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20</v>
      </c>
      <c r="N332" t="n">
        <v>95.52</v>
      </c>
      <c r="O332" t="n">
        <v>10.56105610561056</v>
      </c>
    </row>
    <row r="333" hidden="1">
      <c r="A333" s="5" t="n">
        <v>46155</v>
      </c>
      <c r="B333" s="6" t="inlineStr">
        <is>
          <t>Leandro de Souza Silva</t>
        </is>
      </c>
      <c r="C333" s="3" t="inlineStr">
        <is>
          <t>JR</t>
        </is>
      </c>
      <c r="D333" s="3" t="n">
        <v>0</v>
      </c>
      <c r="E333" s="3" t="n">
        <v>0</v>
      </c>
      <c r="F333" s="3" t="n">
        <v>0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s="9" t="n">
        <v>0</v>
      </c>
      <c r="N333" s="9" t="n">
        <v>100</v>
      </c>
      <c r="O333" s="9" t="n">
        <v>16.95906432748538</v>
      </c>
    </row>
    <row r="334" hidden="1">
      <c r="A334" s="5" t="n">
        <v>46155</v>
      </c>
      <c r="B334" s="6" t="inlineStr">
        <is>
          <t>Leandro Oliveira de Sousa</t>
        </is>
      </c>
      <c r="C334" s="9" t="inlineStr">
        <is>
          <t>Técnico III</t>
        </is>
      </c>
      <c r="D334" s="3" t="n">
        <v>25</v>
      </c>
      <c r="E334" s="3" t="n">
        <v>24</v>
      </c>
      <c r="F334" t="n">
        <v>20</v>
      </c>
      <c r="G334" s="3" t="n">
        <v>1</v>
      </c>
      <c r="H334" s="3" t="n">
        <v>0</v>
      </c>
      <c r="I334" s="3">
        <f>E334+G334+H334</f>
        <v/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/>
      </c>
      <c r="K334" s="3">
        <f>I334-J334</f>
        <v/>
      </c>
      <c r="L334" s="3">
        <f>IF(K334&lt;-5,"CRÍTICO",IF(K334&lt;0,"ATENÇÃO",IF(K334&lt;=5,"BOM","EXCELENTE")))</f>
        <v/>
      </c>
      <c r="M334" t="n">
        <v>26</v>
      </c>
      <c r="N334" t="n">
        <v>100</v>
      </c>
      <c r="O334" t="n">
        <v>15.58441558441558</v>
      </c>
    </row>
    <row r="335" hidden="1">
      <c r="A335" s="5" t="n">
        <v>46155</v>
      </c>
      <c r="B335" s="6" t="inlineStr">
        <is>
          <t>Lizandra Gomes Duarte</t>
        </is>
      </c>
      <c r="C335" s="3" t="inlineStr">
        <is>
          <t>Técnico II</t>
        </is>
      </c>
      <c r="D335" s="3" t="n">
        <v>21</v>
      </c>
      <c r="E335" s="3" t="n">
        <v>20</v>
      </c>
      <c r="F335" t="n">
        <v>22.3</v>
      </c>
      <c r="G335" s="3" t="n">
        <v>5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22</v>
      </c>
      <c r="N335" t="n">
        <v>98.61</v>
      </c>
      <c r="O335" t="n">
        <v>16.86746987951807</v>
      </c>
    </row>
    <row r="336" hidden="1">
      <c r="A336" s="5" t="n">
        <v>46155</v>
      </c>
      <c r="B336" s="6" t="inlineStr">
        <is>
          <t>Lorena Dias de Araujo</t>
        </is>
      </c>
      <c r="C336" s="3" t="inlineStr">
        <is>
          <t>Técnico II</t>
        </is>
      </c>
      <c r="D336" s="3" t="n">
        <v>30</v>
      </c>
      <c r="E336" s="3" t="n">
        <v>29</v>
      </c>
      <c r="F336" t="n">
        <v>15.49</v>
      </c>
      <c r="G336" s="3" t="n">
        <v>0</v>
      </c>
      <c r="H336" s="3" t="n">
        <v>0</v>
      </c>
      <c r="I336" s="3" t="n">
        <v>0</v>
      </c>
      <c r="J336" s="3" t="n">
        <v>0</v>
      </c>
      <c r="K336" s="3" t="n">
        <v>0</v>
      </c>
      <c r="L336" s="3">
        <f>IF(K336&lt;-5,"CRÍTICO",IF(K336&lt;0,"ATENÇÃO",IF(K336&lt;=5,"BOM","EXCELENTE")))</f>
        <v/>
      </c>
      <c r="M336" t="n">
        <v>26</v>
      </c>
      <c r="N336" t="n">
        <v>100</v>
      </c>
      <c r="O336" t="n">
        <v>20.82018927444795</v>
      </c>
    </row>
    <row r="337" hidden="1">
      <c r="A337" s="5" t="n">
        <v>46155</v>
      </c>
      <c r="B337" s="6" t="inlineStr">
        <is>
          <t>Lucas Luiz Romero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100</v>
      </c>
      <c r="O337" s="9" t="n">
        <v>4.347826086956522</v>
      </c>
    </row>
    <row r="338" hidden="1">
      <c r="A338" s="5" t="n">
        <v>46155</v>
      </c>
      <c r="B338" s="6" t="inlineStr">
        <is>
          <t>Luiz Fernando de Carvalho Junior</t>
        </is>
      </c>
      <c r="C338" s="3" t="inlineStr">
        <is>
          <t>Técnico I</t>
        </is>
      </c>
      <c r="D338" s="3" t="n">
        <v>24</v>
      </c>
      <c r="E338" s="3" t="n">
        <v>22</v>
      </c>
      <c r="F338" t="n">
        <v>20.17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22</v>
      </c>
      <c r="N338" t="n">
        <v>93.26000000000001</v>
      </c>
      <c r="O338" t="n">
        <v>19.93957703927493</v>
      </c>
    </row>
    <row r="339" hidden="1">
      <c r="A339" s="5" t="n">
        <v>46155</v>
      </c>
      <c r="B339" s="6" t="inlineStr">
        <is>
          <t>Anna Luiza Rezende Tavares</t>
        </is>
      </c>
      <c r="C339" s="3" t="inlineStr">
        <is>
          <t>Estágio</t>
        </is>
      </c>
      <c r="D339" s="3" t="n">
        <v>23</v>
      </c>
      <c r="E339" s="3" t="n">
        <v>23</v>
      </c>
      <c r="F339" t="n">
        <v>15.57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18</v>
      </c>
      <c r="N339" t="n">
        <v>99.11</v>
      </c>
      <c r="O339" t="n">
        <v>17.72151898734177</v>
      </c>
    </row>
    <row r="340" hidden="1">
      <c r="A340" s="5" t="n">
        <v>46155</v>
      </c>
      <c r="B340" s="6" t="inlineStr">
        <is>
          <t>Claudio de Sousa Velasco Filho</t>
        </is>
      </c>
      <c r="C340" s="3" t="inlineStr">
        <is>
          <t>Estágio</t>
        </is>
      </c>
      <c r="D340" s="3" t="n">
        <v>5</v>
      </c>
      <c r="E340" s="3" t="n">
        <v>5</v>
      </c>
      <c r="F340" t="n">
        <v>42.33</v>
      </c>
      <c r="G340" s="3" t="n">
        <v>0</v>
      </c>
      <c r="H340" s="3" t="n">
        <v>0</v>
      </c>
      <c r="I340" s="3">
        <f>E340+G340+H340</f>
        <v/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/>
      </c>
      <c r="K340" s="3">
        <f>I340-J340</f>
        <v/>
      </c>
      <c r="L340" s="3">
        <f>IF(K340&lt;-5,"CRÍTICO",IF(K340&lt;0,"ATENÇÃO",IF(K340&lt;=5,"BOM","EXCELENTE")))</f>
        <v/>
      </c>
      <c r="M340" t="n">
        <v>5</v>
      </c>
      <c r="N340" t="n">
        <v>96.43000000000001</v>
      </c>
      <c r="O340" t="n">
        <v>20</v>
      </c>
    </row>
    <row r="341" hidden="1">
      <c r="A341" s="5" t="n">
        <v>46155</v>
      </c>
      <c r="B341" s="6" t="inlineStr">
        <is>
          <t>Emilly Caylane Costa</t>
        </is>
      </c>
      <c r="C341" s="3" t="inlineStr">
        <is>
          <t>Estágio</t>
        </is>
      </c>
      <c r="D341" s="3" t="n">
        <v>60</v>
      </c>
      <c r="E341" s="3" t="n">
        <v>19</v>
      </c>
      <c r="F341" t="n">
        <v>2.24</v>
      </c>
      <c r="G341" s="3" t="n">
        <v>0</v>
      </c>
      <c r="H341" s="3" t="n">
        <v>0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0</v>
      </c>
      <c r="N341" t="n">
        <v>100</v>
      </c>
      <c r="O341" t="n">
        <v>29.03225806451613</v>
      </c>
    </row>
    <row r="342" hidden="1">
      <c r="A342" s="5" t="n">
        <v>46155</v>
      </c>
      <c r="B342" s="6" t="inlineStr">
        <is>
          <t>Maria Eduarda Sousa Costa</t>
        </is>
      </c>
      <c r="C342" s="3" t="inlineStr">
        <is>
          <t>Estágio</t>
        </is>
      </c>
      <c r="D342" s="3" t="n">
        <v>37</v>
      </c>
      <c r="E342" s="3" t="n">
        <v>23</v>
      </c>
      <c r="F342" t="n">
        <v>6.59</v>
      </c>
      <c r="G342" s="3" t="n">
        <v>0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1</v>
      </c>
      <c r="N342" t="n">
        <v>100</v>
      </c>
      <c r="O342" t="n">
        <v>11.86440677966102</v>
      </c>
    </row>
    <row r="343" hidden="1">
      <c r="A343" s="5" t="n">
        <v>46155</v>
      </c>
      <c r="B343" s="6" t="inlineStr">
        <is>
          <t>Michelle G Santos</t>
        </is>
      </c>
      <c r="C343" s="3" t="inlineStr">
        <is>
          <t>Estágio</t>
        </is>
      </c>
      <c r="D343" s="3" t="n">
        <v>6</v>
      </c>
      <c r="E343" s="3" t="n">
        <v>6</v>
      </c>
      <c r="F343" t="n">
        <v>29.1</v>
      </c>
      <c r="G343" s="3" t="n">
        <v>0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5</v>
      </c>
      <c r="N343" t="n">
        <v>100</v>
      </c>
      <c r="O343" t="n">
        <v>16.8141592920354</v>
      </c>
    </row>
    <row r="344" hidden="1">
      <c r="A344" s="5" t="n">
        <v>46155</v>
      </c>
      <c r="B344" s="6" t="inlineStr">
        <is>
          <t>Quirino Diogo Leite Torres</t>
        </is>
      </c>
      <c r="C344" s="3" t="inlineStr">
        <is>
          <t>Estágio</t>
        </is>
      </c>
      <c r="D344" s="3" t="n">
        <v>19</v>
      </c>
      <c r="E344" s="3" t="n">
        <v>18</v>
      </c>
      <c r="F344" t="n">
        <v>23.42</v>
      </c>
      <c r="G344" s="3" t="n">
        <v>0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13</v>
      </c>
      <c r="N344" t="n">
        <v>98.11</v>
      </c>
      <c r="O344" t="n">
        <v>20.40816326530612</v>
      </c>
    </row>
    <row r="345" hidden="1">
      <c r="A345" s="5" t="n">
        <v>46155</v>
      </c>
      <c r="B345" s="6" t="inlineStr">
        <is>
          <t>Matheus Farias De Souza</t>
        </is>
      </c>
      <c r="C345" s="3" t="inlineStr">
        <is>
          <t>Técnico III</t>
        </is>
      </c>
      <c r="D345" s="3" t="n">
        <v>0</v>
      </c>
      <c r="E345" s="3" t="n">
        <v>0</v>
      </c>
      <c r="F345" t="n">
        <v>0</v>
      </c>
      <c r="G345" s="3" t="n">
        <v>0</v>
      </c>
      <c r="H345" s="3" t="n">
        <v>41</v>
      </c>
      <c r="I345" s="3">
        <f>E345+G345+H345</f>
        <v/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/>
      </c>
      <c r="K345" s="3">
        <f>I345-J345</f>
        <v/>
      </c>
      <c r="L345" s="3">
        <f>IF(K345&lt;-5,"CRÍTICO",IF(K345&lt;0,"ATENÇÃO",IF(K345&lt;=5,"BOM","EXCELENTE")))</f>
        <v/>
      </c>
      <c r="M345" t="n">
        <v>28</v>
      </c>
      <c r="N345" t="n">
        <v>98.28</v>
      </c>
      <c r="O345" t="n">
        <v>9.037900874635568</v>
      </c>
    </row>
    <row r="346" hidden="1">
      <c r="A346" s="5" t="n">
        <v>46155</v>
      </c>
      <c r="B346" s="6" t="inlineStr">
        <is>
          <t>Maysa Victoria Dias Moura</t>
        </is>
      </c>
      <c r="C346" s="3" t="inlineStr">
        <is>
          <t>Técnico III</t>
        </is>
      </c>
      <c r="D346" s="3" t="n">
        <v>36</v>
      </c>
      <c r="E346" s="3" t="n">
        <v>30</v>
      </c>
      <c r="F346" t="n">
        <v>10.47</v>
      </c>
      <c r="G346" s="3" t="n">
        <v>4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29</v>
      </c>
      <c r="N346" t="n">
        <v>97.22</v>
      </c>
      <c r="O346" t="n">
        <v>19.09547738693467</v>
      </c>
    </row>
    <row r="347" hidden="1">
      <c r="A347" s="5" t="n">
        <v>46155</v>
      </c>
      <c r="B347" s="6" t="inlineStr">
        <is>
          <t>Milena Sales</t>
        </is>
      </c>
      <c r="C347" s="3" t="inlineStr">
        <is>
          <t>JR</t>
        </is>
      </c>
      <c r="D347" s="3" t="n">
        <v>27</v>
      </c>
      <c r="E347" s="3" t="n">
        <v>24</v>
      </c>
      <c r="F347" t="n">
        <v>17.14</v>
      </c>
      <c r="G347" s="3" t="n">
        <v>1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18</v>
      </c>
      <c r="N347" t="n">
        <v>98</v>
      </c>
      <c r="O347" t="n">
        <v>16.43835616438356</v>
      </c>
    </row>
    <row r="348" hidden="1">
      <c r="A348" s="5" t="n">
        <v>46155</v>
      </c>
      <c r="B348" s="6" t="inlineStr">
        <is>
          <t>Patrícia Karla de Sousa Araújo</t>
        </is>
      </c>
      <c r="C348" s="3" t="inlineStr">
        <is>
          <t>Técnico II</t>
        </is>
      </c>
      <c r="D348" s="3" t="n">
        <v>24</v>
      </c>
      <c r="E348" s="3" t="n">
        <v>22</v>
      </c>
      <c r="F348" t="n">
        <v>21.47</v>
      </c>
      <c r="G348" s="3" t="n">
        <v>0</v>
      </c>
      <c r="H348" s="3" t="n">
        <v>0</v>
      </c>
      <c r="I348" s="3">
        <f>E348+G348+H348</f>
        <v/>
      </c>
      <c r="J348" s="3">
        <f>ROUND(MIN(IF(C348="Técnico III",35,IF(C348="Técnico II",28,IF(C348="Técnico I",23,IF(C348="JR",20,IF(C348="Estágio",10,0))))),IF(C348="Técnico III",SUMIFS($D:$D,$A:$A,$A348,$B:$B,"&lt;&gt;Patrícia Karla de Sousa Araújo",$B:$B,"&lt;&gt;Lorena Dias de Araujo",$B:$B,"&lt;&gt;Lucas Luiz Romero")*(35/1083),IF(C348="Técnico II",SUMIFS($D:$D,$A:$A,$A348,$B:$B,"&lt;&gt;Patrícia Karla de Sousa Araújo",$B:$B,"&lt;&gt;Lorena Dias de Araujo",$B:$B,"&lt;&gt;Lucas Luiz Romero")*(28/1083),IF(C348="Técnico I",SUMIFS($D:$D,$A:$A,$A348,$B:$B,"&lt;&gt;Patrícia Karla de Sousa Araújo",$B:$B,"&lt;&gt;Lorena Dias de Araujo",$B:$B,"&lt;&gt;Lucas Luiz Romero")*(23/1083),IF(C348="JR",SUMIFS($D:$D,$A:$A,$A348,$B:$B,"&lt;&gt;Patrícia Karla de Sousa Araújo",$B:$B,"&lt;&gt;Lorena Dias de Araujo",$B:$B,"&lt;&gt;Lucas Luiz Romero")*(20/1083),IF(C348="Estágio",SUMIFS($D:$D,$A:$A,$A348,$B:$B,"&lt;&gt;Patrícia Karla de Sousa Araújo",$B:$B,"&lt;&gt;Lorena Dias de Araujo",$B:$B,"&lt;&gt;Lucas Luiz Romero")*(10/1083),0)))))),0)</f>
        <v/>
      </c>
      <c r="K348" s="3">
        <f>I348-J348</f>
        <v/>
      </c>
      <c r="L348" s="3">
        <f>IF(K348&lt;-5,"CRÍTICO",IF(K348&lt;0,"ATENÇÃO",IF(K348&lt;=5,"BOM","EXCELENTE")))</f>
        <v/>
      </c>
      <c r="M348" t="n">
        <v>18</v>
      </c>
      <c r="N348" t="n">
        <v>100</v>
      </c>
      <c r="O348" t="n">
        <v>16.89497716894977</v>
      </c>
    </row>
    <row r="349" hidden="1">
      <c r="A349" s="5" t="n">
        <v>46155</v>
      </c>
      <c r="B349" s="6" t="inlineStr">
        <is>
          <t>Paulo Ricardo Santos</t>
        </is>
      </c>
      <c r="C349" s="3" t="inlineStr">
        <is>
          <t>JR</t>
        </is>
      </c>
      <c r="D349" s="3" t="n">
        <v>12</v>
      </c>
      <c r="E349" s="3" t="n">
        <v>11</v>
      </c>
      <c r="F349" t="n">
        <v>25.27</v>
      </c>
      <c r="G349" s="3" t="n">
        <v>0</v>
      </c>
      <c r="H349" s="3" t="n">
        <v>0</v>
      </c>
      <c r="I349" s="3">
        <f>E349+G349+H349</f>
        <v/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/>
      </c>
      <c r="K349" s="3">
        <f>I349-J349</f>
        <v/>
      </c>
      <c r="L349" s="3">
        <f>IF(K349&lt;-5,"CRÍTICO",IF(K349&lt;0,"ATENÇÃO",IF(K349&lt;=5,"BOM","EXCELENTE")))</f>
        <v/>
      </c>
      <c r="M349" t="n">
        <v>14</v>
      </c>
      <c r="N349" t="n">
        <v>100</v>
      </c>
      <c r="O349" t="n">
        <v>19.13875598086124</v>
      </c>
    </row>
    <row r="350" hidden="1">
      <c r="A350" s="5" t="n">
        <v>46155</v>
      </c>
      <c r="B350" s="6" t="inlineStr">
        <is>
          <t>Pedro Luiz Mota Sousa</t>
        </is>
      </c>
      <c r="C350" s="3" t="inlineStr">
        <is>
          <t>JR</t>
        </is>
      </c>
      <c r="D350" s="3" t="n">
        <v>15</v>
      </c>
      <c r="E350" s="3" t="n">
        <v>14</v>
      </c>
      <c r="F350" t="n">
        <v>13.2</v>
      </c>
      <c r="G350" s="3" t="n">
        <v>4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18</v>
      </c>
      <c r="N350" t="n">
        <v>100</v>
      </c>
      <c r="O350" t="n">
        <v>15.02145922746781</v>
      </c>
    </row>
    <row r="351" hidden="1">
      <c r="A351" s="5" t="n">
        <v>46155</v>
      </c>
      <c r="B351" s="6" t="inlineStr">
        <is>
          <t>Raane Batista Matos</t>
        </is>
      </c>
      <c r="C351" s="3" t="inlineStr">
        <is>
          <t>Técnico I</t>
        </is>
      </c>
      <c r="D351" s="3" t="n">
        <v>33</v>
      </c>
      <c r="E351" s="3" t="n">
        <v>31</v>
      </c>
      <c r="F351" t="n">
        <v>13.48</v>
      </c>
      <c r="G351" s="3" t="n">
        <v>7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97.56</v>
      </c>
      <c r="O351" t="n">
        <v>19.28783382789317</v>
      </c>
    </row>
    <row r="352" hidden="1">
      <c r="A352" s="5" t="n">
        <v>46155</v>
      </c>
      <c r="B352" s="6" t="inlineStr">
        <is>
          <t>Rafael Gomes de Morais</t>
        </is>
      </c>
      <c r="C352" s="3" t="inlineStr">
        <is>
          <t>Técnico III</t>
        </is>
      </c>
      <c r="D352" s="3" t="n">
        <v>36</v>
      </c>
      <c r="E352" s="3" t="n">
        <v>32</v>
      </c>
      <c r="F352" t="n">
        <v>13.49</v>
      </c>
      <c r="G352" s="3" t="n">
        <v>5</v>
      </c>
      <c r="H352" s="3" t="n">
        <v>0</v>
      </c>
      <c r="I352" s="3">
        <f>E352+G352+H352</f>
        <v/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/>
      </c>
      <c r="K352" s="3">
        <f>I352-J352</f>
        <v/>
      </c>
      <c r="L352" s="3">
        <f>IF(K352&lt;-5,"CRÍTICO",IF(K352&lt;0,"ATENÇÃO",IF(K352&lt;=5,"BOM","EXCELENTE")))</f>
        <v/>
      </c>
      <c r="M352" t="n">
        <v>32</v>
      </c>
      <c r="N352" t="n">
        <v>99.29000000000001</v>
      </c>
      <c r="O352" t="n">
        <v>22.49443207126949</v>
      </c>
    </row>
    <row r="353" hidden="1">
      <c r="A353" s="5" t="n">
        <v>46155</v>
      </c>
      <c r="B353" s="6" t="inlineStr">
        <is>
          <t>Sara Maria Monteiro Lopes</t>
        </is>
      </c>
      <c r="C353" s="3" t="inlineStr">
        <is>
          <t>Técnico I</t>
        </is>
      </c>
      <c r="D353" s="3" t="n">
        <v>11</v>
      </c>
      <c r="E353" s="3" t="n">
        <v>10</v>
      </c>
      <c r="F353" t="n">
        <v>33.26</v>
      </c>
      <c r="G353" s="3" t="n">
        <v>5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16</v>
      </c>
      <c r="N353" t="n">
        <v>100</v>
      </c>
      <c r="O353" t="n">
        <v>16.97247706422019</v>
      </c>
    </row>
    <row r="354" hidden="1">
      <c r="A354" s="5" t="n">
        <v>46155</v>
      </c>
      <c r="B354" s="6" t="inlineStr">
        <is>
          <t>Sarah Steffanie de Lima Borges</t>
        </is>
      </c>
      <c r="C354" s="3" t="inlineStr">
        <is>
          <t>Técnico III</t>
        </is>
      </c>
      <c r="D354" s="3" t="n">
        <v>25</v>
      </c>
      <c r="E354" s="3" t="n">
        <v>23</v>
      </c>
      <c r="F354" t="n">
        <v>17.29</v>
      </c>
      <c r="G354" s="3" t="n">
        <v>0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21</v>
      </c>
      <c r="N354" t="n">
        <v>97.33</v>
      </c>
      <c r="O354" t="n">
        <v>15.80547112462006</v>
      </c>
    </row>
    <row r="355" hidden="1">
      <c r="A355" s="5" t="n">
        <v>46156</v>
      </c>
      <c r="B355" s="6" t="inlineStr">
        <is>
          <t>Alisson de Freitas Silva</t>
        </is>
      </c>
      <c r="C355" s="3" t="inlineStr">
        <is>
          <t>Técnico II</t>
        </is>
      </c>
      <c r="D355" s="3" t="n">
        <v>33</v>
      </c>
      <c r="E355" s="3" t="n">
        <v>28</v>
      </c>
      <c r="F355" t="n">
        <v>10.58</v>
      </c>
      <c r="G355" s="3" t="n">
        <v>6</v>
      </c>
      <c r="H355" s="3" t="n">
        <v>0</v>
      </c>
      <c r="I355" s="3">
        <f>E355+G355+H355</f>
        <v/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/>
      </c>
      <c r="K355" s="3">
        <f>I355-J355</f>
        <v/>
      </c>
      <c r="L355" s="3">
        <f>IF(K355&lt;-5,"CRÍTICO",IF(K355&lt;0,"ATENÇÃO",IF(K355&lt;=5,"BOM","EXCELENTE")))</f>
        <v/>
      </c>
      <c r="M355" s="3" t="n">
        <v>23</v>
      </c>
      <c r="N355" s="3" t="n">
        <v>98.94</v>
      </c>
      <c r="O355" s="3" t="n">
        <v>19.61414790996785</v>
      </c>
    </row>
    <row r="356" hidden="1">
      <c r="A356" s="5" t="n">
        <v>46156</v>
      </c>
      <c r="B356" s="6" t="inlineStr">
        <is>
          <t>Amanda Moura Ferreira</t>
        </is>
      </c>
      <c r="C356" s="3" t="inlineStr">
        <is>
          <t>Técnico III</t>
        </is>
      </c>
      <c r="D356" s="3" t="n">
        <v>0</v>
      </c>
      <c r="E356" s="3" t="n">
        <v>0</v>
      </c>
      <c r="F356" s="3" t="n">
        <v>0</v>
      </c>
      <c r="G356" s="3" t="n">
        <v>0</v>
      </c>
      <c r="H356" s="3" t="n">
        <v>0</v>
      </c>
      <c r="I356" s="3" t="n">
        <v>0</v>
      </c>
      <c r="J356" s="3" t="n">
        <v>0</v>
      </c>
      <c r="K356" s="3" t="n">
        <v>0</v>
      </c>
      <c r="L356" s="3">
        <f>IF(K356&lt;-5,"CRÍTICO",IF(K356&lt;0,"ATENÇÃO",IF(K356&lt;=5,"BOM","EXCELENTE")))</f>
        <v/>
      </c>
      <c r="M356" s="9" t="n">
        <v>0</v>
      </c>
      <c r="N356" s="9" t="n">
        <v>100</v>
      </c>
      <c r="O356" s="9" t="n">
        <v>0</v>
      </c>
    </row>
    <row r="357" hidden="1">
      <c r="A357" s="5" t="n">
        <v>46156</v>
      </c>
      <c r="B357" s="6" t="inlineStr">
        <is>
          <t>Ana Karollyne Souza Faria</t>
        </is>
      </c>
      <c r="C357" s="3" t="inlineStr">
        <is>
          <t>Técnico I</t>
        </is>
      </c>
      <c r="D357" s="3" t="n">
        <v>27</v>
      </c>
      <c r="E357" s="3" t="n">
        <v>25</v>
      </c>
      <c r="F357" t="n">
        <v>18.51</v>
      </c>
      <c r="G357" s="3" t="n">
        <v>1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s="3" t="n">
        <v>23</v>
      </c>
      <c r="N357" s="3" t="n">
        <v>95.38</v>
      </c>
      <c r="O357" s="3" t="n">
        <v>21.5962441314554</v>
      </c>
    </row>
    <row r="358" hidden="1">
      <c r="A358" s="5" t="n">
        <v>46156</v>
      </c>
      <c r="B358" s="6" t="inlineStr">
        <is>
          <t>Ana Paula Da Luz Silva Aleixo</t>
        </is>
      </c>
      <c r="C358" s="9" t="inlineStr">
        <is>
          <t>Técnico III</t>
        </is>
      </c>
      <c r="D358" s="3" t="n">
        <v>25</v>
      </c>
      <c r="E358" s="3" t="n">
        <v>25</v>
      </c>
      <c r="F358" t="n">
        <v>17.34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27</v>
      </c>
      <c r="N358" t="n">
        <v>96.34</v>
      </c>
      <c r="O358" t="n">
        <v>17.57188498402556</v>
      </c>
    </row>
    <row r="359" hidden="1">
      <c r="A359" s="5" t="n">
        <v>46156</v>
      </c>
      <c r="B359" s="6" t="inlineStr">
        <is>
          <t>Brenda de Menezes Silva</t>
        </is>
      </c>
      <c r="C359" s="3" t="inlineStr">
        <is>
          <t>Técnico II</t>
        </is>
      </c>
      <c r="D359" s="3" t="n">
        <v>29</v>
      </c>
      <c r="E359" s="3" t="n">
        <v>29</v>
      </c>
      <c r="F359" t="n">
        <v>12.28</v>
      </c>
      <c r="G359" s="3" t="n">
        <v>4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33</v>
      </c>
      <c r="N359" t="n">
        <v>99.13</v>
      </c>
      <c r="O359" t="n">
        <v>14.7239263803681</v>
      </c>
    </row>
    <row r="360" hidden="1">
      <c r="A360" s="5" t="n">
        <v>46156</v>
      </c>
      <c r="B360" s="6" t="inlineStr">
        <is>
          <t>Carlos Mateus Cassimiro Nunes</t>
        </is>
      </c>
      <c r="C360" s="9" t="inlineStr">
        <is>
          <t>Técnico II</t>
        </is>
      </c>
      <c r="D360" s="3" t="n">
        <v>25</v>
      </c>
      <c r="E360" s="3" t="n">
        <v>23</v>
      </c>
      <c r="F360" t="n">
        <v>20.56</v>
      </c>
      <c r="G360" s="3" t="n">
        <v>4</v>
      </c>
      <c r="H360" s="3" t="n">
        <v>0</v>
      </c>
      <c r="I360" s="3">
        <f>E360+G360+H360</f>
        <v/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/>
      </c>
      <c r="K360" s="3">
        <f>I360-J360</f>
        <v/>
      </c>
      <c r="L360" s="3">
        <f>IF(K360&lt;-5,"CRÍTICO",IF(K360&lt;0,"ATENÇÃO",IF(K360&lt;=5,"BOM","EXCELENTE")))</f>
        <v/>
      </c>
      <c r="M360" t="n">
        <v>25</v>
      </c>
      <c r="N360" t="n">
        <v>98.8</v>
      </c>
      <c r="O360" t="n">
        <v>16.89750692520776</v>
      </c>
    </row>
    <row r="361" hidden="1">
      <c r="A361" s="5" t="n">
        <v>46156</v>
      </c>
      <c r="B361" s="6" t="inlineStr">
        <is>
          <t>Clessiane Pereira dos Santos</t>
        </is>
      </c>
      <c r="C361" s="3" t="inlineStr">
        <is>
          <t>Técnico I</t>
        </is>
      </c>
      <c r="D361" s="3" t="n">
        <v>33</v>
      </c>
      <c r="E361" s="3" t="n">
        <v>29</v>
      </c>
      <c r="F361" t="n">
        <v>11.54</v>
      </c>
      <c r="G361" s="3" t="n">
        <v>7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30</v>
      </c>
      <c r="N361" t="n">
        <v>96.88</v>
      </c>
      <c r="O361" t="n">
        <v>19.52662721893491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Damyllis Lorraine de Oliveira Gonçalves</t>
        </is>
      </c>
      <c r="C363" s="3" t="inlineStr">
        <is>
          <t>Técnico II</t>
        </is>
      </c>
      <c r="D363" s="3" t="n">
        <v>22</v>
      </c>
      <c r="E363" s="3" t="n">
        <v>18</v>
      </c>
      <c r="F363" t="n">
        <v>25.02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17</v>
      </c>
      <c r="N363" t="n">
        <v>98.63</v>
      </c>
      <c r="O363" t="n">
        <v>18.75</v>
      </c>
    </row>
    <row r="364" hidden="1">
      <c r="A364" s="5" t="n">
        <v>46156</v>
      </c>
      <c r="B364" s="6" t="inlineStr">
        <is>
          <t>Daniel Gomes da Silva</t>
        </is>
      </c>
      <c r="C364" s="3" t="inlineStr">
        <is>
          <t>Técnico I</t>
        </is>
      </c>
      <c r="D364" s="3" t="n">
        <v>30</v>
      </c>
      <c r="E364" s="3" t="n">
        <v>28</v>
      </c>
      <c r="F364" t="n">
        <v>18.25</v>
      </c>
      <c r="G364" s="3" t="n">
        <v>1</v>
      </c>
      <c r="H364" s="3" t="n">
        <v>0</v>
      </c>
      <c r="I364" s="3">
        <f>E364+G364+H364</f>
        <v/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/>
      </c>
      <c r="K364" s="3">
        <f>I364-J364</f>
        <v/>
      </c>
      <c r="L364" s="3">
        <f>IF(K364&lt;-5,"CRÍTICO",IF(K364&lt;0,"ATENÇÃO",IF(K364&lt;=5,"BOM","EXCELENTE")))</f>
        <v/>
      </c>
      <c r="M364" t="n">
        <v>20</v>
      </c>
      <c r="N364" t="n">
        <v>100</v>
      </c>
      <c r="O364" t="n">
        <v>18.14516129032258</v>
      </c>
    </row>
    <row r="365" hidden="1">
      <c r="A365" s="5" t="n">
        <v>46156</v>
      </c>
      <c r="B365" s="6" t="inlineStr">
        <is>
          <t>Davylla Rodrigues Freitas Silva</t>
        </is>
      </c>
      <c r="C365" s="9" t="inlineStr">
        <is>
          <t>Técnico III</t>
        </is>
      </c>
      <c r="D365" s="3" t="n">
        <v>22</v>
      </c>
      <c r="E365" s="3" t="n">
        <v>21</v>
      </c>
      <c r="F365" t="n">
        <v>22.3</v>
      </c>
      <c r="G365" s="3" t="n">
        <v>0</v>
      </c>
      <c r="H365" s="3" t="n">
        <v>0</v>
      </c>
      <c r="I365" s="3" t="n">
        <v>0</v>
      </c>
      <c r="J365" s="3" t="n">
        <v>0</v>
      </c>
      <c r="K365" s="3" t="n">
        <v>0</v>
      </c>
      <c r="L365" s="3">
        <f>IF(K365&lt;-5,"CRÍTICO",IF(K365&lt;0,"ATENÇÃO",IF(K365&lt;=5,"BOM","EXCELENTE")))</f>
        <v/>
      </c>
      <c r="M365" t="n">
        <v>26</v>
      </c>
      <c r="N365" t="n">
        <v>99.06</v>
      </c>
      <c r="O365" t="n">
        <v>22.95719844357977</v>
      </c>
    </row>
    <row r="366" hidden="1">
      <c r="A366" s="5" t="n">
        <v>46156</v>
      </c>
      <c r="B366" s="6" t="inlineStr">
        <is>
          <t>Emilly Kamilly Medeiros Miranda</t>
        </is>
      </c>
      <c r="C366" s="3" t="inlineStr">
        <is>
          <t>Técnico II</t>
        </is>
      </c>
      <c r="D366" s="3" t="n">
        <v>14</v>
      </c>
      <c r="E366" s="3" t="n">
        <v>13</v>
      </c>
      <c r="F366" t="n">
        <v>19.05</v>
      </c>
      <c r="G366" s="3" t="n">
        <v>0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18</v>
      </c>
      <c r="N366" t="n">
        <v>100</v>
      </c>
      <c r="O366" t="n">
        <v>13.8121546961326</v>
      </c>
    </row>
    <row r="367" hidden="1">
      <c r="A367" s="5" t="n">
        <v>46156</v>
      </c>
      <c r="B367" s="6" t="inlineStr">
        <is>
          <t>Francielson de Oliveira</t>
        </is>
      </c>
      <c r="C367" s="9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100</v>
      </c>
      <c r="O367" s="9" t="n">
        <v>9.523809523809524</v>
      </c>
    </row>
    <row r="368" hidden="1">
      <c r="A368" s="5" t="n">
        <v>46156</v>
      </c>
      <c r="B368" s="6" t="inlineStr">
        <is>
          <t>Francilene Ferreira de Jesus</t>
        </is>
      </c>
      <c r="C368" s="3" t="inlineStr">
        <is>
          <t>Técnico II</t>
        </is>
      </c>
      <c r="D368" s="3" t="n">
        <v>0</v>
      </c>
      <c r="E368" s="3" t="n">
        <v>0</v>
      </c>
      <c r="F368" s="3" t="n">
        <v>0</v>
      </c>
      <c r="G368" s="3" t="n">
        <v>0</v>
      </c>
      <c r="H368" s="3" t="n">
        <v>0</v>
      </c>
      <c r="I368" s="3" t="n">
        <v>0</v>
      </c>
      <c r="J368" s="3" t="n">
        <v>0</v>
      </c>
      <c r="K368" s="3" t="n">
        <v>0</v>
      </c>
      <c r="L368" s="3">
        <f>IF(K368&lt;-5,"CRÍTICO",IF(K368&lt;0,"ATENÇÃO",IF(K368&lt;=5,"BOM","EXCELENTE")))</f>
        <v/>
      </c>
      <c r="M368" s="9" t="n">
        <v>0</v>
      </c>
      <c r="N368" s="9" t="n">
        <v>100</v>
      </c>
      <c r="O368" s="9" t="n">
        <v>17.24137931034483</v>
      </c>
    </row>
    <row r="369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N369" t="n">
        <v>98.91</v>
      </c>
      <c r="O369" t="n">
        <v>31.36729222520107</v>
      </c>
    </row>
    <row r="370" hidden="1">
      <c r="A370" s="5" t="n">
        <v>46156</v>
      </c>
      <c r="B370" s="6" t="inlineStr">
        <is>
          <t>Isabella Borges de Oliveira</t>
        </is>
      </c>
      <c r="C370" s="9" t="inlineStr">
        <is>
          <t>Técnico II</t>
        </is>
      </c>
      <c r="D370" s="3" t="n">
        <v>17</v>
      </c>
      <c r="E370" s="3" t="n">
        <v>17</v>
      </c>
      <c r="F370" t="n">
        <v>28.35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13</v>
      </c>
      <c r="N370" t="n">
        <v>98.63</v>
      </c>
      <c r="O370" t="n">
        <v>15.75757575757576</v>
      </c>
    </row>
    <row r="371" hidden="1">
      <c r="A371" s="5" t="n">
        <v>46156</v>
      </c>
      <c r="B371" s="6" t="inlineStr">
        <is>
          <t>Janaina Lima dos Reis Urany</t>
        </is>
      </c>
      <c r="C371" s="3" t="inlineStr">
        <is>
          <t>Técnico III</t>
        </is>
      </c>
      <c r="D371" s="3" t="n">
        <v>35</v>
      </c>
      <c r="E371" s="3" t="n">
        <v>34</v>
      </c>
      <c r="F371" t="n">
        <v>13.41</v>
      </c>
      <c r="G371" s="3" t="n">
        <v>6</v>
      </c>
      <c r="H371" s="3" t="n">
        <v>0</v>
      </c>
      <c r="I371" s="3">
        <f>E371+G371+H371</f>
        <v/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/>
      </c>
      <c r="K371" s="3">
        <f>I371-J371</f>
        <v/>
      </c>
      <c r="L371" s="3">
        <f>IF(K371&lt;-5,"CRÍTICO",IF(K371&lt;0,"ATENÇÃO",IF(K371&lt;=5,"BOM","EXCELENTE")))</f>
        <v/>
      </c>
      <c r="M371" t="n">
        <v>38</v>
      </c>
      <c r="N371" t="n">
        <v>98.64</v>
      </c>
      <c r="O371" t="n">
        <v>16.6383701188455</v>
      </c>
    </row>
    <row r="372" hidden="1">
      <c r="A372" s="5" t="n">
        <v>46156</v>
      </c>
      <c r="B372" s="6" t="inlineStr">
        <is>
          <t>Jaqueline Evangelista da Silva Martins</t>
        </is>
      </c>
      <c r="C372" s="3" t="inlineStr">
        <is>
          <t>Técnico III</t>
        </is>
      </c>
      <c r="D372" s="3" t="n">
        <v>42</v>
      </c>
      <c r="E372" s="3" t="n">
        <v>40</v>
      </c>
      <c r="F372" t="n">
        <v>10.52</v>
      </c>
      <c r="G372" s="3" t="n">
        <v>8</v>
      </c>
      <c r="H372" s="3" t="n">
        <v>0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44</v>
      </c>
      <c r="N372" t="n">
        <v>95.40000000000001</v>
      </c>
      <c r="O372" t="n">
        <v>20.53333333333333</v>
      </c>
    </row>
    <row r="373" hidden="1">
      <c r="A373" s="5" t="n">
        <v>46156</v>
      </c>
      <c r="B373" s="6" t="inlineStr">
        <is>
          <t>Jessica Faria da Silveira</t>
        </is>
      </c>
      <c r="C373" s="3" t="inlineStr">
        <is>
          <t>Técnico II</t>
        </is>
      </c>
      <c r="D373" s="3" t="n">
        <v>9</v>
      </c>
      <c r="E373" s="3" t="n">
        <v>9</v>
      </c>
      <c r="F373" t="n">
        <v>25.25</v>
      </c>
      <c r="G373" s="3" t="n">
        <v>1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9</v>
      </c>
      <c r="N373" t="n">
        <v>98.61</v>
      </c>
      <c r="O373" t="n">
        <v>16.97530864197531</v>
      </c>
    </row>
    <row r="374" hidden="1">
      <c r="A374" s="5" t="n">
        <v>46156</v>
      </c>
      <c r="B374" s="6" t="inlineStr">
        <is>
          <t>Jéssica Fé Moura</t>
        </is>
      </c>
      <c r="C374" s="3" t="inlineStr">
        <is>
          <t>Técnico III</t>
        </is>
      </c>
      <c r="D374" s="3" t="n">
        <v>0</v>
      </c>
      <c r="E374" s="3" t="n">
        <v>0</v>
      </c>
      <c r="F374" s="3" t="n">
        <v>0</v>
      </c>
      <c r="G374" s="3" t="n">
        <v>0</v>
      </c>
      <c r="H374" s="3" t="n">
        <v>0</v>
      </c>
      <c r="I374" s="3" t="n">
        <v>0</v>
      </c>
      <c r="J374" s="3" t="n">
        <v>0</v>
      </c>
      <c r="K374" s="3" t="n">
        <v>0</v>
      </c>
      <c r="L374" s="3">
        <f>IF(K374&lt;-5,"CRÍTICO",IF(K374&lt;0,"ATENÇÃO",IF(K374&lt;=5,"BOM","EXCELENTE")))</f>
        <v/>
      </c>
      <c r="M374" s="9" t="n">
        <v>0</v>
      </c>
      <c r="N374" s="9" t="n">
        <v>0</v>
      </c>
      <c r="O374" s="9" t="n">
        <v>0</v>
      </c>
    </row>
    <row r="375" hidden="1">
      <c r="A375" s="5" t="n">
        <v>46156</v>
      </c>
      <c r="B375" s="6" t="inlineStr">
        <is>
          <t>Karina Gonçalves Martins</t>
        </is>
      </c>
      <c r="C375" s="3" t="inlineStr">
        <is>
          <t>JR</t>
        </is>
      </c>
      <c r="D375" s="3" t="n">
        <v>23</v>
      </c>
      <c r="E375" s="3" t="n">
        <v>23</v>
      </c>
      <c r="F375" t="n">
        <v>25.1</v>
      </c>
      <c r="G375" s="3" t="n">
        <v>0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22</v>
      </c>
      <c r="N375" t="n">
        <v>97.01000000000001</v>
      </c>
      <c r="O375" t="n">
        <v>13.96103896103896</v>
      </c>
    </row>
    <row r="376" hidden="1">
      <c r="A376" s="5" t="n">
        <v>46156</v>
      </c>
      <c r="B376" s="6" t="inlineStr">
        <is>
          <t>Kerollen Cristielly de Jesus Siqueira</t>
        </is>
      </c>
      <c r="C376" s="9" t="inlineStr">
        <is>
          <t>Técnico III</t>
        </is>
      </c>
      <c r="D376" s="3" t="n">
        <v>30</v>
      </c>
      <c r="E376" s="3" t="n">
        <v>29</v>
      </c>
      <c r="F376" t="n">
        <v>17.03</v>
      </c>
      <c r="G376" s="3" t="n">
        <v>0</v>
      </c>
      <c r="H376" s="3" t="n">
        <v>0</v>
      </c>
      <c r="I376" s="3">
        <f>E376+G376+H376</f>
        <v/>
      </c>
      <c r="J376" s="3">
        <f>ROUND(MIN(IF(C376="Técnico III",35,IF(C376="Técnico II",28,IF(C376="Técnico I",23,IF(C376="JR",20,IF(C376="Estágio",10,0))))),IF(C376="Técnico III",SUMIFS($D:$D,$A:$A,$A376,$B:$B,"&lt;&gt;Patrícia Karla de Sousa Araújo",$B:$B,"&lt;&gt;Lorena Dias de Araujo",$B:$B,"&lt;&gt;Lucas Luiz Romero")*(35/1083),IF(C376="Técnico II",SUMIFS($D:$D,$A:$A,$A376,$B:$B,"&lt;&gt;Patrícia Karla de Sousa Araújo",$B:$B,"&lt;&gt;Lorena Dias de Araujo",$B:$B,"&lt;&gt;Lucas Luiz Romero")*(28/1083),IF(C376="Técnico I",SUMIFS($D:$D,$A:$A,$A376,$B:$B,"&lt;&gt;Patrícia Karla de Sousa Araújo",$B:$B,"&lt;&gt;Lorena Dias de Araujo",$B:$B,"&lt;&gt;Lucas Luiz Romero")*(23/1083),IF(C376="JR",SUMIFS($D:$D,$A:$A,$A376,$B:$B,"&lt;&gt;Patrícia Karla de Sousa Araújo",$B:$B,"&lt;&gt;Lorena Dias de Araujo",$B:$B,"&lt;&gt;Lucas Luiz Romero")*(20/1083),IF(C376="Estágio",SUMIFS($D:$D,$A:$A,$A376,$B:$B,"&lt;&gt;Patrícia Karla de Sousa Araújo",$B:$B,"&lt;&gt;Lorena Dias de Araujo",$B:$B,"&lt;&gt;Lucas Luiz Romero")*(10/1083),0)))))),0)</f>
        <v/>
      </c>
      <c r="K376" s="3">
        <f>I376-J376</f>
        <v/>
      </c>
      <c r="L376" s="3">
        <f>IF(K376&lt;-5,"CRÍTICO",IF(K376&lt;0,"ATENÇÃO",IF(K376&lt;=5,"BOM","EXCELENTE")))</f>
        <v/>
      </c>
      <c r="M376" t="n">
        <v>28</v>
      </c>
      <c r="N376" t="n">
        <v>95.52</v>
      </c>
      <c r="O376" t="n">
        <v>10.56105610561056</v>
      </c>
    </row>
    <row r="377" hidden="1">
      <c r="A377" s="5" t="n">
        <v>46156</v>
      </c>
      <c r="B377" s="6" t="inlineStr">
        <is>
          <t>Leandro de Souza Silva</t>
        </is>
      </c>
      <c r="C377" s="3" t="inlineStr">
        <is>
          <t>JR</t>
        </is>
      </c>
      <c r="D377" s="3" t="n">
        <v>9</v>
      </c>
      <c r="E377" s="3" t="n">
        <v>7</v>
      </c>
      <c r="F377" t="n">
        <v>27.03</v>
      </c>
      <c r="G377" s="3" t="n">
        <v>8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9</v>
      </c>
      <c r="N377" t="n">
        <v>100</v>
      </c>
      <c r="O377" t="n">
        <v>16.95906432748538</v>
      </c>
    </row>
    <row r="378" hidden="1">
      <c r="A378" s="5" t="n">
        <v>46156</v>
      </c>
      <c r="B378" s="6" t="inlineStr">
        <is>
          <t>Leandro Oliveira de Sousa</t>
        </is>
      </c>
      <c r="C378" s="9" t="inlineStr">
        <is>
          <t>Técnico III</t>
        </is>
      </c>
      <c r="D378" s="3" t="n">
        <v>30</v>
      </c>
      <c r="E378" s="3" t="n">
        <v>27</v>
      </c>
      <c r="F378" t="n">
        <v>19.05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23</v>
      </c>
      <c r="N378" t="n">
        <v>100</v>
      </c>
      <c r="O378" t="n">
        <v>15.58441558441558</v>
      </c>
    </row>
    <row r="379" hidden="1">
      <c r="A379" s="5" t="n">
        <v>46156</v>
      </c>
      <c r="B379" s="6" t="inlineStr">
        <is>
          <t>Lizandra Gomes Duarte</t>
        </is>
      </c>
      <c r="C379" s="3" t="inlineStr">
        <is>
          <t>Técnico II</t>
        </is>
      </c>
      <c r="D379" s="3" t="n">
        <v>26</v>
      </c>
      <c r="E379" s="3" t="n">
        <v>24</v>
      </c>
      <c r="F379" t="n">
        <v>18.58</v>
      </c>
      <c r="G379" s="3" t="n">
        <v>0</v>
      </c>
      <c r="H379" s="3" t="n">
        <v>0</v>
      </c>
      <c r="I379" s="3">
        <f>E379+G379+H379</f>
        <v/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/>
      </c>
      <c r="K379" s="3">
        <f>I379-J379</f>
        <v/>
      </c>
      <c r="L379" s="3">
        <f>IF(K379&lt;-5,"CRÍTICO",IF(K379&lt;0,"ATENÇÃO",IF(K379&lt;=5,"BOM","EXCELENTE")))</f>
        <v/>
      </c>
      <c r="M379" t="n">
        <v>12</v>
      </c>
      <c r="N379" t="n">
        <v>98.61</v>
      </c>
      <c r="O379" t="n">
        <v>16.86746987951807</v>
      </c>
    </row>
    <row r="380" hidden="1">
      <c r="A380" s="5" t="n">
        <v>46156</v>
      </c>
      <c r="B380" s="6" t="inlineStr">
        <is>
          <t>Lorena Dias de Araujo</t>
        </is>
      </c>
      <c r="C380" s="3" t="inlineStr">
        <is>
          <t>Técnico II</t>
        </is>
      </c>
      <c r="D380" s="3" t="n">
        <v>22</v>
      </c>
      <c r="E380" s="3" t="n">
        <v>18</v>
      </c>
      <c r="F380" t="n">
        <v>23.52</v>
      </c>
      <c r="G380" s="3" t="n">
        <v>0</v>
      </c>
      <c r="H380" s="3" t="n">
        <v>0</v>
      </c>
      <c r="I380" s="3" t="n">
        <v>0</v>
      </c>
      <c r="J380" s="3" t="n">
        <v>0</v>
      </c>
      <c r="K380" s="3" t="n">
        <v>0</v>
      </c>
      <c r="L380" s="3">
        <f>IF(K380&lt;-5,"CRÍTICO",IF(K380&lt;0,"ATENÇÃO",IF(K380&lt;=5,"BOM","EXCELENTE")))</f>
        <v/>
      </c>
      <c r="M380" t="n">
        <v>16</v>
      </c>
      <c r="N380" t="n">
        <v>100</v>
      </c>
      <c r="O380" t="n">
        <v>20.82018927444795</v>
      </c>
    </row>
    <row r="381" hidden="1">
      <c r="A381" s="5" t="n">
        <v>46156</v>
      </c>
      <c r="B381" s="6" t="inlineStr">
        <is>
          <t>Lucas Luiz Romero</t>
        </is>
      </c>
      <c r="C381" s="3" t="inlineStr">
        <is>
          <t>Técnico III</t>
        </is>
      </c>
      <c r="D381" s="3" t="n">
        <v>0</v>
      </c>
      <c r="E381" s="3" t="n">
        <v>0</v>
      </c>
      <c r="F381" s="3" t="n">
        <v>0</v>
      </c>
      <c r="G381" s="3" t="n">
        <v>0</v>
      </c>
      <c r="H381" s="3" t="n">
        <v>0</v>
      </c>
      <c r="I381" s="3" t="n">
        <v>0</v>
      </c>
      <c r="J381" s="3" t="n">
        <v>0</v>
      </c>
      <c r="K381" s="3" t="n">
        <v>0</v>
      </c>
      <c r="L381" s="3">
        <f>IF(K381&lt;-5,"CRÍTICO",IF(K381&lt;0,"ATENÇÃO",IF(K381&lt;=5,"BOM","EXCELENTE")))</f>
        <v/>
      </c>
      <c r="M381" s="9" t="n">
        <v>0</v>
      </c>
      <c r="N381" s="9" t="n">
        <v>100</v>
      </c>
      <c r="O381" s="9" t="n">
        <v>4.347826086956522</v>
      </c>
    </row>
    <row r="382" hidden="1">
      <c r="A382" s="5" t="n">
        <v>46156</v>
      </c>
      <c r="B382" s="6" t="inlineStr">
        <is>
          <t>Luiz Fernando de Carvalho Junior</t>
        </is>
      </c>
      <c r="C382" s="3" t="inlineStr">
        <is>
          <t>Técnico I</t>
        </is>
      </c>
      <c r="D382" s="3" t="n">
        <v>11</v>
      </c>
      <c r="E382" s="3" t="n">
        <v>11</v>
      </c>
      <c r="F382" t="n">
        <v>33.21</v>
      </c>
      <c r="G382" s="3" t="n">
        <v>4</v>
      </c>
      <c r="H382" s="3" t="n">
        <v>0</v>
      </c>
      <c r="I382" s="3">
        <f>E382+G382+H382</f>
        <v/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/>
      </c>
      <c r="K382" s="3">
        <f>I382-J382</f>
        <v/>
      </c>
      <c r="L382" s="3">
        <f>IF(K382&lt;-5,"CRÍTICO",IF(K382&lt;0,"ATENÇÃO",IF(K382&lt;=5,"BOM","EXCELENTE")))</f>
        <v/>
      </c>
      <c r="M382" t="n">
        <v>16</v>
      </c>
      <c r="N382" t="n">
        <v>93.26000000000001</v>
      </c>
      <c r="O382" t="n">
        <v>19.93957703927493</v>
      </c>
    </row>
    <row r="383" hidden="1">
      <c r="A383" s="5" t="n">
        <v>46156</v>
      </c>
      <c r="B383" s="6" t="inlineStr">
        <is>
          <t>Anna Luiza Rezende Tavares</t>
        </is>
      </c>
      <c r="C383" s="3" t="inlineStr">
        <is>
          <t>Estágio</t>
        </is>
      </c>
      <c r="D383" s="3" t="n">
        <v>31</v>
      </c>
      <c r="E383" s="3" t="n">
        <v>29</v>
      </c>
      <c r="F383" t="n">
        <v>18.5</v>
      </c>
      <c r="G383" s="3" t="n">
        <v>0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26</v>
      </c>
      <c r="N383" t="n">
        <v>99.11</v>
      </c>
      <c r="O383" t="n">
        <v>17.72151898734177</v>
      </c>
    </row>
    <row r="384" hidden="1">
      <c r="A384" s="5" t="n">
        <v>46156</v>
      </c>
      <c r="B384" s="6" t="inlineStr">
        <is>
          <t>Matheus Farias De Souza</t>
        </is>
      </c>
      <c r="C384" s="3" t="inlineStr">
        <is>
          <t>Técnico III</t>
        </is>
      </c>
      <c r="D384" s="3" t="n">
        <v>0</v>
      </c>
      <c r="E384" s="3" t="n">
        <v>0</v>
      </c>
      <c r="F384" t="n">
        <v>0</v>
      </c>
      <c r="G384" s="3" t="n">
        <v>0</v>
      </c>
      <c r="H384" s="3" t="n">
        <v>52</v>
      </c>
      <c r="I384" s="3">
        <f>E384+G384+H384</f>
        <v/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/>
      </c>
      <c r="K384" s="3">
        <f>I384-J384</f>
        <v/>
      </c>
      <c r="L384" s="3">
        <f>IF(K384&lt;-5,"CRÍTICO",IF(K384&lt;0,"ATENÇÃO",IF(K384&lt;=5,"BOM","EXCELENTE")))</f>
        <v/>
      </c>
      <c r="M384" t="n">
        <v>30</v>
      </c>
      <c r="N384" t="n">
        <v>98.28</v>
      </c>
      <c r="O384" t="n">
        <v>9.037900874635568</v>
      </c>
    </row>
    <row r="385" hidden="1">
      <c r="A385" s="5" t="n">
        <v>46156</v>
      </c>
      <c r="B385" s="6" t="inlineStr">
        <is>
          <t>Maysa Victoria Dias Moura</t>
        </is>
      </c>
      <c r="C385" s="3" t="inlineStr">
        <is>
          <t>Técnico III</t>
        </is>
      </c>
      <c r="D385" s="3" t="n">
        <v>39</v>
      </c>
      <c r="E385" s="3" t="n">
        <v>32</v>
      </c>
      <c r="F385" t="n">
        <v>9</v>
      </c>
      <c r="G385" s="3" t="n">
        <v>3</v>
      </c>
      <c r="H385" s="3" t="n">
        <v>0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29</v>
      </c>
      <c r="N385" t="n">
        <v>97.22</v>
      </c>
      <c r="O385" t="n">
        <v>19.09547738693467</v>
      </c>
    </row>
    <row r="386" hidden="1">
      <c r="A386" s="5" t="n">
        <v>46156</v>
      </c>
      <c r="B386" s="6" t="inlineStr">
        <is>
          <t>Claudio de Sousa Velasco Filho</t>
        </is>
      </c>
      <c r="C386" s="3" t="inlineStr">
        <is>
          <t>Estágio</t>
        </is>
      </c>
      <c r="D386" s="3" t="n">
        <v>9</v>
      </c>
      <c r="E386" s="3" t="n">
        <v>9</v>
      </c>
      <c r="F386" t="n">
        <v>24.16</v>
      </c>
      <c r="G386" s="3" t="n">
        <v>0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6</v>
      </c>
      <c r="N386" t="n">
        <v>96.43000000000001</v>
      </c>
      <c r="O386" t="n">
        <v>20</v>
      </c>
    </row>
    <row r="387" hidden="1">
      <c r="A387" s="5" t="n">
        <v>46156</v>
      </c>
      <c r="B387" s="6" t="inlineStr">
        <is>
          <t>Emilly Caylane Costa</t>
        </is>
      </c>
      <c r="C387" s="3" t="inlineStr">
        <is>
          <t>Estágio</t>
        </is>
      </c>
      <c r="D387" s="3" t="n">
        <v>21</v>
      </c>
      <c r="E387" s="3" t="n">
        <v>10</v>
      </c>
      <c r="F387" t="n">
        <v>3.22</v>
      </c>
      <c r="G387" s="3" t="n">
        <v>5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0</v>
      </c>
      <c r="N387" t="n">
        <v>100</v>
      </c>
      <c r="O387" t="n">
        <v>29.03225806451613</v>
      </c>
    </row>
    <row r="388" hidden="1">
      <c r="A388" s="5" t="n">
        <v>46156</v>
      </c>
      <c r="B388" s="6" t="inlineStr">
        <is>
          <t>Maria Eduarda Sousa Costa</t>
        </is>
      </c>
      <c r="C388" s="3" t="inlineStr">
        <is>
          <t>Estágio</t>
        </is>
      </c>
      <c r="D388" s="3" t="n">
        <v>63</v>
      </c>
      <c r="E388" s="3" t="n">
        <v>43</v>
      </c>
      <c r="F388" t="n">
        <v>6.57</v>
      </c>
      <c r="G388" s="3" t="n">
        <v>0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2</v>
      </c>
      <c r="N388" t="n">
        <v>100</v>
      </c>
      <c r="O388" t="n">
        <v>11.86440677966102</v>
      </c>
    </row>
    <row r="389" hidden="1">
      <c r="A389" s="5" t="n">
        <v>46156</v>
      </c>
      <c r="B389" s="6" t="inlineStr">
        <is>
          <t>Michelle G Santos</t>
        </is>
      </c>
      <c r="C389" s="3" t="inlineStr">
        <is>
          <t>Estágio</t>
        </is>
      </c>
      <c r="D389" s="3" t="n">
        <v>4</v>
      </c>
      <c r="E389" s="3" t="n">
        <v>4</v>
      </c>
      <c r="F389" t="n">
        <v>54.06</v>
      </c>
      <c r="G389" s="3" t="n">
        <v>0</v>
      </c>
      <c r="H389" s="3" t="n">
        <v>0</v>
      </c>
      <c r="I389" s="3">
        <f>E389+G389+H389</f>
        <v/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/>
      </c>
      <c r="K389" s="3">
        <f>I389-J389</f>
        <v/>
      </c>
      <c r="L389" s="3">
        <f>IF(K389&lt;-5,"CRÍTICO",IF(K389&lt;0,"ATENÇÃO",IF(K389&lt;=5,"BOM","EXCELENTE")))</f>
        <v/>
      </c>
      <c r="M389" t="n">
        <v>3</v>
      </c>
      <c r="N389" t="n">
        <v>100</v>
      </c>
      <c r="O389" t="n">
        <v>16.8141592920354</v>
      </c>
    </row>
    <row r="390" hidden="1">
      <c r="A390" s="5" t="n">
        <v>46156</v>
      </c>
      <c r="B390" s="6" t="inlineStr">
        <is>
          <t>Quirino Diogo Leite Torres</t>
        </is>
      </c>
      <c r="C390" s="3" t="inlineStr">
        <is>
          <t>Estágio</t>
        </is>
      </c>
      <c r="D390" s="3" t="n">
        <v>19</v>
      </c>
      <c r="E390" s="3" t="n">
        <v>18</v>
      </c>
      <c r="F390" t="n">
        <v>24.18</v>
      </c>
      <c r="G390" s="3" t="n">
        <v>0</v>
      </c>
      <c r="H390" s="3" t="n">
        <v>0</v>
      </c>
      <c r="I390" s="3">
        <f>E390+G390+H390</f>
        <v/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/>
      </c>
      <c r="K390" s="3">
        <f>I390-J390</f>
        <v/>
      </c>
      <c r="L390" s="3">
        <f>IF(K390&lt;-5,"CRÍTICO",IF(K390&lt;0,"ATENÇÃO",IF(K390&lt;=5,"BOM","EXCELENTE")))</f>
        <v/>
      </c>
      <c r="M390" t="n">
        <v>15</v>
      </c>
      <c r="N390" t="n">
        <v>98.11</v>
      </c>
      <c r="O390" t="n">
        <v>20.40816326530612</v>
      </c>
    </row>
    <row r="391" hidden="1">
      <c r="A391" s="5" t="n">
        <v>46156</v>
      </c>
      <c r="B391" s="6" t="inlineStr">
        <is>
          <t>Milena Sales</t>
        </is>
      </c>
      <c r="C391" s="3" t="inlineStr">
        <is>
          <t>JR</t>
        </is>
      </c>
      <c r="D391" s="3" t="n">
        <v>26</v>
      </c>
      <c r="E391" s="3" t="n">
        <v>19</v>
      </c>
      <c r="F391" t="n">
        <v>12.17</v>
      </c>
      <c r="G391" s="3" t="n">
        <v>4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15</v>
      </c>
      <c r="N391" t="n">
        <v>98</v>
      </c>
      <c r="O391" t="n">
        <v>16.43835616438356</v>
      </c>
    </row>
    <row r="392" hidden="1">
      <c r="A392" s="5" t="n">
        <v>46156</v>
      </c>
      <c r="B392" s="6" t="inlineStr">
        <is>
          <t>Patrícia Karla de Sousa Araújo</t>
        </is>
      </c>
      <c r="C392" s="3" t="inlineStr">
        <is>
          <t>Técnico II</t>
        </is>
      </c>
      <c r="D392" s="3" t="n">
        <v>29</v>
      </c>
      <c r="E392" s="3" t="n">
        <v>26</v>
      </c>
      <c r="F392" t="n">
        <v>20.36</v>
      </c>
      <c r="G392" s="3" t="n">
        <v>0</v>
      </c>
      <c r="H392" s="3" t="n">
        <v>0</v>
      </c>
      <c r="I392" s="3">
        <f>E392+G392+H392</f>
        <v/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/>
      </c>
      <c r="K392" s="3">
        <f>I392-J392</f>
        <v/>
      </c>
      <c r="L392" s="3">
        <f>IF(K392&lt;-5,"CRÍTICO",IF(K392&lt;0,"ATENÇÃO",IF(K392&lt;=5,"BOM","EXCELENTE")))</f>
        <v/>
      </c>
      <c r="M392" t="n">
        <v>23</v>
      </c>
      <c r="N392" t="n">
        <v>100</v>
      </c>
      <c r="O392" t="n">
        <v>16.89497716894977</v>
      </c>
    </row>
    <row r="393" hidden="1">
      <c r="A393" s="5" t="n">
        <v>46156</v>
      </c>
      <c r="B393" s="6" t="inlineStr">
        <is>
          <t>Paulo Ricardo Santos</t>
        </is>
      </c>
      <c r="C393" s="3" t="inlineStr">
        <is>
          <t>JR</t>
        </is>
      </c>
      <c r="D393" s="3" t="n">
        <v>15</v>
      </c>
      <c r="E393" s="3" t="n">
        <v>15</v>
      </c>
      <c r="F393" t="n">
        <v>19.08</v>
      </c>
      <c r="G393" s="3" t="n">
        <v>0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13</v>
      </c>
      <c r="N393" t="n">
        <v>100</v>
      </c>
      <c r="O393" t="n">
        <v>19.13875598086124</v>
      </c>
    </row>
    <row r="394" hidden="1">
      <c r="A394" s="5" t="n">
        <v>46156</v>
      </c>
      <c r="B394" s="6" t="inlineStr">
        <is>
          <t>Pedro Luiz Mota Sousa</t>
        </is>
      </c>
      <c r="C394" s="3" t="inlineStr">
        <is>
          <t>JR</t>
        </is>
      </c>
      <c r="D394" s="3" t="n">
        <v>6</v>
      </c>
      <c r="E394" s="3" t="n">
        <v>6</v>
      </c>
      <c r="F394" t="n">
        <v>23.26</v>
      </c>
      <c r="G394" s="3" t="n">
        <v>0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5</v>
      </c>
      <c r="N394" t="n">
        <v>100</v>
      </c>
      <c r="O394" t="n">
        <v>15.02145922746781</v>
      </c>
    </row>
    <row r="395" hidden="1">
      <c r="A395" s="5" t="n">
        <v>46156</v>
      </c>
      <c r="B395" s="6" t="inlineStr">
        <is>
          <t>Raane Batista Matos</t>
        </is>
      </c>
      <c r="C395" s="3" t="inlineStr">
        <is>
          <t>Técnico I</t>
        </is>
      </c>
      <c r="D395" s="3" t="n">
        <v>26</v>
      </c>
      <c r="E395" s="3" t="n">
        <v>25</v>
      </c>
      <c r="F395" t="n">
        <v>15.24</v>
      </c>
      <c r="G395" s="3" t="n">
        <v>1</v>
      </c>
      <c r="H395" s="3" t="n">
        <v>0</v>
      </c>
      <c r="I395" s="3">
        <f>E395+G395+H395</f>
        <v/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/>
      </c>
      <c r="K395" s="3">
        <f>I395-J395</f>
        <v/>
      </c>
      <c r="L395" s="3">
        <f>IF(K395&lt;-5,"CRÍTICO",IF(K395&lt;0,"ATENÇÃO",IF(K395&lt;=5,"BOM","EXCELENTE")))</f>
        <v/>
      </c>
      <c r="M395" t="n">
        <v>24</v>
      </c>
      <c r="N395" t="n">
        <v>97.56</v>
      </c>
      <c r="O395" t="n">
        <v>19.28783382789317</v>
      </c>
    </row>
    <row r="396" hidden="1">
      <c r="A396" s="5" t="n">
        <v>46156</v>
      </c>
      <c r="B396" s="6" t="inlineStr">
        <is>
          <t>Rafael Gomes de Morais</t>
        </is>
      </c>
      <c r="C396" s="3" t="inlineStr">
        <is>
          <t>Técnico III</t>
        </is>
      </c>
      <c r="D396" s="3" t="n">
        <v>38</v>
      </c>
      <c r="E396" s="3" t="n">
        <v>37</v>
      </c>
      <c r="F396" t="n">
        <v>13.51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40</v>
      </c>
      <c r="N396" t="n">
        <v>99.29000000000001</v>
      </c>
      <c r="O396" t="n">
        <v>22.49443207126949</v>
      </c>
    </row>
    <row r="397" hidden="1">
      <c r="A397" s="5" t="n">
        <v>46156</v>
      </c>
      <c r="B397" s="6" t="inlineStr">
        <is>
          <t>Sara Maria Monteiro Lopes</t>
        </is>
      </c>
      <c r="C397" s="3" t="inlineStr">
        <is>
          <t>Técnico I</t>
        </is>
      </c>
      <c r="D397" s="3" t="n">
        <v>20</v>
      </c>
      <c r="E397" s="3" t="n">
        <v>19</v>
      </c>
      <c r="F397" t="n">
        <v>20.29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17</v>
      </c>
      <c r="N397" t="n">
        <v>100</v>
      </c>
      <c r="O397" t="n">
        <v>16.97247706422019</v>
      </c>
    </row>
    <row r="398" hidden="1">
      <c r="A398" s="5" t="n">
        <v>46156</v>
      </c>
      <c r="B398" s="6" t="inlineStr">
        <is>
          <t>Sarah Steffanie de Lima Borges</t>
        </is>
      </c>
      <c r="C398" s="3" t="inlineStr">
        <is>
          <t>Técnico III</t>
        </is>
      </c>
      <c r="D398" s="3" t="n">
        <v>22</v>
      </c>
      <c r="E398" s="3" t="n">
        <v>22</v>
      </c>
      <c r="F398" t="n">
        <v>13.43</v>
      </c>
      <c r="G398" s="3" t="n">
        <v>5</v>
      </c>
      <c r="H398" s="3" t="n">
        <v>0</v>
      </c>
      <c r="I398" s="3">
        <f>E398+G398+H398</f>
        <v/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/>
      </c>
      <c r="K398" s="3">
        <f>I398-J398</f>
        <v/>
      </c>
      <c r="L398" s="3">
        <f>IF(K398&lt;-5,"CRÍTICO",IF(K398&lt;0,"ATENÇÃO",IF(K398&lt;=5,"BOM","EXCELENTE")))</f>
        <v/>
      </c>
      <c r="M398" t="n">
        <v>21</v>
      </c>
      <c r="N398" t="n">
        <v>97.33</v>
      </c>
      <c r="O398" t="n">
        <v>15.80547112462006</v>
      </c>
    </row>
    <row r="399" hidden="1">
      <c r="A399" s="5" t="n">
        <v>46157</v>
      </c>
      <c r="B399" s="6" t="inlineStr">
        <is>
          <t>Alisson de Freitas Silva</t>
        </is>
      </c>
      <c r="C399" s="3" t="inlineStr">
        <is>
          <t>Técnico II</t>
        </is>
      </c>
      <c r="D399" s="3" t="n">
        <v>20</v>
      </c>
      <c r="E399" s="3" t="n">
        <v>19</v>
      </c>
      <c r="F399" t="n">
        <v>13.2</v>
      </c>
      <c r="G399" s="3" t="n">
        <v>1</v>
      </c>
      <c r="H399" s="3" t="n">
        <v>0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s="3" t="n">
        <v>12</v>
      </c>
      <c r="N399" s="3" t="n">
        <v>98.94</v>
      </c>
      <c r="O399" s="3" t="n">
        <v>19.61414790996785</v>
      </c>
    </row>
    <row r="400" hidden="1">
      <c r="A400" s="5" t="n">
        <v>46157</v>
      </c>
      <c r="B400" s="6" t="inlineStr">
        <is>
          <t>Amanda Moura Ferreira</t>
        </is>
      </c>
      <c r="C400" s="3" t="inlineStr">
        <is>
          <t>Técnico III</t>
        </is>
      </c>
      <c r="D400" s="3" t="n">
        <v>0</v>
      </c>
      <c r="E400" s="3" t="n">
        <v>0</v>
      </c>
      <c r="F400" s="3" t="n">
        <v>0</v>
      </c>
      <c r="G400" s="3" t="n">
        <v>0</v>
      </c>
      <c r="H400" s="3" t="n">
        <v>0</v>
      </c>
      <c r="I400" s="3" t="n">
        <v>0</v>
      </c>
      <c r="J400" s="3" t="n">
        <v>0</v>
      </c>
      <c r="K400" s="3" t="n">
        <v>0</v>
      </c>
      <c r="L400" s="3">
        <f>IF(K400&lt;-5,"CRÍTICO",IF(K400&lt;0,"ATENÇÃO",IF(K400&lt;=5,"BOM","EXCELENTE")))</f>
        <v/>
      </c>
      <c r="M400" s="9" t="n">
        <v>0</v>
      </c>
      <c r="N400" s="9" t="n">
        <v>100</v>
      </c>
      <c r="O400" s="9" t="n">
        <v>0</v>
      </c>
    </row>
    <row r="401" hidden="1">
      <c r="A401" s="5" t="n">
        <v>46157</v>
      </c>
      <c r="B401" s="6" t="inlineStr">
        <is>
          <t>Ana Karollyne Souza Faria</t>
        </is>
      </c>
      <c r="C401" s="3" t="inlineStr">
        <is>
          <t>Técnico I</t>
        </is>
      </c>
      <c r="D401" s="3" t="n">
        <v>40</v>
      </c>
      <c r="E401" s="3" t="n">
        <v>38</v>
      </c>
      <c r="F401" t="n">
        <v>15.24</v>
      </c>
      <c r="G401" s="3" t="n">
        <v>5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s="3" t="n">
        <v>36</v>
      </c>
      <c r="N401" s="3" t="n">
        <v>95.38</v>
      </c>
      <c r="O401" s="3" t="n">
        <v>21.5962441314554</v>
      </c>
    </row>
    <row r="402" hidden="1">
      <c r="A402" s="5" t="n">
        <v>46157</v>
      </c>
      <c r="B402" s="6" t="inlineStr">
        <is>
          <t>Ana Paula Da Luz Silva Aleixo</t>
        </is>
      </c>
      <c r="C402" s="9" t="inlineStr">
        <is>
          <t>Técnico III</t>
        </is>
      </c>
      <c r="D402" s="3" t="n">
        <v>29</v>
      </c>
      <c r="E402" s="3" t="n">
        <v>28</v>
      </c>
      <c r="F402" t="n">
        <v>13.59</v>
      </c>
      <c r="G402" s="3" t="n">
        <v>3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25</v>
      </c>
      <c r="N402" t="n">
        <v>96.34</v>
      </c>
      <c r="O402" t="n">
        <v>17.57188498402556</v>
      </c>
    </row>
    <row r="403" hidden="1">
      <c r="A403" s="5" t="n">
        <v>46157</v>
      </c>
      <c r="B403" s="6" t="inlineStr">
        <is>
          <t>Brenda de Menezes Silva</t>
        </is>
      </c>
      <c r="C403" s="3" t="inlineStr">
        <is>
          <t>Técnico II</t>
        </is>
      </c>
      <c r="D403" s="3" t="n">
        <v>20</v>
      </c>
      <c r="E403" s="3" t="n">
        <v>19</v>
      </c>
      <c r="F403" t="n">
        <v>23.34</v>
      </c>
      <c r="G403" s="3" t="n">
        <v>2</v>
      </c>
      <c r="H403" s="3" t="n">
        <v>0</v>
      </c>
      <c r="I403" s="3">
        <f>E403+G403+H403</f>
        <v/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/>
      </c>
      <c r="K403" s="3">
        <f>I403-J403</f>
        <v/>
      </c>
      <c r="L403" s="3">
        <f>IF(K403&lt;-5,"CRÍTICO",IF(K403&lt;0,"ATENÇÃO",IF(K403&lt;=5,"BOM","EXCELENTE")))</f>
        <v/>
      </c>
      <c r="M403" t="n">
        <v>21</v>
      </c>
      <c r="N403" t="n">
        <v>99.13</v>
      </c>
      <c r="O403" t="n">
        <v>14.7239263803681</v>
      </c>
    </row>
    <row r="404" hidden="1">
      <c r="A404" s="5" t="n">
        <v>46157</v>
      </c>
      <c r="B404" s="6" t="inlineStr">
        <is>
          <t>Carlos Mateus Cassimiro Nunes</t>
        </is>
      </c>
      <c r="C404" s="9" t="inlineStr">
        <is>
          <t>Técnico II</t>
        </is>
      </c>
      <c r="D404" s="3" t="n">
        <v>26</v>
      </c>
      <c r="E404" s="3" t="n">
        <v>26</v>
      </c>
      <c r="F404" t="n">
        <v>25.22</v>
      </c>
      <c r="G404" s="3" t="n">
        <v>3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t="n">
        <v>29</v>
      </c>
      <c r="N404" t="n">
        <v>98.8</v>
      </c>
      <c r="O404" t="n">
        <v>16.89750692520776</v>
      </c>
    </row>
    <row r="405" hidden="1">
      <c r="A405" s="5" t="n">
        <v>46157</v>
      </c>
      <c r="B405" s="6" t="inlineStr">
        <is>
          <t>Clessiane Pereira dos Santos</t>
        </is>
      </c>
      <c r="C405" s="3" t="inlineStr">
        <is>
          <t>Técnico I</t>
        </is>
      </c>
      <c r="D405" s="3" t="n">
        <v>24</v>
      </c>
      <c r="E405" s="3" t="n">
        <v>20</v>
      </c>
      <c r="F405" t="n">
        <v>19.19</v>
      </c>
      <c r="G405" s="3" t="n">
        <v>3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20</v>
      </c>
      <c r="N405" t="n">
        <v>96.88</v>
      </c>
      <c r="O405" t="n">
        <v>19.52662721893491</v>
      </c>
    </row>
    <row r="406" hidden="1">
      <c r="A406" s="5" t="n">
        <v>46157</v>
      </c>
      <c r="B406" s="6" t="inlineStr">
        <is>
          <t>Cristiane Ramos da Silva Rocha</t>
        </is>
      </c>
      <c r="C406" s="3" t="inlineStr">
        <is>
          <t>Técnico III</t>
        </is>
      </c>
      <c r="D406" s="3" t="n">
        <v>37</v>
      </c>
      <c r="E406" s="3" t="n">
        <v>31</v>
      </c>
      <c r="F406" t="n">
        <v>11.51</v>
      </c>
      <c r="G406" s="3" t="n">
        <v>0</v>
      </c>
      <c r="H406" s="3" t="n">
        <v>0</v>
      </c>
      <c r="I406" s="3">
        <f>E406+G406+H406</f>
        <v/>
      </c>
      <c r="J406" s="3">
        <f>ROUND(MIN(IF(C406="Técnico III",35,IF(C406="Técnico II",28,IF(C406="Técnico I",23,IF(C406="JR",20,IF(C406="Estágio",10,0))))),IF(C406="Técnico III",SUMIFS($D:$D,$A:$A,$A406,$B:$B,"&lt;&gt;Patrícia Karla de Sousa Araújo",$B:$B,"&lt;&gt;Lorena Dias de Araujo",$B:$B,"&lt;&gt;Lucas Luiz Romero")*(35/1083),IF(C406="Técnico II",SUMIFS($D:$D,$A:$A,$A406,$B:$B,"&lt;&gt;Patrícia Karla de Sousa Araújo",$B:$B,"&lt;&gt;Lorena Dias de Araujo",$B:$B,"&lt;&gt;Lucas Luiz Romero")*(28/1083),IF(C406="Técnico I",SUMIFS($D:$D,$A:$A,$A406,$B:$B,"&lt;&gt;Patrícia Karla de Sousa Araújo",$B:$B,"&lt;&gt;Lorena Dias de Araujo",$B:$B,"&lt;&gt;Lucas Luiz Romero")*(23/1083),IF(C406="JR",SUMIFS($D:$D,$A:$A,$A406,$B:$B,"&lt;&gt;Patrícia Karla de Sousa Araújo",$B:$B,"&lt;&gt;Lorena Dias de Araujo",$B:$B,"&lt;&gt;Lucas Luiz Romero")*(20/1083),IF(C406="Estágio",SUMIFS($D:$D,$A:$A,$A406,$B:$B,"&lt;&gt;Patrícia Karla de Sousa Araújo",$B:$B,"&lt;&gt;Lorena Dias de Araujo",$B:$B,"&lt;&gt;Lucas Luiz Romero")*(10/1083),0)))))),0)</f>
        <v/>
      </c>
      <c r="K406" s="3">
        <f>I406-J406</f>
        <v/>
      </c>
      <c r="L406" s="3">
        <f>IF(K406&lt;-5,"CRÍTICO",IF(K406&lt;0,"ATENÇÃO",IF(K406&lt;=5,"BOM","EXCELENTE")))</f>
        <v/>
      </c>
      <c r="M406" t="n">
        <v>29</v>
      </c>
      <c r="N406" t="n">
        <v>91.84999999999999</v>
      </c>
      <c r="O406" t="n">
        <v>20.87155963302752</v>
      </c>
    </row>
    <row r="407" hidden="1">
      <c r="A407" s="5" t="n">
        <v>46157</v>
      </c>
      <c r="B407" s="6" t="inlineStr">
        <is>
          <t>Damyllis Lorraine de Oliveira Gonçalves</t>
        </is>
      </c>
      <c r="C407" s="3" t="inlineStr">
        <is>
          <t>Técnico II</t>
        </is>
      </c>
      <c r="D407" s="3" t="n">
        <v>35</v>
      </c>
      <c r="E407" s="3" t="n">
        <v>31</v>
      </c>
      <c r="F407" t="n">
        <v>18.53</v>
      </c>
      <c r="G407" s="3" t="n">
        <v>0</v>
      </c>
      <c r="H407" s="3" t="n">
        <v>0</v>
      </c>
      <c r="I407" s="3" t="n">
        <v>0</v>
      </c>
      <c r="J407" s="3" t="n">
        <v>0</v>
      </c>
      <c r="K407" s="3" t="n">
        <v>0</v>
      </c>
      <c r="L407" s="3">
        <f>IF(K407&lt;-5,"CRÍTICO",IF(K407&lt;0,"ATENÇÃO",IF(K407&lt;=5,"BOM","EXCELENTE")))</f>
        <v/>
      </c>
      <c r="M407" t="n">
        <v>30</v>
      </c>
      <c r="N407" t="n">
        <v>98.63</v>
      </c>
      <c r="O407" t="n">
        <v>18.75</v>
      </c>
    </row>
    <row r="408" hidden="1">
      <c r="A408" s="5" t="n">
        <v>46157</v>
      </c>
      <c r="B408" s="6" t="inlineStr">
        <is>
          <t>Daniel Gomes da Silva</t>
        </is>
      </c>
      <c r="C408" s="3" t="inlineStr">
        <is>
          <t>Técnico I</t>
        </is>
      </c>
      <c r="D408" s="3" t="n">
        <v>18</v>
      </c>
      <c r="E408" s="3" t="n">
        <v>18</v>
      </c>
      <c r="F408" t="n">
        <v>25.25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19</v>
      </c>
      <c r="N408" t="n">
        <v>100</v>
      </c>
      <c r="O408" t="n">
        <v>18.14516129032258</v>
      </c>
    </row>
    <row r="409" hidden="1">
      <c r="A409" s="5" t="n">
        <v>46157</v>
      </c>
      <c r="B409" s="6" t="inlineStr">
        <is>
          <t>Davylla Rodrigues Freitas Silva</t>
        </is>
      </c>
      <c r="C409" s="9" t="inlineStr">
        <is>
          <t>Técnico III</t>
        </is>
      </c>
      <c r="D409" s="3" t="n">
        <v>20</v>
      </c>
      <c r="E409" s="3" t="n">
        <v>20</v>
      </c>
      <c r="F409" t="n">
        <v>20.33</v>
      </c>
      <c r="G409" s="3" t="n">
        <v>0</v>
      </c>
      <c r="H409" s="3" t="n">
        <v>0</v>
      </c>
      <c r="I409" s="3" t="n">
        <v>0</v>
      </c>
      <c r="J409" s="3" t="n">
        <v>0</v>
      </c>
      <c r="K409" s="3" t="n">
        <v>0</v>
      </c>
      <c r="L409" s="3">
        <f>IF(K409&lt;-5,"CRÍTICO",IF(K409&lt;0,"ATENÇÃO",IF(K409&lt;=5,"BOM","EXCELENTE")))</f>
        <v/>
      </c>
      <c r="M409" t="n">
        <v>23</v>
      </c>
      <c r="N409" t="n">
        <v>99.06</v>
      </c>
      <c r="O409" t="n">
        <v>22.95719844357977</v>
      </c>
    </row>
    <row r="410" hidden="1">
      <c r="A410" s="5" t="n">
        <v>46157</v>
      </c>
      <c r="B410" s="6" t="inlineStr">
        <is>
          <t>Emilly Kamilly Medeiros Miranda</t>
        </is>
      </c>
      <c r="C410" s="3" t="inlineStr">
        <is>
          <t>Técnico II</t>
        </is>
      </c>
      <c r="D410" s="3" t="n">
        <v>27</v>
      </c>
      <c r="E410" s="3" t="n">
        <v>25</v>
      </c>
      <c r="F410" t="n">
        <v>18.42</v>
      </c>
      <c r="G410" s="3" t="n">
        <v>2</v>
      </c>
      <c r="H410" s="3" t="n">
        <v>0</v>
      </c>
      <c r="I410" s="3">
        <f>E410+G410+H410</f>
        <v/>
      </c>
      <c r="J410" s="3">
        <f>ROUND(MIN(IF(C410="Técnico III",35,IF(C410="Técnico II",28,IF(C410="Técnico I",23,IF(C410="JR",20,IF(C410="Estágio",10,0))))),IF(C410="Técnico III",SUMIFS($D:$D,$A:$A,$A410,$B:$B,"&lt;&gt;Patrícia Karla de Sousa Araújo",$B:$B,"&lt;&gt;Lorena Dias de Araujo",$B:$B,"&lt;&gt;Lucas Luiz Romero")*(35/1083),IF(C410="Técnico II",SUMIFS($D:$D,$A:$A,$A410,$B:$B,"&lt;&gt;Patrícia Karla de Sousa Araújo",$B:$B,"&lt;&gt;Lorena Dias de Araujo",$B:$B,"&lt;&gt;Lucas Luiz Romero")*(28/1083),IF(C410="Técnico I",SUMIFS($D:$D,$A:$A,$A410,$B:$B,"&lt;&gt;Patrícia Karla de Sousa Araújo",$B:$B,"&lt;&gt;Lorena Dias de Araujo",$B:$B,"&lt;&gt;Lucas Luiz Romero")*(23/1083),IF(C410="JR",SUMIFS($D:$D,$A:$A,$A410,$B:$B,"&lt;&gt;Patrícia Karla de Sousa Araújo",$B:$B,"&lt;&gt;Lorena Dias de Araujo",$B:$B,"&lt;&gt;Lucas Luiz Romero")*(20/1083),IF(C410="Estágio",SUMIFS($D:$D,$A:$A,$A410,$B:$B,"&lt;&gt;Patrícia Karla de Sousa Araújo",$B:$B,"&lt;&gt;Lorena Dias de Araujo",$B:$B,"&lt;&gt;Lucas Luiz Romero")*(10/1083),0)))))),0)</f>
        <v/>
      </c>
      <c r="K410" s="3">
        <f>I410-J410</f>
        <v/>
      </c>
      <c r="L410" s="3">
        <f>IF(K410&lt;-5,"CRÍTICO",IF(K410&lt;0,"ATENÇÃO",IF(K410&lt;=5,"BOM","EXCELENTE")))</f>
        <v/>
      </c>
      <c r="M410" t="n">
        <v>23</v>
      </c>
      <c r="N410" t="n">
        <v>100</v>
      </c>
      <c r="O410" t="n">
        <v>13.8121546961326</v>
      </c>
    </row>
    <row r="411" hidden="1">
      <c r="A411" s="5" t="n">
        <v>46157</v>
      </c>
      <c r="B411" s="6" t="inlineStr">
        <is>
          <t>Francilene Ferreira de Jesus</t>
        </is>
      </c>
      <c r="C411" s="3" t="inlineStr">
        <is>
          <t>Técnico 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0</v>
      </c>
      <c r="I411" s="3" t="n">
        <v>0</v>
      </c>
      <c r="J411" s="3" t="n">
        <v>0</v>
      </c>
      <c r="K411" s="3" t="n">
        <v>0</v>
      </c>
      <c r="L411" s="3">
        <f>IF(K411&lt;-5,"CRÍTICO",IF(K411&lt;0,"ATENÇÃO",IF(K411&lt;=5,"BOM","EXCELENTE")))</f>
        <v/>
      </c>
      <c r="M411" s="9" t="n">
        <v>0</v>
      </c>
      <c r="N411" s="9" t="n">
        <v>100</v>
      </c>
      <c r="O411" s="9" t="n">
        <v>17.24137931034483</v>
      </c>
    </row>
    <row r="412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N412" t="n">
        <v>98.91</v>
      </c>
      <c r="O412" t="n">
        <v>31.36729222520107</v>
      </c>
    </row>
    <row r="413" hidden="1">
      <c r="A413" s="5" t="n">
        <v>46157</v>
      </c>
      <c r="B413" s="6" t="inlineStr">
        <is>
          <t>Isabella Borges de Oliveira</t>
        </is>
      </c>
      <c r="C413" s="9" t="inlineStr">
        <is>
          <t>Técnico II</t>
        </is>
      </c>
      <c r="D413" s="3" t="n">
        <v>28</v>
      </c>
      <c r="E413" s="3" t="n">
        <v>25</v>
      </c>
      <c r="F413" t="n">
        <v>22.04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23</v>
      </c>
      <c r="N413" t="n">
        <v>98.63</v>
      </c>
      <c r="O413" t="n">
        <v>15.75757575757576</v>
      </c>
    </row>
    <row r="414" hidden="1">
      <c r="A414" s="5" t="n">
        <v>46157</v>
      </c>
      <c r="B414" s="6" t="inlineStr">
        <is>
          <t>Janaina Lima dos Reis Urany</t>
        </is>
      </c>
      <c r="C414" s="3" t="inlineStr">
        <is>
          <t>Técnico III</t>
        </is>
      </c>
      <c r="D414" s="3" t="n">
        <v>44</v>
      </c>
      <c r="E414" s="3" t="n">
        <v>38</v>
      </c>
      <c r="F414" t="n">
        <v>12.34</v>
      </c>
      <c r="G414" s="3" t="n">
        <v>6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39</v>
      </c>
      <c r="N414" t="n">
        <v>98.64</v>
      </c>
      <c r="O414" t="n">
        <v>16.6383701188455</v>
      </c>
    </row>
    <row r="415" hidden="1">
      <c r="A415" s="5" t="n">
        <v>46157</v>
      </c>
      <c r="B415" s="6" t="inlineStr">
        <is>
          <t>Jaqueline Evangelista da Silva Martins</t>
        </is>
      </c>
      <c r="C415" s="3" t="inlineStr">
        <is>
          <t>Técnico III</t>
        </is>
      </c>
      <c r="D415" s="3" t="n">
        <v>30</v>
      </c>
      <c r="E415" s="3" t="n">
        <v>29</v>
      </c>
      <c r="F415" t="n">
        <v>13.38</v>
      </c>
      <c r="G415" s="3" t="n">
        <v>5</v>
      </c>
      <c r="H415" s="3" t="n">
        <v>0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23</v>
      </c>
      <c r="N415" t="n">
        <v>95.40000000000001</v>
      </c>
      <c r="O415" t="n">
        <v>20.53333333333333</v>
      </c>
    </row>
    <row r="416" hidden="1">
      <c r="A416" s="5" t="n">
        <v>46157</v>
      </c>
      <c r="B416" s="6" t="inlineStr">
        <is>
          <t>Jessica Faria da Silveira</t>
        </is>
      </c>
      <c r="C416" s="3" t="inlineStr">
        <is>
          <t>Técnico II</t>
        </is>
      </c>
      <c r="D416" s="3" t="n">
        <v>17</v>
      </c>
      <c r="E416" s="3" t="n">
        <v>14</v>
      </c>
      <c r="F416" t="n">
        <v>15.05</v>
      </c>
      <c r="G416" s="3" t="n">
        <v>1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14</v>
      </c>
      <c r="N416" t="n">
        <v>98.61</v>
      </c>
      <c r="O416" t="n">
        <v>16.97530864197531</v>
      </c>
    </row>
    <row r="417" hidden="1">
      <c r="A417" s="5" t="n">
        <v>46157</v>
      </c>
      <c r="B417" s="6" t="inlineStr">
        <is>
          <t>Jéssica Fé Moura</t>
        </is>
      </c>
      <c r="C417" s="3" t="inlineStr">
        <is>
          <t>Técnico III</t>
        </is>
      </c>
      <c r="D417" s="3" t="n">
        <v>0</v>
      </c>
      <c r="E417" s="3" t="n">
        <v>0</v>
      </c>
      <c r="F417" s="3" t="n">
        <v>0</v>
      </c>
      <c r="G417" s="3" t="n">
        <v>0</v>
      </c>
      <c r="H417" s="3" t="n">
        <v>0</v>
      </c>
      <c r="I417" s="3" t="n">
        <v>0</v>
      </c>
      <c r="J417" s="3" t="n">
        <v>0</v>
      </c>
      <c r="K417" s="3" t="n">
        <v>0</v>
      </c>
      <c r="L417" s="3">
        <f>IF(K417&lt;-5,"CRÍTICO",IF(K417&lt;0,"ATENÇÃO",IF(K417&lt;=5,"BOM","EXCELENTE")))</f>
        <v/>
      </c>
      <c r="M417" s="9" t="n">
        <v>0</v>
      </c>
      <c r="N417" s="9" t="n">
        <v>0</v>
      </c>
      <c r="O417" s="9" t="n">
        <v>0</v>
      </c>
    </row>
    <row r="418" hidden="1">
      <c r="A418" s="5" t="n">
        <v>46157</v>
      </c>
      <c r="B418" s="6" t="inlineStr">
        <is>
          <t>Karina Gonçalves Martins</t>
        </is>
      </c>
      <c r="C418" s="3" t="inlineStr">
        <is>
          <t>JR</t>
        </is>
      </c>
      <c r="D418" s="3" t="n">
        <v>23</v>
      </c>
      <c r="E418" s="3" t="n">
        <v>20</v>
      </c>
      <c r="F418" t="n">
        <v>25.17</v>
      </c>
      <c r="G418" s="3" t="n">
        <v>5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23</v>
      </c>
      <c r="N418" t="n">
        <v>97.01000000000001</v>
      </c>
      <c r="O418" t="n">
        <v>13.96103896103896</v>
      </c>
    </row>
    <row r="419" hidden="1">
      <c r="A419" s="5" t="n">
        <v>46157</v>
      </c>
      <c r="B419" s="6" t="inlineStr">
        <is>
          <t>Leandro de Souza Silva</t>
        </is>
      </c>
      <c r="C419" s="3" t="inlineStr">
        <is>
          <t>JR</t>
        </is>
      </c>
      <c r="D419" s="3" t="n">
        <v>15</v>
      </c>
      <c r="E419" s="3" t="n">
        <v>14</v>
      </c>
      <c r="F419" t="n">
        <v>16.53</v>
      </c>
      <c r="G419" s="3" t="n">
        <v>2</v>
      </c>
      <c r="H419" s="3" t="n">
        <v>0</v>
      </c>
      <c r="I419" s="3">
        <f>E419+G419+H419</f>
        <v/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/>
      </c>
      <c r="K419" s="3">
        <f>I419-J419</f>
        <v/>
      </c>
      <c r="L419" s="3">
        <f>IF(K419&lt;-5,"CRÍTICO",IF(K419&lt;0,"ATENÇÃO",IF(K419&lt;=5,"BOM","EXCELENTE")))</f>
        <v/>
      </c>
      <c r="M419" t="n">
        <v>11</v>
      </c>
      <c r="N419" t="n">
        <v>100</v>
      </c>
      <c r="O419" t="n">
        <v>16.95906432748538</v>
      </c>
    </row>
    <row r="420" hidden="1">
      <c r="A420" s="5" t="n">
        <v>46157</v>
      </c>
      <c r="B420" s="6" t="inlineStr">
        <is>
          <t>Leandro Oliveira de Sousa</t>
        </is>
      </c>
      <c r="C420" s="9" t="inlineStr">
        <is>
          <t>Técnico III</t>
        </is>
      </c>
      <c r="D420" s="3" t="n">
        <v>23</v>
      </c>
      <c r="E420" s="3" t="n">
        <v>22</v>
      </c>
      <c r="F420" t="n">
        <v>27.02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IF(K420&lt;-5,"CRÍTICO",IF(K420&lt;0,"ATENÇÃO",IF(K420&lt;=5,"BOM","EXCELENTE")))</f>
        <v/>
      </c>
      <c r="M420" t="n">
        <v>19</v>
      </c>
      <c r="N420" t="n">
        <v>100</v>
      </c>
      <c r="O420" t="n">
        <v>15.58441558441558</v>
      </c>
    </row>
    <row r="421" hidden="1">
      <c r="A421" s="5" t="n">
        <v>46157</v>
      </c>
      <c r="B421" s="6" t="inlineStr">
        <is>
          <t>Lizandra Gomes Duarte</t>
        </is>
      </c>
      <c r="C421" s="3" t="inlineStr">
        <is>
          <t>Técnico II</t>
        </is>
      </c>
      <c r="D421" s="3" t="n">
        <v>34</v>
      </c>
      <c r="E421" s="3" t="n">
        <v>32</v>
      </c>
      <c r="F421" t="n">
        <v>15.4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IF(K421&lt;-5,"CRÍTICO",IF(K421&lt;0,"ATENÇÃO",IF(K421&lt;=5,"BOM","EXCELENTE")))</f>
        <v/>
      </c>
      <c r="M421" t="n">
        <v>13</v>
      </c>
      <c r="N421" t="n">
        <v>98.61</v>
      </c>
      <c r="O421" t="n">
        <v>16.86746987951807</v>
      </c>
    </row>
    <row r="422" hidden="1">
      <c r="A422" s="5" t="n">
        <v>46157</v>
      </c>
      <c r="B422" s="6" t="inlineStr">
        <is>
          <t>Lorena Dias de Araujo</t>
        </is>
      </c>
      <c r="C422" s="3" t="inlineStr">
        <is>
          <t>Técnico II</t>
        </is>
      </c>
      <c r="D422" s="3" t="n">
        <v>28</v>
      </c>
      <c r="E422" s="3" t="n">
        <v>25</v>
      </c>
      <c r="F422" t="n">
        <v>25.42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IF(K422&lt;-5,"CRÍTICO",IF(K422&lt;0,"ATENÇÃO",IF(K422&lt;=5,"BOM","EXCELENTE")))</f>
        <v/>
      </c>
      <c r="M422" t="n">
        <v>24</v>
      </c>
      <c r="N422" t="n">
        <v>100</v>
      </c>
      <c r="O422" t="n">
        <v>20.82018927444795</v>
      </c>
    </row>
    <row r="423" hidden="1">
      <c r="A423" s="5" t="n">
        <v>46157</v>
      </c>
      <c r="B423" s="6" t="inlineStr">
        <is>
          <t>Lucas Luiz Romero</t>
        </is>
      </c>
      <c r="C423" s="3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IF(K423&lt;-5,"CRÍTICO",IF(K423&lt;0,"ATENÇÃO",IF(K423&lt;=5,"BOM","EXCELENTE")))</f>
        <v/>
      </c>
      <c r="M423" s="9" t="n">
        <v>0</v>
      </c>
      <c r="N423" s="9" t="n">
        <v>100</v>
      </c>
      <c r="O423" s="9" t="n">
        <v>4.347826086956522</v>
      </c>
    </row>
    <row r="424" hidden="1">
      <c r="A424" s="5" t="n">
        <v>46157</v>
      </c>
      <c r="B424" s="6" t="inlineStr">
        <is>
          <t>Luiz Fernando de Carvalho Junior</t>
        </is>
      </c>
      <c r="C424" s="3" t="inlineStr">
        <is>
          <t>Técnico I</t>
        </is>
      </c>
      <c r="D424" s="3" t="n">
        <v>24</v>
      </c>
      <c r="E424" s="3" t="n">
        <v>21</v>
      </c>
      <c r="F424" t="n">
        <v>20.35</v>
      </c>
      <c r="G424" s="3" t="n">
        <v>2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IF(K424&lt;-5,"CRÍTICO",IF(K424&lt;0,"ATENÇÃO",IF(K424&lt;=5,"BOM","EXCELENTE")))</f>
        <v/>
      </c>
      <c r="M424" t="n">
        <v>24</v>
      </c>
      <c r="N424" t="n">
        <v>93.26000000000001</v>
      </c>
      <c r="O424" t="n">
        <v>19.93957703927493</v>
      </c>
    </row>
    <row r="425" hidden="1">
      <c r="A425" s="5" t="n">
        <v>46157</v>
      </c>
      <c r="B425" s="6" t="inlineStr">
        <is>
          <t>Matheus Farias De Souza</t>
        </is>
      </c>
      <c r="C425" s="3" t="inlineStr">
        <is>
          <t>Técnico III</t>
        </is>
      </c>
      <c r="D425" s="3" t="n">
        <v>0</v>
      </c>
      <c r="E425" s="3" t="n">
        <v>0</v>
      </c>
      <c r="F425" t="n">
        <v>0</v>
      </c>
      <c r="G425" s="3" t="n">
        <v>0</v>
      </c>
      <c r="H425" s="3" t="n">
        <v>31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IF(K425&lt;-5,"CRÍTICO",IF(K425&lt;0,"ATENÇÃO",IF(K425&lt;=5,"BOM","EXCELENTE")))</f>
        <v/>
      </c>
      <c r="M425" t="n">
        <v>19</v>
      </c>
      <c r="N425" t="n">
        <v>98.28</v>
      </c>
      <c r="O425" t="n">
        <v>9.037900874635568</v>
      </c>
    </row>
    <row r="426" hidden="1">
      <c r="A426" s="5" t="n">
        <v>46157</v>
      </c>
      <c r="B426" s="6" t="inlineStr">
        <is>
          <t>Maysa Victoria Dias Moura</t>
        </is>
      </c>
      <c r="C426" s="3" t="inlineStr">
        <is>
          <t>Técnico III</t>
        </is>
      </c>
      <c r="D426" s="3" t="n">
        <v>26</v>
      </c>
      <c r="E426" s="3" t="n">
        <v>24</v>
      </c>
      <c r="F426" t="n">
        <v>12.18</v>
      </c>
      <c r="G426" s="3" t="n">
        <v>2</v>
      </c>
      <c r="H426" s="3" t="n">
        <v>0</v>
      </c>
      <c r="I426" s="3">
        <f>E426+G426+H426</f>
        <v/>
      </c>
      <c r="J426" s="3">
        <f>ROUND(MIN(IF(C426="Técnico III",35,IF(C426="Técnico II",28,IF(C426="Técnico I",23,IF(C426="JR",20,IF(C426="Estágio",10,0))))),IF(C426="Técnico III",SUMIFS($D:$D,$A:$A,$A426,$B:$B,"&lt;&gt;Patrícia Karla de Sousa Araújo",$B:$B,"&lt;&gt;Lorena Dias de Araujo",$B:$B,"&lt;&gt;Lucas Luiz Romero")*(35/1083),IF(C426="Técnico II",SUMIFS($D:$D,$A:$A,$A426,$B:$B,"&lt;&gt;Patrícia Karla de Sousa Araújo",$B:$B,"&lt;&gt;Lorena Dias de Araujo",$B:$B,"&lt;&gt;Lucas Luiz Romero")*(28/1083),IF(C426="Técnico I",SUMIFS($D:$D,$A:$A,$A426,$B:$B,"&lt;&gt;Patrícia Karla de Sousa Araújo",$B:$B,"&lt;&gt;Lorena Dias de Araujo",$B:$B,"&lt;&gt;Lucas Luiz Romero")*(23/1083),IF(C426="JR",SUMIFS($D:$D,$A:$A,$A426,$B:$B,"&lt;&gt;Patrícia Karla de Sousa Araújo",$B:$B,"&lt;&gt;Lorena Dias de Araujo",$B:$B,"&lt;&gt;Lucas Luiz Romero")*(20/1083),IF(C426="Estágio",SUMIFS($D:$D,$A:$A,$A426,$B:$B,"&lt;&gt;Patrícia Karla de Sousa Araújo",$B:$B,"&lt;&gt;Lorena Dias de Araujo",$B:$B,"&lt;&gt;Lucas Luiz Romero")*(10/1083),0)))))),0)</f>
        <v/>
      </c>
      <c r="K426" s="3">
        <f>I426-J426</f>
        <v/>
      </c>
      <c r="L426" s="3">
        <f>IF(K426&lt;-5,"CRÍTICO",IF(K426&lt;0,"ATENÇÃO",IF(K426&lt;=5,"BOM","EXCELENTE")))</f>
        <v/>
      </c>
      <c r="M426" t="n">
        <v>22</v>
      </c>
      <c r="N426" t="n">
        <v>97.22</v>
      </c>
      <c r="O426" t="n">
        <v>19.09547738693467</v>
      </c>
    </row>
    <row r="427" hidden="1">
      <c r="A427" s="5" t="n">
        <v>46157</v>
      </c>
      <c r="B427" s="6" t="inlineStr">
        <is>
          <t>Anna Luiza Rezende Tavares</t>
        </is>
      </c>
      <c r="C427" s="3" t="inlineStr">
        <is>
          <t>Estágio</t>
        </is>
      </c>
      <c r="D427" s="3" t="n">
        <v>42</v>
      </c>
      <c r="E427" s="3" t="n">
        <v>40</v>
      </c>
      <c r="F427" t="n">
        <v>15.42</v>
      </c>
      <c r="G427" s="3" t="n">
        <v>0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IF(K427&lt;-5,"CRÍTICO",IF(K427&lt;0,"ATENÇÃO",IF(K427&lt;=5,"BOM","EXCELENTE")))</f>
        <v/>
      </c>
      <c r="M427" t="n">
        <v>34</v>
      </c>
      <c r="N427" t="n">
        <v>99.11</v>
      </c>
      <c r="O427" t="n">
        <v>17.72151898734177</v>
      </c>
    </row>
    <row r="428" hidden="1">
      <c r="A428" s="5" t="n">
        <v>46157</v>
      </c>
      <c r="B428" s="6" t="inlineStr">
        <is>
          <t>Claudio de Sousa Velasco Filho</t>
        </is>
      </c>
      <c r="C428" s="3" t="inlineStr">
        <is>
          <t>Estágio</t>
        </is>
      </c>
      <c r="D428" s="3" t="n">
        <v>11</v>
      </c>
      <c r="E428" s="3" t="n">
        <v>10</v>
      </c>
      <c r="F428" t="n">
        <v>20.19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IF(K428&lt;-5,"CRÍTICO",IF(K428&lt;0,"ATENÇÃO",IF(K428&lt;=5,"BOM","EXCELENTE")))</f>
        <v/>
      </c>
      <c r="M428" t="n">
        <v>8</v>
      </c>
      <c r="N428" t="n">
        <v>96.43000000000001</v>
      </c>
      <c r="O428" t="n">
        <v>20</v>
      </c>
    </row>
    <row r="429" hidden="1">
      <c r="A429" s="5" t="n">
        <v>46157</v>
      </c>
      <c r="B429" s="6" t="inlineStr">
        <is>
          <t>Emilly Caylane Costa</t>
        </is>
      </c>
      <c r="C429" s="3" t="inlineStr">
        <is>
          <t>Estágio</t>
        </is>
      </c>
      <c r="D429" s="3" t="n">
        <v>39</v>
      </c>
      <c r="E429" s="3" t="n">
        <v>24</v>
      </c>
      <c r="F429" t="n">
        <v>3.43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IF(K429&lt;-5,"CRÍTICO",IF(K429&lt;0,"ATENÇÃO",IF(K429&lt;=5,"BOM","EXCELENTE")))</f>
        <v/>
      </c>
      <c r="M429" t="n">
        <v>0</v>
      </c>
      <c r="N429" t="n">
        <v>100</v>
      </c>
      <c r="O429" t="n">
        <v>29.03225806451613</v>
      </c>
    </row>
    <row r="430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N430" t="n">
        <v>98.91</v>
      </c>
      <c r="O430" t="n">
        <v>31.36729222520107</v>
      </c>
    </row>
    <row r="431" hidden="1">
      <c r="A431" s="5" t="n">
        <v>46157</v>
      </c>
      <c r="B431" s="6" t="inlineStr">
        <is>
          <t>Maria Eduarda Sousa Costa</t>
        </is>
      </c>
      <c r="C431" s="3" t="inlineStr">
        <is>
          <t>Estágio</t>
        </is>
      </c>
      <c r="D431" s="3" t="n">
        <v>54</v>
      </c>
      <c r="E431" s="3" t="n">
        <v>32</v>
      </c>
      <c r="F431" t="n">
        <v>6.47</v>
      </c>
      <c r="G431" s="3" t="n">
        <v>0</v>
      </c>
      <c r="H431" s="3" t="n">
        <v>0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IF(K431&lt;-5,"CRÍTICO",IF(K431&lt;0,"ATENÇÃO",IF(K431&lt;=5,"BOM","EXCELENTE")))</f>
        <v/>
      </c>
      <c r="M431" t="n">
        <v>1</v>
      </c>
      <c r="N431" t="n">
        <v>100</v>
      </c>
      <c r="O431" t="n">
        <v>11.86440677966102</v>
      </c>
    </row>
    <row r="432" hidden="1">
      <c r="A432" s="5" t="n">
        <v>46157</v>
      </c>
      <c r="B432" s="6" t="inlineStr">
        <is>
          <t>Michelle G Santos</t>
        </is>
      </c>
      <c r="C432" s="3" t="inlineStr">
        <is>
          <t>Estágio</t>
        </is>
      </c>
      <c r="D432" s="3" t="n">
        <v>9</v>
      </c>
      <c r="E432" s="3" t="n">
        <v>8</v>
      </c>
      <c r="F432" t="n">
        <v>39.06</v>
      </c>
      <c r="G432" s="3" t="n">
        <v>0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IF(K432&lt;-5,"CRÍTICO",IF(K432&lt;0,"ATENÇÃO",IF(K432&lt;=5,"BOM","EXCELENTE")))</f>
        <v/>
      </c>
      <c r="M432" t="n">
        <v>7</v>
      </c>
      <c r="N432" t="n">
        <v>100</v>
      </c>
      <c r="O432" t="n">
        <v>16.8141592920354</v>
      </c>
    </row>
    <row r="433" hidden="1">
      <c r="A433" s="5" t="n">
        <v>46157</v>
      </c>
      <c r="B433" s="6" t="inlineStr">
        <is>
          <t>Quirino Diogo Leite Torres</t>
        </is>
      </c>
      <c r="C433" s="3" t="inlineStr">
        <is>
          <t>Estágio</t>
        </is>
      </c>
      <c r="D433" s="3" t="n">
        <v>17</v>
      </c>
      <c r="E433" s="3" t="n">
        <v>15</v>
      </c>
      <c r="F433" t="n">
        <v>23.57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IF(K433&lt;-5,"CRÍTICO",IF(K433&lt;0,"ATENÇÃO",IF(K433&lt;=5,"BOM","EXCELENTE")))</f>
        <v/>
      </c>
      <c r="M433" t="n">
        <v>14</v>
      </c>
      <c r="N433" t="n">
        <v>98.11</v>
      </c>
      <c r="O433" t="n">
        <v>20.40816326530612</v>
      </c>
    </row>
    <row r="434" hidden="1">
      <c r="A434" s="5" t="n">
        <v>46157</v>
      </c>
      <c r="B434" s="6" t="inlineStr">
        <is>
          <t>Milena Sales</t>
        </is>
      </c>
      <c r="C434" s="3" t="inlineStr">
        <is>
          <t>JR</t>
        </is>
      </c>
      <c r="D434" s="3" t="n">
        <v>29</v>
      </c>
      <c r="E434" s="3" t="n">
        <v>21</v>
      </c>
      <c r="F434" t="n">
        <v>13.55</v>
      </c>
      <c r="G434" s="3" t="n">
        <v>2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IF(K434&lt;-5,"CRÍTICO",IF(K434&lt;0,"ATENÇÃO",IF(K434&lt;=5,"BOM","EXCELENTE")))</f>
        <v/>
      </c>
      <c r="M434" t="n">
        <v>19</v>
      </c>
      <c r="N434" t="n">
        <v>98</v>
      </c>
      <c r="O434" t="n">
        <v>16.43835616438356</v>
      </c>
    </row>
    <row r="435" hidden="1">
      <c r="A435" s="5" t="n">
        <v>46157</v>
      </c>
      <c r="B435" s="6" t="inlineStr">
        <is>
          <t>Patrícia Karla de Sousa Araújo</t>
        </is>
      </c>
      <c r="C435" s="3" t="inlineStr">
        <is>
          <t>Técnico II</t>
        </is>
      </c>
      <c r="D435" s="3" t="n">
        <v>13</v>
      </c>
      <c r="E435" s="3" t="n">
        <v>13</v>
      </c>
      <c r="F435" t="n">
        <v>33.59</v>
      </c>
      <c r="G435" s="3" t="n">
        <v>0</v>
      </c>
      <c r="H435" s="3" t="n">
        <v>0</v>
      </c>
      <c r="I435" s="3">
        <f>E435+G435+H435</f>
        <v/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/>
      </c>
      <c r="K435" s="3">
        <f>I435-J435</f>
        <v/>
      </c>
      <c r="L435" s="3">
        <f>IF(K435&lt;-5,"CRÍTICO",IF(K435&lt;0,"ATENÇÃO",IF(K435&lt;=5,"BOM","EXCELENTE")))</f>
        <v/>
      </c>
      <c r="M435" t="n">
        <v>12</v>
      </c>
      <c r="N435" t="n">
        <v>100</v>
      </c>
      <c r="O435" t="n">
        <v>16.89497716894977</v>
      </c>
    </row>
    <row r="436" hidden="1">
      <c r="A436" s="5" t="n">
        <v>46157</v>
      </c>
      <c r="B436" s="6" t="inlineStr">
        <is>
          <t>Paulo Ricardo Santos</t>
        </is>
      </c>
      <c r="C436" s="3" t="inlineStr">
        <is>
          <t>JR</t>
        </is>
      </c>
      <c r="D436" s="3" t="n">
        <v>13</v>
      </c>
      <c r="E436" s="3" t="n">
        <v>13</v>
      </c>
      <c r="F436" t="n">
        <v>28.33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IF(K436&lt;-5,"CRÍTICO",IF(K436&lt;0,"ATENÇÃO",IF(K436&lt;=5,"BOM","EXCELENTE")))</f>
        <v/>
      </c>
      <c r="M436" t="n">
        <v>14</v>
      </c>
      <c r="N436" t="n">
        <v>100</v>
      </c>
      <c r="O436" t="n">
        <v>19.13875598086124</v>
      </c>
    </row>
    <row r="437" hidden="1">
      <c r="A437" s="5" t="n">
        <v>46157</v>
      </c>
      <c r="B437" s="6" t="inlineStr">
        <is>
          <t>Pedro Luiz Mota Sousa</t>
        </is>
      </c>
      <c r="C437" s="3" t="inlineStr">
        <is>
          <t>JR</t>
        </is>
      </c>
      <c r="D437" s="3" t="n">
        <v>14</v>
      </c>
      <c r="E437" s="3" t="n">
        <v>12</v>
      </c>
      <c r="F437" t="n">
        <v>15.53</v>
      </c>
      <c r="G437" s="3" t="n">
        <v>2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IF(K437&lt;-5,"CRÍTICO",IF(K437&lt;0,"ATENÇÃO",IF(K437&lt;=5,"BOM","EXCELENTE")))</f>
        <v/>
      </c>
      <c r="M437" t="n">
        <v>15</v>
      </c>
      <c r="N437" t="n">
        <v>100</v>
      </c>
      <c r="O437" t="n">
        <v>15.02145922746781</v>
      </c>
    </row>
    <row r="438" hidden="1">
      <c r="A438" s="5" t="n">
        <v>46157</v>
      </c>
      <c r="B438" s="6" t="inlineStr">
        <is>
          <t>Raane Batista Matos</t>
        </is>
      </c>
      <c r="C438" s="3" t="inlineStr">
        <is>
          <t>Técnico I</t>
        </is>
      </c>
      <c r="D438" s="3" t="n">
        <v>28</v>
      </c>
      <c r="E438" s="3" t="n">
        <v>25</v>
      </c>
      <c r="F438" t="n">
        <v>13.57</v>
      </c>
      <c r="G438" s="3" t="n">
        <v>5</v>
      </c>
      <c r="H438" s="3" t="n">
        <v>0</v>
      </c>
      <c r="I438" s="3">
        <f>E438+G438+H438</f>
        <v/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/>
      </c>
      <c r="K438" s="3">
        <f>I438-J438</f>
        <v/>
      </c>
      <c r="L438" s="3">
        <f>IF(K438&lt;-5,"CRÍTICO",IF(K438&lt;0,"ATENÇÃO",IF(K438&lt;=5,"BOM","EXCELENTE")))</f>
        <v/>
      </c>
      <c r="M438" t="n">
        <v>23</v>
      </c>
      <c r="N438" t="n">
        <v>97.56</v>
      </c>
      <c r="O438" t="n">
        <v>19.28783382789317</v>
      </c>
    </row>
    <row r="439" hidden="1">
      <c r="A439" s="5" t="n">
        <v>46157</v>
      </c>
      <c r="B439" s="6" t="inlineStr">
        <is>
          <t>Rafael Gomes de Morais</t>
        </is>
      </c>
      <c r="C439" s="3" t="inlineStr">
        <is>
          <t>Técnico III</t>
        </is>
      </c>
      <c r="D439" s="3" t="n">
        <v>31</v>
      </c>
      <c r="E439" s="3" t="n">
        <v>29</v>
      </c>
      <c r="F439" t="n">
        <v>13.49</v>
      </c>
      <c r="G439" s="3" t="n">
        <v>2</v>
      </c>
      <c r="H439" s="3" t="n">
        <v>0</v>
      </c>
      <c r="I439" s="3">
        <f>E439+G439+H439</f>
        <v/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/>
      </c>
      <c r="K439" s="3">
        <f>I439-J439</f>
        <v/>
      </c>
      <c r="L439" s="3">
        <f>IF(K439&lt;-5,"CRÍTICO",IF(K439&lt;0,"ATENÇÃO",IF(K439&lt;=5,"BOM","EXCELENTE")))</f>
        <v/>
      </c>
      <c r="M439" t="n">
        <v>29</v>
      </c>
      <c r="N439" t="n">
        <v>99.29000000000001</v>
      </c>
      <c r="O439" t="n">
        <v>22.49443207126949</v>
      </c>
    </row>
    <row r="440" hidden="1">
      <c r="A440" s="5" t="n">
        <v>46157</v>
      </c>
      <c r="B440" s="6" t="inlineStr">
        <is>
          <t>Sara Maria Monteiro Lopes</t>
        </is>
      </c>
      <c r="C440" s="3" t="inlineStr">
        <is>
          <t>Técnico I</t>
        </is>
      </c>
      <c r="D440" s="3" t="n">
        <v>18</v>
      </c>
      <c r="E440" s="3" t="n">
        <v>17</v>
      </c>
      <c r="F440" t="n">
        <v>35.31</v>
      </c>
      <c r="G440" s="3" t="n">
        <v>3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IF(K440&lt;-5,"CRÍTICO",IF(K440&lt;0,"ATENÇÃO",IF(K440&lt;=5,"BOM","EXCELENTE")))</f>
        <v/>
      </c>
      <c r="M440" t="n">
        <v>14</v>
      </c>
      <c r="N440" t="n">
        <v>100</v>
      </c>
      <c r="O440" t="n">
        <v>16.97247706422019</v>
      </c>
    </row>
    <row r="441" hidden="1">
      <c r="A441" s="5" t="n">
        <v>46157</v>
      </c>
      <c r="B441" s="6" t="inlineStr">
        <is>
          <t>Sarah Steffanie de Lima Borges</t>
        </is>
      </c>
      <c r="C441" s="3" t="inlineStr">
        <is>
          <t>Técnico III</t>
        </is>
      </c>
      <c r="D441" s="3" t="n">
        <v>20</v>
      </c>
      <c r="E441" s="3" t="n">
        <v>20</v>
      </c>
      <c r="F441" t="n">
        <v>17.35</v>
      </c>
      <c r="G441" s="3" t="n">
        <v>1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IF(K441&lt;-5,"CRÍTICO",IF(K441&lt;0,"ATENÇÃO",IF(K441&lt;=5,"BOM","EXCELENTE")))</f>
        <v/>
      </c>
      <c r="M441" t="n">
        <v>17</v>
      </c>
      <c r="N441" t="n">
        <v>97.33</v>
      </c>
      <c r="O441" t="n">
        <v>15.80547112462006</v>
      </c>
    </row>
    <row r="442" hidden="1">
      <c r="A442" s="5" t="n">
        <v>46160</v>
      </c>
      <c r="B442" s="6" t="inlineStr">
        <is>
          <t>Alisson de Freitas Silva</t>
        </is>
      </c>
      <c r="C442" s="3" t="inlineStr">
        <is>
          <t>Técnico II</t>
        </is>
      </c>
      <c r="D442" s="3" t="n">
        <v>42</v>
      </c>
      <c r="E442" s="3" t="n">
        <v>27</v>
      </c>
      <c r="F442" t="n">
        <v>7.38</v>
      </c>
      <c r="G442" s="3" t="n">
        <v>4</v>
      </c>
      <c r="H442" s="3" t="n">
        <v>0</v>
      </c>
      <c r="I442" s="3">
        <f>E442+G442+H442</f>
        <v/>
      </c>
      <c r="J442" s="3">
        <f>ROUND(MIN(IF(C442="Técnico III",35,IF(C442="Técnico II",28,IF(C442="Técnico I",23,IF(C442="JR",20,IF(C442="Estágio",10,0))))),IF(C442="Técnico III",SUMIFS($D:$D,$A:$A,$A442,$B:$B,"&lt;&gt;Patrícia Karla de Sousa Araújo",$B:$B,"&lt;&gt;Lorena Dias de Araujo",$B:$B,"&lt;&gt;Lucas Luiz Romero")*(35/1083),IF(C442="Técnico II",SUMIFS($D:$D,$A:$A,$A442,$B:$B,"&lt;&gt;Patrícia Karla de Sousa Araújo",$B:$B,"&lt;&gt;Lorena Dias de Araujo",$B:$B,"&lt;&gt;Lucas Luiz Romero")*(28/1083),IF(C442="Técnico I",SUMIFS($D:$D,$A:$A,$A442,$B:$B,"&lt;&gt;Patrícia Karla de Sousa Araújo",$B:$B,"&lt;&gt;Lorena Dias de Araujo",$B:$B,"&lt;&gt;Lucas Luiz Romero")*(23/1083),IF(C442="JR",SUMIFS($D:$D,$A:$A,$A442,$B:$B,"&lt;&gt;Patrícia Karla de Sousa Araújo",$B:$B,"&lt;&gt;Lorena Dias de Araujo",$B:$B,"&lt;&gt;Lucas Luiz Romero")*(20/1083),IF(C442="Estágio",SUMIFS($D:$D,$A:$A,$A442,$B:$B,"&lt;&gt;Patrícia Karla de Sousa Araújo",$B:$B,"&lt;&gt;Lorena Dias de Araujo",$B:$B,"&lt;&gt;Lucas Luiz Romero")*(10/1083),0)))))),0)</f>
        <v/>
      </c>
      <c r="K442" s="3">
        <f>I442-J442</f>
        <v/>
      </c>
      <c r="L442" s="3">
        <f>IF(K442&lt;-5,"CRÍTICO",IF(K442&lt;0,"ATENÇÃO",IF(K442&lt;=5,"BOM","EXCELENTE")))</f>
        <v/>
      </c>
      <c r="M442" s="3" t="n">
        <v>19</v>
      </c>
      <c r="N442" s="3" t="n">
        <v>98.94</v>
      </c>
      <c r="O442" s="3" t="n">
        <v>19.61414790996785</v>
      </c>
    </row>
    <row r="443" hidden="1">
      <c r="A443" s="5" t="n">
        <v>46160</v>
      </c>
      <c r="B443" s="6" t="inlineStr">
        <is>
          <t>Amanda Moura Ferreira</t>
        </is>
      </c>
      <c r="C443" s="3" t="inlineStr">
        <is>
          <t>Técnico III</t>
        </is>
      </c>
      <c r="D443" s="3" t="n">
        <v>0</v>
      </c>
      <c r="E443" s="3" t="n">
        <v>0</v>
      </c>
      <c r="F443" s="3" t="n">
        <v>0</v>
      </c>
      <c r="G443" s="3" t="n">
        <v>0</v>
      </c>
      <c r="H443" s="3" t="n">
        <v>0</v>
      </c>
      <c r="I443" s="3" t="n">
        <v>0</v>
      </c>
      <c r="J443" s="3" t="n">
        <v>0</v>
      </c>
      <c r="K443" s="3" t="n">
        <v>0</v>
      </c>
      <c r="L443" s="3">
        <f>IF(K443&lt;-5,"CRÍTICO",IF(K443&lt;0,"ATENÇÃO",IF(K443&lt;=5,"BOM","EXCELENTE")))</f>
        <v/>
      </c>
      <c r="M443" s="9" t="n">
        <v>0</v>
      </c>
      <c r="N443" s="9" t="n">
        <v>100</v>
      </c>
      <c r="O443" s="9" t="n">
        <v>0</v>
      </c>
    </row>
    <row r="444" hidden="1">
      <c r="A444" s="5" t="n">
        <v>46160</v>
      </c>
      <c r="B444" s="6" t="inlineStr">
        <is>
          <t>Ana Karollyne Souza Faria</t>
        </is>
      </c>
      <c r="C444" s="3" t="inlineStr">
        <is>
          <t>Técnico I</t>
        </is>
      </c>
      <c r="D444" s="3" t="n">
        <v>18</v>
      </c>
      <c r="E444" s="3" t="n">
        <v>17</v>
      </c>
      <c r="F444" t="n">
        <v>20.19</v>
      </c>
      <c r="G444" s="3" t="n">
        <v>2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IF(K444&lt;-5,"CRÍTICO",IF(K444&lt;0,"ATENÇÃO",IF(K444&lt;=5,"BOM","EXCELENTE")))</f>
        <v/>
      </c>
      <c r="M444" s="3" t="n">
        <v>18</v>
      </c>
      <c r="N444" s="3" t="n">
        <v>95.38</v>
      </c>
      <c r="O444" s="3" t="n">
        <v>21.5962441314554</v>
      </c>
    </row>
    <row r="445" hidden="1">
      <c r="A445" s="5" t="n">
        <v>46160</v>
      </c>
      <c r="B445" s="6" t="inlineStr">
        <is>
          <t>Ana Paula Da Luz Silva Aleixo</t>
        </is>
      </c>
      <c r="C445" s="9" t="inlineStr">
        <is>
          <t>Técnico III</t>
        </is>
      </c>
      <c r="D445" s="3" t="n">
        <v>0</v>
      </c>
      <c r="E445" s="3" t="n">
        <v>0</v>
      </c>
      <c r="F445" s="3" t="n">
        <v>0</v>
      </c>
      <c r="G445" s="3" t="n">
        <v>0</v>
      </c>
      <c r="H445" s="3" t="n">
        <v>0</v>
      </c>
      <c r="I445" s="3" t="n">
        <v>0</v>
      </c>
      <c r="J445" s="3" t="n">
        <v>0</v>
      </c>
      <c r="K445" s="3" t="n">
        <v>0</v>
      </c>
      <c r="L445" s="3">
        <f>IF(K445&lt;-5,"CRÍTICO",IF(K445&lt;0,"ATENÇÃO",IF(K445&lt;=5,"BOM","EXCELENTE")))</f>
        <v/>
      </c>
      <c r="M445" s="9" t="n">
        <v>0</v>
      </c>
      <c r="N445" s="9" t="n">
        <v>96.34</v>
      </c>
      <c r="O445" s="9" t="n">
        <v>17.57188498402556</v>
      </c>
    </row>
    <row r="446" hidden="1">
      <c r="A446" s="5" t="n">
        <v>46160</v>
      </c>
      <c r="B446" s="6" t="inlineStr">
        <is>
          <t>Anna Luiza Rezende Tavares</t>
        </is>
      </c>
      <c r="C446" s="3" t="inlineStr">
        <is>
          <t>JR</t>
        </is>
      </c>
      <c r="D446" s="3" t="n">
        <v>1</v>
      </c>
      <c r="E446" s="3" t="n">
        <v>1</v>
      </c>
      <c r="F446" t="n">
        <v>5.09</v>
      </c>
      <c r="G446" s="3" t="n">
        <v>0</v>
      </c>
      <c r="H446" s="3" t="n">
        <v>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IF(K446&lt;-5,"CRÍTICO",IF(K446&lt;0,"ATENÇÃO",IF(K446&lt;=5,"BOM","EXCELENTE")))</f>
        <v/>
      </c>
      <c r="M446" t="n">
        <v>28</v>
      </c>
      <c r="N446" t="n">
        <v>99.11</v>
      </c>
      <c r="O446" t="n">
        <v>17.72151898734177</v>
      </c>
    </row>
    <row r="447" hidden="1">
      <c r="A447" s="5" t="n">
        <v>46160</v>
      </c>
      <c r="B447" s="6" t="inlineStr">
        <is>
          <t>Brenda de Menezes Silva</t>
        </is>
      </c>
      <c r="C447" s="3" t="inlineStr">
        <is>
          <t>Técnico II</t>
        </is>
      </c>
      <c r="D447" s="3" t="n">
        <v>46</v>
      </c>
      <c r="E447" s="3" t="n">
        <v>39</v>
      </c>
      <c r="F447" t="n">
        <v>11.41</v>
      </c>
      <c r="G447" s="3" t="n">
        <v>7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IF(K447&lt;-5,"CRÍTICO",IF(K447&lt;0,"ATENÇÃO",IF(K447&lt;=5,"BOM","EXCELENTE")))</f>
        <v/>
      </c>
      <c r="M447" t="n">
        <v>42</v>
      </c>
      <c r="N447" t="n">
        <v>99.13</v>
      </c>
      <c r="O447" t="n">
        <v>14.7239263803681</v>
      </c>
    </row>
    <row r="448" hidden="1">
      <c r="A448" s="5" t="n">
        <v>46160</v>
      </c>
      <c r="B448" s="6" t="inlineStr">
        <is>
          <t>Carlos Mateus Cassimiro Nunes</t>
        </is>
      </c>
      <c r="C448" s="9" t="inlineStr">
        <is>
          <t>Técnico II</t>
        </is>
      </c>
      <c r="D448" s="3" t="n">
        <v>23</v>
      </c>
      <c r="E448" s="3" t="n">
        <v>23</v>
      </c>
      <c r="F448" t="n">
        <v>21.44</v>
      </c>
      <c r="G448" s="3" t="n">
        <v>3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IF(K448&lt;-5,"CRÍTICO",IF(K448&lt;0,"ATENÇÃO",IF(K448&lt;=5,"BOM","EXCELENTE")))</f>
        <v/>
      </c>
      <c r="M448" t="n">
        <v>26</v>
      </c>
      <c r="N448" t="n">
        <v>98.8</v>
      </c>
      <c r="O448" t="n">
        <v>16.89750692520776</v>
      </c>
    </row>
    <row r="449" hidden="1">
      <c r="A449" s="5" t="n">
        <v>46160</v>
      </c>
      <c r="B449" s="6" t="inlineStr">
        <is>
          <t>Clessiane Pereira dos Santos</t>
        </is>
      </c>
      <c r="C449" s="3" t="inlineStr">
        <is>
          <t>Técnico I</t>
        </is>
      </c>
      <c r="D449" s="3" t="n">
        <v>22</v>
      </c>
      <c r="E449" s="3" t="n">
        <v>21</v>
      </c>
      <c r="F449" t="n">
        <v>20.04</v>
      </c>
      <c r="G449" s="3" t="n">
        <v>3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IF(K449&lt;-5,"CRÍTICO",IF(K449&lt;0,"ATENÇÃO",IF(K449&lt;=5,"BOM","EXCELENTE")))</f>
        <v/>
      </c>
      <c r="M449" t="n">
        <v>22</v>
      </c>
      <c r="N449" t="n">
        <v>96.88</v>
      </c>
      <c r="O449" t="n">
        <v>19.52662721893491</v>
      </c>
    </row>
    <row r="450" hidden="1">
      <c r="A450" s="5" t="n">
        <v>46160</v>
      </c>
      <c r="B450" s="6" t="inlineStr">
        <is>
          <t>Cristiane Ramos da Silva Rocha</t>
        </is>
      </c>
      <c r="C450" s="3" t="inlineStr">
        <is>
          <t>Técnico III</t>
        </is>
      </c>
      <c r="D450" s="3" t="n">
        <v>30</v>
      </c>
      <c r="E450" s="3" t="n">
        <v>27</v>
      </c>
      <c r="F450" t="n">
        <v>13.29</v>
      </c>
      <c r="G450" s="3" t="n">
        <v>0</v>
      </c>
      <c r="H450" s="3" t="n">
        <v>0</v>
      </c>
      <c r="I450" s="3">
        <f>E450+G450+H450</f>
        <v/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/>
      </c>
      <c r="K450" s="3">
        <f>I450-J450</f>
        <v/>
      </c>
      <c r="L450" s="3">
        <f>IF(K450&lt;-5,"CRÍTICO",IF(K450&lt;0,"ATENÇÃO",IF(K450&lt;=5,"BOM","EXCELENTE")))</f>
        <v/>
      </c>
      <c r="M450" t="n">
        <v>25</v>
      </c>
      <c r="N450" t="n">
        <v>91.84999999999999</v>
      </c>
      <c r="O450" t="n">
        <v>20.87155963302752</v>
      </c>
    </row>
    <row r="451" hidden="1">
      <c r="A451" s="5" t="n">
        <v>46160</v>
      </c>
      <c r="B451" s="6" t="inlineStr">
        <is>
          <t>Damyllis Lorraine de Oliveira Gonçalves</t>
        </is>
      </c>
      <c r="C451" s="3" t="inlineStr">
        <is>
          <t>Técnico II</t>
        </is>
      </c>
      <c r="D451" s="3" t="n">
        <v>0</v>
      </c>
      <c r="E451" s="3" t="n">
        <v>0</v>
      </c>
      <c r="F451" s="3" t="n">
        <v>0</v>
      </c>
      <c r="G451" s="3" t="n">
        <v>0</v>
      </c>
      <c r="H451" s="3" t="n">
        <v>0</v>
      </c>
      <c r="I451" s="3" t="n">
        <v>0</v>
      </c>
      <c r="J451" s="3" t="n">
        <v>0</v>
      </c>
      <c r="K451" s="3" t="n">
        <v>0</v>
      </c>
      <c r="L451" s="3">
        <f>IF(K451&lt;-5,"CRÍTICO",IF(K451&lt;0,"ATENÇÃO",IF(K451&lt;=5,"BOM","EXCELENTE")))</f>
        <v/>
      </c>
      <c r="M451" s="9" t="n">
        <v>0</v>
      </c>
      <c r="N451" s="9" t="n">
        <v>98.63</v>
      </c>
      <c r="O451" s="9" t="n">
        <v>18.75</v>
      </c>
    </row>
    <row r="452" hidden="1">
      <c r="A452" s="5" t="n">
        <v>46160</v>
      </c>
      <c r="B452" s="6" t="inlineStr">
        <is>
          <t>Daniel Gomes da Silva</t>
        </is>
      </c>
      <c r="C452" s="3" t="inlineStr">
        <is>
          <t>Técnico I</t>
        </is>
      </c>
      <c r="D452" s="3" t="n">
        <v>20</v>
      </c>
      <c r="E452" s="3" t="n">
        <v>19</v>
      </c>
      <c r="F452" t="n">
        <v>18.52</v>
      </c>
      <c r="G452" s="3" t="n">
        <v>3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IF(K452&lt;-5,"CRÍTICO",IF(K452&lt;0,"ATENÇÃO",IF(K452&lt;=5,"BOM","EXCELENTE")))</f>
        <v/>
      </c>
      <c r="M452" t="n">
        <v>18</v>
      </c>
      <c r="N452" t="n">
        <v>100</v>
      </c>
      <c r="O452" t="n">
        <v>18.14516129032258</v>
      </c>
    </row>
    <row r="453" hidden="1">
      <c r="A453" s="5" t="n">
        <v>46160</v>
      </c>
      <c r="B453" s="6" t="inlineStr">
        <is>
          <t>Davylla Rodrigues Freitas Silva</t>
        </is>
      </c>
      <c r="C453" s="9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IF(K453&lt;-5,"CRÍTICO",IF(K453&lt;0,"ATENÇÃO",IF(K453&lt;=5,"BOM","EXCELENTE")))</f>
        <v/>
      </c>
      <c r="M453" s="9" t="n">
        <v>0</v>
      </c>
      <c r="N453" s="9" t="n">
        <v>99.06</v>
      </c>
      <c r="O453" s="9" t="n">
        <v>22.95719844357977</v>
      </c>
    </row>
    <row r="454" hidden="1">
      <c r="A454" s="5" t="n">
        <v>46160</v>
      </c>
      <c r="B454" s="6" t="inlineStr">
        <is>
          <t>Emilly Kamilly Medeiros Miranda</t>
        </is>
      </c>
      <c r="C454" s="3" t="inlineStr">
        <is>
          <t>Técnico II</t>
        </is>
      </c>
      <c r="D454" s="3" t="n">
        <v>29</v>
      </c>
      <c r="E454" s="3" t="n">
        <v>27</v>
      </c>
      <c r="F454" t="n">
        <v>12.34</v>
      </c>
      <c r="G454" s="3" t="n">
        <v>3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IF(K454&lt;-5,"CRÍTICO",IF(K454&lt;0,"ATENÇÃO",IF(K454&lt;=5,"BOM","EXCELENTE")))</f>
        <v/>
      </c>
      <c r="M454" t="n">
        <v>25</v>
      </c>
      <c r="N454" t="n">
        <v>100</v>
      </c>
      <c r="O454" t="n">
        <v>13.8121546961326</v>
      </c>
    </row>
    <row r="455" hidden="1">
      <c r="A455" s="5" t="n">
        <v>46160</v>
      </c>
      <c r="B455" s="6" t="inlineStr">
        <is>
          <t>Francilene Ferreira de Jesus</t>
        </is>
      </c>
      <c r="C455" s="3" t="inlineStr">
        <is>
          <t>Técnico II</t>
        </is>
      </c>
      <c r="D455" s="3" t="n">
        <v>0</v>
      </c>
      <c r="E455" s="3" t="n">
        <v>0</v>
      </c>
      <c r="F455" s="3" t="n">
        <v>0</v>
      </c>
      <c r="G455" s="3" t="n">
        <v>0</v>
      </c>
      <c r="H455" s="3" t="n">
        <v>0</v>
      </c>
      <c r="I455" s="3" t="n">
        <v>0</v>
      </c>
      <c r="J455" s="3" t="n">
        <v>0</v>
      </c>
      <c r="K455" s="3" t="n">
        <v>0</v>
      </c>
      <c r="L455" s="3">
        <f>IF(K455&lt;-5,"CRÍTICO",IF(K455&lt;0,"ATENÇÃO",IF(K455&lt;=5,"BOM","EXCELENTE")))</f>
        <v/>
      </c>
      <c r="M455" s="9" t="n">
        <v>0</v>
      </c>
      <c r="N455" s="9" t="n">
        <v>100</v>
      </c>
      <c r="O455" s="9" t="n">
        <v>17.24137931034483</v>
      </c>
    </row>
    <row r="456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N456" t="n">
        <v>98.91</v>
      </c>
      <c r="O456" t="n">
        <v>31.36729222520107</v>
      </c>
    </row>
    <row r="457" hidden="1">
      <c r="A457" s="5" t="n">
        <v>46160</v>
      </c>
      <c r="B457" s="6" t="inlineStr">
        <is>
          <t>Isabella Borges de Oliveira</t>
        </is>
      </c>
      <c r="C457" s="9" t="inlineStr">
        <is>
          <t>Técnico II</t>
        </is>
      </c>
      <c r="D457" s="3" t="n">
        <v>20</v>
      </c>
      <c r="E457" s="3" t="n">
        <v>20</v>
      </c>
      <c r="F457" t="n">
        <v>24.07</v>
      </c>
      <c r="G457" s="3" t="n">
        <v>3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IF(K457&lt;-5,"CRÍTICO",IF(K457&lt;0,"ATENÇÃO",IF(K457&lt;=5,"BOM","EXCELENTE")))</f>
        <v/>
      </c>
      <c r="M457" t="n">
        <v>21</v>
      </c>
      <c r="N457" t="n">
        <v>98.63</v>
      </c>
      <c r="O457" t="n">
        <v>15.75757575757576</v>
      </c>
    </row>
    <row r="458" hidden="1">
      <c r="A458" s="5" t="n">
        <v>46160</v>
      </c>
      <c r="B458" s="6" t="inlineStr">
        <is>
          <t>Janaina Lima dos Reis Urany</t>
        </is>
      </c>
      <c r="C458" s="3" t="inlineStr">
        <is>
          <t>Técnico III</t>
        </is>
      </c>
      <c r="D458" s="3" t="n">
        <v>37</v>
      </c>
      <c r="E458" s="3" t="n">
        <v>32</v>
      </c>
      <c r="F458" t="n">
        <v>15.11</v>
      </c>
      <c r="G458" s="3" t="n">
        <v>5</v>
      </c>
      <c r="H458" s="3" t="n">
        <v>0</v>
      </c>
      <c r="I458" s="3">
        <f>E458+G458+H458</f>
        <v/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/>
      </c>
      <c r="K458" s="3">
        <f>I458-J458</f>
        <v/>
      </c>
      <c r="L458" s="3">
        <f>IF(K458&lt;-5,"CRÍTICO",IF(K458&lt;0,"ATENÇÃO",IF(K458&lt;=5,"BOM","EXCELENTE")))</f>
        <v/>
      </c>
      <c r="M458" t="n">
        <v>34</v>
      </c>
      <c r="N458" t="n">
        <v>98.64</v>
      </c>
      <c r="O458" t="n">
        <v>16.6383701188455</v>
      </c>
    </row>
    <row r="459" hidden="1">
      <c r="A459" s="5" t="n">
        <v>46160</v>
      </c>
      <c r="B459" s="6" t="inlineStr">
        <is>
          <t>Jaqueline Evangelista da Silva Martins</t>
        </is>
      </c>
      <c r="C459" s="3" t="inlineStr">
        <is>
          <t>Técnico III</t>
        </is>
      </c>
      <c r="D459" s="3" t="n">
        <v>26</v>
      </c>
      <c r="E459" s="3" t="n">
        <v>25</v>
      </c>
      <c r="F459" t="n">
        <v>13.21</v>
      </c>
      <c r="G459" s="3" t="n">
        <v>6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IF(K459&lt;-5,"CRÍTICO",IF(K459&lt;0,"ATENÇÃO",IF(K459&lt;=5,"BOM","EXCELENTE")))</f>
        <v/>
      </c>
      <c r="M459" t="n">
        <v>23</v>
      </c>
      <c r="N459" t="n">
        <v>95.40000000000001</v>
      </c>
      <c r="O459" t="n">
        <v>20.53333333333333</v>
      </c>
    </row>
    <row r="460" hidden="1">
      <c r="A460" s="5" t="n">
        <v>46160</v>
      </c>
      <c r="B460" s="6" t="inlineStr">
        <is>
          <t>Jessica Faria da Silveira</t>
        </is>
      </c>
      <c r="C460" s="3" t="inlineStr">
        <is>
          <t>Técnico II</t>
        </is>
      </c>
      <c r="D460" s="3" t="n">
        <v>28</v>
      </c>
      <c r="E460" s="3" t="n">
        <v>22</v>
      </c>
      <c r="F460" t="n">
        <v>17.15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IF(K460&lt;-5,"CRÍTICO",IF(K460&lt;0,"ATENÇÃO",IF(K460&lt;=5,"BOM","EXCELENTE")))</f>
        <v/>
      </c>
      <c r="M460" t="n">
        <v>19</v>
      </c>
      <c r="N460" t="n">
        <v>98.61</v>
      </c>
      <c r="O460" t="n">
        <v>16.97530864197531</v>
      </c>
    </row>
    <row r="461" hidden="1">
      <c r="A461" s="5" t="n">
        <v>46160</v>
      </c>
      <c r="B461" s="6" t="inlineStr">
        <is>
          <t>Jéssica Fé Moura</t>
        </is>
      </c>
      <c r="C461" s="3" t="inlineStr">
        <is>
          <t>Técnico III</t>
        </is>
      </c>
      <c r="D461" s="3" t="n">
        <v>0</v>
      </c>
      <c r="E461" s="3" t="n">
        <v>0</v>
      </c>
      <c r="F461" s="3" t="n">
        <v>0</v>
      </c>
      <c r="G461" s="3" t="n">
        <v>0</v>
      </c>
      <c r="H461" s="3" t="n">
        <v>0</v>
      </c>
      <c r="I461" s="3" t="n">
        <v>0</v>
      </c>
      <c r="J461" s="3" t="n">
        <v>0</v>
      </c>
      <c r="K461" s="3" t="n">
        <v>0</v>
      </c>
      <c r="L461" s="3">
        <f>IF(K461&lt;-5,"CRÍTICO",IF(K461&lt;0,"ATENÇÃO",IF(K461&lt;=5,"BOM","EXCELENTE")))</f>
        <v/>
      </c>
      <c r="M461" s="9" t="n">
        <v>0</v>
      </c>
      <c r="N461" s="9" t="n">
        <v>0</v>
      </c>
      <c r="O461" s="9" t="n">
        <v>0</v>
      </c>
    </row>
    <row r="462" hidden="1">
      <c r="A462" s="5" t="n">
        <v>46160</v>
      </c>
      <c r="B462" s="6" t="inlineStr">
        <is>
          <t>Karina Gonçalves Martins</t>
        </is>
      </c>
      <c r="C462" s="3" t="inlineStr">
        <is>
          <t>JR</t>
        </is>
      </c>
      <c r="D462" s="3" t="n">
        <v>18</v>
      </c>
      <c r="E462" s="3" t="n">
        <v>17</v>
      </c>
      <c r="F462" t="n">
        <v>30.41</v>
      </c>
      <c r="G462" s="3" t="n">
        <v>2</v>
      </c>
      <c r="H462" s="3" t="n">
        <v>0</v>
      </c>
      <c r="I462" s="3">
        <f>E462+G462+H462</f>
        <v/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/>
      </c>
      <c r="K462" s="3">
        <f>I462-J462</f>
        <v/>
      </c>
      <c r="L462" s="3">
        <f>IF(K462&lt;-5,"CRÍTICO",IF(K462&lt;0,"ATENÇÃO",IF(K462&lt;=5,"BOM","EXCELENTE")))</f>
        <v/>
      </c>
      <c r="M462" t="n">
        <v>21</v>
      </c>
      <c r="N462" t="n">
        <v>97.01000000000001</v>
      </c>
      <c r="O462" t="n">
        <v>13.96103896103896</v>
      </c>
    </row>
    <row r="463" hidden="1">
      <c r="A463" s="5" t="n">
        <v>46160</v>
      </c>
      <c r="B463" s="6" t="inlineStr">
        <is>
          <t>Kerollen Cristielly de Jesus Siqueira</t>
        </is>
      </c>
      <c r="C463" s="9" t="inlineStr">
        <is>
          <t>Técnico III</t>
        </is>
      </c>
      <c r="D463" s="3" t="n">
        <v>25</v>
      </c>
      <c r="E463" s="3" t="n">
        <v>24</v>
      </c>
      <c r="F463" t="n">
        <v>23.54</v>
      </c>
      <c r="G463" s="3" t="n">
        <v>0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IF(K463&lt;-5,"CRÍTICO",IF(K463&lt;0,"ATENÇÃO",IF(K463&lt;=5,"BOM","EXCELENTE")))</f>
        <v/>
      </c>
      <c r="M463" t="n">
        <v>21</v>
      </c>
      <c r="N463" t="n">
        <v>95.52</v>
      </c>
      <c r="O463" t="n">
        <v>10.56105610561056</v>
      </c>
    </row>
    <row r="464" hidden="1">
      <c r="A464" s="5" t="n">
        <v>46160</v>
      </c>
      <c r="B464" s="6" t="inlineStr">
        <is>
          <t>Leandro de Souza Silva</t>
        </is>
      </c>
      <c r="C464" s="3" t="inlineStr">
        <is>
          <t>JR</t>
        </is>
      </c>
      <c r="D464" s="3" t="n">
        <v>16</v>
      </c>
      <c r="E464" s="3" t="n">
        <v>13</v>
      </c>
      <c r="F464" t="n">
        <v>21.58</v>
      </c>
      <c r="G464" s="3" t="n">
        <v>4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IF(K464&lt;-5,"CRÍTICO",IF(K464&lt;0,"ATENÇÃO",IF(K464&lt;=5,"BOM","EXCELENTE")))</f>
        <v/>
      </c>
      <c r="M464" t="n">
        <v>14</v>
      </c>
      <c r="N464" t="n">
        <v>100</v>
      </c>
      <c r="O464" t="n">
        <v>16.95906432748538</v>
      </c>
    </row>
    <row r="465" hidden="1">
      <c r="A465" s="5" t="n">
        <v>46160</v>
      </c>
      <c r="B465" s="6" t="inlineStr">
        <is>
          <t>Leandro Oliveira de Sousa</t>
        </is>
      </c>
      <c r="C465" s="9" t="inlineStr">
        <is>
          <t>Técnico III</t>
        </is>
      </c>
      <c r="D465" s="3" t="n">
        <v>28</v>
      </c>
      <c r="E465" s="3" t="n">
        <v>25</v>
      </c>
      <c r="F465" t="n">
        <v>15.47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IF(K465&lt;-5,"CRÍTICO",IF(K465&lt;0,"ATENÇÃO",IF(K465&lt;=5,"BOM","EXCELENTE")))</f>
        <v/>
      </c>
      <c r="M465" t="n">
        <v>25</v>
      </c>
      <c r="N465" t="n">
        <v>100</v>
      </c>
      <c r="O465" t="n">
        <v>15.58441558441558</v>
      </c>
    </row>
    <row r="466" hidden="1">
      <c r="A466" s="5" t="n">
        <v>46160</v>
      </c>
      <c r="B466" s="6" t="inlineStr">
        <is>
          <t>Lizandra Gomes Duarte</t>
        </is>
      </c>
      <c r="C466" s="3" t="inlineStr">
        <is>
          <t>Técnico II</t>
        </is>
      </c>
      <c r="D466" s="3" t="n">
        <v>25</v>
      </c>
      <c r="E466" s="3" t="n">
        <v>23</v>
      </c>
      <c r="F466" t="n">
        <v>16.55</v>
      </c>
      <c r="G466" s="3" t="n">
        <v>2</v>
      </c>
      <c r="H466" s="3" t="n">
        <v>0</v>
      </c>
      <c r="I466" s="3">
        <f>E466+G466+H466</f>
        <v/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/>
      </c>
      <c r="K466" s="3">
        <f>I466-J466</f>
        <v/>
      </c>
      <c r="L466" s="3">
        <f>IF(K466&lt;-5,"CRÍTICO",IF(K466&lt;0,"ATENÇÃO",IF(K466&lt;=5,"BOM","EXCELENTE")))</f>
        <v/>
      </c>
      <c r="M466" t="n">
        <v>20</v>
      </c>
      <c r="N466" t="n">
        <v>98.61</v>
      </c>
      <c r="O466" t="n">
        <v>16.86746987951807</v>
      </c>
    </row>
    <row r="467" hidden="1">
      <c r="A467" s="5" t="n">
        <v>46160</v>
      </c>
      <c r="B467" s="6" t="inlineStr">
        <is>
          <t>Lorena Dias de Araujo</t>
        </is>
      </c>
      <c r="C467" s="3" t="inlineStr">
        <is>
          <t>Técnico II</t>
        </is>
      </c>
      <c r="D467" s="3" t="n">
        <v>28</v>
      </c>
      <c r="E467" s="3" t="n">
        <v>26</v>
      </c>
      <c r="F467" t="n">
        <v>13.58</v>
      </c>
      <c r="G467" s="3" t="n">
        <v>0</v>
      </c>
      <c r="H467" s="3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IF(K467&lt;-5,"CRÍTICO",IF(K467&lt;0,"ATENÇÃO",IF(K467&lt;=5,"BOM","EXCELENTE")))</f>
        <v/>
      </c>
      <c r="M467" t="n">
        <v>23</v>
      </c>
      <c r="N467" t="n">
        <v>100</v>
      </c>
      <c r="O467" t="n">
        <v>20.82018927444795</v>
      </c>
    </row>
    <row r="468" hidden="1">
      <c r="A468" s="5" t="n">
        <v>46160</v>
      </c>
      <c r="B468" s="6" t="inlineStr">
        <is>
          <t>Lucas Luiz Romero</t>
        </is>
      </c>
      <c r="C468" s="3" t="inlineStr">
        <is>
          <t>Técnico III</t>
        </is>
      </c>
      <c r="D468" s="3" t="n">
        <v>0</v>
      </c>
      <c r="E468" s="3" t="n">
        <v>0</v>
      </c>
      <c r="F468" s="3" t="n">
        <v>0</v>
      </c>
      <c r="G468" s="3" t="n">
        <v>0</v>
      </c>
      <c r="H468" s="3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IF(K468&lt;-5,"CRÍTICO",IF(K468&lt;0,"ATENÇÃO",IF(K468&lt;=5,"BOM","EXCELENTE")))</f>
        <v/>
      </c>
      <c r="M468" s="9" t="n">
        <v>0</v>
      </c>
      <c r="N468" s="9" t="n">
        <v>100</v>
      </c>
      <c r="O468" s="9" t="n">
        <v>4.347826086956522</v>
      </c>
    </row>
    <row r="469" hidden="1">
      <c r="A469" s="5" t="n">
        <v>46160</v>
      </c>
      <c r="B469" s="6" t="inlineStr">
        <is>
          <t>Luiz Fernando de Carvalho Junior</t>
        </is>
      </c>
      <c r="C469" s="3" t="inlineStr">
        <is>
          <t>Técnico I</t>
        </is>
      </c>
      <c r="D469" s="3" t="n">
        <v>21</v>
      </c>
      <c r="E469" s="3" t="n">
        <v>20</v>
      </c>
      <c r="F469" t="n">
        <v>17.02</v>
      </c>
      <c r="G469" s="3" t="n">
        <v>2</v>
      </c>
      <c r="H469" s="3" t="n">
        <v>0</v>
      </c>
      <c r="I469" s="3">
        <f>E469+G469+H469</f>
        <v/>
      </c>
      <c r="J469" s="3">
        <f>ROUND(MIN(IF(C469="Técnico III",35,IF(C469="Técnico II",28,IF(C469="Técnico I",23,IF(C469="JR",20,IF(C469="Estágio",10,0))))),IF(C469="Técnico III",SUMIFS($D:$D,$A:$A,$A469,$B:$B,"&lt;&gt;Patrícia Karla de Sousa Araújo",$B:$B,"&lt;&gt;Lorena Dias de Araujo",$B:$B,"&lt;&gt;Lucas Luiz Romero")*(35/1083),IF(C469="Técnico II",SUMIFS($D:$D,$A:$A,$A469,$B:$B,"&lt;&gt;Patrícia Karla de Sousa Araújo",$B:$B,"&lt;&gt;Lorena Dias de Araujo",$B:$B,"&lt;&gt;Lucas Luiz Romero")*(28/1083),IF(C469="Técnico I",SUMIFS($D:$D,$A:$A,$A469,$B:$B,"&lt;&gt;Patrícia Karla de Sousa Araújo",$B:$B,"&lt;&gt;Lorena Dias de Araujo",$B:$B,"&lt;&gt;Lucas Luiz Romero")*(23/1083),IF(C469="JR",SUMIFS($D:$D,$A:$A,$A469,$B:$B,"&lt;&gt;Patrícia Karla de Sousa Araújo",$B:$B,"&lt;&gt;Lorena Dias de Araujo",$B:$B,"&lt;&gt;Lucas Luiz Romero")*(20/1083),IF(C469="Estágio",SUMIFS($D:$D,$A:$A,$A469,$B:$B,"&lt;&gt;Patrícia Karla de Sousa Araújo",$B:$B,"&lt;&gt;Lorena Dias de Araujo",$B:$B,"&lt;&gt;Lucas Luiz Romero")*(10/1083),0)))))),0)</f>
        <v/>
      </c>
      <c r="K469" s="3">
        <f>I469-J469</f>
        <v/>
      </c>
      <c r="L469" s="3">
        <f>IF(K469&lt;-5,"CRÍTICO",IF(K469&lt;0,"ATENÇÃO",IF(K469&lt;=5,"BOM","EXCELENTE")))</f>
        <v/>
      </c>
      <c r="M469" t="n">
        <v>20</v>
      </c>
      <c r="N469" t="n">
        <v>93.26000000000001</v>
      </c>
      <c r="O469" t="n">
        <v>19.93957703927493</v>
      </c>
    </row>
    <row r="470" hidden="1">
      <c r="A470" s="5" t="n">
        <v>46160</v>
      </c>
      <c r="B470" s="6" t="inlineStr">
        <is>
          <t>Matheus Farias De Souza</t>
        </is>
      </c>
      <c r="C470" s="3" t="inlineStr">
        <is>
          <t>Técnico III</t>
        </is>
      </c>
      <c r="D470" s="3" t="n">
        <v>0</v>
      </c>
      <c r="E470" s="3" t="n">
        <v>0</v>
      </c>
      <c r="F470" t="n">
        <v>0</v>
      </c>
      <c r="G470" s="3" t="n">
        <v>0</v>
      </c>
      <c r="H470" s="3" t="n">
        <v>32</v>
      </c>
      <c r="I470" s="3">
        <f>E470+G470+H470</f>
        <v/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/>
      </c>
      <c r="K470" s="3">
        <f>I470-J470</f>
        <v/>
      </c>
      <c r="L470" s="3">
        <f>IF(K470&lt;-5,"CRÍTICO",IF(K470&lt;0,"ATENÇÃO",IF(K470&lt;=5,"BOM","EXCELENTE")))</f>
        <v/>
      </c>
      <c r="M470" t="n">
        <v>16</v>
      </c>
      <c r="N470" t="n">
        <v>98.28</v>
      </c>
      <c r="O470" t="n">
        <v>9.037900874635568</v>
      </c>
    </row>
    <row r="471" hidden="1">
      <c r="A471" s="5" t="n">
        <v>46160</v>
      </c>
      <c r="B471" s="6" t="inlineStr">
        <is>
          <t>Maysa Victoria Dias Moura</t>
        </is>
      </c>
      <c r="C471" s="3" t="inlineStr">
        <is>
          <t>Técnico III</t>
        </is>
      </c>
      <c r="D471" s="3" t="n">
        <v>30</v>
      </c>
      <c r="E471" s="3" t="n">
        <v>27</v>
      </c>
      <c r="F471" t="n">
        <v>10.14</v>
      </c>
      <c r="G471" s="3" t="n">
        <v>2</v>
      </c>
      <c r="H471" s="3" t="n">
        <v>0</v>
      </c>
      <c r="I471" s="3">
        <f>E471+G471+H471</f>
        <v/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/>
      </c>
      <c r="K471" s="3">
        <f>I471-J471</f>
        <v/>
      </c>
      <c r="L471" s="3">
        <f>IF(K471&lt;-5,"CRÍTICO",IF(K471&lt;0,"ATENÇÃO",IF(K471&lt;=5,"BOM","EXCELENTE")))</f>
        <v/>
      </c>
      <c r="M471" t="n">
        <v>27</v>
      </c>
      <c r="N471" t="n">
        <v>97.22</v>
      </c>
      <c r="O471" t="n">
        <v>19.09547738693467</v>
      </c>
    </row>
    <row r="472" hidden="1">
      <c r="A472" s="5" t="n">
        <v>46160</v>
      </c>
      <c r="B472" s="6" t="inlineStr">
        <is>
          <t>Milena Sales</t>
        </is>
      </c>
      <c r="C472" s="3" t="inlineStr">
        <is>
          <t>JR</t>
        </is>
      </c>
      <c r="D472" s="3" t="n">
        <v>11</v>
      </c>
      <c r="E472" s="3" t="n">
        <v>9</v>
      </c>
      <c r="F472" t="n">
        <v>13.56</v>
      </c>
      <c r="G472" s="3" t="n">
        <v>1</v>
      </c>
      <c r="H472" s="3" t="n">
        <v>0</v>
      </c>
      <c r="I472" s="3">
        <f>E472+G472+H472</f>
        <v/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/>
      </c>
      <c r="K472" s="3">
        <f>I472-J472</f>
        <v/>
      </c>
      <c r="L472" s="3">
        <f>IF(K472&lt;-5,"CRÍTICO",IF(K472&lt;0,"ATENÇÃO",IF(K472&lt;=5,"BOM","EXCELENTE")))</f>
        <v/>
      </c>
      <c r="M472" t="n">
        <v>6</v>
      </c>
      <c r="N472" t="n">
        <v>98</v>
      </c>
      <c r="O472" t="n">
        <v>16.43835616438356</v>
      </c>
    </row>
    <row r="473" hidden="1">
      <c r="A473" s="5" t="n">
        <v>46160</v>
      </c>
      <c r="B473" s="6" t="inlineStr">
        <is>
          <t>Patrícia Karla de Sousa Araújo</t>
        </is>
      </c>
      <c r="C473" s="3" t="inlineStr">
        <is>
          <t>Técnico II</t>
        </is>
      </c>
      <c r="D473" s="3" t="n">
        <v>16</v>
      </c>
      <c r="E473" s="3" t="n">
        <v>15</v>
      </c>
      <c r="F473" t="n">
        <v>19.19</v>
      </c>
      <c r="G473" s="3" t="n">
        <v>0</v>
      </c>
      <c r="H473" s="3" t="n">
        <v>0</v>
      </c>
      <c r="I473" s="3">
        <f>E473+G473+H473</f>
        <v/>
      </c>
      <c r="J473" s="3">
        <f>ROUND(MIN(IF(C473="Técnico III",35,IF(C473="Técnico II",28,IF(C473="Técnico I",23,IF(C473="JR",20,IF(C473="Estágio",10,0))))),IF(C473="Técnico III",SUMIFS($D:$D,$A:$A,$A473,$B:$B,"&lt;&gt;Patrícia Karla de Sousa Araújo",$B:$B,"&lt;&gt;Lorena Dias de Araujo",$B:$B,"&lt;&gt;Lucas Luiz Romero")*(35/1083),IF(C473="Técnico II",SUMIFS($D:$D,$A:$A,$A473,$B:$B,"&lt;&gt;Patrícia Karla de Sousa Araújo",$B:$B,"&lt;&gt;Lorena Dias de Araujo",$B:$B,"&lt;&gt;Lucas Luiz Romero")*(28/1083),IF(C473="Técnico I",SUMIFS($D:$D,$A:$A,$A473,$B:$B,"&lt;&gt;Patrícia Karla de Sousa Araújo",$B:$B,"&lt;&gt;Lorena Dias de Araujo",$B:$B,"&lt;&gt;Lucas Luiz Romero")*(23/1083),IF(C473="JR",SUMIFS($D:$D,$A:$A,$A473,$B:$B,"&lt;&gt;Patrícia Karla de Sousa Araújo",$B:$B,"&lt;&gt;Lorena Dias de Araujo",$B:$B,"&lt;&gt;Lucas Luiz Romero")*(20/1083),IF(C473="Estágio",SUMIFS($D:$D,$A:$A,$A473,$B:$B,"&lt;&gt;Patrícia Karla de Sousa Araújo",$B:$B,"&lt;&gt;Lorena Dias de Araujo",$B:$B,"&lt;&gt;Lucas Luiz Romero")*(10/1083),0)))))),0)</f>
        <v/>
      </c>
      <c r="K473" s="3">
        <f>I473-J473</f>
        <v/>
      </c>
      <c r="L473" s="3">
        <f>IF(K473&lt;-5,"CRÍTICO",IF(K473&lt;0,"ATENÇÃO",IF(K473&lt;=5,"BOM","EXCELENTE")))</f>
        <v/>
      </c>
      <c r="M473" t="n">
        <v>13</v>
      </c>
      <c r="N473" t="n">
        <v>100</v>
      </c>
      <c r="O473" t="n">
        <v>16.89497716894977</v>
      </c>
    </row>
    <row r="474" hidden="1">
      <c r="A474" s="5" t="n">
        <v>46160</v>
      </c>
      <c r="B474" s="6" t="inlineStr">
        <is>
          <t>Paulo Ricardo Santos</t>
        </is>
      </c>
      <c r="C474" s="3" t="inlineStr">
        <is>
          <t>JR</t>
        </is>
      </c>
      <c r="D474" s="3" t="n">
        <v>11</v>
      </c>
      <c r="E474" s="3" t="n">
        <v>10</v>
      </c>
      <c r="F474" t="n">
        <v>22.14</v>
      </c>
      <c r="G474" s="3" t="n">
        <v>0</v>
      </c>
      <c r="H474" s="3" t="n">
        <v>0</v>
      </c>
      <c r="I474" s="3">
        <f>E474+G474+H474</f>
        <v/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/>
      </c>
      <c r="K474" s="3">
        <f>I474-J474</f>
        <v/>
      </c>
      <c r="L474" s="3">
        <f>IF(K474&lt;-5,"CRÍTICO",IF(K474&lt;0,"ATENÇÃO",IF(K474&lt;=5,"BOM","EXCELENTE")))</f>
        <v/>
      </c>
      <c r="M474" t="n">
        <v>11</v>
      </c>
      <c r="N474" t="n">
        <v>100</v>
      </c>
      <c r="O474" t="n">
        <v>19.13875598086124</v>
      </c>
    </row>
    <row r="475" hidden="1">
      <c r="A475" s="5" t="n">
        <v>46160</v>
      </c>
      <c r="B475" s="6" t="inlineStr">
        <is>
          <t>Pedro Luiz Mota Sousa</t>
        </is>
      </c>
      <c r="C475" s="3" t="inlineStr">
        <is>
          <t>JR</t>
        </is>
      </c>
      <c r="D475" s="3" t="n">
        <v>14</v>
      </c>
      <c r="E475" s="3" t="n">
        <v>13</v>
      </c>
      <c r="F475" t="n">
        <v>20.47</v>
      </c>
      <c r="G475" s="3" t="n">
        <v>2</v>
      </c>
      <c r="H475" s="3" t="n">
        <v>0</v>
      </c>
      <c r="I475" s="3">
        <f>E475+G475+H475</f>
        <v/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/>
      </c>
      <c r="K475" s="3">
        <f>I475-J475</f>
        <v/>
      </c>
      <c r="L475" s="3">
        <f>IF(K475&lt;-5,"CRÍTICO",IF(K475&lt;0,"ATENÇÃO",IF(K475&lt;=5,"BOM","EXCELENTE")))</f>
        <v/>
      </c>
      <c r="M475" t="n">
        <v>14</v>
      </c>
      <c r="N475" t="n">
        <v>100</v>
      </c>
      <c r="O475" t="n">
        <v>15.02145922746781</v>
      </c>
    </row>
    <row r="476" hidden="1">
      <c r="A476" s="5" t="n">
        <v>46160</v>
      </c>
      <c r="B476" s="6" t="inlineStr">
        <is>
          <t>Claudio de Sousa Velasco Filho</t>
        </is>
      </c>
      <c r="C476" s="3" t="inlineStr">
        <is>
          <t>Estágio</t>
        </is>
      </c>
      <c r="D476" s="3" t="n">
        <v>6</v>
      </c>
      <c r="E476" s="3" t="n">
        <v>6</v>
      </c>
      <c r="F476" t="n">
        <v>15.59</v>
      </c>
      <c r="G476" s="3" t="n">
        <v>0</v>
      </c>
      <c r="H476" s="3" t="n">
        <v>0</v>
      </c>
      <c r="I476" s="3">
        <f>E476+G476+H476</f>
        <v/>
      </c>
      <c r="J476" s="3">
        <f>ROUND(MIN(IF(C476="Técnico III",35,IF(C476="Técnico II",28,IF(C476="Técnico I",23,IF(C476="JR",20,IF(C476="Estágio",10,0))))),IF(C476="Técnico III",SUMIFS($D:$D,$A:$A,$A476,$B:$B,"&lt;&gt;Patrícia Karla de Sousa Araújo",$B:$B,"&lt;&gt;Lorena Dias de Araujo",$B:$B,"&lt;&gt;Lucas Luiz Romero")*(35/1083),IF(C476="Técnico II",SUMIFS($D:$D,$A:$A,$A476,$B:$B,"&lt;&gt;Patrícia Karla de Sousa Araújo",$B:$B,"&lt;&gt;Lorena Dias de Araujo",$B:$B,"&lt;&gt;Lucas Luiz Romero")*(28/1083),IF(C476="Técnico I",SUMIFS($D:$D,$A:$A,$A476,$B:$B,"&lt;&gt;Patrícia Karla de Sousa Araújo",$B:$B,"&lt;&gt;Lorena Dias de Araujo",$B:$B,"&lt;&gt;Lucas Luiz Romero")*(23/1083),IF(C476="JR",SUMIFS($D:$D,$A:$A,$A476,$B:$B,"&lt;&gt;Patrícia Karla de Sousa Araújo",$B:$B,"&lt;&gt;Lorena Dias de Araujo",$B:$B,"&lt;&gt;Lucas Luiz Romero")*(20/1083),IF(C476="Estágio",SUMIFS($D:$D,$A:$A,$A476,$B:$B,"&lt;&gt;Patrícia Karla de Sousa Araújo",$B:$B,"&lt;&gt;Lorena Dias de Araujo",$B:$B,"&lt;&gt;Lucas Luiz Romero")*(10/1083),0)))))),0)</f>
        <v/>
      </c>
      <c r="K476" s="3">
        <f>I476-J476</f>
        <v/>
      </c>
      <c r="L476" s="3">
        <f>IF(K476&lt;-5,"CRÍTICO",IF(K476&lt;0,"ATENÇÃO",IF(K476&lt;=5,"BOM","EXCELENTE")))</f>
        <v/>
      </c>
      <c r="M476" t="n">
        <v>6</v>
      </c>
      <c r="N476" t="n">
        <v>96.43000000000001</v>
      </c>
      <c r="O476" t="n">
        <v>20</v>
      </c>
    </row>
    <row r="477" hidden="1">
      <c r="A477" s="5" t="n">
        <v>46160</v>
      </c>
      <c r="B477" s="6" t="inlineStr">
        <is>
          <t>Emilly Caylane Costa</t>
        </is>
      </c>
      <c r="C477" s="3" t="inlineStr">
        <is>
          <t>Estágio</t>
        </is>
      </c>
      <c r="D477" s="3" t="n">
        <v>32</v>
      </c>
      <c r="E477" s="3" t="n">
        <v>13</v>
      </c>
      <c r="F477" t="n">
        <v>4.16</v>
      </c>
      <c r="G477" s="3" t="n">
        <v>0</v>
      </c>
      <c r="H477" s="3" t="n">
        <v>0</v>
      </c>
      <c r="I477" s="3">
        <f>E477+G477+H477</f>
        <v/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/>
      </c>
      <c r="K477" s="3">
        <f>I477-J477</f>
        <v/>
      </c>
      <c r="L477" s="3">
        <f>IF(K477&lt;-5,"CRÍTICO",IF(K477&lt;0,"ATENÇÃO",IF(K477&lt;=5,"BOM","EXCELENTE")))</f>
        <v/>
      </c>
      <c r="M477" t="n">
        <v>0</v>
      </c>
      <c r="N477" t="n">
        <v>100</v>
      </c>
      <c r="O477" t="n">
        <v>29.03225806451613</v>
      </c>
    </row>
    <row r="478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5" t="n">
        <v>46160</v>
      </c>
      <c r="B479" s="6" t="inlineStr">
        <is>
          <t>Maria Eduarda Sousa Costa</t>
        </is>
      </c>
      <c r="C479" s="3" t="inlineStr">
        <is>
          <t>Estágio</t>
        </is>
      </c>
      <c r="D479" s="3" t="n">
        <v>72</v>
      </c>
      <c r="E479" s="3" t="n">
        <v>45</v>
      </c>
      <c r="F479" t="n">
        <v>8.210000000000001</v>
      </c>
      <c r="G479" s="3" t="n">
        <v>0</v>
      </c>
      <c r="H479" s="3" t="n">
        <v>0</v>
      </c>
      <c r="I479" s="3">
        <f>E479+G479+H479</f>
        <v/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/>
      </c>
      <c r="K479" s="3">
        <f>I479-J479</f>
        <v/>
      </c>
      <c r="L479" s="3">
        <f>IF(K479&lt;-5,"CRÍTICO",IF(K479&lt;0,"ATENÇÃO",IF(K479&lt;=5,"BOM","EXCELENTE")))</f>
        <v/>
      </c>
      <c r="M479" t="n">
        <v>11</v>
      </c>
      <c r="N479" t="n">
        <v>100</v>
      </c>
      <c r="O479" t="n">
        <v>11.86440677966102</v>
      </c>
    </row>
    <row r="480" hidden="1">
      <c r="A480" s="5" t="n">
        <v>46160</v>
      </c>
      <c r="B480" s="6" t="inlineStr">
        <is>
          <t>Michelle G Santos</t>
        </is>
      </c>
      <c r="C480" s="3" t="inlineStr">
        <is>
          <t>Estágio</t>
        </is>
      </c>
      <c r="D480" s="3" t="n">
        <v>7</v>
      </c>
      <c r="E480" s="3" t="n">
        <v>7</v>
      </c>
      <c r="F480" t="n">
        <v>30.49</v>
      </c>
      <c r="G480" s="3" t="n">
        <v>0</v>
      </c>
      <c r="H480" s="3" t="n">
        <v>0</v>
      </c>
      <c r="I480" s="3">
        <f>E480+G480+H480</f>
        <v/>
      </c>
      <c r="J480" s="3">
        <f>ROUND(MIN(IF(C480="Técnico III",35,IF(C480="Técnico II",28,IF(C480="Técnico I",23,IF(C480="JR",20,IF(C480="Estágio",10,0))))),IF(C480="Técnico III",SUMIFS($D:$D,$A:$A,$A480,$B:$B,"&lt;&gt;Patrícia Karla de Sousa Araújo",$B:$B,"&lt;&gt;Lorena Dias de Araujo",$B:$B,"&lt;&gt;Lucas Luiz Romero")*(35/1083),IF(C480="Técnico II",SUMIFS($D:$D,$A:$A,$A480,$B:$B,"&lt;&gt;Patrícia Karla de Sousa Araújo",$B:$B,"&lt;&gt;Lorena Dias de Araujo",$B:$B,"&lt;&gt;Lucas Luiz Romero")*(28/1083),IF(C480="Técnico I",SUMIFS($D:$D,$A:$A,$A480,$B:$B,"&lt;&gt;Patrícia Karla de Sousa Araújo",$B:$B,"&lt;&gt;Lorena Dias de Araujo",$B:$B,"&lt;&gt;Lucas Luiz Romero")*(23/1083),IF(C480="JR",SUMIFS($D:$D,$A:$A,$A480,$B:$B,"&lt;&gt;Patrícia Karla de Sousa Araújo",$B:$B,"&lt;&gt;Lorena Dias de Araujo",$B:$B,"&lt;&gt;Lucas Luiz Romero")*(20/1083),IF(C480="Estágio",SUMIFS($D:$D,$A:$A,$A480,$B:$B,"&lt;&gt;Patrícia Karla de Sousa Araújo",$B:$B,"&lt;&gt;Lorena Dias de Araujo",$B:$B,"&lt;&gt;Lucas Luiz Romero")*(10/1083),0)))))),0)</f>
        <v/>
      </c>
      <c r="K480" s="3">
        <f>I480-J480</f>
        <v/>
      </c>
      <c r="L480" s="3">
        <f>IF(K480&lt;-5,"CRÍTICO",IF(K480&lt;0,"ATENÇÃO",IF(K480&lt;=5,"BOM","EXCELENTE")))</f>
        <v/>
      </c>
      <c r="M480" t="n">
        <v>6</v>
      </c>
      <c r="N480" t="n">
        <v>100</v>
      </c>
      <c r="O480" t="n">
        <v>16.8141592920354</v>
      </c>
    </row>
    <row r="481" hidden="1">
      <c r="A481" s="5" t="n">
        <v>46160</v>
      </c>
      <c r="B481" s="6" t="inlineStr">
        <is>
          <t>Quirino Diogo Leite Torres</t>
        </is>
      </c>
      <c r="C481" s="3" t="inlineStr">
        <is>
          <t>Estágio</t>
        </is>
      </c>
      <c r="D481" s="3" t="n">
        <v>14</v>
      </c>
      <c r="E481" s="3" t="n">
        <v>13</v>
      </c>
      <c r="F481" t="n">
        <v>29.09</v>
      </c>
      <c r="G481" s="3" t="n">
        <v>0</v>
      </c>
      <c r="H481" s="3" t="n">
        <v>0</v>
      </c>
      <c r="I481" s="3">
        <f>E481+G481+H481</f>
        <v/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/>
      </c>
      <c r="K481" s="3">
        <f>I481-J481</f>
        <v/>
      </c>
      <c r="L481" s="3">
        <f>IF(K481&lt;-5,"CRÍTICO",IF(K481&lt;0,"ATENÇÃO",IF(K481&lt;=5,"BOM","EXCELENTE")))</f>
        <v/>
      </c>
      <c r="M481" t="n">
        <v>9</v>
      </c>
      <c r="N481" t="n">
        <v>98.11</v>
      </c>
      <c r="O481" t="n">
        <v>20.40816326530612</v>
      </c>
    </row>
    <row r="482" hidden="1">
      <c r="A482" s="5" t="n">
        <v>46160</v>
      </c>
      <c r="B482" s="6" t="inlineStr">
        <is>
          <t>Raane Batista Matos</t>
        </is>
      </c>
      <c r="C482" s="3" t="inlineStr">
        <is>
          <t>Técnico I</t>
        </is>
      </c>
      <c r="D482" s="3" t="n">
        <v>28</v>
      </c>
      <c r="E482" s="3" t="n">
        <v>25</v>
      </c>
      <c r="F482" t="n">
        <v>14.02</v>
      </c>
      <c r="G482" s="3" t="n">
        <v>1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t="n">
        <v>20</v>
      </c>
      <c r="N482" t="n">
        <v>97.56</v>
      </c>
      <c r="O482" t="n">
        <v>19.28783382789317</v>
      </c>
    </row>
    <row r="483" hidden="1">
      <c r="A483" s="5" t="n">
        <v>46160</v>
      </c>
      <c r="B483" s="6" t="inlineStr">
        <is>
          <t>Rafael Gomes de Morais</t>
        </is>
      </c>
      <c r="C483" s="3" t="inlineStr">
        <is>
          <t>Técnico III</t>
        </is>
      </c>
      <c r="D483" s="3" t="n">
        <v>34</v>
      </c>
      <c r="E483" s="3" t="n">
        <v>28</v>
      </c>
      <c r="F483" t="n">
        <v>13.56</v>
      </c>
      <c r="G483" s="3" t="n">
        <v>3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t="n">
        <v>26</v>
      </c>
      <c r="N483" t="n">
        <v>99.29000000000001</v>
      </c>
      <c r="O483" t="n">
        <v>22.49443207126949</v>
      </c>
    </row>
    <row r="484" hidden="1">
      <c r="A484" s="5" t="n">
        <v>46160</v>
      </c>
      <c r="B484" s="6" t="inlineStr">
        <is>
          <t>Sara Maria Monteiro Lopes</t>
        </is>
      </c>
      <c r="C484" s="3" t="inlineStr">
        <is>
          <t>Técnico I</t>
        </is>
      </c>
      <c r="D484" s="3" t="n">
        <v>23</v>
      </c>
      <c r="E484" s="3" t="n">
        <v>19</v>
      </c>
      <c r="F484" t="n">
        <v>23.58</v>
      </c>
      <c r="G484" s="3" t="n">
        <v>3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t="n">
        <v>18</v>
      </c>
      <c r="N484" t="n">
        <v>100</v>
      </c>
      <c r="O484" t="n">
        <v>16.97247706422019</v>
      </c>
    </row>
    <row r="485" hidden="1">
      <c r="A485" s="5" t="n">
        <v>46160</v>
      </c>
      <c r="B485" s="6" t="inlineStr">
        <is>
          <t>Sarah Steffanie de Lima Borges</t>
        </is>
      </c>
      <c r="C485" s="3" t="inlineStr">
        <is>
          <t>Técnico III</t>
        </is>
      </c>
      <c r="D485" s="3" t="n">
        <v>25</v>
      </c>
      <c r="E485" s="3" t="n">
        <v>22</v>
      </c>
      <c r="F485" t="n">
        <v>17.29</v>
      </c>
      <c r="G485" s="3" t="n">
        <v>4</v>
      </c>
      <c r="H485" s="3" t="n">
        <v>0</v>
      </c>
      <c r="I485" s="3">
        <f>E485+G485+H485</f>
        <v/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/>
      </c>
      <c r="K485" s="3">
        <f>I485-J485</f>
        <v/>
      </c>
      <c r="L485" s="3">
        <f>IF(K485&lt;-5,"CRÍTICO",IF(K485&lt;0,"ATENÇÃO",IF(K485&lt;=5,"BOM","EXCELENTE")))</f>
        <v/>
      </c>
      <c r="M485" t="n">
        <v>21</v>
      </c>
      <c r="N485" t="n">
        <v>97.33</v>
      </c>
      <c r="O485" t="n">
        <v>15.80547112462006</v>
      </c>
    </row>
    <row r="486" hidden="1">
      <c r="A486" s="7" t="n">
        <v>46161</v>
      </c>
      <c r="B486" s="8" t="inlineStr">
        <is>
          <t>Alisson de Freitas Silva</t>
        </is>
      </c>
      <c r="C486" s="9" t="inlineStr">
        <is>
          <t>Técnico II</t>
        </is>
      </c>
      <c r="D486" s="3" t="n">
        <v>38</v>
      </c>
      <c r="E486" s="3" t="n">
        <v>33</v>
      </c>
      <c r="F486" t="n">
        <v>12.17</v>
      </c>
      <c r="G486" s="3" t="n">
        <v>1</v>
      </c>
      <c r="H486" s="3" t="n">
        <v>0</v>
      </c>
      <c r="I486" s="3">
        <f>E486+G486+H486</f>
        <v/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/>
      </c>
      <c r="K486" s="3">
        <f>I486-J486</f>
        <v/>
      </c>
      <c r="L486" s="3">
        <f>IF(K486&lt;-5,"CRÍTICO",IF(K486&lt;0,"ATENÇÃO",IF(K486&lt;=5,"BOM","EXCELENTE")))</f>
        <v/>
      </c>
      <c r="M486" s="3" t="n">
        <v>17</v>
      </c>
      <c r="N486" s="3" t="n">
        <v>98.94</v>
      </c>
      <c r="O486" s="3" t="n">
        <v>19.61414790996785</v>
      </c>
    </row>
    <row r="487" hidden="1">
      <c r="A487" s="7" t="n">
        <v>46161</v>
      </c>
      <c r="B487" s="8" t="inlineStr">
        <is>
          <t>Amanda Moura Ferreira</t>
        </is>
      </c>
      <c r="C487" s="9" t="inlineStr">
        <is>
          <t>Técnico III</t>
        </is>
      </c>
      <c r="D487" s="3" t="n">
        <v>0</v>
      </c>
      <c r="E487" s="3" t="n">
        <v>0</v>
      </c>
      <c r="F487" s="3" t="n">
        <v>0</v>
      </c>
      <c r="G487" s="3" t="n">
        <v>0</v>
      </c>
      <c r="H487" s="3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IF(K487&lt;-5,"CRÍTICO",IF(K487&lt;0,"ATENÇÃO",IF(K487&lt;=5,"BOM","EXCELENTE")))</f>
        <v/>
      </c>
      <c r="M487" s="9" t="n">
        <v>0</v>
      </c>
      <c r="N487" s="9" t="n">
        <v>100</v>
      </c>
      <c r="O487" s="9" t="n">
        <v>0</v>
      </c>
    </row>
    <row r="488" hidden="1">
      <c r="A488" s="7" t="n">
        <v>46161</v>
      </c>
      <c r="B488" s="8" t="inlineStr">
        <is>
          <t>Ana Karollyne Souza Faria</t>
        </is>
      </c>
      <c r="C488" s="9" t="inlineStr">
        <is>
          <t>Técnico I</t>
        </is>
      </c>
      <c r="D488" s="3" t="n">
        <v>30</v>
      </c>
      <c r="E488" s="3" t="n">
        <v>29</v>
      </c>
      <c r="F488" t="n">
        <v>15.36</v>
      </c>
      <c r="G488" s="3" t="n">
        <v>1</v>
      </c>
      <c r="H488" s="3" t="n">
        <v>0</v>
      </c>
      <c r="I488" s="3">
        <f>E488+G488+H488</f>
        <v/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/>
      </c>
      <c r="K488" s="3">
        <f>I488-J488</f>
        <v/>
      </c>
      <c r="L488" s="3">
        <f>IF(K488&lt;-5,"CRÍTICO",IF(K488&lt;0,"ATENÇÃO",IF(K488&lt;=5,"BOM","EXCELENTE")))</f>
        <v/>
      </c>
      <c r="M488" s="3" t="n">
        <v>29</v>
      </c>
      <c r="N488" s="3" t="n">
        <v>95.38</v>
      </c>
      <c r="O488" s="3" t="n">
        <v>21.5962441314554</v>
      </c>
    </row>
    <row r="489" hidden="1">
      <c r="A489" s="7" t="n">
        <v>46161</v>
      </c>
      <c r="B489" s="8" t="inlineStr">
        <is>
          <t>Ana Paula Da Luz Silva Aleixo</t>
        </is>
      </c>
      <c r="C489" s="9" t="inlineStr">
        <is>
          <t>Técnico III</t>
        </is>
      </c>
      <c r="D489" s="3" t="n">
        <v>22</v>
      </c>
      <c r="E489" s="3" t="n">
        <v>19</v>
      </c>
      <c r="F489" t="n">
        <v>20.44</v>
      </c>
      <c r="G489" s="3" t="n">
        <v>1</v>
      </c>
      <c r="H489" s="3" t="n">
        <v>0</v>
      </c>
      <c r="I489" s="3">
        <f>E489+G489+H489</f>
        <v/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/>
      </c>
      <c r="K489" s="3">
        <f>I489-J489</f>
        <v/>
      </c>
      <c r="L489" s="3">
        <f>IF(K489&lt;-5,"CRÍTICO",IF(K489&lt;0,"ATENÇÃO",IF(K489&lt;=5,"BOM","EXCELENTE")))</f>
        <v/>
      </c>
      <c r="M489" s="3" t="n">
        <v>16</v>
      </c>
      <c r="N489" s="3" t="n">
        <v>96.34</v>
      </c>
      <c r="O489" s="3" t="n">
        <v>17.57188498402556</v>
      </c>
    </row>
    <row r="490" hidden="1">
      <c r="A490" s="7" t="n">
        <v>46161</v>
      </c>
      <c r="B490" s="8" t="inlineStr">
        <is>
          <t>Anna Luiza Rezende Tavares</t>
        </is>
      </c>
      <c r="C490" s="9" t="inlineStr">
        <is>
          <t>JR</t>
        </is>
      </c>
      <c r="D490" s="3" t="n">
        <v>30</v>
      </c>
      <c r="E490" s="3" t="n">
        <v>29</v>
      </c>
      <c r="F490" t="n">
        <v>18.21</v>
      </c>
      <c r="G490" s="3" t="n">
        <v>0</v>
      </c>
      <c r="H490" s="3" t="n">
        <v>0</v>
      </c>
      <c r="I490" s="3">
        <f>E490+G490+H490</f>
        <v/>
      </c>
      <c r="J490" s="3">
        <f>ROUND(MIN(IF(C490="Técnico III",35,IF(C490="Técnico II",28,IF(C490="Técnico I",23,IF(C490="JR",20,IF(C490="Estágio",10,0))))),IF(C490="Técnico III",SUMIFS($D:$D,$A:$A,$A490,$B:$B,"&lt;&gt;Patrícia Karla de Sousa Araújo",$B:$B,"&lt;&gt;Lorena Dias de Araujo",$B:$B,"&lt;&gt;Lucas Luiz Romero")*(35/1083),IF(C490="Técnico II",SUMIFS($D:$D,$A:$A,$A490,$B:$B,"&lt;&gt;Patrícia Karla de Sousa Araújo",$B:$B,"&lt;&gt;Lorena Dias de Araujo",$B:$B,"&lt;&gt;Lucas Luiz Romero")*(28/1083),IF(C490="Técnico I",SUMIFS($D:$D,$A:$A,$A490,$B:$B,"&lt;&gt;Patrícia Karla de Sousa Araújo",$B:$B,"&lt;&gt;Lorena Dias de Araujo",$B:$B,"&lt;&gt;Lucas Luiz Romero")*(23/1083),IF(C490="JR",SUMIFS($D:$D,$A:$A,$A490,$B:$B,"&lt;&gt;Patrícia Karla de Sousa Araújo",$B:$B,"&lt;&gt;Lorena Dias de Araujo",$B:$B,"&lt;&gt;Lucas Luiz Romero")*(20/1083),IF(C490="Estágio",SUMIFS($D:$D,$A:$A,$A490,$B:$B,"&lt;&gt;Patrícia Karla de Sousa Araújo",$B:$B,"&lt;&gt;Lorena Dias de Araujo",$B:$B,"&lt;&gt;Lucas Luiz Romero")*(10/1083),0)))))),0)</f>
        <v/>
      </c>
      <c r="K490" s="3">
        <f>I490-J490</f>
        <v/>
      </c>
      <c r="L490" s="3">
        <f>IF(K490&lt;-5,"CRÍTICO",IF(K490&lt;0,"ATENÇÃO",IF(K490&lt;=5,"BOM","EXCELENTE")))</f>
        <v/>
      </c>
      <c r="M490" t="n">
        <v>28</v>
      </c>
      <c r="N490" t="n">
        <v>99.11</v>
      </c>
      <c r="O490" t="n">
        <v>17.72151898734177</v>
      </c>
    </row>
    <row r="491" hidden="1">
      <c r="A491" s="7" t="n">
        <v>46161</v>
      </c>
      <c r="B491" s="8" t="inlineStr">
        <is>
          <t>Brenda de Menezes Silva</t>
        </is>
      </c>
      <c r="C491" s="9" t="inlineStr">
        <is>
          <t>Técnico II</t>
        </is>
      </c>
      <c r="D491" s="3" t="n">
        <v>33</v>
      </c>
      <c r="E491" s="3" t="n">
        <v>31</v>
      </c>
      <c r="F491" t="n">
        <v>16.46</v>
      </c>
      <c r="G491" s="3" t="n">
        <v>3</v>
      </c>
      <c r="H491" s="3" t="n">
        <v>0</v>
      </c>
      <c r="I491" s="3">
        <f>E491+G491+H491</f>
        <v/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/>
      </c>
      <c r="K491" s="3">
        <f>I491-J491</f>
        <v/>
      </c>
      <c r="L491" s="3">
        <f>IF(K491&lt;-5,"CRÍTICO",IF(K491&lt;0,"ATENÇÃO",IF(K491&lt;=5,"BOM","EXCELENTE")))</f>
        <v/>
      </c>
      <c r="M491" t="n">
        <v>33</v>
      </c>
      <c r="N491" t="n">
        <v>99.13</v>
      </c>
      <c r="O491" t="n">
        <v>14.7239263803681</v>
      </c>
    </row>
    <row r="492" hidden="1">
      <c r="A492" s="7" t="n">
        <v>46161</v>
      </c>
      <c r="B492" s="8" t="inlineStr">
        <is>
          <t>Carlos Mateus Cassimiro Nunes</t>
        </is>
      </c>
      <c r="C492" s="9" t="inlineStr">
        <is>
          <t>Técnico II</t>
        </is>
      </c>
      <c r="D492" s="3" t="n">
        <v>33</v>
      </c>
      <c r="E492" s="3" t="n">
        <v>32</v>
      </c>
      <c r="F492" t="n">
        <v>16.54</v>
      </c>
      <c r="G492" s="3" t="n">
        <v>2</v>
      </c>
      <c r="H492" s="3" t="n">
        <v>0</v>
      </c>
      <c r="I492" s="3">
        <f>E492+G492+H492</f>
        <v/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/>
      </c>
      <c r="K492" s="3">
        <f>I492-J492</f>
        <v/>
      </c>
      <c r="L492" s="3">
        <f>IF(K492&lt;-5,"CRÍTICO",IF(K492&lt;0,"ATENÇÃO",IF(K492&lt;=5,"BOM","EXCELENTE")))</f>
        <v/>
      </c>
      <c r="M492" t="n">
        <v>29</v>
      </c>
      <c r="N492" t="n">
        <v>98.8</v>
      </c>
      <c r="O492" t="n">
        <v>16.89750692520776</v>
      </c>
    </row>
    <row r="493" hidden="1">
      <c r="A493" s="7" t="n">
        <v>46161</v>
      </c>
      <c r="B493" s="8" t="inlineStr">
        <is>
          <t>Claudio de Sousa Velasco Filho</t>
        </is>
      </c>
      <c r="C493" s="9" t="inlineStr">
        <is>
          <t>Estágio</t>
        </is>
      </c>
      <c r="D493" s="3" t="n">
        <v>9</v>
      </c>
      <c r="E493" s="3" t="n">
        <v>9</v>
      </c>
      <c r="F493" t="n">
        <v>25.28</v>
      </c>
      <c r="G493" s="3" t="n">
        <v>0</v>
      </c>
      <c r="H493" s="3" t="n">
        <v>0</v>
      </c>
      <c r="I493" s="3">
        <f>E493+G493+H493</f>
        <v/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/>
      </c>
      <c r="K493" s="3">
        <f>I493-J493</f>
        <v/>
      </c>
      <c r="L493" s="3">
        <f>IF(K493&lt;-5,"CRÍTICO",IF(K493&lt;0,"ATENÇÃO",IF(K493&lt;=5,"BOM","EXCELENTE")))</f>
        <v/>
      </c>
      <c r="M493" t="n">
        <v>7</v>
      </c>
      <c r="N493" t="n">
        <v>96.43000000000001</v>
      </c>
      <c r="O493" t="n">
        <v>20</v>
      </c>
    </row>
    <row r="494" hidden="1">
      <c r="A494" s="7" t="n">
        <v>46161</v>
      </c>
      <c r="B494" s="8" t="inlineStr">
        <is>
          <t>Clessiane Pereira dos Santos</t>
        </is>
      </c>
      <c r="C494" s="9" t="inlineStr">
        <is>
          <t>Técnico I</t>
        </is>
      </c>
      <c r="D494" s="3" t="n">
        <v>26</v>
      </c>
      <c r="E494" s="3" t="n">
        <v>25</v>
      </c>
      <c r="F494" t="n">
        <v>15.02</v>
      </c>
      <c r="G494" s="3" t="n">
        <v>1</v>
      </c>
      <c r="H494" s="3" t="n">
        <v>0</v>
      </c>
      <c r="I494" s="3">
        <f>E494+G494+H494</f>
        <v/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/>
      </c>
      <c r="K494" s="3">
        <f>I494-J494</f>
        <v/>
      </c>
      <c r="L494" s="3">
        <f>IF(K494&lt;-5,"CRÍTICO",IF(K494&lt;0,"ATENÇÃO",IF(K494&lt;=5,"BOM","EXCELENTE")))</f>
        <v/>
      </c>
      <c r="M494" t="n">
        <v>19</v>
      </c>
      <c r="N494" t="n">
        <v>96.88</v>
      </c>
      <c r="O494" t="n">
        <v>19.52662721893491</v>
      </c>
    </row>
    <row r="495" hidden="1">
      <c r="A495" s="7" t="n">
        <v>46161</v>
      </c>
      <c r="B495" s="8" t="inlineStr">
        <is>
          <t>Cristiane Ramos da Silva Rocha</t>
        </is>
      </c>
      <c r="C495" s="9" t="inlineStr">
        <is>
          <t>Técnico III</t>
        </is>
      </c>
      <c r="D495" s="3" t="n">
        <v>33</v>
      </c>
      <c r="E495" s="3" t="n">
        <v>30</v>
      </c>
      <c r="F495" t="n">
        <v>11.55</v>
      </c>
      <c r="G495" s="3" t="n">
        <v>0</v>
      </c>
      <c r="H495" s="3" t="n">
        <v>0</v>
      </c>
      <c r="I495" s="3">
        <f>E495+G495+H495</f>
        <v/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/>
      </c>
      <c r="K495" s="3">
        <f>I495-J495</f>
        <v/>
      </c>
      <c r="L495" s="3">
        <f>IF(K495&lt;-5,"CRÍTICO",IF(K495&lt;0,"ATENÇÃO",IF(K495&lt;=5,"BOM","EXCELENTE")))</f>
        <v/>
      </c>
      <c r="M495" t="n">
        <v>30</v>
      </c>
      <c r="N495" t="n">
        <v>91.84999999999999</v>
      </c>
      <c r="O495" t="n">
        <v>20.87155963302752</v>
      </c>
    </row>
    <row r="496" hidden="1">
      <c r="A496" s="7" t="n">
        <v>46161</v>
      </c>
      <c r="B496" s="8" t="inlineStr">
        <is>
          <t>Damyllis Lorraine de Oliveira Gonçalves</t>
        </is>
      </c>
      <c r="C496" s="9" t="inlineStr">
        <is>
          <t>Técnico II</t>
        </is>
      </c>
      <c r="D496" s="3" t="n">
        <v>0</v>
      </c>
      <c r="E496" s="3" t="n">
        <v>0</v>
      </c>
      <c r="F496" s="3" t="n">
        <v>0</v>
      </c>
      <c r="G496" s="3" t="n">
        <v>0</v>
      </c>
      <c r="H496" s="3" t="n">
        <v>0</v>
      </c>
      <c r="I496" s="3" t="n">
        <v>0</v>
      </c>
      <c r="J496" s="3" t="n">
        <v>0</v>
      </c>
      <c r="K496" s="3" t="n">
        <v>0</v>
      </c>
      <c r="L496" s="3">
        <f>IF(K496&lt;-5,"CRÍTICO",IF(K496&lt;0,"ATENÇÃO",IF(K496&lt;=5,"BOM","EXCELENTE")))</f>
        <v/>
      </c>
      <c r="M496" s="9" t="n">
        <v>0</v>
      </c>
      <c r="N496" s="9" t="n">
        <v>98.63</v>
      </c>
      <c r="O496" s="9" t="n">
        <v>18.75</v>
      </c>
    </row>
    <row r="497" hidden="1">
      <c r="A497" s="7" t="n">
        <v>46161</v>
      </c>
      <c r="B497" s="8" t="inlineStr">
        <is>
          <t>Daniel Gomes da Silva</t>
        </is>
      </c>
      <c r="C497" s="9" t="inlineStr">
        <is>
          <t>Técnico I</t>
        </is>
      </c>
      <c r="D497" s="3" t="n">
        <v>21</v>
      </c>
      <c r="E497" s="3" t="n">
        <v>20</v>
      </c>
      <c r="F497" t="n">
        <v>12.3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t="n">
        <v>15</v>
      </c>
      <c r="N497" t="n">
        <v>100</v>
      </c>
      <c r="O497" t="n">
        <v>18.14516129032258</v>
      </c>
    </row>
    <row r="498" hidden="1">
      <c r="A498" s="7" t="n">
        <v>46161</v>
      </c>
      <c r="B498" s="8" t="inlineStr">
        <is>
          <t>Davylla Rodrigues Freitas Silva</t>
        </is>
      </c>
      <c r="C498" s="9" t="inlineStr">
        <is>
          <t>Técnico III</t>
        </is>
      </c>
      <c r="D498" s="3" t="n">
        <v>0</v>
      </c>
      <c r="E498" s="3" t="n">
        <v>0</v>
      </c>
      <c r="F498" s="3" t="n">
        <v>0</v>
      </c>
      <c r="G498" s="3" t="n">
        <v>0</v>
      </c>
      <c r="H498" s="3" t="n">
        <v>0</v>
      </c>
      <c r="I498" s="3" t="n">
        <v>0</v>
      </c>
      <c r="J498" s="3" t="n">
        <v>0</v>
      </c>
      <c r="K498" s="3" t="n">
        <v>0</v>
      </c>
      <c r="L498" s="3">
        <f>IF(K498&lt;-5,"CRÍTICO",IF(K498&lt;0,"ATENÇÃO",IF(K498&lt;=5,"BOM","EXCELENTE")))</f>
        <v/>
      </c>
      <c r="M498" s="9" t="n">
        <v>0</v>
      </c>
      <c r="N498" s="9" t="n">
        <v>99.06</v>
      </c>
      <c r="O498" s="9" t="n">
        <v>22.95719844357977</v>
      </c>
    </row>
    <row r="499" hidden="1">
      <c r="A499" s="7" t="n">
        <v>46161</v>
      </c>
      <c r="B499" s="8" t="inlineStr">
        <is>
          <t>Emilly Caylane Costa</t>
        </is>
      </c>
      <c r="C499" s="9" t="inlineStr">
        <is>
          <t>Estágio</t>
        </is>
      </c>
      <c r="D499" s="3" t="n">
        <v>17</v>
      </c>
      <c r="E499" s="3" t="n">
        <v>5</v>
      </c>
      <c r="F499" t="n">
        <v>2.2</v>
      </c>
      <c r="G499" s="3" t="n">
        <v>0</v>
      </c>
      <c r="H499" s="3" t="n">
        <v>0</v>
      </c>
      <c r="I499" s="3">
        <f>E499+G499+H499</f>
        <v/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/>
      </c>
      <c r="K499" s="3">
        <f>I499-J499</f>
        <v/>
      </c>
      <c r="L499" s="3">
        <f>IF(K499&lt;-5,"CRÍTICO",IF(K499&lt;0,"ATENÇÃO",IF(K499&lt;=5,"BOM","EXCELENTE")))</f>
        <v/>
      </c>
      <c r="M499" t="n">
        <v>0</v>
      </c>
      <c r="N499" t="n">
        <v>100</v>
      </c>
      <c r="O499" t="n">
        <v>29.03225806451613</v>
      </c>
    </row>
    <row r="500" hidden="1">
      <c r="A500" s="7" t="n">
        <v>46161</v>
      </c>
      <c r="B500" s="8" t="inlineStr">
        <is>
          <t>Emilly Kamilly Medeiros Miranda</t>
        </is>
      </c>
      <c r="C500" s="9" t="inlineStr">
        <is>
          <t>Técnico II</t>
        </is>
      </c>
      <c r="D500" s="3" t="n">
        <v>23</v>
      </c>
      <c r="E500" s="3" t="n">
        <v>22</v>
      </c>
      <c r="F500" t="n">
        <v>13.4</v>
      </c>
      <c r="G500" s="3" t="n">
        <v>2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IF(K500&lt;-5,"CRÍTICO",IF(K500&lt;0,"ATENÇÃO",IF(K500&lt;=5,"BOM","EXCELENTE")))</f>
        <v/>
      </c>
      <c r="M500" t="n">
        <v>23</v>
      </c>
      <c r="N500" t="n">
        <v>100</v>
      </c>
      <c r="O500" t="n">
        <v>13.8121546961326</v>
      </c>
    </row>
    <row r="501" hidden="1">
      <c r="A501" s="7" t="n">
        <v>46161</v>
      </c>
      <c r="B501" s="8" t="inlineStr">
        <is>
          <t>Francielson de Oliveira</t>
        </is>
      </c>
      <c r="C501" s="9" t="inlineStr">
        <is>
          <t>Técnico III</t>
        </is>
      </c>
      <c r="D501" s="3" t="n">
        <v>12</v>
      </c>
      <c r="E501" s="3" t="n">
        <v>12</v>
      </c>
      <c r="F501" s="3" t="n">
        <v>18.2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IF(K501&lt;-5,"CRÍTICO",IF(K501&lt;0,"ATENÇÃO",IF(K501&lt;=5,"BOM","EXCELENTE")))</f>
        <v/>
      </c>
      <c r="M501" t="n">
        <v>11</v>
      </c>
      <c r="N501" t="n">
        <v>100</v>
      </c>
      <c r="O501" t="n">
        <v>9.523809523809524</v>
      </c>
    </row>
    <row r="502" hidden="1">
      <c r="A502" s="7" t="n">
        <v>46161</v>
      </c>
      <c r="B502" s="8" t="inlineStr">
        <is>
          <t>Francilene Ferreira de Jesus</t>
        </is>
      </c>
      <c r="C502" s="9" t="inlineStr">
        <is>
          <t>Técnico II</t>
        </is>
      </c>
      <c r="D502" s="3" t="n">
        <v>0</v>
      </c>
      <c r="E502" s="3" t="n">
        <v>0</v>
      </c>
      <c r="F502" s="3" t="n">
        <v>0</v>
      </c>
      <c r="G502" s="3" t="n">
        <v>0</v>
      </c>
      <c r="H502" s="3" t="n">
        <v>0</v>
      </c>
      <c r="I502" s="3" t="n">
        <v>0</v>
      </c>
      <c r="J502" s="3" t="n">
        <v>0</v>
      </c>
      <c r="K502" s="3" t="n">
        <v>0</v>
      </c>
      <c r="L502" s="3">
        <f>IF(K502&lt;-5,"CRÍTICO",IF(K502&lt;0,"ATENÇÃO",IF(K502&lt;=5,"BOM","EXCELENTE")))</f>
        <v/>
      </c>
      <c r="M502" s="9" t="n">
        <v>0</v>
      </c>
      <c r="N502" s="9" t="n">
        <v>100</v>
      </c>
      <c r="O502" s="9" t="n">
        <v>17.24137931034483</v>
      </c>
    </row>
    <row r="503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 hidden="1">
      <c r="A505" s="7" t="n">
        <v>46161</v>
      </c>
      <c r="B505" s="8" t="inlineStr">
        <is>
          <t>Isabella Borges de Oliveira</t>
        </is>
      </c>
      <c r="C505" s="9" t="inlineStr">
        <is>
          <t>Técnico II</t>
        </is>
      </c>
      <c r="D505" s="3" t="n">
        <v>28</v>
      </c>
      <c r="E505" s="3" t="n">
        <v>25</v>
      </c>
      <c r="F505" t="n">
        <v>16.55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t="n">
        <v>22</v>
      </c>
      <c r="N505" t="n">
        <v>98.63</v>
      </c>
      <c r="O505" t="n">
        <v>15.75757575757576</v>
      </c>
    </row>
    <row r="506" hidden="1">
      <c r="A506" s="7" t="n">
        <v>46161</v>
      </c>
      <c r="B506" s="8" t="inlineStr">
        <is>
          <t>Janaina Lima dos Reis Urany</t>
        </is>
      </c>
      <c r="C506" s="9" t="inlineStr">
        <is>
          <t>Técnico III</t>
        </is>
      </c>
      <c r="D506" s="3" t="n">
        <v>43</v>
      </c>
      <c r="E506" s="3" t="n">
        <v>39</v>
      </c>
      <c r="F506" t="n">
        <v>13.55</v>
      </c>
      <c r="G506" s="3" t="n">
        <v>3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t="n">
        <v>40</v>
      </c>
      <c r="N506" t="n">
        <v>98.64</v>
      </c>
      <c r="O506" t="n">
        <v>16.6383701188455</v>
      </c>
    </row>
    <row r="507" hidden="1">
      <c r="A507" s="7" t="n">
        <v>46161</v>
      </c>
      <c r="B507" s="8" t="inlineStr">
        <is>
          <t>Jaqueline Evangelista da Silva Martins</t>
        </is>
      </c>
      <c r="C507" s="9" t="inlineStr">
        <is>
          <t>Técnico III</t>
        </is>
      </c>
      <c r="D507" s="3" t="n">
        <v>11</v>
      </c>
      <c r="E507" s="3" t="n">
        <v>10</v>
      </c>
      <c r="F507" t="n">
        <v>14.08</v>
      </c>
      <c r="G507" s="3" t="n">
        <v>4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t="n">
        <v>12</v>
      </c>
      <c r="N507" t="n">
        <v>95.40000000000001</v>
      </c>
      <c r="O507" t="n">
        <v>20.53333333333333</v>
      </c>
    </row>
    <row r="508" hidden="1">
      <c r="A508" s="7" t="n">
        <v>46161</v>
      </c>
      <c r="B508" s="8" t="inlineStr">
        <is>
          <t>Jessica Faria da Silveira</t>
        </is>
      </c>
      <c r="C508" s="9" t="inlineStr">
        <is>
          <t>Técnico II</t>
        </is>
      </c>
      <c r="D508" s="3" t="n">
        <v>24</v>
      </c>
      <c r="E508" s="3" t="n">
        <v>20</v>
      </c>
      <c r="F508" t="n">
        <v>17</v>
      </c>
      <c r="G508" s="3" t="n">
        <v>2</v>
      </c>
      <c r="H508" s="3" t="n">
        <v>0</v>
      </c>
      <c r="I508" s="3">
        <f>E508+G508+H508</f>
        <v/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/>
      </c>
      <c r="K508" s="3">
        <f>I508-J508</f>
        <v/>
      </c>
      <c r="L508" s="3">
        <f>IF(K508&lt;-5,"CRÍTICO",IF(K508&lt;0,"ATENÇÃO",IF(K508&lt;=5,"BOM","EXCELENTE")))</f>
        <v/>
      </c>
      <c r="M508" t="n">
        <v>16</v>
      </c>
      <c r="N508" t="n">
        <v>98.61</v>
      </c>
      <c r="O508" t="n">
        <v>16.97530864197531</v>
      </c>
    </row>
    <row r="509" hidden="1">
      <c r="A509" s="7" t="n">
        <v>46161</v>
      </c>
      <c r="B509" s="8" t="inlineStr">
        <is>
          <t>Jéssica Fé Moura</t>
        </is>
      </c>
      <c r="C509" s="9" t="inlineStr">
        <is>
          <t>Técnico III</t>
        </is>
      </c>
      <c r="D509" s="3" t="n">
        <v>0</v>
      </c>
      <c r="E509" s="3" t="n">
        <v>0</v>
      </c>
      <c r="F509" s="3" t="n">
        <v>0</v>
      </c>
      <c r="G509" s="3" t="n">
        <v>0</v>
      </c>
      <c r="H509" s="3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IF(K509&lt;-5,"CRÍTICO",IF(K509&lt;0,"ATENÇÃO",IF(K509&lt;=5,"BOM","EXCELENTE")))</f>
        <v/>
      </c>
      <c r="M509" s="9" t="n">
        <v>0</v>
      </c>
      <c r="N509" s="9" t="n">
        <v>0</v>
      </c>
      <c r="O509" s="9" t="n">
        <v>0</v>
      </c>
    </row>
    <row r="510" hidden="1">
      <c r="A510" s="7" t="n">
        <v>46161</v>
      </c>
      <c r="B510" s="8" t="inlineStr">
        <is>
          <t>Karina Gonçalves Martins</t>
        </is>
      </c>
      <c r="C510" s="9" t="inlineStr">
        <is>
          <t>JR</t>
        </is>
      </c>
      <c r="D510" s="3" t="n">
        <v>20</v>
      </c>
      <c r="E510" s="3" t="n">
        <v>19</v>
      </c>
      <c r="F510" t="n">
        <v>28.41</v>
      </c>
      <c r="G510" s="3" t="n">
        <v>2</v>
      </c>
      <c r="H510" s="3" t="n">
        <v>0</v>
      </c>
      <c r="I510" s="3">
        <f>E510+G510+H510</f>
        <v/>
      </c>
      <c r="J510" s="3">
        <f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/>
      </c>
      <c r="K510" s="3">
        <f>I510-J510</f>
        <v/>
      </c>
      <c r="L510" s="3">
        <f>IF(K510&lt;-5,"CRÍTICO",IF(K510&lt;0,"ATENÇÃO",IF(K510&lt;=5,"BOM","EXCELENTE")))</f>
        <v/>
      </c>
      <c r="M510" t="n">
        <v>20</v>
      </c>
      <c r="N510" t="n">
        <v>97.01000000000001</v>
      </c>
      <c r="O510" t="n">
        <v>13.96103896103896</v>
      </c>
    </row>
    <row r="511" hidden="1">
      <c r="A511" s="7" t="n">
        <v>46161</v>
      </c>
      <c r="B511" s="8" t="inlineStr">
        <is>
          <t>Kerollen Cristielly de Jesus Siqueira</t>
        </is>
      </c>
      <c r="C511" s="9" t="inlineStr">
        <is>
          <t>Técnico III</t>
        </is>
      </c>
      <c r="D511" s="3" t="n">
        <v>32</v>
      </c>
      <c r="E511" s="3" t="n">
        <v>32</v>
      </c>
      <c r="F511" t="n">
        <v>17.18</v>
      </c>
      <c r="G511" s="3" t="n">
        <v>0</v>
      </c>
      <c r="H511" s="3" t="n">
        <v>0</v>
      </c>
      <c r="I511" s="3">
        <f>E511+G511+H511</f>
        <v/>
      </c>
      <c r="J511" s="3">
        <f>ROUND(MIN(IF(C511="Técnico III",35,IF(C511="Técnico II",28,IF(C511="Técnico I",23,IF(C511="JR",20,IF(C511="Estágio",10,0))))),IF(C511="Técnico III",SUMIFS($D:$D,$A:$A,$A511,$B:$B,"&lt;&gt;Patrícia Karla de Sousa Araújo",$B:$B,"&lt;&gt;Lorena Dias de Araujo",$B:$B,"&lt;&gt;Lucas Luiz Romero")*(35/1083),IF(C511="Técnico II",SUMIFS($D:$D,$A:$A,$A511,$B:$B,"&lt;&gt;Patrícia Karla de Sousa Araújo",$B:$B,"&lt;&gt;Lorena Dias de Araujo",$B:$B,"&lt;&gt;Lucas Luiz Romero")*(28/1083),IF(C511="Técnico I",SUMIFS($D:$D,$A:$A,$A511,$B:$B,"&lt;&gt;Patrícia Karla de Sousa Araújo",$B:$B,"&lt;&gt;Lorena Dias de Araujo",$B:$B,"&lt;&gt;Lucas Luiz Romero")*(23/1083),IF(C511="JR",SUMIFS($D:$D,$A:$A,$A511,$B:$B,"&lt;&gt;Patrícia Karla de Sousa Araújo",$B:$B,"&lt;&gt;Lorena Dias de Araujo",$B:$B,"&lt;&gt;Lucas Luiz Romero")*(20/1083),IF(C511="Estágio",SUMIFS($D:$D,$A:$A,$A511,$B:$B,"&lt;&gt;Patrícia Karla de Sousa Araújo",$B:$B,"&lt;&gt;Lorena Dias de Araujo",$B:$B,"&lt;&gt;Lucas Luiz Romero")*(10/1083),0)))))),0)</f>
        <v/>
      </c>
      <c r="K511" s="3">
        <f>I511-J511</f>
        <v/>
      </c>
      <c r="L511" s="3">
        <f>IF(K511&lt;-5,"CRÍTICO",IF(K511&lt;0,"ATENÇÃO",IF(K511&lt;=5,"BOM","EXCELENTE")))</f>
        <v/>
      </c>
      <c r="M511" t="n">
        <v>28</v>
      </c>
      <c r="N511" t="n">
        <v>95.52</v>
      </c>
      <c r="O511" t="n">
        <v>10.56105610561056</v>
      </c>
    </row>
    <row r="512" hidden="1">
      <c r="A512" s="7" t="n">
        <v>46161</v>
      </c>
      <c r="B512" s="8" t="inlineStr">
        <is>
          <t>Leandro de Souza Silva</t>
        </is>
      </c>
      <c r="C512" s="9" t="inlineStr">
        <is>
          <t>JR</t>
        </is>
      </c>
      <c r="D512" s="3" t="n">
        <v>19</v>
      </c>
      <c r="E512" s="3" t="n">
        <v>17</v>
      </c>
      <c r="F512" t="n">
        <v>18.56</v>
      </c>
      <c r="G512" s="3" t="n">
        <v>1</v>
      </c>
      <c r="H512" s="3" t="n">
        <v>0</v>
      </c>
      <c r="I512" s="3">
        <f>E512+G512+H512</f>
        <v/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/>
      </c>
      <c r="K512" s="3">
        <f>I512-J512</f>
        <v/>
      </c>
      <c r="L512" s="3">
        <f>IF(K512&lt;-5,"CRÍTICO",IF(K512&lt;0,"ATENÇÃO",IF(K512&lt;=5,"BOM","EXCELENTE")))</f>
        <v/>
      </c>
      <c r="M512" t="n">
        <v>15</v>
      </c>
      <c r="N512" t="n">
        <v>100</v>
      </c>
      <c r="O512" t="n">
        <v>16.95906432748538</v>
      </c>
    </row>
    <row r="513" hidden="1">
      <c r="A513" s="7" t="n">
        <v>46161</v>
      </c>
      <c r="B513" s="8" t="inlineStr">
        <is>
          <t>Leandro Oliveira de Sousa</t>
        </is>
      </c>
      <c r="C513" s="9" t="inlineStr">
        <is>
          <t>Técnico III</t>
        </is>
      </c>
      <c r="D513" s="3" t="n">
        <v>27</v>
      </c>
      <c r="E513" s="3" t="n">
        <v>26</v>
      </c>
      <c r="F513" t="n">
        <v>15.39</v>
      </c>
      <c r="G513" s="3" t="n">
        <v>0</v>
      </c>
      <c r="H513" s="3" t="n">
        <v>0</v>
      </c>
      <c r="I513" s="3">
        <f>E513+G513+H513</f>
        <v/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/>
      </c>
      <c r="K513" s="3">
        <f>I513-J513</f>
        <v/>
      </c>
      <c r="L513" s="3">
        <f>IF(K513&lt;-5,"CRÍTICO",IF(K513&lt;0,"ATENÇÃO",IF(K513&lt;=5,"BOM","EXCELENTE")))</f>
        <v/>
      </c>
      <c r="M513" t="n">
        <v>24</v>
      </c>
      <c r="N513" t="n">
        <v>100</v>
      </c>
      <c r="O513" t="n">
        <v>15.58441558441558</v>
      </c>
    </row>
    <row r="514" hidden="1">
      <c r="A514" s="7" t="n">
        <v>46161</v>
      </c>
      <c r="B514" s="8" t="inlineStr">
        <is>
          <t>Lizandra Gomes Duarte</t>
        </is>
      </c>
      <c r="C514" s="9" t="inlineStr">
        <is>
          <t>Técnico II</t>
        </is>
      </c>
      <c r="D514" s="3" t="n">
        <v>28</v>
      </c>
      <c r="E514" s="3" t="n">
        <v>25</v>
      </c>
      <c r="F514" t="n">
        <v>19.03</v>
      </c>
      <c r="G514" s="3" t="n">
        <v>3</v>
      </c>
      <c r="H514" s="3" t="n">
        <v>0</v>
      </c>
      <c r="I514" s="3">
        <f>E514+G514+H514</f>
        <v/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/>
      </c>
      <c r="K514" s="3">
        <f>I514-J514</f>
        <v/>
      </c>
      <c r="L514" s="3">
        <f>IF(K514&lt;-5,"CRÍTICO",IF(K514&lt;0,"ATENÇÃO",IF(K514&lt;=5,"BOM","EXCELENTE")))</f>
        <v/>
      </c>
      <c r="M514" t="n">
        <v>45</v>
      </c>
      <c r="N514" t="n">
        <v>98.61</v>
      </c>
      <c r="O514" t="n">
        <v>16.86746987951807</v>
      </c>
    </row>
    <row r="515" hidden="1">
      <c r="A515" s="7" t="n">
        <v>46161</v>
      </c>
      <c r="B515" s="8" t="inlineStr">
        <is>
          <t>Lorena Dias de Araujo</t>
        </is>
      </c>
      <c r="C515" s="9" t="inlineStr">
        <is>
          <t>Técnico II</t>
        </is>
      </c>
      <c r="D515" s="3" t="n">
        <v>22</v>
      </c>
      <c r="E515" s="3" t="n">
        <v>21</v>
      </c>
      <c r="F515" t="n">
        <v>24.02</v>
      </c>
      <c r="G515" s="3" t="n">
        <v>0</v>
      </c>
      <c r="H515" s="3" t="n">
        <v>0</v>
      </c>
      <c r="I515" s="3" t="n">
        <v>0</v>
      </c>
      <c r="J515" s="3" t="n">
        <v>0</v>
      </c>
      <c r="K515" s="3" t="n">
        <v>0</v>
      </c>
      <c r="L515" s="3">
        <f>IF(K515&lt;-5,"CRÍTICO",IF(K515&lt;0,"ATENÇÃO",IF(K515&lt;=5,"BOM","EXCELENTE")))</f>
        <v/>
      </c>
      <c r="M515" t="n">
        <v>19</v>
      </c>
      <c r="N515" t="n">
        <v>100</v>
      </c>
      <c r="O515" t="n">
        <v>20.82018927444795</v>
      </c>
    </row>
    <row r="516" hidden="1">
      <c r="A516" s="7" t="n">
        <v>46161</v>
      </c>
      <c r="B516" s="8" t="inlineStr">
        <is>
          <t>Lucas Luiz Romero</t>
        </is>
      </c>
      <c r="C516" s="9" t="inlineStr">
        <is>
          <t>Técnico III</t>
        </is>
      </c>
      <c r="D516" s="3" t="n">
        <v>22</v>
      </c>
      <c r="E516" s="3" t="n">
        <v>20</v>
      </c>
      <c r="F516" t="n">
        <v>21.49</v>
      </c>
      <c r="G516" s="3" t="n">
        <v>0</v>
      </c>
      <c r="H516" s="3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IF(K516&lt;-5,"CRÍTICO",IF(K516&lt;0,"ATENÇÃO",IF(K516&lt;=5,"BOM","EXCELENTE")))</f>
        <v/>
      </c>
      <c r="M516" t="n">
        <v>18</v>
      </c>
      <c r="N516" t="n">
        <v>100</v>
      </c>
      <c r="O516" t="n">
        <v>4.347826086956522</v>
      </c>
    </row>
    <row r="517" hidden="1">
      <c r="A517" s="7" t="n">
        <v>46161</v>
      </c>
      <c r="B517" s="8" t="inlineStr">
        <is>
          <t>Luiz Fernando de Carvalho Junior</t>
        </is>
      </c>
      <c r="C517" s="9" t="inlineStr">
        <is>
          <t>Técnico I</t>
        </is>
      </c>
      <c r="D517" s="3" t="n">
        <v>18</v>
      </c>
      <c r="E517" s="3" t="n">
        <v>17</v>
      </c>
      <c r="F517" t="n">
        <v>25.09</v>
      </c>
      <c r="G517" s="3" t="n">
        <v>2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IF(K517&lt;-5,"CRÍTICO",IF(K517&lt;0,"ATENÇÃO",IF(K517&lt;=5,"BOM","EXCELENTE")))</f>
        <v/>
      </c>
      <c r="M517" t="n">
        <v>18</v>
      </c>
      <c r="N517" t="n">
        <v>93.26000000000001</v>
      </c>
      <c r="O517" t="n">
        <v>19.93957703927493</v>
      </c>
    </row>
    <row r="518" hidden="1">
      <c r="A518" s="7" t="n">
        <v>46161</v>
      </c>
      <c r="B518" s="8" t="inlineStr">
        <is>
          <t>Maria Eduarda Sousa Costa</t>
        </is>
      </c>
      <c r="C518" s="9" t="inlineStr">
        <is>
          <t>Estágio</t>
        </is>
      </c>
      <c r="D518" s="3" t="n">
        <v>36</v>
      </c>
      <c r="E518" s="3" t="n">
        <v>24</v>
      </c>
      <c r="F518" t="n">
        <v>13.26</v>
      </c>
      <c r="G518" s="3" t="n">
        <v>0</v>
      </c>
      <c r="H518" s="3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IF(K518&lt;-5,"CRÍTICO",IF(K518&lt;0,"ATENÇÃO",IF(K518&lt;=5,"BOM","EXCELENTE")))</f>
        <v/>
      </c>
      <c r="M518" t="n">
        <v>12</v>
      </c>
      <c r="N518" t="n">
        <v>100</v>
      </c>
      <c r="O518" t="n">
        <v>11.86440677966102</v>
      </c>
    </row>
    <row r="519" hidden="1">
      <c r="A519" s="7" t="n">
        <v>46161</v>
      </c>
      <c r="B519" s="8" t="inlineStr">
        <is>
          <t>Matheus Farias De Souza</t>
        </is>
      </c>
      <c r="C519" s="9" t="inlineStr">
        <is>
          <t>Técnico III</t>
        </is>
      </c>
      <c r="D519" s="3" t="n">
        <v>0</v>
      </c>
      <c r="E519" s="3" t="n">
        <v>0</v>
      </c>
      <c r="F519" t="n">
        <v>0</v>
      </c>
      <c r="G519" s="3" t="n">
        <v>0</v>
      </c>
      <c r="H519" s="3" t="n">
        <v>33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t="n">
        <v>14</v>
      </c>
      <c r="N519" t="n">
        <v>98.28</v>
      </c>
      <c r="O519" t="n">
        <v>9.037900874635568</v>
      </c>
    </row>
    <row r="520" hidden="1">
      <c r="A520" s="7" t="n">
        <v>46161</v>
      </c>
      <c r="B520" s="8" t="inlineStr">
        <is>
          <t>Maysa Victoria Dias Moura</t>
        </is>
      </c>
      <c r="C520" s="9" t="inlineStr">
        <is>
          <t>Técnico III</t>
        </is>
      </c>
      <c r="D520" s="3" t="n">
        <v>35</v>
      </c>
      <c r="E520" s="3" t="n">
        <v>31</v>
      </c>
      <c r="F520" t="n">
        <v>10.43</v>
      </c>
      <c r="G520" s="3" t="n">
        <v>4</v>
      </c>
      <c r="H520" s="3" t="n">
        <v>0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t="n">
        <v>30</v>
      </c>
      <c r="N520" t="n">
        <v>97.22</v>
      </c>
      <c r="O520" t="n">
        <v>19.09547738693467</v>
      </c>
    </row>
    <row r="521" hidden="1">
      <c r="A521" s="7" t="n">
        <v>46161</v>
      </c>
      <c r="B521" s="8" t="inlineStr">
        <is>
          <t>Michelle G Santos</t>
        </is>
      </c>
      <c r="C521" s="9" t="inlineStr">
        <is>
          <t>Estágio</t>
        </is>
      </c>
      <c r="D521" s="3" t="n">
        <v>15</v>
      </c>
      <c r="E521" s="3" t="n">
        <v>13</v>
      </c>
      <c r="F521" t="n">
        <v>21.51</v>
      </c>
      <c r="G521" s="3" t="n">
        <v>0</v>
      </c>
      <c r="H521" s="3" t="n">
        <v>0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t="n">
        <v>9</v>
      </c>
      <c r="N521" t="n">
        <v>100</v>
      </c>
      <c r="O521" t="n">
        <v>16.8141592920354</v>
      </c>
    </row>
    <row r="522" hidden="1">
      <c r="A522" s="7" t="n">
        <v>46161</v>
      </c>
      <c r="B522" s="8" t="inlineStr">
        <is>
          <t>Milena Sales</t>
        </is>
      </c>
      <c r="C522" s="9" t="inlineStr">
        <is>
          <t>JR</t>
        </is>
      </c>
      <c r="D522" s="3" t="n">
        <v>42</v>
      </c>
      <c r="E522" s="3" t="n">
        <v>23</v>
      </c>
      <c r="F522" t="n">
        <v>11.43</v>
      </c>
      <c r="G522" s="3" t="n">
        <v>0</v>
      </c>
      <c r="H522" s="3" t="n">
        <v>0</v>
      </c>
      <c r="I522" s="3">
        <f>E522+G522+H522</f>
        <v/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/>
      </c>
      <c r="K522" s="3">
        <f>I522-J522</f>
        <v/>
      </c>
      <c r="L522" s="3">
        <f>IF(K522&lt;-5,"CRÍTICO",IF(K522&lt;0,"ATENÇÃO",IF(K522&lt;=5,"BOM","EXCELENTE")))</f>
        <v/>
      </c>
      <c r="M522" t="n">
        <v>22</v>
      </c>
      <c r="N522" t="n">
        <v>98</v>
      </c>
      <c r="O522" t="n">
        <v>16.43835616438356</v>
      </c>
    </row>
    <row r="523" hidden="1">
      <c r="A523" s="7" t="n">
        <v>46161</v>
      </c>
      <c r="B523" s="8" t="inlineStr">
        <is>
          <t>Patrícia Karla de Sousa Araújo</t>
        </is>
      </c>
      <c r="C523" s="9" t="inlineStr">
        <is>
          <t>Técnico II</t>
        </is>
      </c>
      <c r="D523" s="3" t="n">
        <v>25</v>
      </c>
      <c r="E523" s="3" t="n">
        <v>23</v>
      </c>
      <c r="F523" t="n">
        <v>17.03</v>
      </c>
      <c r="G523" s="3" t="n">
        <v>0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IF(K523&lt;-5,"CRÍTICO",IF(K523&lt;0,"ATENÇÃO",IF(K523&lt;=5,"BOM","EXCELENTE")))</f>
        <v/>
      </c>
      <c r="M523" t="n">
        <v>22</v>
      </c>
      <c r="N523" t="n">
        <v>100</v>
      </c>
      <c r="O523" t="n">
        <v>16.89497716894977</v>
      </c>
    </row>
    <row r="524" hidden="1">
      <c r="A524" s="7" t="n">
        <v>46161</v>
      </c>
      <c r="B524" s="8" t="inlineStr">
        <is>
          <t>Paulo Ricardo Santos</t>
        </is>
      </c>
      <c r="C524" s="9" t="inlineStr">
        <is>
          <t>JR</t>
        </is>
      </c>
      <c r="D524" s="3" t="n">
        <v>13</v>
      </c>
      <c r="E524" s="3" t="n">
        <v>13</v>
      </c>
      <c r="F524" t="n">
        <v>19.19</v>
      </c>
      <c r="G524" s="3" t="n">
        <v>0</v>
      </c>
      <c r="H524" s="3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IF(K524&lt;-5,"CRÍTICO",IF(K524&lt;0,"ATENÇÃO",IF(K524&lt;=5,"BOM","EXCELENTE")))</f>
        <v/>
      </c>
      <c r="M524" t="n">
        <v>12</v>
      </c>
      <c r="N524" t="n">
        <v>100</v>
      </c>
      <c r="O524" t="n">
        <v>19.13875598086124</v>
      </c>
    </row>
    <row r="525" hidden="1">
      <c r="A525" s="7" t="n">
        <v>46161</v>
      </c>
      <c r="B525" s="8" t="inlineStr">
        <is>
          <t>Pedro Luiz Mota Sousa</t>
        </is>
      </c>
      <c r="C525" s="9" t="inlineStr">
        <is>
          <t>JR</t>
        </is>
      </c>
      <c r="D525" s="3" t="n">
        <v>17</v>
      </c>
      <c r="E525" s="3" t="n">
        <v>17</v>
      </c>
      <c r="F525" t="n">
        <v>23.57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IF(K525&lt;-5,"CRÍTICO",IF(K525&lt;0,"ATENÇÃO",IF(K525&lt;=5,"BOM","EXCELENTE")))</f>
        <v/>
      </c>
      <c r="M525" t="n">
        <v>15</v>
      </c>
      <c r="N525" t="n">
        <v>100</v>
      </c>
      <c r="O525" t="n">
        <v>15.02145922746781</v>
      </c>
    </row>
    <row r="526" hidden="1">
      <c r="A526" s="7" t="n">
        <v>46161</v>
      </c>
      <c r="B526" s="8" t="inlineStr">
        <is>
          <t>Quirino Diogo Leite Torres</t>
        </is>
      </c>
      <c r="C526" s="9" t="inlineStr">
        <is>
          <t>Estágio</t>
        </is>
      </c>
      <c r="D526" s="3" t="n">
        <v>20</v>
      </c>
      <c r="E526" s="3" t="n">
        <v>19</v>
      </c>
      <c r="F526" t="n">
        <v>25.31</v>
      </c>
      <c r="G526" s="3" t="n">
        <v>0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t="n">
        <v>16</v>
      </c>
      <c r="N526" t="n">
        <v>98.11</v>
      </c>
      <c r="O526" t="n">
        <v>20.40816326530612</v>
      </c>
    </row>
    <row r="527" hidden="1">
      <c r="A527" s="7" t="n">
        <v>46161</v>
      </c>
      <c r="B527" s="8" t="inlineStr">
        <is>
          <t>Raane Batista Matos</t>
        </is>
      </c>
      <c r="C527" s="9" t="inlineStr">
        <is>
          <t>Técnico I</t>
        </is>
      </c>
      <c r="D527" s="3" t="n">
        <v>35</v>
      </c>
      <c r="E527" s="3" t="n">
        <v>31</v>
      </c>
      <c r="F527" t="n">
        <v>13.24</v>
      </c>
      <c r="G527" s="3" t="n">
        <v>2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t="n">
        <v>26</v>
      </c>
      <c r="N527" t="n">
        <v>97.56</v>
      </c>
      <c r="O527" t="n">
        <v>19.28783382789317</v>
      </c>
    </row>
    <row r="528" hidden="1">
      <c r="A528" s="7" t="n">
        <v>46161</v>
      </c>
      <c r="B528" s="8" t="inlineStr">
        <is>
          <t>Rafael Gomes de Morais</t>
        </is>
      </c>
      <c r="C528" s="9" t="inlineStr">
        <is>
          <t>Técnico III</t>
        </is>
      </c>
      <c r="D528" s="3" t="n">
        <v>39</v>
      </c>
      <c r="E528" s="3" t="n">
        <v>35</v>
      </c>
      <c r="F528" t="n">
        <v>10.55</v>
      </c>
      <c r="G528" s="3" t="n">
        <v>3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t="n">
        <v>34</v>
      </c>
      <c r="N528" t="n">
        <v>99.29000000000001</v>
      </c>
      <c r="O528" t="n">
        <v>22.49443207126949</v>
      </c>
    </row>
    <row r="529" hidden="1">
      <c r="A529" s="7" t="n">
        <v>46161</v>
      </c>
      <c r="B529" s="8" t="inlineStr">
        <is>
          <t>Sara Maria Monteiro Lopes</t>
        </is>
      </c>
      <c r="C529" s="9" t="inlineStr">
        <is>
          <t>Técnico I</t>
        </is>
      </c>
      <c r="D529" s="3" t="n">
        <v>18</v>
      </c>
      <c r="E529" s="3" t="n">
        <v>18</v>
      </c>
      <c r="F529" t="n">
        <v>25.39</v>
      </c>
      <c r="G529" s="3" t="n">
        <v>0</v>
      </c>
      <c r="H529" s="3" t="n">
        <v>0</v>
      </c>
      <c r="I529" s="3">
        <f>E529+G529+H529</f>
        <v/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/>
      </c>
      <c r="K529" s="3">
        <f>I529-J529</f>
        <v/>
      </c>
      <c r="L529" s="3">
        <f>IF(K529&lt;-5,"CRÍTICO",IF(K529&lt;0,"ATENÇÃO",IF(K529&lt;=5,"BOM","EXCELENTE")))</f>
        <v/>
      </c>
      <c r="M529" t="n">
        <v>17</v>
      </c>
      <c r="N529" t="n">
        <v>100</v>
      </c>
      <c r="O529" t="n">
        <v>16.97247706422019</v>
      </c>
    </row>
    <row r="530" hidden="1">
      <c r="A530" s="7" t="n">
        <v>46161</v>
      </c>
      <c r="B530" s="8" t="inlineStr">
        <is>
          <t>Sarah Steffanie de Lima Borges</t>
        </is>
      </c>
      <c r="C530" s="9" t="inlineStr">
        <is>
          <t>Técnico III</t>
        </is>
      </c>
      <c r="D530" s="3" t="n">
        <v>25</v>
      </c>
      <c r="E530" s="3" t="n">
        <v>24</v>
      </c>
      <c r="F530" t="n">
        <v>18.25</v>
      </c>
      <c r="G530" s="3" t="n">
        <v>3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IF(K530&lt;-5,"CRÍTICO",IF(K530&lt;0,"ATENÇÃO",IF(K530&lt;=5,"BOM","EXCELENTE")))</f>
        <v/>
      </c>
      <c r="M530" t="n">
        <v>21</v>
      </c>
      <c r="N530" t="n">
        <v>97.33</v>
      </c>
      <c r="O530" t="n">
        <v>15.80547112462006</v>
      </c>
    </row>
    <row r="531" hidden="1">
      <c r="A531" s="7" t="n">
        <v>46162</v>
      </c>
      <c r="B531" s="8" t="inlineStr">
        <is>
          <t>Alisson de Freitas Silva</t>
        </is>
      </c>
      <c r="C531" s="9" t="inlineStr">
        <is>
          <t>Técnico II</t>
        </is>
      </c>
      <c r="D531" s="3" t="n">
        <v>36</v>
      </c>
      <c r="E531" s="3" t="n">
        <v>25</v>
      </c>
      <c r="F531" s="3" t="n">
        <v>11.43</v>
      </c>
      <c r="G531" s="3" t="n">
        <v>6</v>
      </c>
      <c r="H531" s="3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20</v>
      </c>
      <c r="N531" s="3" t="n">
        <v>98.94</v>
      </c>
      <c r="O531" s="3" t="n">
        <v>19.61414790996785</v>
      </c>
    </row>
    <row r="532" hidden="1">
      <c r="A532" s="7" t="n">
        <v>46162</v>
      </c>
      <c r="B532" s="8" t="inlineStr">
        <is>
          <t>Amanda Moura Ferreira</t>
        </is>
      </c>
      <c r="C532" s="9" t="inlineStr">
        <is>
          <t>Técnico III</t>
        </is>
      </c>
      <c r="D532" s="3" t="n">
        <v>0</v>
      </c>
      <c r="E532" s="3" t="n">
        <v>0</v>
      </c>
      <c r="F532" s="3" t="n">
        <v>0</v>
      </c>
      <c r="G532" s="3" t="n">
        <v>0</v>
      </c>
      <c r="H532" s="3" t="n">
        <v>0</v>
      </c>
      <c r="I532" s="3" t="n">
        <v>0</v>
      </c>
      <c r="J532" s="3" t="n">
        <v>0</v>
      </c>
      <c r="K532" s="3" t="n">
        <v>0</v>
      </c>
      <c r="L532" s="3">
        <f>IF(K532&lt;-5,"CRÍTICO",IF(K532&lt;0,"ATENÇÃO",IF(K532&lt;=5,"OPORTUNO","MUITO BOM")))</f>
        <v/>
      </c>
      <c r="M532" s="9" t="n">
        <v>0</v>
      </c>
      <c r="N532" s="9" t="n">
        <v>100</v>
      </c>
      <c r="O532" s="9" t="n">
        <v>0</v>
      </c>
    </row>
    <row r="533" hidden="1">
      <c r="A533" s="7" t="n">
        <v>46162</v>
      </c>
      <c r="B533" s="8" t="inlineStr">
        <is>
          <t>Ana Karollyne Souza Faria</t>
        </is>
      </c>
      <c r="C533" s="9" t="inlineStr">
        <is>
          <t>Técnico I</t>
        </is>
      </c>
      <c r="D533" s="3" t="n">
        <v>26</v>
      </c>
      <c r="E533" s="3" t="n">
        <v>25</v>
      </c>
      <c r="F533" s="3" t="n">
        <v>15.37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IF(K533&lt;-5,"CRÍTICO",IF(K533&lt;0,"ATENÇÃO",IF(K533&lt;=5,"OPORTUNO","MUITO BOM")))</f>
        <v/>
      </c>
      <c r="M533" s="9" t="n">
        <v>26</v>
      </c>
      <c r="N533" s="9" t="n">
        <v>95.38</v>
      </c>
      <c r="O533" s="9" t="n">
        <v>21.5962441314554</v>
      </c>
    </row>
    <row r="534" hidden="1">
      <c r="A534" s="7" t="n">
        <v>46162</v>
      </c>
      <c r="B534" s="8" t="inlineStr">
        <is>
          <t>Ana Paula Da Luz Silva Aleixo</t>
        </is>
      </c>
      <c r="C534" s="9" t="inlineStr">
        <is>
          <t>Técnico III</t>
        </is>
      </c>
      <c r="D534" s="3" t="n">
        <v>22</v>
      </c>
      <c r="E534" s="3" t="n">
        <v>21</v>
      </c>
      <c r="F534" s="3" t="n">
        <v>18.34</v>
      </c>
      <c r="G534" s="3" t="n">
        <v>1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IF(K534&lt;-5,"CRÍTICO",IF(K534&lt;0,"ATENÇÃO",IF(K534&lt;=5,"OPORTUNO","MUITO BOM")))</f>
        <v/>
      </c>
      <c r="M534" s="9" t="n">
        <v>18</v>
      </c>
      <c r="N534" s="9" t="n">
        <v>96.34</v>
      </c>
      <c r="O534" s="9" t="n">
        <v>17.57188498402556</v>
      </c>
    </row>
    <row r="535" hidden="1">
      <c r="A535" s="7" t="n">
        <v>46162</v>
      </c>
      <c r="B535" s="8" t="inlineStr">
        <is>
          <t>Anna Luiza Rezende Tavares</t>
        </is>
      </c>
      <c r="C535" s="9" t="inlineStr">
        <is>
          <t>JR</t>
        </is>
      </c>
      <c r="D535" s="3" t="n">
        <v>33</v>
      </c>
      <c r="E535" s="3" t="n">
        <v>33</v>
      </c>
      <c r="F535" s="3" t="n">
        <v>14.07</v>
      </c>
      <c r="G535" s="3" t="n">
        <v>0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IF(K535&lt;-5,"CRÍTICO",IF(K535&lt;0,"ATENÇÃO",IF(K535&lt;=5,"OPORTUNO","MUITO BOM")))</f>
        <v/>
      </c>
      <c r="M535" s="9" t="n">
        <v>32</v>
      </c>
      <c r="N535" s="9" t="n">
        <v>99.11</v>
      </c>
      <c r="O535" s="9" t="n">
        <v>17.72151898734177</v>
      </c>
    </row>
    <row r="536" hidden="1">
      <c r="A536" s="7" t="n">
        <v>46162</v>
      </c>
      <c r="B536" s="8" t="inlineStr">
        <is>
          <t>Brenda de Menezes Silva</t>
        </is>
      </c>
      <c r="C536" s="9" t="inlineStr">
        <is>
          <t>Técnico II</t>
        </is>
      </c>
      <c r="D536" s="3" t="n">
        <v>25</v>
      </c>
      <c r="E536" s="3" t="n">
        <v>23</v>
      </c>
      <c r="F536" s="3" t="n">
        <v>15.11</v>
      </c>
      <c r="G536" s="3" t="n">
        <v>2</v>
      </c>
      <c r="H536" s="3" t="n">
        <v>0</v>
      </c>
      <c r="I536" s="3">
        <f>E536+G536+H536</f>
        <v/>
      </c>
      <c r="J536" s="3">
        <f>ROUND(MIN(IF(C536="Técnico III",35,IF(C536="Técnico II",28,IF(C536="Técnico I",23,IF(C536="JR",20,IF(C536="Estágio",10,0))))),IF(C536="Técnico III",SUMIFS($D:$D,$A:$A,$A536,$B:$B,"&lt;&gt;Patrícia Karla de Sousa Araújo",$B:$B,"&lt;&gt;Lorena Dias de Araujo",$B:$B,"&lt;&gt;Lucas Luiz Romero")*(35/1083),IF(C536="Técnico II",SUMIFS($D:$D,$A:$A,$A536,$B:$B,"&lt;&gt;Patrícia Karla de Sousa Araújo",$B:$B,"&lt;&gt;Lorena Dias de Araujo",$B:$B,"&lt;&gt;Lucas Luiz Romero")*(28/1083),IF(C536="Técnico I",SUMIFS($D:$D,$A:$A,$A536,$B:$B,"&lt;&gt;Patrícia Karla de Sousa Araújo",$B:$B,"&lt;&gt;Lorena Dias de Araujo",$B:$B,"&lt;&gt;Lucas Luiz Romero")*(23/1083),IF(C536="JR",SUMIFS($D:$D,$A:$A,$A536,$B:$B,"&lt;&gt;Patrícia Karla de Sousa Araújo",$B:$B,"&lt;&gt;Lorena Dias de Araujo",$B:$B,"&lt;&gt;Lucas Luiz Romero")*(20/1083),IF(C536="Estágio",SUMIFS($D:$D,$A:$A,$A536,$B:$B,"&lt;&gt;Patrícia Karla de Sousa Araújo",$B:$B,"&lt;&gt;Lorena Dias de Araujo",$B:$B,"&lt;&gt;Lucas Luiz Romero")*(10/1083),0)))))),0)</f>
        <v/>
      </c>
      <c r="K536" s="3">
        <f>I536-J536</f>
        <v/>
      </c>
      <c r="L536" s="3">
        <f>IF(K536&lt;-5,"CRÍTICO",IF(K536&lt;0,"ATENÇÃO",IF(K536&lt;=5,"OPORTUNO","MUITO BOM")))</f>
        <v/>
      </c>
      <c r="M536" s="9" t="n">
        <v>29</v>
      </c>
      <c r="N536" s="9" t="n">
        <v>99.13</v>
      </c>
      <c r="O536" s="9" t="n">
        <v>14.7239263803681</v>
      </c>
    </row>
    <row r="537" hidden="1">
      <c r="A537" s="7" t="n">
        <v>46162</v>
      </c>
      <c r="B537" s="8" t="inlineStr">
        <is>
          <t>Carlos Mateus Cassimiro Nunes</t>
        </is>
      </c>
      <c r="C537" s="9" t="inlineStr">
        <is>
          <t>Técnico II</t>
        </is>
      </c>
      <c r="D537" s="3" t="n">
        <v>27</v>
      </c>
      <c r="E537" s="3" t="n">
        <v>26</v>
      </c>
      <c r="F537" s="3" t="n">
        <v>18.58</v>
      </c>
      <c r="G537" s="3" t="n">
        <v>1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9" t="n">
        <v>25</v>
      </c>
      <c r="N537" s="9" t="n">
        <v>98.8</v>
      </c>
      <c r="O537" s="9" t="n">
        <v>16.89750692520776</v>
      </c>
    </row>
    <row r="538" hidden="1">
      <c r="A538" s="7" t="n">
        <v>46162</v>
      </c>
      <c r="B538" s="8" t="inlineStr">
        <is>
          <t>Claudio de Sousa Velasco Filho</t>
        </is>
      </c>
      <c r="C538" s="9" t="inlineStr">
        <is>
          <t>Estágio</t>
        </is>
      </c>
      <c r="D538" s="3" t="n">
        <v>11</v>
      </c>
      <c r="E538" s="3" t="n">
        <v>10</v>
      </c>
      <c r="F538" s="3" t="n">
        <v>20.44</v>
      </c>
      <c r="G538" s="3" t="n">
        <v>0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9" t="n">
        <v>8</v>
      </c>
      <c r="N538" s="9" t="n">
        <v>96.43000000000001</v>
      </c>
      <c r="O538" s="9" t="n">
        <v>20</v>
      </c>
    </row>
    <row r="539" hidden="1">
      <c r="A539" s="7" t="n">
        <v>46162</v>
      </c>
      <c r="B539" s="8" t="inlineStr">
        <is>
          <t>Clessiane Pereira dos Santos</t>
        </is>
      </c>
      <c r="C539" s="9" t="inlineStr">
        <is>
          <t>Técnico I</t>
        </is>
      </c>
      <c r="D539" s="3" t="n">
        <v>23</v>
      </c>
      <c r="E539" s="3" t="n">
        <v>23</v>
      </c>
      <c r="F539" s="3" t="n">
        <v>15.5</v>
      </c>
      <c r="G539" s="3" t="n">
        <v>1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9" t="n">
        <v>22</v>
      </c>
      <c r="N539" s="9" t="n">
        <v>96.88</v>
      </c>
      <c r="O539" s="9" t="n">
        <v>19.52662721893491</v>
      </c>
    </row>
    <row r="540" hidden="1">
      <c r="A540" s="7" t="n">
        <v>46162</v>
      </c>
      <c r="B540" s="8" t="inlineStr">
        <is>
          <t>Cristiane Ramos da Silva Rocha</t>
        </is>
      </c>
      <c r="C540" s="9" t="inlineStr">
        <is>
          <t>Técnico III</t>
        </is>
      </c>
      <c r="D540" s="3" t="n">
        <v>31</v>
      </c>
      <c r="E540" s="3" t="n">
        <v>26</v>
      </c>
      <c r="F540" s="3" t="n">
        <v>14</v>
      </c>
      <c r="G540" s="3" t="n">
        <v>0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IF(K540&lt;-5,"CRÍTICO",IF(K540&lt;0,"ATENÇÃO",IF(K540&lt;=5,"OPORTUNO","MUITO BOM")))</f>
        <v/>
      </c>
      <c r="M540" s="9" t="n">
        <v>21</v>
      </c>
      <c r="N540" s="9" t="n">
        <v>91.84999999999999</v>
      </c>
      <c r="O540" s="9" t="n">
        <v>20.87155963302752</v>
      </c>
    </row>
    <row r="541" hidden="1">
      <c r="A541" s="7" t="n">
        <v>46162</v>
      </c>
      <c r="B541" s="8" t="inlineStr">
        <is>
          <t>Damyllis Lorraine de Oliveira Gonçalves</t>
        </is>
      </c>
      <c r="C541" s="9" t="inlineStr">
        <is>
          <t>Técnico II</t>
        </is>
      </c>
      <c r="D541" s="3" t="n">
        <v>0</v>
      </c>
      <c r="E541" s="3" t="n">
        <v>0</v>
      </c>
      <c r="F541" s="3" t="n">
        <v>0</v>
      </c>
      <c r="G541" s="3" t="n">
        <v>0</v>
      </c>
      <c r="H541" s="3" t="n">
        <v>0</v>
      </c>
      <c r="I541" s="3" t="n">
        <v>0</v>
      </c>
      <c r="J541" s="3" t="n">
        <v>0</v>
      </c>
      <c r="K541" s="3" t="n">
        <v>0</v>
      </c>
      <c r="L541" s="3">
        <f>IF(K541&lt;-5,"CRÍTICO",IF(K541&lt;0,"ATENÇÃO",IF(K541&lt;=5,"OPORTUNO","MUITO BOM")))</f>
        <v/>
      </c>
      <c r="M541" s="9" t="n">
        <v>0</v>
      </c>
      <c r="N541" s="9" t="n">
        <v>98.63</v>
      </c>
      <c r="O541" s="9" t="n">
        <v>18.75</v>
      </c>
    </row>
    <row r="542" hidden="1">
      <c r="A542" s="7" t="n">
        <v>46162</v>
      </c>
      <c r="B542" s="8" t="inlineStr">
        <is>
          <t>Daniel Gomes da Silva</t>
        </is>
      </c>
      <c r="C542" s="9" t="inlineStr">
        <is>
          <t>Técnico I</t>
        </is>
      </c>
      <c r="D542" s="3" t="n">
        <v>17</v>
      </c>
      <c r="E542" s="3" t="n">
        <v>14</v>
      </c>
      <c r="F542" s="3" t="n">
        <v>15.58</v>
      </c>
      <c r="G542" s="3" t="n">
        <v>2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IF(K542&lt;-5,"CRÍTICO",IF(K542&lt;0,"ATENÇÃO",IF(K542&lt;=5,"OPORTUNO","MUITO BOM")))</f>
        <v/>
      </c>
      <c r="M542" s="9" t="n">
        <v>13</v>
      </c>
      <c r="N542" s="9" t="n">
        <v>100</v>
      </c>
      <c r="O542" s="9" t="n">
        <v>18.14516129032258</v>
      </c>
    </row>
    <row r="543" hidden="1">
      <c r="A543" s="7" t="n">
        <v>46162</v>
      </c>
      <c r="B543" s="8" t="inlineStr">
        <is>
          <t>Davylla Rodrigues Freitas Silva</t>
        </is>
      </c>
      <c r="C543" s="9" t="inlineStr">
        <is>
          <t>Técnico III</t>
        </is>
      </c>
      <c r="D543" s="3" t="n">
        <v>0</v>
      </c>
      <c r="E543" s="3" t="n">
        <v>0</v>
      </c>
      <c r="F543" s="3" t="n">
        <v>0</v>
      </c>
      <c r="G543" s="3" t="n">
        <v>0</v>
      </c>
      <c r="H543" s="3" t="n">
        <v>0</v>
      </c>
      <c r="I543" s="3" t="n">
        <v>0</v>
      </c>
      <c r="J543" s="3" t="n">
        <v>0</v>
      </c>
      <c r="K543" s="3" t="n">
        <v>0</v>
      </c>
      <c r="L543" s="3">
        <f>IF(K543&lt;-5,"CRÍTICO",IF(K543&lt;0,"ATENÇÃO",IF(K543&lt;=5,"OPORTUNO","MUITO BOM")))</f>
        <v/>
      </c>
      <c r="M543" s="9" t="n">
        <v>0</v>
      </c>
      <c r="N543" s="9" t="n">
        <v>99.06</v>
      </c>
      <c r="O543" s="9" t="n">
        <v>22.95719844357977</v>
      </c>
    </row>
    <row r="544" hidden="1">
      <c r="A544" s="7" t="n">
        <v>46162</v>
      </c>
      <c r="B544" s="8" t="inlineStr">
        <is>
          <t>Emilly Caylane Costa</t>
        </is>
      </c>
      <c r="C544" s="9" t="inlineStr">
        <is>
          <t>Estágio</t>
        </is>
      </c>
      <c r="D544" s="3" t="n">
        <v>10</v>
      </c>
      <c r="E544" s="3" t="n">
        <v>4</v>
      </c>
      <c r="F544" s="3" t="n">
        <v>3.22</v>
      </c>
      <c r="G544" s="3" t="n">
        <v>0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IF(K544&lt;-5,"CRÍTICO",IF(K544&lt;0,"ATENÇÃO",IF(K544&lt;=5,"OPORTUNO","MUITO BOM")))</f>
        <v/>
      </c>
      <c r="M544" s="9" t="n">
        <v>0</v>
      </c>
      <c r="N544" s="9" t="n">
        <v>100</v>
      </c>
      <c r="O544" s="9" t="n">
        <v>29.03225806451613</v>
      </c>
    </row>
    <row r="545" hidden="1">
      <c r="A545" s="7" t="n">
        <v>46162</v>
      </c>
      <c r="B545" s="8" t="inlineStr">
        <is>
          <t>Emilly Kamilly Medeiros Miranda</t>
        </is>
      </c>
      <c r="C545" s="9" t="inlineStr">
        <is>
          <t>Técnico II</t>
        </is>
      </c>
      <c r="D545" s="3" t="n">
        <v>30</v>
      </c>
      <c r="E545" s="3" t="n">
        <v>28</v>
      </c>
      <c r="F545" s="3" t="n">
        <v>10.26</v>
      </c>
      <c r="G545" s="3" t="n">
        <v>2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IF(K545&lt;-5,"CRÍTICO",IF(K545&lt;0,"ATENÇÃO",IF(K545&lt;=5,"OPORTUNO","MUITO BOM")))</f>
        <v/>
      </c>
      <c r="M545" s="9" t="n">
        <v>28</v>
      </c>
      <c r="N545" s="9" t="n">
        <v>100</v>
      </c>
      <c r="O545" s="9" t="n">
        <v>13.8121546961326</v>
      </c>
    </row>
    <row r="546" hidden="1">
      <c r="A546" s="7" t="n">
        <v>46162</v>
      </c>
      <c r="B546" s="8" t="inlineStr">
        <is>
          <t>Francielson de Oliveira</t>
        </is>
      </c>
      <c r="C546" s="9" t="inlineStr">
        <is>
          <t>Técnico III</t>
        </is>
      </c>
      <c r="D546" s="3" t="n">
        <v>0</v>
      </c>
      <c r="E546" s="3" t="n">
        <v>0</v>
      </c>
      <c r="F546" s="3" t="n">
        <v>0</v>
      </c>
      <c r="G546" s="3" t="n">
        <v>0</v>
      </c>
      <c r="H546" s="3" t="n">
        <v>0</v>
      </c>
      <c r="I546" s="3" t="n">
        <v>0</v>
      </c>
      <c r="J546" s="3" t="n">
        <v>0</v>
      </c>
      <c r="K546" s="3" t="n">
        <v>0</v>
      </c>
      <c r="L546" s="3">
        <f>IF(K546&lt;-5,"CRÍTICO",IF(K546&lt;0,"ATENÇÃO",IF(K546&lt;=5,"OPORTUNO","MUITO BOM")))</f>
        <v/>
      </c>
      <c r="M546" s="9" t="n">
        <v>0</v>
      </c>
      <c r="N546" s="9" t="n">
        <v>100</v>
      </c>
      <c r="O546" s="9" t="n">
        <v>9.523809523809524</v>
      </c>
    </row>
    <row r="547" hidden="1">
      <c r="A547" s="7" t="n">
        <v>46162</v>
      </c>
      <c r="B547" s="8" t="inlineStr">
        <is>
          <t>Francilene Ferreira de Jesus</t>
        </is>
      </c>
      <c r="C547" s="9" t="inlineStr">
        <is>
          <t>Técnico II</t>
        </is>
      </c>
      <c r="D547" s="3" t="n">
        <v>0</v>
      </c>
      <c r="E547" s="3" t="n">
        <v>0</v>
      </c>
      <c r="F547" s="3" t="n">
        <v>0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IF(K547&lt;-5,"CRÍTICO",IF(K547&lt;0,"ATENÇÃO",IF(K547&lt;=5,"OPORTUNO","MUITO BOM")))</f>
        <v/>
      </c>
      <c r="M547" s="9" t="n">
        <v>0</v>
      </c>
      <c r="N547" s="9" t="n">
        <v>100</v>
      </c>
      <c r="O547" s="9" t="n">
        <v>17.24137931034483</v>
      </c>
    </row>
    <row r="548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N548" t="n">
        <v>98.91</v>
      </c>
      <c r="O548" t="n">
        <v>31.36729222520107</v>
      </c>
    </row>
    <row r="549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N549" t="n">
        <v>98.91</v>
      </c>
      <c r="O549" t="n">
        <v>31.36729222520107</v>
      </c>
    </row>
    <row r="550" hidden="1">
      <c r="A550" s="7" t="n">
        <v>46162</v>
      </c>
      <c r="B550" s="8" t="inlineStr">
        <is>
          <t>Isabella Borges de Oliveira</t>
        </is>
      </c>
      <c r="C550" s="9" t="inlineStr">
        <is>
          <t>Técnico II</t>
        </is>
      </c>
      <c r="D550" s="3" t="n">
        <v>24</v>
      </c>
      <c r="E550" s="3" t="n">
        <v>24</v>
      </c>
      <c r="F550" s="3" t="n">
        <v>23.52</v>
      </c>
      <c r="G550" s="3" t="n">
        <v>1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IF(K550&lt;-5,"CRÍTICO",IF(K550&lt;0,"ATENÇÃO",IF(K550&lt;=5,"OPORTUNO","MUITO BOM")))</f>
        <v/>
      </c>
      <c r="M550" s="9" t="n">
        <v>22</v>
      </c>
      <c r="N550" s="9" t="n">
        <v>98.63</v>
      </c>
      <c r="O550" s="9" t="n">
        <v>15.75757575757576</v>
      </c>
    </row>
    <row r="551" hidden="1">
      <c r="A551" s="7" t="n">
        <v>46162</v>
      </c>
      <c r="B551" s="8" t="inlineStr">
        <is>
          <t>Janaina Lima dos Reis Urany</t>
        </is>
      </c>
      <c r="C551" s="9" t="inlineStr">
        <is>
          <t>Técnico III</t>
        </is>
      </c>
      <c r="D551" s="3" t="n">
        <v>38</v>
      </c>
      <c r="E551" s="3" t="n">
        <v>35</v>
      </c>
      <c r="F551" s="3" t="n">
        <v>13.25</v>
      </c>
      <c r="G551" s="3" t="n">
        <v>3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IF(K551&lt;-5,"CRÍTICO",IF(K551&lt;0,"ATENÇÃO",IF(K551&lt;=5,"OPORTUNO","MUITO BOM")))</f>
        <v/>
      </c>
      <c r="M551" s="9" t="n">
        <v>34</v>
      </c>
      <c r="N551" s="9" t="n">
        <v>98.64</v>
      </c>
      <c r="O551" s="9" t="n">
        <v>16.6383701188455</v>
      </c>
    </row>
    <row r="552" hidden="1">
      <c r="A552" s="7" t="n">
        <v>46162</v>
      </c>
      <c r="B552" s="8" t="inlineStr">
        <is>
          <t>Jaqueline Evangelista da Silva Martins</t>
        </is>
      </c>
      <c r="C552" s="9" t="inlineStr">
        <is>
          <t>Técnico III</t>
        </is>
      </c>
      <c r="D552" s="3" t="n">
        <v>24</v>
      </c>
      <c r="E552" s="3" t="n">
        <v>21</v>
      </c>
      <c r="F552" s="3" t="n">
        <v>15.53</v>
      </c>
      <c r="G552" s="3" t="n">
        <v>2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9" t="n">
        <v>19</v>
      </c>
      <c r="N552" s="9" t="n">
        <v>95.40000000000001</v>
      </c>
      <c r="O552" s="9" t="n">
        <v>20.53333333333333</v>
      </c>
    </row>
    <row r="553" hidden="1">
      <c r="A553" s="7" t="n">
        <v>46162</v>
      </c>
      <c r="B553" s="8" t="inlineStr">
        <is>
          <t>Jessica Faria da Silveira</t>
        </is>
      </c>
      <c r="C553" s="9" t="inlineStr">
        <is>
          <t>Técnico II</t>
        </is>
      </c>
      <c r="D553" s="3" t="n">
        <v>32</v>
      </c>
      <c r="E553" s="3" t="n">
        <v>26</v>
      </c>
      <c r="F553" s="3" t="n">
        <v>14.11</v>
      </c>
      <c r="G553" s="3" t="n">
        <v>0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IF(K553&lt;-5,"CRÍTICO",IF(K553&lt;0,"ATENÇÃO",IF(K553&lt;=5,"OPORTUNO","MUITO BOM")))</f>
        <v/>
      </c>
      <c r="M553" s="9" t="n">
        <v>23</v>
      </c>
      <c r="N553" s="9" t="n">
        <v>98.61</v>
      </c>
      <c r="O553" s="9" t="n">
        <v>16.97530864197531</v>
      </c>
    </row>
    <row r="554" hidden="1">
      <c r="A554" s="7" t="n">
        <v>46162</v>
      </c>
      <c r="B554" s="8" t="inlineStr">
        <is>
          <t>Jéssica Fé Moura</t>
        </is>
      </c>
      <c r="C554" s="9" t="inlineStr">
        <is>
          <t>Técnico III</t>
        </is>
      </c>
      <c r="D554" s="3" t="n">
        <v>0</v>
      </c>
      <c r="E554" s="3" t="n">
        <v>0</v>
      </c>
      <c r="F554" s="3" t="n">
        <v>0</v>
      </c>
      <c r="G554" s="3" t="n">
        <v>0</v>
      </c>
      <c r="H554" s="3" t="n">
        <v>0</v>
      </c>
      <c r="I554" s="3" t="n">
        <v>0</v>
      </c>
      <c r="J554" s="3" t="n">
        <v>0</v>
      </c>
      <c r="K554" s="3" t="n">
        <v>0</v>
      </c>
      <c r="L554" s="3">
        <f>IF(K554&lt;-5,"CRÍTICO",IF(K554&lt;0,"ATENÇÃO",IF(K554&lt;=5,"OPORTUNO","MUITO BOM")))</f>
        <v/>
      </c>
      <c r="M554" s="9" t="n">
        <v>0</v>
      </c>
      <c r="N554" s="9" t="n">
        <v>0</v>
      </c>
      <c r="O554" s="9" t="n">
        <v>0</v>
      </c>
    </row>
    <row r="555" hidden="1">
      <c r="A555" s="7" t="n">
        <v>46162</v>
      </c>
      <c r="B555" s="8" t="inlineStr">
        <is>
          <t>Karina Gonçalves Martins</t>
        </is>
      </c>
      <c r="C555" s="9" t="inlineStr">
        <is>
          <t>JR</t>
        </is>
      </c>
      <c r="D555" s="3" t="n">
        <v>21</v>
      </c>
      <c r="E555" s="3" t="n">
        <v>20</v>
      </c>
      <c r="F555" s="3" t="n">
        <v>23.27</v>
      </c>
      <c r="G555" s="3" t="n">
        <v>0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9" t="n">
        <v>20</v>
      </c>
      <c r="N555" s="9" t="n">
        <v>97.01000000000001</v>
      </c>
      <c r="O555" s="9" t="n">
        <v>13.96103896103896</v>
      </c>
    </row>
    <row r="556" hidden="1">
      <c r="A556" s="7" t="n">
        <v>46162</v>
      </c>
      <c r="B556" s="8" t="inlineStr">
        <is>
          <t>Kerollen Cristielly de Jesus Siqueira</t>
        </is>
      </c>
      <c r="C556" s="9" t="inlineStr">
        <is>
          <t>Técnico III</t>
        </is>
      </c>
      <c r="D556" s="3" t="n">
        <v>17</v>
      </c>
      <c r="E556" s="3" t="n">
        <v>16</v>
      </c>
      <c r="F556" s="3" t="n">
        <v>23.31</v>
      </c>
      <c r="G556" s="3" t="n">
        <v>1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IF(K556&lt;-5,"CRÍTICO",IF(K556&lt;0,"ATENÇÃO",IF(K556&lt;=5,"OPORTUNO","MUITO BOM")))</f>
        <v/>
      </c>
      <c r="M556" s="9" t="n">
        <v>18</v>
      </c>
      <c r="N556" s="9" t="n">
        <v>95.52</v>
      </c>
      <c r="O556" s="9" t="n">
        <v>10.56105610561056</v>
      </c>
    </row>
    <row r="557" hidden="1">
      <c r="A557" s="7" t="n">
        <v>46162</v>
      </c>
      <c r="B557" s="8" t="inlineStr">
        <is>
          <t>Leandro de Souza Silva</t>
        </is>
      </c>
      <c r="C557" s="9" t="inlineStr">
        <is>
          <t>JR</t>
        </is>
      </c>
      <c r="D557" s="3" t="n">
        <v>11</v>
      </c>
      <c r="E557" s="3" t="n">
        <v>10</v>
      </c>
      <c r="F557" s="3" t="n">
        <v>28.22</v>
      </c>
      <c r="G557" s="3" t="n">
        <v>2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IF(K557&lt;-5,"CRÍTICO",IF(K557&lt;0,"ATENÇÃO",IF(K557&lt;=5,"OPORTUNO","MUITO BOM")))</f>
        <v/>
      </c>
      <c r="M557" s="9" t="n">
        <v>12</v>
      </c>
      <c r="N557" s="9" t="n">
        <v>100</v>
      </c>
      <c r="O557" s="9" t="n">
        <v>16.95906432748538</v>
      </c>
    </row>
    <row r="558" hidden="1">
      <c r="A558" s="7" t="n">
        <v>46162</v>
      </c>
      <c r="B558" s="8" t="inlineStr">
        <is>
          <t>Leandro Oliveira de Sousa</t>
        </is>
      </c>
      <c r="C558" s="9" t="inlineStr">
        <is>
          <t>Técnico III</t>
        </is>
      </c>
      <c r="D558" s="3" t="n">
        <v>34</v>
      </c>
      <c r="E558" s="3" t="n">
        <v>29</v>
      </c>
      <c r="F558" s="3" t="n">
        <v>12.33</v>
      </c>
      <c r="G558" s="3" t="n">
        <v>0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IF(K558&lt;-5,"CRÍTICO",IF(K558&lt;0,"ATENÇÃO",IF(K558&lt;=5,"OPORTUNO","MUITO BOM")))</f>
        <v/>
      </c>
      <c r="M558" s="9" t="n">
        <v>28</v>
      </c>
      <c r="N558" s="9" t="n">
        <v>100</v>
      </c>
      <c r="O558" s="9" t="n">
        <v>15.58441558441558</v>
      </c>
    </row>
    <row r="559" hidden="1">
      <c r="A559" s="7" t="n">
        <v>46162</v>
      </c>
      <c r="B559" s="8" t="inlineStr">
        <is>
          <t>Lizandra Gomes Duarte</t>
        </is>
      </c>
      <c r="C559" s="9" t="inlineStr">
        <is>
          <t>Técnico II</t>
        </is>
      </c>
      <c r="D559" s="3" t="n">
        <v>25</v>
      </c>
      <c r="E559" s="3" t="n">
        <v>23</v>
      </c>
      <c r="F559" s="3" t="n">
        <v>20.02</v>
      </c>
      <c r="G559" s="3" t="n">
        <v>2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IF(K559&lt;-5,"CRÍTICO",IF(K559&lt;0,"ATENÇÃO",IF(K559&lt;=5,"OPORTUNO","MUITO BOM")))</f>
        <v/>
      </c>
      <c r="M559" s="9" t="n">
        <v>19</v>
      </c>
      <c r="N559" s="9" t="n">
        <v>98.61</v>
      </c>
      <c r="O559" s="9" t="n">
        <v>16.86746987951807</v>
      </c>
    </row>
    <row r="560" hidden="1">
      <c r="A560" s="7" t="n">
        <v>46162</v>
      </c>
      <c r="B560" s="8" t="inlineStr">
        <is>
          <t>Lorena Dias de Araujo</t>
        </is>
      </c>
      <c r="C560" s="9" t="inlineStr">
        <is>
          <t>Técnico II</t>
        </is>
      </c>
      <c r="D560" s="3" t="n">
        <v>16</v>
      </c>
      <c r="E560" s="3" t="n">
        <v>13</v>
      </c>
      <c r="F560" s="3" t="n">
        <v>25.44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IF(K560&lt;-5,"CRÍTICO",IF(K560&lt;0,"ATENÇÃO",IF(K560&lt;=5,"OPORTUNO","MUITO BOM")))</f>
        <v/>
      </c>
      <c r="M560" s="9" t="n">
        <v>8</v>
      </c>
      <c r="N560" s="9" t="n">
        <v>100</v>
      </c>
      <c r="O560" s="9" t="n">
        <v>20.82018927444795</v>
      </c>
    </row>
    <row r="561" hidden="1">
      <c r="A561" s="7" t="n">
        <v>46162</v>
      </c>
      <c r="B561" s="8" t="inlineStr">
        <is>
          <t>Lucas Luiz Romero</t>
        </is>
      </c>
      <c r="C561" s="9" t="inlineStr">
        <is>
          <t>Técnico III</t>
        </is>
      </c>
      <c r="D561" s="3" t="n">
        <v>26</v>
      </c>
      <c r="E561" s="3" t="n">
        <v>21</v>
      </c>
      <c r="F561" s="3" t="n">
        <v>15.25</v>
      </c>
      <c r="G561" s="3" t="n">
        <v>0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9" t="n">
        <v>18</v>
      </c>
      <c r="N561" s="9" t="n">
        <v>100</v>
      </c>
      <c r="O561" s="9" t="n">
        <v>4.347826086956522</v>
      </c>
    </row>
    <row r="562" hidden="1">
      <c r="A562" s="7" t="n">
        <v>46162</v>
      </c>
      <c r="B562" s="8" t="inlineStr">
        <is>
          <t>Luiz Fernando de Carvalho Junior</t>
        </is>
      </c>
      <c r="C562" s="9" t="inlineStr">
        <is>
          <t>Técnico I</t>
        </is>
      </c>
      <c r="D562" s="3" t="n">
        <v>18</v>
      </c>
      <c r="E562" s="3" t="n">
        <v>17</v>
      </c>
      <c r="F562" s="3" t="n">
        <v>15.33</v>
      </c>
      <c r="G562" s="3" t="n">
        <v>1</v>
      </c>
      <c r="H562" s="3" t="n">
        <v>0</v>
      </c>
      <c r="I562" s="3">
        <f>E562+G562+H562</f>
        <v/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/>
      </c>
      <c r="K562" s="3">
        <f>I562-J562</f>
        <v/>
      </c>
      <c r="L562" s="3">
        <f>IF(K562&lt;-5,"CRÍTICO",IF(K562&lt;0,"ATENÇÃO",IF(K562&lt;=5,"OPORTUNO","MUITO BOM")))</f>
        <v/>
      </c>
      <c r="M562" s="9" t="n">
        <v>16</v>
      </c>
      <c r="N562" s="9" t="n">
        <v>93.26000000000001</v>
      </c>
      <c r="O562" s="9" t="n">
        <v>19.93957703927493</v>
      </c>
    </row>
    <row r="563" hidden="1">
      <c r="A563" s="7" t="n">
        <v>46162</v>
      </c>
      <c r="B563" s="8" t="inlineStr">
        <is>
          <t>Maria Eduarda Sousa Costa</t>
        </is>
      </c>
      <c r="C563" s="9" t="inlineStr">
        <is>
          <t>Estágio</t>
        </is>
      </c>
      <c r="D563" s="3" t="n">
        <v>15</v>
      </c>
      <c r="E563" s="3" t="n">
        <v>10</v>
      </c>
      <c r="F563" s="3" t="n">
        <v>10.49</v>
      </c>
      <c r="G563" s="3" t="n">
        <v>0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IF(K563&lt;-5,"CRÍTICO",IF(K563&lt;0,"ATENÇÃO",IF(K563&lt;=5,"OPORTUNO","MUITO BOM")))</f>
        <v/>
      </c>
      <c r="M563" s="9" t="n">
        <v>5</v>
      </c>
      <c r="N563" s="9" t="n">
        <v>100</v>
      </c>
      <c r="O563" s="9" t="n">
        <v>11.86440677966102</v>
      </c>
    </row>
    <row r="564" hidden="1">
      <c r="A564" s="7" t="n">
        <v>46162</v>
      </c>
      <c r="B564" s="8" t="inlineStr">
        <is>
          <t>Matheus Farias De Souza</t>
        </is>
      </c>
      <c r="C564" s="9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25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IF(K564&lt;-5,"CRÍTICO",IF(K564&lt;0,"ATENÇÃO",IF(K564&lt;=5,"OPORTUNO","MUITO BOM")))</f>
        <v/>
      </c>
      <c r="M564" s="9" t="n">
        <v>16</v>
      </c>
      <c r="N564" s="9" t="n">
        <v>98.28</v>
      </c>
      <c r="O564" s="9" t="n">
        <v>9.037900874635568</v>
      </c>
    </row>
    <row r="565" hidden="1">
      <c r="A565" s="7" t="n">
        <v>46162</v>
      </c>
      <c r="B565" s="8" t="inlineStr">
        <is>
          <t>Maysa Victoria Dias Moura</t>
        </is>
      </c>
      <c r="C565" s="9" t="inlineStr">
        <is>
          <t>Técnico III</t>
        </is>
      </c>
      <c r="D565" s="3" t="n">
        <v>27</v>
      </c>
      <c r="E565" s="3" t="n">
        <v>25</v>
      </c>
      <c r="F565" s="3" t="n">
        <v>15.01</v>
      </c>
      <c r="G565" s="3" t="n">
        <v>2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IF(K565&lt;-5,"CRÍTICO",IF(K565&lt;0,"ATENÇÃO",IF(K565&lt;=5,"OPORTUNO","MUITO BOM")))</f>
        <v/>
      </c>
      <c r="M565" s="9" t="n">
        <v>23</v>
      </c>
      <c r="N565" s="9" t="n">
        <v>97.22</v>
      </c>
      <c r="O565" s="9" t="n">
        <v>19.09547738693467</v>
      </c>
    </row>
    <row r="566" hidden="1">
      <c r="A566" s="7" t="n">
        <v>46162</v>
      </c>
      <c r="B566" s="8" t="inlineStr">
        <is>
          <t>Michelle G Santos</t>
        </is>
      </c>
      <c r="C566" s="9" t="inlineStr">
        <is>
          <t>Estágio</t>
        </is>
      </c>
      <c r="D566" s="3" t="n">
        <v>19</v>
      </c>
      <c r="E566" s="3" t="n">
        <v>17</v>
      </c>
      <c r="F566" s="3" t="n">
        <v>22.03</v>
      </c>
      <c r="G566" s="3" t="n">
        <v>0</v>
      </c>
      <c r="H566" s="3" t="n">
        <v>0</v>
      </c>
      <c r="I566" s="3">
        <f>E566+G566+H566</f>
        <v/>
      </c>
      <c r="J566" s="3">
        <f>ROUND(MIN(IF(C566="Técnico III",35,IF(C566="Técnico II",28,IF(C566="Técnico I",23,IF(C566="JR",20,IF(C566="Estágio",10,0))))),IF(C566="Técnico III",SUMIFS($D:$D,$A:$A,$A566,$B:$B,"&lt;&gt;Patrícia Karla de Sousa Araújo",$B:$B,"&lt;&gt;Lorena Dias de Araujo",$B:$B,"&lt;&gt;Lucas Luiz Romero")*(35/1083),IF(C566="Técnico II",SUMIFS($D:$D,$A:$A,$A566,$B:$B,"&lt;&gt;Patrícia Karla de Sousa Araújo",$B:$B,"&lt;&gt;Lorena Dias de Araujo",$B:$B,"&lt;&gt;Lucas Luiz Romero")*(28/1083),IF(C566="Técnico I",SUMIFS($D:$D,$A:$A,$A566,$B:$B,"&lt;&gt;Patrícia Karla de Sousa Araújo",$B:$B,"&lt;&gt;Lorena Dias de Araujo",$B:$B,"&lt;&gt;Lucas Luiz Romero")*(23/1083),IF(C566="JR",SUMIFS($D:$D,$A:$A,$A566,$B:$B,"&lt;&gt;Patrícia Karla de Sousa Araújo",$B:$B,"&lt;&gt;Lorena Dias de Araujo",$B:$B,"&lt;&gt;Lucas Luiz Romero")*(20/1083),IF(C566="Estágio",SUMIFS($D:$D,$A:$A,$A566,$B:$B,"&lt;&gt;Patrícia Karla de Sousa Araújo",$B:$B,"&lt;&gt;Lorena Dias de Araujo",$B:$B,"&lt;&gt;Lucas Luiz Romero")*(10/1083),0)))))),0)</f>
        <v/>
      </c>
      <c r="K566" s="3">
        <f>I566-J566</f>
        <v/>
      </c>
      <c r="L566" s="3">
        <f>IF(K566&lt;-5,"CRÍTICO",IF(K566&lt;0,"ATENÇÃO",IF(K566&lt;=5,"OPORTUNO","MUITO BOM")))</f>
        <v/>
      </c>
      <c r="M566" s="9" t="n">
        <v>14</v>
      </c>
      <c r="N566" s="9" t="n">
        <v>100</v>
      </c>
      <c r="O566" s="9" t="n">
        <v>16.8141592920354</v>
      </c>
    </row>
    <row r="567" hidden="1">
      <c r="A567" s="7" t="n">
        <v>46162</v>
      </c>
      <c r="B567" s="8" t="inlineStr">
        <is>
          <t>Milena Sales</t>
        </is>
      </c>
      <c r="C567" s="9" t="inlineStr">
        <is>
          <t>JR</t>
        </is>
      </c>
      <c r="D567" s="3" t="n">
        <v>25</v>
      </c>
      <c r="E567" s="3" t="n">
        <v>20</v>
      </c>
      <c r="F567" s="3" t="n">
        <v>15.38</v>
      </c>
      <c r="G567" s="3" t="n">
        <v>1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IF(K567&lt;-5,"CRÍTICO",IF(K567&lt;0,"ATENÇÃO",IF(K567&lt;=5,"OPORTUNO","MUITO BOM")))</f>
        <v/>
      </c>
      <c r="M567" s="9" t="n">
        <v>19</v>
      </c>
      <c r="N567" s="9" t="n">
        <v>98</v>
      </c>
      <c r="O567" s="9" t="n">
        <v>16.43835616438356</v>
      </c>
    </row>
    <row r="568" hidden="1">
      <c r="A568" s="7" t="n">
        <v>46162</v>
      </c>
      <c r="B568" s="8" t="inlineStr">
        <is>
          <t>Patrícia Karla de Sousa Araújo</t>
        </is>
      </c>
      <c r="C568" s="9" t="inlineStr">
        <is>
          <t>Técnico 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 t="n">
        <v>0</v>
      </c>
      <c r="J568" s="3" t="n">
        <v>0</v>
      </c>
      <c r="K568" s="3" t="n">
        <v>0</v>
      </c>
      <c r="L568" s="3">
        <f>IF(K568&lt;-5,"CRÍTICO",IF(K568&lt;0,"ATENÇÃO",IF(K568&lt;=5,"OPORTUNO","MUITO BOM")))</f>
        <v/>
      </c>
      <c r="M568" s="9" t="n">
        <v>0</v>
      </c>
      <c r="N568" s="9" t="n">
        <v>100</v>
      </c>
      <c r="O568" s="9" t="n">
        <v>16.89497716894977</v>
      </c>
    </row>
    <row r="569" hidden="1">
      <c r="A569" s="7" t="n">
        <v>46162</v>
      </c>
      <c r="B569" s="8" t="inlineStr">
        <is>
          <t>Paulo Ricardo Santos</t>
        </is>
      </c>
      <c r="C569" s="9" t="inlineStr">
        <is>
          <t>JR</t>
        </is>
      </c>
      <c r="D569" s="3" t="n">
        <v>14</v>
      </c>
      <c r="E569" s="3" t="n">
        <v>14</v>
      </c>
      <c r="F569" s="3" t="n">
        <v>22.09</v>
      </c>
      <c r="G569" s="3" t="n">
        <v>0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IF(K569&lt;-5,"CRÍTICO",IF(K569&lt;0,"ATENÇÃO",IF(K569&lt;=5,"OPORTUNO","MUITO BOM")))</f>
        <v/>
      </c>
      <c r="M569" s="9" t="n">
        <v>11</v>
      </c>
      <c r="N569" s="9" t="n">
        <v>100</v>
      </c>
      <c r="O569" s="9" t="n">
        <v>19.13875598086124</v>
      </c>
    </row>
    <row r="570" hidden="1">
      <c r="A570" s="7" t="n">
        <v>46162</v>
      </c>
      <c r="B570" s="8" t="inlineStr">
        <is>
          <t>Pedro Luiz Mota Sousa</t>
        </is>
      </c>
      <c r="C570" s="9" t="inlineStr">
        <is>
          <t>JR</t>
        </is>
      </c>
      <c r="D570" s="3" t="n">
        <v>15</v>
      </c>
      <c r="E570" s="3" t="n">
        <v>13</v>
      </c>
      <c r="F570" s="3" t="n">
        <v>18.21</v>
      </c>
      <c r="G570" s="3" t="n">
        <v>2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IF(K570&lt;-5,"CRÍTICO",IF(K570&lt;0,"ATENÇÃO",IF(K570&lt;=5,"OPORTUNO","MUITO BOM")))</f>
        <v/>
      </c>
      <c r="M570" s="9" t="n">
        <v>15</v>
      </c>
      <c r="N570" s="9" t="n">
        <v>100</v>
      </c>
      <c r="O570" s="9" t="n">
        <v>15.02145922746781</v>
      </c>
    </row>
    <row r="571" hidden="1">
      <c r="A571" s="7" t="n">
        <v>46162</v>
      </c>
      <c r="B571" s="8" t="inlineStr">
        <is>
          <t>Quirino Diogo Leite Torres</t>
        </is>
      </c>
      <c r="C571" s="9" t="inlineStr">
        <is>
          <t>Estágio</t>
        </is>
      </c>
      <c r="D571" s="3" t="n">
        <v>18</v>
      </c>
      <c r="E571" s="3" t="n">
        <v>15</v>
      </c>
      <c r="F571" s="3" t="n">
        <v>25.22</v>
      </c>
      <c r="G571" s="3" t="n">
        <v>0</v>
      </c>
      <c r="H571" s="3" t="n">
        <v>0</v>
      </c>
      <c r="I571" s="3">
        <f>E571+G571+H571</f>
        <v/>
      </c>
      <c r="J571" s="3">
        <f>ROUND(MIN(IF(C571="Técnico III",35,IF(C571="Técnico II",28,IF(C571="Técnico I",23,IF(C571="JR",20,IF(C571="Estágio",10,0))))),IF(C571="Técnico III",SUMIFS($D:$D,$A:$A,$A571,$B:$B,"&lt;&gt;Patrícia Karla de Sousa Araújo",$B:$B,"&lt;&gt;Lorena Dias de Araujo",$B:$B,"&lt;&gt;Lucas Luiz Romero")*(35/1083),IF(C571="Técnico II",SUMIFS($D:$D,$A:$A,$A571,$B:$B,"&lt;&gt;Patrícia Karla de Sousa Araújo",$B:$B,"&lt;&gt;Lorena Dias de Araujo",$B:$B,"&lt;&gt;Lucas Luiz Romero")*(28/1083),IF(C571="Técnico I",SUMIFS($D:$D,$A:$A,$A571,$B:$B,"&lt;&gt;Patrícia Karla de Sousa Araújo",$B:$B,"&lt;&gt;Lorena Dias de Araujo",$B:$B,"&lt;&gt;Lucas Luiz Romero")*(23/1083),IF(C571="JR",SUMIFS($D:$D,$A:$A,$A571,$B:$B,"&lt;&gt;Patrícia Karla de Sousa Araújo",$B:$B,"&lt;&gt;Lorena Dias de Araujo",$B:$B,"&lt;&gt;Lucas Luiz Romero")*(20/1083),IF(C571="Estágio",SUMIFS($D:$D,$A:$A,$A571,$B:$B,"&lt;&gt;Patrícia Karla de Sousa Araújo",$B:$B,"&lt;&gt;Lorena Dias de Araujo",$B:$B,"&lt;&gt;Lucas Luiz Romero")*(10/1083),0)))))),0)</f>
        <v/>
      </c>
      <c r="K571" s="3">
        <f>I571-J571</f>
        <v/>
      </c>
      <c r="L571" s="3">
        <f>IF(K571&lt;-5,"CRÍTICO",IF(K571&lt;0,"ATENÇÃO",IF(K571&lt;=5,"OPORTUNO","MUITO BOM")))</f>
        <v/>
      </c>
      <c r="M571" s="9" t="n">
        <v>13</v>
      </c>
      <c r="N571" s="9" t="n">
        <v>98.11</v>
      </c>
      <c r="O571" s="9" t="n">
        <v>20.40816326530612</v>
      </c>
    </row>
    <row r="572" hidden="1">
      <c r="A572" s="7" t="n">
        <v>46162</v>
      </c>
      <c r="B572" s="8" t="inlineStr">
        <is>
          <t>Raane Batista Matos</t>
        </is>
      </c>
      <c r="C572" s="9" t="inlineStr">
        <is>
          <t>Técnico I</t>
        </is>
      </c>
      <c r="D572" s="3" t="n">
        <v>25</v>
      </c>
      <c r="E572" s="3" t="n">
        <v>24</v>
      </c>
      <c r="F572" s="3" t="n">
        <v>17.06</v>
      </c>
      <c r="G572" s="3" t="n">
        <v>1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IF(K572&lt;-5,"CRÍTICO",IF(K572&lt;0,"ATENÇÃO",IF(K572&lt;=5,"OPORTUNO","MUITO BOM")))</f>
        <v/>
      </c>
      <c r="M572" s="9" t="n">
        <v>18</v>
      </c>
      <c r="N572" s="9" t="n">
        <v>97.56</v>
      </c>
      <c r="O572" s="9" t="n">
        <v>19.28783382789317</v>
      </c>
    </row>
    <row r="573" hidden="1">
      <c r="A573" s="7" t="n">
        <v>46162</v>
      </c>
      <c r="B573" s="8" t="inlineStr">
        <is>
          <t>Rafael Gomes de Morais</t>
        </is>
      </c>
      <c r="C573" s="9" t="inlineStr">
        <is>
          <t>Técnico III</t>
        </is>
      </c>
      <c r="D573" s="3" t="n">
        <v>37</v>
      </c>
      <c r="E573" s="3" t="n">
        <v>33</v>
      </c>
      <c r="F573" s="3" t="n">
        <v>15.26</v>
      </c>
      <c r="G573" s="3" t="n">
        <v>0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9" t="n">
        <v>28</v>
      </c>
      <c r="N573" s="9" t="n">
        <v>99.29000000000001</v>
      </c>
      <c r="O573" s="9" t="n">
        <v>22.49443207126949</v>
      </c>
    </row>
    <row r="574" hidden="1">
      <c r="A574" s="7" t="n">
        <v>46162</v>
      </c>
      <c r="B574" s="8" t="inlineStr">
        <is>
          <t>Sara Maria Monteiro Lopes</t>
        </is>
      </c>
      <c r="C574" s="9" t="inlineStr">
        <is>
          <t>Técnico I</t>
        </is>
      </c>
      <c r="D574" s="3" t="n">
        <v>17</v>
      </c>
      <c r="E574" s="3" t="n">
        <v>17</v>
      </c>
      <c r="F574" s="3" t="n">
        <v>34.04</v>
      </c>
      <c r="G574" s="3" t="n">
        <v>1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IF(K574&lt;-5,"CRÍTICO",IF(K574&lt;0,"ATENÇÃO",IF(K574&lt;=5,"OPORTUNO","MUITO BOM")))</f>
        <v/>
      </c>
      <c r="M574" s="9" t="n">
        <v>14</v>
      </c>
      <c r="N574" s="9" t="n">
        <v>100</v>
      </c>
      <c r="O574" s="9" t="n">
        <v>16.97247706422019</v>
      </c>
    </row>
    <row r="575" hidden="1">
      <c r="A575" s="7" t="n">
        <v>46162</v>
      </c>
      <c r="B575" s="8" t="inlineStr">
        <is>
          <t>Sarah Steffanie de Lima Borges</t>
        </is>
      </c>
      <c r="C575" s="9" t="inlineStr">
        <is>
          <t>Técnico III</t>
        </is>
      </c>
      <c r="D575" s="3" t="n">
        <v>25</v>
      </c>
      <c r="E575" s="3" t="n">
        <v>23</v>
      </c>
      <c r="F575" s="3" t="n">
        <v>12.07</v>
      </c>
      <c r="G575" s="3" t="n">
        <v>1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9" t="n">
        <v>21</v>
      </c>
      <c r="N575" s="9" t="n">
        <v>97.33</v>
      </c>
      <c r="O575" s="9" t="n">
        <v>15.80547112462006</v>
      </c>
    </row>
    <row r="576" hidden="1">
      <c r="A576" s="5" t="n">
        <v>46163</v>
      </c>
      <c r="B576" s="6" t="inlineStr">
        <is>
          <t>Alisson de Freitas Silva</t>
        </is>
      </c>
      <c r="C576" s="3" t="inlineStr">
        <is>
          <t>Técnico II</t>
        </is>
      </c>
      <c r="D576" s="3" t="n">
        <v>31</v>
      </c>
      <c r="E576" s="3" t="n">
        <v>19</v>
      </c>
      <c r="F576" s="3" t="n">
        <v>5.55</v>
      </c>
      <c r="G576" s="3" t="n">
        <v>1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17</v>
      </c>
      <c r="N576" s="3" t="n">
        <v>98.94</v>
      </c>
      <c r="O576" s="3" t="n">
        <v>19.61414790996785</v>
      </c>
    </row>
    <row r="577" hidden="1">
      <c r="A577" s="5" t="n">
        <v>46163</v>
      </c>
      <c r="B577" s="6" t="inlineStr">
        <is>
          <t>Amanda Moura Ferreira</t>
        </is>
      </c>
      <c r="C577" s="3" t="inlineStr">
        <is>
          <t>Técnico III</t>
        </is>
      </c>
      <c r="D577" s="3" t="n">
        <v>0</v>
      </c>
      <c r="E577" s="3" t="n">
        <v>0</v>
      </c>
      <c r="F577" s="3" t="n">
        <v>0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IF(K577&lt;-5,"CRÍTICO",IF(K577&lt;0,"ATENÇÃO",IF(K577&lt;=5,"OPORTUNO","MUITO BOM")))</f>
        <v/>
      </c>
      <c r="M577" s="3" t="n">
        <v>0</v>
      </c>
      <c r="N577" s="3" t="n">
        <v>100</v>
      </c>
      <c r="O577" s="3" t="n">
        <v>0</v>
      </c>
    </row>
    <row r="578" hidden="1">
      <c r="A578" s="5" t="n">
        <v>46163</v>
      </c>
      <c r="B578" s="6" t="inlineStr">
        <is>
          <t>Ana Karollyne Souza Faria</t>
        </is>
      </c>
      <c r="C578" s="3" t="inlineStr">
        <is>
          <t>Técnico I</t>
        </is>
      </c>
      <c r="D578" s="3" t="n">
        <v>24</v>
      </c>
      <c r="E578" s="3" t="n">
        <v>23</v>
      </c>
      <c r="F578" s="3" t="n">
        <v>17.07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21</v>
      </c>
      <c r="N578" s="3" t="n">
        <v>95.38</v>
      </c>
      <c r="O578" s="3" t="n">
        <v>21.5962441314554</v>
      </c>
    </row>
    <row r="579" hidden="1">
      <c r="A579" s="5" t="n">
        <v>46163</v>
      </c>
      <c r="B579" s="6" t="inlineStr">
        <is>
          <t>Ana Paula Da Luz Silva Aleixo</t>
        </is>
      </c>
      <c r="C579" s="3" t="inlineStr">
        <is>
          <t>Técnico III</t>
        </is>
      </c>
      <c r="D579" s="3" t="n">
        <v>17</v>
      </c>
      <c r="E579" s="3" t="n">
        <v>15</v>
      </c>
      <c r="F579" s="3" t="n">
        <v>20.24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13</v>
      </c>
      <c r="N579" s="3" t="n">
        <v>96.34</v>
      </c>
      <c r="O579" s="3" t="n">
        <v>17.57188498402556</v>
      </c>
    </row>
    <row r="580" hidden="1">
      <c r="A580" s="5" t="n">
        <v>46163</v>
      </c>
      <c r="B580" s="6" t="inlineStr">
        <is>
          <t>Anna Luiza Rezende Tavares</t>
        </is>
      </c>
      <c r="C580" s="3" t="inlineStr">
        <is>
          <t>JR</t>
        </is>
      </c>
      <c r="D580" s="3" t="n">
        <v>24</v>
      </c>
      <c r="E580" s="3" t="n">
        <v>22</v>
      </c>
      <c r="F580" s="3" t="n">
        <v>15.57</v>
      </c>
      <c r="G580" s="3" t="n">
        <v>0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20</v>
      </c>
      <c r="N580" s="3" t="n">
        <v>99.11</v>
      </c>
      <c r="O580" s="3" t="n">
        <v>17.72151898734177</v>
      </c>
    </row>
    <row r="581" hidden="1">
      <c r="A581" s="5" t="n">
        <v>46163</v>
      </c>
      <c r="B581" s="6" t="inlineStr">
        <is>
          <t>Brenda de Menezes Silva</t>
        </is>
      </c>
      <c r="C581" s="3" t="inlineStr">
        <is>
          <t>Técnico II</t>
        </is>
      </c>
      <c r="D581" s="3" t="n">
        <v>31</v>
      </c>
      <c r="E581" s="3" t="n">
        <v>27</v>
      </c>
      <c r="F581" s="3" t="n">
        <v>10.15</v>
      </c>
      <c r="G581" s="3" t="n">
        <v>4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28</v>
      </c>
      <c r="N581" s="3" t="n">
        <v>99.13</v>
      </c>
      <c r="O581" s="3" t="n">
        <v>14.7239263803681</v>
      </c>
    </row>
    <row r="582" hidden="1">
      <c r="A582" s="5" t="n">
        <v>46163</v>
      </c>
      <c r="B582" s="6" t="inlineStr">
        <is>
          <t>Carlos Mateus Cassimiro Nunes</t>
        </is>
      </c>
      <c r="C582" s="3" t="inlineStr">
        <is>
          <t>Técnico II</t>
        </is>
      </c>
      <c r="D582" s="3" t="n">
        <v>24</v>
      </c>
      <c r="E582" s="3" t="n">
        <v>22</v>
      </c>
      <c r="F582" s="3" t="n">
        <v>18.55</v>
      </c>
      <c r="G582" s="3" t="n">
        <v>1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21</v>
      </c>
      <c r="N582" s="3" t="n">
        <v>98.8</v>
      </c>
      <c r="O582" s="3" t="n">
        <v>16.89750692520776</v>
      </c>
    </row>
    <row r="583" hidden="1">
      <c r="A583" s="5" t="n">
        <v>46163</v>
      </c>
      <c r="B583" s="6" t="inlineStr">
        <is>
          <t>Claudio de Sousa Velasco Filho</t>
        </is>
      </c>
      <c r="C583" s="3" t="inlineStr">
        <is>
          <t>Estágio</t>
        </is>
      </c>
      <c r="D583" s="3" t="n">
        <v>7</v>
      </c>
      <c r="E583" s="3" t="n">
        <v>6</v>
      </c>
      <c r="F583" s="3" t="n">
        <v>27.14</v>
      </c>
      <c r="G583" s="3" t="n">
        <v>0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IF(K583&lt;-5,"CRÍTICO",IF(K583&lt;0,"ATENÇÃO",IF(K583&lt;=5,"OPORTUNO","MUITO BOM")))</f>
        <v/>
      </c>
      <c r="M583" s="3" t="n">
        <v>4</v>
      </c>
      <c r="N583" s="3" t="n">
        <v>96.43000000000001</v>
      </c>
      <c r="O583" s="3" t="n">
        <v>20</v>
      </c>
    </row>
    <row r="584" hidden="1">
      <c r="A584" s="5" t="n">
        <v>46163</v>
      </c>
      <c r="B584" s="6" t="inlineStr">
        <is>
          <t>Clessiane Pereira dos Santos</t>
        </is>
      </c>
      <c r="C584" s="3" t="inlineStr">
        <is>
          <t>Técnico I</t>
        </is>
      </c>
      <c r="D584" s="3" t="n">
        <v>23</v>
      </c>
      <c r="E584" s="3" t="n">
        <v>22</v>
      </c>
      <c r="F584" s="3" t="n">
        <v>17.08</v>
      </c>
      <c r="G584" s="3" t="n">
        <v>0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17</v>
      </c>
      <c r="N584" s="3" t="n">
        <v>96.88</v>
      </c>
      <c r="O584" s="3" t="n">
        <v>19.52662721893491</v>
      </c>
    </row>
    <row r="585" hidden="1">
      <c r="A585" s="5" t="n">
        <v>46163</v>
      </c>
      <c r="B585" s="6" t="inlineStr">
        <is>
          <t>Cristiane Ramos da Silva Rocha</t>
        </is>
      </c>
      <c r="C585" s="3" t="inlineStr">
        <is>
          <t>Técnico III</t>
        </is>
      </c>
      <c r="D585" s="3" t="n">
        <v>22</v>
      </c>
      <c r="E585" s="3" t="n">
        <v>22</v>
      </c>
      <c r="F585" s="3" t="n">
        <v>13.42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20</v>
      </c>
      <c r="N585" s="3" t="n">
        <v>91.84999999999999</v>
      </c>
      <c r="O585" s="3" t="n">
        <v>20.87155963302752</v>
      </c>
    </row>
    <row r="586" hidden="1">
      <c r="A586" s="5" t="n">
        <v>46163</v>
      </c>
      <c r="B586" s="6" t="inlineStr">
        <is>
          <t>Damyllis Lorraine de Oliveira Gonçalves</t>
        </is>
      </c>
      <c r="C586" s="3" t="inlineStr">
        <is>
          <t>Técnico II</t>
        </is>
      </c>
      <c r="D586" s="3" t="n">
        <v>0</v>
      </c>
      <c r="E586" s="3" t="n">
        <v>0</v>
      </c>
      <c r="F586" s="3" t="n">
        <v>0</v>
      </c>
      <c r="G586" s="3" t="n">
        <v>0</v>
      </c>
      <c r="H586" s="3" t="n">
        <v>0</v>
      </c>
      <c r="I586" s="3" t="n">
        <v>0</v>
      </c>
      <c r="J586" s="3" t="n">
        <v>0</v>
      </c>
      <c r="K586" s="3" t="n">
        <v>0</v>
      </c>
      <c r="L586" s="3">
        <f>IF(K586&lt;-5,"CRÍTICO",IF(K586&lt;0,"ATENÇÃO",IF(K586&lt;=5,"OPORTUNO","MUITO BOM")))</f>
        <v/>
      </c>
      <c r="M586" s="3" t="n">
        <v>0</v>
      </c>
      <c r="N586" s="3" t="n">
        <v>98.63</v>
      </c>
      <c r="O586" s="3" t="n">
        <v>18.75</v>
      </c>
    </row>
    <row r="587" hidden="1">
      <c r="A587" s="5" t="n">
        <v>46163</v>
      </c>
      <c r="B587" s="6" t="inlineStr">
        <is>
          <t>Daniel Gomes da Silva</t>
        </is>
      </c>
      <c r="C587" s="3" t="inlineStr">
        <is>
          <t>Técnico I</t>
        </is>
      </c>
      <c r="D587" s="3" t="n">
        <v>16</v>
      </c>
      <c r="E587" s="3" t="n">
        <v>16</v>
      </c>
      <c r="F587" s="3" t="n">
        <v>26.5</v>
      </c>
      <c r="G587" s="3" t="n">
        <v>0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14</v>
      </c>
      <c r="N587" s="3" t="n">
        <v>100</v>
      </c>
      <c r="O587" s="3" t="n">
        <v>18.14516129032258</v>
      </c>
    </row>
    <row r="588" hidden="1">
      <c r="A588" s="5" t="n">
        <v>46163</v>
      </c>
      <c r="B588" s="6" t="inlineStr">
        <is>
          <t>Davylla Rodrigues Freitas Silva</t>
        </is>
      </c>
      <c r="C588" s="3" t="inlineStr">
        <is>
          <t>Técnico III</t>
        </is>
      </c>
      <c r="D588" s="3" t="n">
        <v>0</v>
      </c>
      <c r="E588" s="3" t="n">
        <v>0</v>
      </c>
      <c r="F588" s="3" t="n">
        <v>0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IF(K588&lt;-5,"CRÍTICO",IF(K588&lt;0,"ATENÇÃO",IF(K588&lt;=5,"OPORTUNO","MUITO BOM")))</f>
        <v/>
      </c>
      <c r="M588" s="3" t="n">
        <v>0</v>
      </c>
      <c r="N588" s="3" t="n">
        <v>99.06</v>
      </c>
      <c r="O588" s="3" t="n">
        <v>22.95719844357977</v>
      </c>
    </row>
    <row r="589" hidden="1">
      <c r="A589" s="5" t="n">
        <v>46163</v>
      </c>
      <c r="B589" s="6" t="inlineStr">
        <is>
          <t>Emilly Caylane Costa</t>
        </is>
      </c>
      <c r="C589" s="3" t="inlineStr">
        <is>
          <t>Estágio</t>
        </is>
      </c>
      <c r="D589" s="3" t="n">
        <v>9</v>
      </c>
      <c r="E589" s="3" t="n">
        <v>8</v>
      </c>
      <c r="F589" s="3" t="n">
        <v>23.57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6</v>
      </c>
      <c r="N589" s="3" t="n">
        <v>100</v>
      </c>
      <c r="O589" s="3" t="n">
        <v>29.03225806451613</v>
      </c>
    </row>
    <row r="590" hidden="1">
      <c r="A590" s="5" t="n">
        <v>46163</v>
      </c>
      <c r="B590" s="6" t="inlineStr">
        <is>
          <t>Emilly Kamilly Medeiros Miranda</t>
        </is>
      </c>
      <c r="C590" s="3" t="inlineStr">
        <is>
          <t>Técnico II</t>
        </is>
      </c>
      <c r="D590" s="3" t="n">
        <v>28</v>
      </c>
      <c r="E590" s="3" t="n">
        <v>23</v>
      </c>
      <c r="F590" s="3" t="n">
        <v>9.02</v>
      </c>
      <c r="G590" s="3" t="n">
        <v>3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IF(K590&lt;-5,"CRÍTICO",IF(K590&lt;0,"ATENÇÃO",IF(K590&lt;=5,"OPORTUNO","MUITO BOM")))</f>
        <v/>
      </c>
      <c r="M590" s="3" t="n">
        <v>25</v>
      </c>
      <c r="N590" s="3" t="n">
        <v>100</v>
      </c>
      <c r="O590" s="3" t="n">
        <v>13.8121546961326</v>
      </c>
    </row>
    <row r="591" hidden="1">
      <c r="A591" s="5" t="n">
        <v>46163</v>
      </c>
      <c r="B591" s="6" t="inlineStr">
        <is>
          <t>Francielson de Oliveira</t>
        </is>
      </c>
      <c r="C591" s="3" t="inlineStr">
        <is>
          <t>Técnico III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 t="n">
        <v>0</v>
      </c>
      <c r="J591" s="3" t="n">
        <v>0</v>
      </c>
      <c r="K591" s="3" t="n">
        <v>0</v>
      </c>
      <c r="L591" s="3">
        <f>IF(K591&lt;-5,"CRÍTICO",IF(K591&lt;0,"ATENÇÃO",IF(K591&lt;=5,"OPORTUNO","MUITO BOM")))</f>
        <v/>
      </c>
      <c r="M591" s="3" t="n">
        <v>0</v>
      </c>
      <c r="N591" s="3" t="n">
        <v>100</v>
      </c>
      <c r="O591" s="3" t="n">
        <v>9.523809523809524</v>
      </c>
    </row>
    <row r="592" hidden="1">
      <c r="A592" s="5" t="n">
        <v>46163</v>
      </c>
      <c r="B592" s="6" t="inlineStr">
        <is>
          <t>Francilene Ferreira de Jesus</t>
        </is>
      </c>
      <c r="C592" s="3" t="inlineStr">
        <is>
          <t>Técnico II</t>
        </is>
      </c>
      <c r="D592" s="3" t="n">
        <v>0</v>
      </c>
      <c r="E592" s="3" t="n">
        <v>0</v>
      </c>
      <c r="F592" s="3" t="n">
        <v>0</v>
      </c>
      <c r="G592" s="3" t="n">
        <v>0</v>
      </c>
      <c r="H592" s="3" t="n">
        <v>0</v>
      </c>
      <c r="I592" s="3" t="n">
        <v>0</v>
      </c>
      <c r="J592" s="3" t="n">
        <v>0</v>
      </c>
      <c r="K592" s="3" t="n">
        <v>0</v>
      </c>
      <c r="L592" s="3">
        <f>IF(K592&lt;-5,"CRÍTICO",IF(K592&lt;0,"ATENÇÃO",IF(K592&lt;=5,"OPORTUNO","MUITO BOM")))</f>
        <v/>
      </c>
      <c r="M592" s="3" t="n">
        <v>0</v>
      </c>
      <c r="N592" s="3" t="n">
        <v>100</v>
      </c>
      <c r="O592" s="3" t="n">
        <v>17.24137931034483</v>
      </c>
    </row>
    <row r="593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N593" t="n">
        <v>98.91</v>
      </c>
      <c r="O593" t="n">
        <v>31.36729222520107</v>
      </c>
    </row>
    <row r="594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N594" t="n">
        <v>98.91</v>
      </c>
      <c r="O594" t="n">
        <v>31.36729222520107</v>
      </c>
    </row>
    <row r="595" hidden="1">
      <c r="A595" s="5" t="n">
        <v>46163</v>
      </c>
      <c r="B595" s="6" t="inlineStr">
        <is>
          <t>Isabella Borges de Oliveira</t>
        </is>
      </c>
      <c r="C595" s="3" t="inlineStr">
        <is>
          <t>Técnico II</t>
        </is>
      </c>
      <c r="D595" s="3" t="n">
        <v>22</v>
      </c>
      <c r="E595" s="3" t="n">
        <v>21</v>
      </c>
      <c r="F595" s="3" t="n">
        <v>19.05</v>
      </c>
      <c r="G595" s="3" t="n">
        <v>1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19</v>
      </c>
      <c r="N595" s="3" t="n">
        <v>98.63</v>
      </c>
      <c r="O595" s="3" t="n">
        <v>15.75757575757576</v>
      </c>
    </row>
    <row r="596" hidden="1">
      <c r="A596" s="5" t="n">
        <v>46163</v>
      </c>
      <c r="B596" s="6" t="inlineStr">
        <is>
          <t>Janaina Lima dos Reis Urany</t>
        </is>
      </c>
      <c r="C596" s="3" t="inlineStr">
        <is>
          <t>Técnico III</t>
        </is>
      </c>
      <c r="D596" s="3" t="n">
        <v>31</v>
      </c>
      <c r="E596" s="3" t="n">
        <v>28</v>
      </c>
      <c r="F596" s="3" t="n">
        <v>13.35</v>
      </c>
      <c r="G596" s="3" t="n">
        <v>2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28</v>
      </c>
      <c r="N596" s="3" t="n">
        <v>98.64</v>
      </c>
      <c r="O596" s="3" t="n">
        <v>16.6383701188455</v>
      </c>
    </row>
    <row r="597" hidden="1">
      <c r="A597" s="5" t="n">
        <v>46163</v>
      </c>
      <c r="B597" s="6" t="inlineStr">
        <is>
          <t>Jaqueline Evangelista da Silva Martins</t>
        </is>
      </c>
      <c r="C597" s="3" t="inlineStr">
        <is>
          <t>Técnico III</t>
        </is>
      </c>
      <c r="D597" s="3" t="n">
        <v>10</v>
      </c>
      <c r="E597" s="3" t="n">
        <v>10</v>
      </c>
      <c r="F597" s="3" t="n">
        <v>19.12</v>
      </c>
      <c r="G597" s="3" t="n">
        <v>2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10</v>
      </c>
      <c r="N597" s="3" t="n">
        <v>95.40000000000001</v>
      </c>
      <c r="O597" s="3" t="n">
        <v>20.53333333333333</v>
      </c>
    </row>
    <row r="598" hidden="1">
      <c r="A598" s="5" t="n">
        <v>46163</v>
      </c>
      <c r="B598" s="6" t="inlineStr">
        <is>
          <t>Jessica Faria da Silveira</t>
        </is>
      </c>
      <c r="C598" s="3" t="inlineStr">
        <is>
          <t>Técnico II</t>
        </is>
      </c>
      <c r="D598" s="3" t="n">
        <v>17</v>
      </c>
      <c r="E598" s="3" t="n">
        <v>14</v>
      </c>
      <c r="F598" s="3" t="n">
        <v>17.2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14</v>
      </c>
      <c r="N598" s="3" t="n">
        <v>98.61</v>
      </c>
      <c r="O598" s="3" t="n">
        <v>16.97530864197531</v>
      </c>
    </row>
    <row r="599" hidden="1">
      <c r="A599" s="5" t="n">
        <v>46163</v>
      </c>
      <c r="B599" s="6" t="inlineStr">
        <is>
          <t>Jéssica Fé Moura</t>
        </is>
      </c>
      <c r="C599" s="3" t="inlineStr">
        <is>
          <t>Técnico III</t>
        </is>
      </c>
      <c r="D599" s="3" t="n">
        <v>0</v>
      </c>
      <c r="E599" s="3" t="n">
        <v>0</v>
      </c>
      <c r="F599" s="3" t="n">
        <v>0</v>
      </c>
      <c r="G599" s="3" t="n">
        <v>0</v>
      </c>
      <c r="H599" s="3" t="n">
        <v>0</v>
      </c>
      <c r="I599" s="3" t="n">
        <v>0</v>
      </c>
      <c r="J599" s="3" t="n">
        <v>0</v>
      </c>
      <c r="K599" s="3" t="n">
        <v>0</v>
      </c>
      <c r="L599" s="3">
        <f>IF(K599&lt;-5,"CRÍTICO",IF(K599&lt;0,"ATENÇÃO",IF(K599&lt;=5,"OPORTUNO","MUITO BOM")))</f>
        <v/>
      </c>
      <c r="M599" s="3" t="n">
        <v>0</v>
      </c>
      <c r="N599" s="3" t="n">
        <v>0</v>
      </c>
      <c r="O599" s="3" t="n">
        <v>0</v>
      </c>
    </row>
    <row r="600" hidden="1">
      <c r="A600" s="5" t="n">
        <v>46163</v>
      </c>
      <c r="B600" s="6" t="inlineStr">
        <is>
          <t>Karina Gonçalves Martins</t>
        </is>
      </c>
      <c r="C600" s="3" t="inlineStr">
        <is>
          <t>JR</t>
        </is>
      </c>
      <c r="D600" s="3" t="n">
        <v>15</v>
      </c>
      <c r="E600" s="3" t="n">
        <v>13</v>
      </c>
      <c r="F600" s="3" t="n">
        <v>20.57</v>
      </c>
      <c r="G600" s="3" t="n">
        <v>1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15</v>
      </c>
      <c r="N600" s="3" t="n">
        <v>97.01000000000001</v>
      </c>
      <c r="O600" s="3" t="n">
        <v>13.96103896103896</v>
      </c>
    </row>
    <row r="601" hidden="1">
      <c r="A601" s="5" t="n">
        <v>46163</v>
      </c>
      <c r="B601" s="6" t="inlineStr">
        <is>
          <t>Kerollen Cristielly de Jesus Siqueira</t>
        </is>
      </c>
      <c r="C601" s="3" t="inlineStr">
        <is>
          <t>Técnico III</t>
        </is>
      </c>
      <c r="D601" s="3" t="n">
        <v>21</v>
      </c>
      <c r="E601" s="3" t="n">
        <v>20</v>
      </c>
      <c r="F601" s="3" t="n">
        <v>23.33</v>
      </c>
      <c r="G601" s="3" t="n">
        <v>1</v>
      </c>
      <c r="H601" s="3" t="n">
        <v>0</v>
      </c>
      <c r="I601" s="3">
        <f>E601+G601+H601</f>
        <v/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21</v>
      </c>
      <c r="N601" s="3" t="n">
        <v>95.52</v>
      </c>
      <c r="O601" s="3" t="n">
        <v>10.56105610561056</v>
      </c>
    </row>
    <row r="602" hidden="1">
      <c r="A602" s="5" t="n">
        <v>46163</v>
      </c>
      <c r="B602" s="6" t="inlineStr">
        <is>
          <t>Leandro de Souza Silva</t>
        </is>
      </c>
      <c r="C602" s="3" t="inlineStr">
        <is>
          <t>JR</t>
        </is>
      </c>
      <c r="D602" s="3" t="n">
        <v>13</v>
      </c>
      <c r="E602" s="3" t="n">
        <v>11</v>
      </c>
      <c r="F602" s="3" t="n">
        <v>20.49</v>
      </c>
      <c r="G602" s="3" t="n">
        <v>1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10</v>
      </c>
      <c r="N602" s="3" t="n">
        <v>100</v>
      </c>
      <c r="O602" s="3" t="n">
        <v>16.95906432748538</v>
      </c>
    </row>
    <row r="603" hidden="1">
      <c r="A603" s="5" t="n">
        <v>46163</v>
      </c>
      <c r="B603" s="6" t="inlineStr">
        <is>
          <t>Leandro Oliveira de Sousa</t>
        </is>
      </c>
      <c r="C603" s="3" t="inlineStr">
        <is>
          <t>Técnico III</t>
        </is>
      </c>
      <c r="D603" s="3" t="n">
        <v>22</v>
      </c>
      <c r="E603" s="3" t="n">
        <v>21</v>
      </c>
      <c r="F603" s="3" t="n">
        <v>15.35</v>
      </c>
      <c r="G603" s="3" t="n">
        <v>0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20</v>
      </c>
      <c r="N603" s="3" t="n">
        <v>100</v>
      </c>
      <c r="O603" s="3" t="n">
        <v>15.58441558441558</v>
      </c>
    </row>
    <row r="604" hidden="1">
      <c r="A604" s="5" t="n">
        <v>46163</v>
      </c>
      <c r="B604" s="6" t="inlineStr">
        <is>
          <t>Lizandra Gomes Duarte</t>
        </is>
      </c>
      <c r="C604" s="3" t="inlineStr">
        <is>
          <t>Técnico II</t>
        </is>
      </c>
      <c r="D604" s="3" t="n">
        <v>19</v>
      </c>
      <c r="E604" s="3" t="n">
        <v>19</v>
      </c>
      <c r="F604" s="3" t="n">
        <v>24.12</v>
      </c>
      <c r="G604" s="3" t="n">
        <v>0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17</v>
      </c>
      <c r="N604" s="3" t="n">
        <v>98.61</v>
      </c>
      <c r="O604" s="3" t="n">
        <v>16.86746987951807</v>
      </c>
    </row>
    <row r="605" hidden="1">
      <c r="A605" s="5" t="n">
        <v>46163</v>
      </c>
      <c r="B605" s="6" t="inlineStr">
        <is>
          <t>Lorena Dias de Araujo</t>
        </is>
      </c>
      <c r="C605" s="3" t="inlineStr">
        <is>
          <t>Técnico II</t>
        </is>
      </c>
      <c r="D605" s="3" t="n">
        <v>18</v>
      </c>
      <c r="E605" s="3" t="n">
        <v>15</v>
      </c>
      <c r="F605" s="3" t="n">
        <v>14.09</v>
      </c>
      <c r="G605" s="3" t="n">
        <v>0</v>
      </c>
      <c r="H605" s="3" t="n">
        <v>0</v>
      </c>
      <c r="I605" s="3" t="n">
        <v>0</v>
      </c>
      <c r="J605" s="3" t="n">
        <v>0</v>
      </c>
      <c r="K605" s="3" t="n">
        <v>0</v>
      </c>
      <c r="L605" s="3">
        <f>IF(K605&lt;-5,"CRÍTICO",IF(K605&lt;0,"ATENÇÃO",IF(K605&lt;=5,"OPORTUNO","MUITO BOM")))</f>
        <v/>
      </c>
      <c r="M605" s="3" t="n">
        <v>15</v>
      </c>
      <c r="N605" s="3" t="n">
        <v>100</v>
      </c>
      <c r="O605" s="3" t="n">
        <v>20.82018927444795</v>
      </c>
    </row>
    <row r="606" hidden="1">
      <c r="A606" s="5" t="n">
        <v>46163</v>
      </c>
      <c r="B606" s="6" t="inlineStr">
        <is>
          <t>Lucas Luiz Romero</t>
        </is>
      </c>
      <c r="C606" s="3" t="inlineStr">
        <is>
          <t>Técnico III</t>
        </is>
      </c>
      <c r="D606" s="3" t="n">
        <v>29</v>
      </c>
      <c r="E606" s="3" t="n">
        <v>27</v>
      </c>
      <c r="F606" s="3" t="n">
        <v>15.54</v>
      </c>
      <c r="G606" s="3" t="n">
        <v>0</v>
      </c>
      <c r="H606" s="3" t="n">
        <v>0</v>
      </c>
      <c r="I606" s="3">
        <f>E606+G606+H606</f>
        <v/>
      </c>
      <c r="J606" s="3">
        <f>ROUND(MIN(IF(C606="Técnico III",35,IF(C606="Técnico II",28,IF(C606="Técnico I",23,IF(C606="JR",20,IF(C606="Estágio",10,0))))),IF(C606="Técnico III",SUMIFS($D:$D,$A:$A,$A606,$B:$B,"&lt;&gt;Patrícia Karla de Sousa Araújo",$B:$B,"&lt;&gt;Lorena Dias de Araujo",$B:$B,"&lt;&gt;Lucas Luiz Romero")*(35/1083),IF(C606="Técnico II",SUMIFS($D:$D,$A:$A,$A606,$B:$B,"&lt;&gt;Patrícia Karla de Sousa Araújo",$B:$B,"&lt;&gt;Lorena Dias de Araujo",$B:$B,"&lt;&gt;Lucas Luiz Romero")*(28/1083),IF(C606="Técnico I",SUMIFS($D:$D,$A:$A,$A606,$B:$B,"&lt;&gt;Patrícia Karla de Sousa Araújo",$B:$B,"&lt;&gt;Lorena Dias de Araujo",$B:$B,"&lt;&gt;Lucas Luiz Romero")*(23/1083),IF(C606="JR",SUMIFS($D:$D,$A:$A,$A606,$B:$B,"&lt;&gt;Patrícia Karla de Sousa Araújo",$B:$B,"&lt;&gt;Lorena Dias de Araujo",$B:$B,"&lt;&gt;Lucas Luiz Romero")*(20/1083),IF(C606="Estágio",SUMIFS($D:$D,$A:$A,$A606,$B:$B,"&lt;&gt;Patrícia Karla de Sousa Araújo",$B:$B,"&lt;&gt;Lorena Dias de Araujo",$B:$B,"&lt;&gt;Lucas Luiz Romero")*(10/1083),0)))))),0)</f>
        <v/>
      </c>
      <c r="K606" s="3">
        <f>I606-J606</f>
        <v/>
      </c>
      <c r="L606" s="3">
        <f>IF(K606&lt;-5,"CRÍTICO",IF(K606&lt;0,"ATENÇÃO",IF(K606&lt;=5,"OPORTUNO","MUITO BOM")))</f>
        <v/>
      </c>
      <c r="M606" s="3" t="n">
        <v>18</v>
      </c>
      <c r="N606" s="3" t="n">
        <v>100</v>
      </c>
      <c r="O606" s="3" t="n">
        <v>4.347826086956522</v>
      </c>
    </row>
    <row r="607" hidden="1">
      <c r="A607" s="5" t="n">
        <v>46163</v>
      </c>
      <c r="B607" s="6" t="inlineStr">
        <is>
          <t>Luiz Fernando de Carvalho Junior</t>
        </is>
      </c>
      <c r="C607" s="3" t="inlineStr">
        <is>
          <t>Técnico I</t>
        </is>
      </c>
      <c r="D607" s="3" t="n">
        <v>22</v>
      </c>
      <c r="E607" s="3" t="n">
        <v>20</v>
      </c>
      <c r="F607" s="3" t="n">
        <v>19.06</v>
      </c>
      <c r="G607" s="3" t="n">
        <v>0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IF(K607&lt;-5,"CRÍTICO",IF(K607&lt;0,"ATENÇÃO",IF(K607&lt;=5,"OPORTUNO","MUITO BOM")))</f>
        <v/>
      </c>
      <c r="M607" s="3" t="n">
        <v>21</v>
      </c>
      <c r="N607" s="3" t="n">
        <v>93.26000000000001</v>
      </c>
      <c r="O607" s="3" t="n">
        <v>19.93957703927493</v>
      </c>
    </row>
    <row r="608" hidden="1">
      <c r="A608" s="5" t="n">
        <v>46163</v>
      </c>
      <c r="B608" s="6" t="inlineStr">
        <is>
          <t>Maria Eduarda Sousa Costa</t>
        </is>
      </c>
      <c r="C608" s="3" t="inlineStr">
        <is>
          <t>Estágio</t>
        </is>
      </c>
      <c r="D608" s="3" t="n">
        <v>12</v>
      </c>
      <c r="E608" s="3" t="n">
        <v>12</v>
      </c>
      <c r="F608" s="3" t="n">
        <v>21.43</v>
      </c>
      <c r="G608" s="3" t="n">
        <v>0</v>
      </c>
      <c r="H608" s="3" t="n">
        <v>0</v>
      </c>
      <c r="I608" s="3">
        <f>E608+G608+H608</f>
        <v/>
      </c>
      <c r="J608" s="3">
        <f>ROUND(MIN(IF(C608="Técnico III",35,IF(C608="Técnico II",28,IF(C608="Técnico I",23,IF(C608="JR",20,IF(C608="Estágio",10,0))))),IF(C608="Técnico III",SUMIFS($D:$D,$A:$A,$A608,$B:$B,"&lt;&gt;Patrícia Karla de Sousa Araújo",$B:$B,"&lt;&gt;Lorena Dias de Araujo",$B:$B,"&lt;&gt;Lucas Luiz Romero")*(35/1083),IF(C608="Técnico II",SUMIFS($D:$D,$A:$A,$A608,$B:$B,"&lt;&gt;Patrícia Karla de Sousa Araújo",$B:$B,"&lt;&gt;Lorena Dias de Araujo",$B:$B,"&lt;&gt;Lucas Luiz Romero")*(28/1083),IF(C608="Técnico I",SUMIFS($D:$D,$A:$A,$A608,$B:$B,"&lt;&gt;Patrícia Karla de Sousa Araújo",$B:$B,"&lt;&gt;Lorena Dias de Araujo",$B:$B,"&lt;&gt;Lucas Luiz Romero")*(23/1083),IF(C608="JR",SUMIFS($D:$D,$A:$A,$A608,$B:$B,"&lt;&gt;Patrícia Karla de Sousa Araújo",$B:$B,"&lt;&gt;Lorena Dias de Araujo",$B:$B,"&lt;&gt;Lucas Luiz Romero")*(20/1083),IF(C608="Estágio",SUMIFS($D:$D,$A:$A,$A608,$B:$B,"&lt;&gt;Patrícia Karla de Sousa Araújo",$B:$B,"&lt;&gt;Lorena Dias de Araujo",$B:$B,"&lt;&gt;Lucas Luiz Romero")*(10/1083),0)))))),0)</f>
        <v/>
      </c>
      <c r="K608" s="3">
        <f>I608-J608</f>
        <v/>
      </c>
      <c r="L608" s="3">
        <f>IF(K608&lt;-5,"CRÍTICO",IF(K608&lt;0,"ATENÇÃO",IF(K608&lt;=5,"OPORTUNO","MUITO BOM")))</f>
        <v/>
      </c>
      <c r="M608" s="3" t="n">
        <v>8</v>
      </c>
      <c r="N608" s="3" t="n">
        <v>100</v>
      </c>
      <c r="O608" s="3" t="n">
        <v>11.86440677966102</v>
      </c>
    </row>
    <row r="609" hidden="1">
      <c r="A609" s="5" t="n">
        <v>46163</v>
      </c>
      <c r="B609" s="6" t="inlineStr">
        <is>
          <t>Matheus Farias De Souza</t>
        </is>
      </c>
      <c r="C609" s="3" t="inlineStr">
        <is>
          <t>Técnico III</t>
        </is>
      </c>
      <c r="D609" s="3" t="n">
        <v>0</v>
      </c>
      <c r="E609" s="3" t="n">
        <v>0</v>
      </c>
      <c r="F609" s="3" t="n">
        <v>0</v>
      </c>
      <c r="G609" s="3" t="n">
        <v>0</v>
      </c>
      <c r="H609" s="3" t="n">
        <v>30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IF(K609&lt;-5,"CRÍTICO",IF(K609&lt;0,"ATENÇÃO",IF(K609&lt;=5,"OPORTUNO","MUITO BOM")))</f>
        <v/>
      </c>
      <c r="M609" s="3" t="n">
        <v>15</v>
      </c>
      <c r="N609" s="3" t="n">
        <v>98.28</v>
      </c>
      <c r="O609" s="3" t="n">
        <v>9.037900874635568</v>
      </c>
    </row>
    <row r="610" hidden="1">
      <c r="A610" s="5" t="n">
        <v>46163</v>
      </c>
      <c r="B610" s="6" t="inlineStr">
        <is>
          <t>Maysa Victoria Dias Moura</t>
        </is>
      </c>
      <c r="C610" s="3" t="inlineStr">
        <is>
          <t>Técnico III</t>
        </is>
      </c>
      <c r="D610" s="3" t="n">
        <v>27</v>
      </c>
      <c r="E610" s="3" t="n">
        <v>22</v>
      </c>
      <c r="F610" s="3" t="n">
        <v>15.16</v>
      </c>
      <c r="G610" s="3" t="n">
        <v>3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IF(K610&lt;-5,"CRÍTICO",IF(K610&lt;0,"ATENÇÃO",IF(K610&lt;=5,"OPORTUNO","MUITO BOM")))</f>
        <v/>
      </c>
      <c r="M610" s="3" t="n">
        <v>21</v>
      </c>
      <c r="N610" s="3" t="n">
        <v>97.22</v>
      </c>
      <c r="O610" s="3" t="n">
        <v>19.09547738693467</v>
      </c>
    </row>
    <row r="611" hidden="1">
      <c r="A611" s="5" t="n">
        <v>46163</v>
      </c>
      <c r="B611" s="6" t="inlineStr">
        <is>
          <t>Michelle G Santos</t>
        </is>
      </c>
      <c r="C611" s="3" t="inlineStr">
        <is>
          <t>Estágio</t>
        </is>
      </c>
      <c r="D611" s="3" t="n">
        <v>14</v>
      </c>
      <c r="E611" s="3" t="n">
        <v>13</v>
      </c>
      <c r="F611" s="3" t="n">
        <v>33.54</v>
      </c>
      <c r="G611" s="3" t="n">
        <v>0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IF(K611&lt;-5,"CRÍTICO",IF(K611&lt;0,"ATENÇÃO",IF(K611&lt;=5,"OPORTUNO","MUITO BOM")))</f>
        <v/>
      </c>
      <c r="M611" s="3" t="n">
        <v>8</v>
      </c>
      <c r="N611" s="3" t="n">
        <v>100</v>
      </c>
      <c r="O611" s="3" t="n">
        <v>16.8141592920354</v>
      </c>
    </row>
    <row r="612" hidden="1">
      <c r="A612" s="5" t="n">
        <v>46163</v>
      </c>
      <c r="B612" s="6" t="inlineStr">
        <is>
          <t>Milena Sales</t>
        </is>
      </c>
      <c r="C612" s="3" t="inlineStr">
        <is>
          <t>JR</t>
        </is>
      </c>
      <c r="D612" s="3" t="n">
        <v>26</v>
      </c>
      <c r="E612" s="3" t="n">
        <v>18</v>
      </c>
      <c r="F612" s="3" t="n">
        <v>12.17</v>
      </c>
      <c r="G612" s="3" t="n">
        <v>0</v>
      </c>
      <c r="H612" s="3" t="n">
        <v>0</v>
      </c>
      <c r="I612" s="3">
        <f>E612+G612+H612</f>
        <v/>
      </c>
      <c r="J612" s="3">
        <f>ROUND(MIN(IF(C612="Técnico III",35,IF(C612="Técnico II",28,IF(C612="Técnico I",23,IF(C612="JR",20,IF(C612="Estágio",10,0))))),IF(C612="Técnico III",SUMIFS($D:$D,$A:$A,$A612,$B:$B,"&lt;&gt;Patrícia Karla de Sousa Araújo",$B:$B,"&lt;&gt;Lorena Dias de Araujo",$B:$B,"&lt;&gt;Lucas Luiz Romero")*(35/1083),IF(C612="Técnico II",SUMIFS($D:$D,$A:$A,$A612,$B:$B,"&lt;&gt;Patrícia Karla de Sousa Araújo",$B:$B,"&lt;&gt;Lorena Dias de Araujo",$B:$B,"&lt;&gt;Lucas Luiz Romero")*(28/1083),IF(C612="Técnico I",SUMIFS($D:$D,$A:$A,$A612,$B:$B,"&lt;&gt;Patrícia Karla de Sousa Araújo",$B:$B,"&lt;&gt;Lorena Dias de Araujo",$B:$B,"&lt;&gt;Lucas Luiz Romero")*(23/1083),IF(C612="JR",SUMIFS($D:$D,$A:$A,$A612,$B:$B,"&lt;&gt;Patrícia Karla de Sousa Araújo",$B:$B,"&lt;&gt;Lorena Dias de Araujo",$B:$B,"&lt;&gt;Lucas Luiz Romero")*(20/1083),IF(C612="Estágio",SUMIFS($D:$D,$A:$A,$A612,$B:$B,"&lt;&gt;Patrícia Karla de Sousa Araújo",$B:$B,"&lt;&gt;Lorena Dias de Araujo",$B:$B,"&lt;&gt;Lucas Luiz Romero")*(10/1083),0)))))),0)</f>
        <v/>
      </c>
      <c r="K612" s="3">
        <f>I612-J612</f>
        <v/>
      </c>
      <c r="L612" s="3">
        <f>IF(K612&lt;-5,"CRÍTICO",IF(K612&lt;0,"ATENÇÃO",IF(K612&lt;=5,"OPORTUNO","MUITO BOM")))</f>
        <v/>
      </c>
      <c r="M612" s="3" t="n">
        <v>16</v>
      </c>
      <c r="N612" s="3" t="n">
        <v>98</v>
      </c>
      <c r="O612" s="3" t="n">
        <v>16.43835616438356</v>
      </c>
    </row>
    <row r="613" hidden="1">
      <c r="A613" s="5" t="n">
        <v>46163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0</v>
      </c>
      <c r="E613" s="3" t="n">
        <v>0</v>
      </c>
      <c r="F613" s="3" t="n">
        <v>0</v>
      </c>
      <c r="G613" s="3" t="n">
        <v>0</v>
      </c>
      <c r="H613" s="3" t="n">
        <v>0</v>
      </c>
      <c r="I613" s="3" t="n">
        <v>0</v>
      </c>
      <c r="J613" s="3" t="n">
        <v>0</v>
      </c>
      <c r="K613" s="3" t="n">
        <v>0</v>
      </c>
      <c r="L613" s="3">
        <f>IF(K613&lt;-5,"CRÍTICO",IF(K613&lt;0,"ATENÇÃO",IF(K613&lt;=5,"OPORTUNO","MUITO BOM")))</f>
        <v/>
      </c>
      <c r="M613" s="3" t="n">
        <v>0</v>
      </c>
      <c r="N613" s="3" t="n">
        <v>100</v>
      </c>
      <c r="O613" s="3" t="n">
        <v>16.89497716894977</v>
      </c>
    </row>
    <row r="614" hidden="1">
      <c r="A614" s="5" t="n">
        <v>46163</v>
      </c>
      <c r="B614" s="6" t="inlineStr">
        <is>
          <t>Paulo Ricardo Santos</t>
        </is>
      </c>
      <c r="C614" s="3" t="inlineStr">
        <is>
          <t>JR</t>
        </is>
      </c>
      <c r="D614" s="3" t="n">
        <v>10</v>
      </c>
      <c r="E614" s="3" t="n">
        <v>10</v>
      </c>
      <c r="F614" s="3" t="n">
        <v>20.18</v>
      </c>
      <c r="G614" s="3" t="n">
        <v>0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12</v>
      </c>
      <c r="N614" s="3" t="n">
        <v>100</v>
      </c>
      <c r="O614" s="3" t="n">
        <v>19.13875598086124</v>
      </c>
    </row>
    <row r="615" hidden="1">
      <c r="A615" s="5" t="n">
        <v>46163</v>
      </c>
      <c r="B615" s="6" t="inlineStr">
        <is>
          <t>Pedro Luiz Mota Sousa</t>
        </is>
      </c>
      <c r="C615" s="3" t="inlineStr">
        <is>
          <t>JR</t>
        </is>
      </c>
      <c r="D615" s="3" t="n">
        <v>16</v>
      </c>
      <c r="E615" s="3" t="n">
        <v>14</v>
      </c>
      <c r="F615" s="3" t="n">
        <v>23.22</v>
      </c>
      <c r="G615" s="3" t="n">
        <v>0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12</v>
      </c>
      <c r="N615" s="3" t="n">
        <v>100</v>
      </c>
      <c r="O615" s="3" t="n">
        <v>15.02145922746781</v>
      </c>
    </row>
    <row r="616" hidden="1">
      <c r="A616" s="5" t="n">
        <v>46163</v>
      </c>
      <c r="B616" s="6" t="inlineStr">
        <is>
          <t>Quirino Diogo Leite Torres</t>
        </is>
      </c>
      <c r="C616" s="3" t="inlineStr">
        <is>
          <t>Estágio</t>
        </is>
      </c>
      <c r="D616" s="3" t="n">
        <v>20</v>
      </c>
      <c r="E616" s="3" t="n">
        <v>18</v>
      </c>
      <c r="F616" s="3" t="n">
        <v>16.49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13</v>
      </c>
      <c r="N616" s="3" t="n">
        <v>98.11</v>
      </c>
      <c r="O616" s="3" t="n">
        <v>20.40816326530612</v>
      </c>
    </row>
    <row r="617" hidden="1">
      <c r="A617" s="5" t="n">
        <v>46163</v>
      </c>
      <c r="B617" s="6" t="inlineStr">
        <is>
          <t>Raane Batista Matos</t>
        </is>
      </c>
      <c r="C617" s="3" t="inlineStr">
        <is>
          <t>Técnico I</t>
        </is>
      </c>
      <c r="D617" s="3" t="n">
        <v>27</v>
      </c>
      <c r="E617" s="3" t="n">
        <v>27</v>
      </c>
      <c r="F617" s="3" t="n">
        <v>15.1</v>
      </c>
      <c r="G617" s="3" t="n">
        <v>0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20</v>
      </c>
      <c r="N617" s="3" t="n">
        <v>97.56</v>
      </c>
      <c r="O617" s="3" t="n">
        <v>19.28783382789317</v>
      </c>
    </row>
    <row r="618" hidden="1">
      <c r="A618" s="5" t="n">
        <v>46163</v>
      </c>
      <c r="B618" s="6" t="inlineStr">
        <is>
          <t>Rafael Gomes de Morais</t>
        </is>
      </c>
      <c r="C618" s="3" t="inlineStr">
        <is>
          <t>Técnico III</t>
        </is>
      </c>
      <c r="D618" s="3" t="n">
        <v>35</v>
      </c>
      <c r="E618" s="3" t="n">
        <v>31</v>
      </c>
      <c r="F618" s="3" t="n">
        <v>8.300000000000001</v>
      </c>
      <c r="G618" s="3" t="n">
        <v>2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IF(K618&lt;-5,"CRÍTICO",IF(K618&lt;0,"ATENÇÃO",IF(K618&lt;=5,"OPORTUNO","MUITO BOM")))</f>
        <v/>
      </c>
      <c r="M618" s="3" t="n">
        <v>22</v>
      </c>
      <c r="N618" s="3" t="n">
        <v>99.29000000000001</v>
      </c>
      <c r="O618" s="3" t="n">
        <v>22.49443207126949</v>
      </c>
    </row>
    <row r="619" hidden="1">
      <c r="A619" s="5" t="n">
        <v>46163</v>
      </c>
      <c r="B619" s="6" t="inlineStr">
        <is>
          <t>Sara Maria Monteiro Lopes</t>
        </is>
      </c>
      <c r="C619" s="3" t="inlineStr">
        <is>
          <t>Técnico I</t>
        </is>
      </c>
      <c r="D619" s="3" t="n">
        <v>12</v>
      </c>
      <c r="E619" s="3" t="n">
        <v>12</v>
      </c>
      <c r="F619" s="3" t="n">
        <v>44.02</v>
      </c>
      <c r="G619" s="3" t="n">
        <v>0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10</v>
      </c>
      <c r="N619" s="3" t="n">
        <v>100</v>
      </c>
      <c r="O619" s="3" t="n">
        <v>16.97247706422019</v>
      </c>
    </row>
    <row r="620" hidden="1">
      <c r="A620" s="5" t="n">
        <v>46163</v>
      </c>
      <c r="B620" s="6" t="inlineStr">
        <is>
          <t>Sarah Steffanie de Lima Borges</t>
        </is>
      </c>
      <c r="C620" s="3" t="inlineStr">
        <is>
          <t>Técnico III</t>
        </is>
      </c>
      <c r="D620" s="3" t="n">
        <v>23</v>
      </c>
      <c r="E620" s="3" t="n">
        <v>22</v>
      </c>
      <c r="F620" s="3" t="n">
        <v>17.08</v>
      </c>
      <c r="G620" s="3" t="n">
        <v>1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IF(K620&lt;-5,"CRÍTICO",IF(K620&lt;0,"ATENÇÃO",IF(K620&lt;=5,"OPORTUNO","MUITO BOM")))</f>
        <v/>
      </c>
      <c r="M620" s="3" t="n">
        <v>21</v>
      </c>
      <c r="N620" s="3" t="n">
        <v>97.33</v>
      </c>
      <c r="O620" s="3" t="n">
        <v>15.80547112462006</v>
      </c>
    </row>
    <row r="621" hidden="1">
      <c r="A621" s="10" t="n">
        <v>46164</v>
      </c>
      <c r="B621" s="6" t="inlineStr">
        <is>
          <t>Alisson de Freitas Silva</t>
        </is>
      </c>
      <c r="C621" s="3" t="inlineStr">
        <is>
          <t>Técnico II</t>
        </is>
      </c>
      <c r="D621" s="3" t="n">
        <v>23</v>
      </c>
      <c r="E621" s="3" t="n">
        <v>15</v>
      </c>
      <c r="F621" s="3" t="n">
        <v>15.08</v>
      </c>
      <c r="G621" s="3" t="n">
        <v>1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IF(K621&lt;-5,"CRÍTICO",IF(K621&lt;0,"ATENÇÃO",IF(K621&lt;=5,"OPORTUNO","MUITO BOM")))</f>
        <v/>
      </c>
      <c r="M621" s="3" t="n">
        <v>11</v>
      </c>
      <c r="N621" s="3" t="n">
        <v>98.94</v>
      </c>
      <c r="O621" s="3" t="n">
        <v>19.61414790996785</v>
      </c>
    </row>
    <row r="622" hidden="1">
      <c r="A622" s="10" t="n">
        <v>46164</v>
      </c>
      <c r="B622" s="6" t="inlineStr">
        <is>
          <t>Amanda Moura Ferreira</t>
        </is>
      </c>
      <c r="C622" s="3" t="inlineStr">
        <is>
          <t>Técnico III</t>
        </is>
      </c>
      <c r="D622" s="3" t="n">
        <v>0</v>
      </c>
      <c r="E622" s="3" t="n">
        <v>0</v>
      </c>
      <c r="F622" s="3" t="n">
        <v>0</v>
      </c>
      <c r="G622" s="3" t="n">
        <v>0</v>
      </c>
      <c r="H622" s="3" t="n">
        <v>0</v>
      </c>
      <c r="I622" s="3" t="n">
        <v>0</v>
      </c>
      <c r="J622" s="3" t="n">
        <v>0</v>
      </c>
      <c r="K622" s="3" t="n">
        <v>0</v>
      </c>
      <c r="L622" s="3">
        <f>IF(K622&lt;-5,"CRÍTICO",IF(K622&lt;0,"ATENÇÃO",IF(K622&lt;=5,"OPORTUNO","MUITO BOM")))</f>
        <v/>
      </c>
      <c r="M622" s="3" t="n">
        <v>0</v>
      </c>
      <c r="N622" s="3" t="n">
        <v>100</v>
      </c>
      <c r="O622" s="3" t="n">
        <v>0</v>
      </c>
    </row>
    <row r="623" hidden="1">
      <c r="A623" s="10" t="n">
        <v>46164</v>
      </c>
      <c r="B623" s="6" t="inlineStr">
        <is>
          <t>Ana Karollyne Souza Faria</t>
        </is>
      </c>
      <c r="C623" s="3" t="inlineStr">
        <is>
          <t>Técnico I</t>
        </is>
      </c>
      <c r="D623" s="3" t="n">
        <v>11</v>
      </c>
      <c r="E623" s="3" t="n">
        <v>9</v>
      </c>
      <c r="F623" s="3" t="n">
        <v>15.17</v>
      </c>
      <c r="G623" s="3" t="n">
        <v>3</v>
      </c>
      <c r="H623" s="3" t="n">
        <v>0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10</v>
      </c>
      <c r="N623" s="3" t="n">
        <v>95.38</v>
      </c>
      <c r="O623" s="3" t="n">
        <v>21.5962441314554</v>
      </c>
    </row>
    <row r="624" hidden="1">
      <c r="A624" s="10" t="n">
        <v>46164</v>
      </c>
      <c r="B624" s="6" t="inlineStr">
        <is>
          <t>Ana Paula Da Luz Silva Aleixo</t>
        </is>
      </c>
      <c r="C624" s="3" t="inlineStr">
        <is>
          <t>Técnico III</t>
        </is>
      </c>
      <c r="D624" s="3" t="n">
        <v>20</v>
      </c>
      <c r="E624" s="3" t="n">
        <v>20</v>
      </c>
      <c r="F624" s="3" t="n">
        <v>20.44</v>
      </c>
      <c r="G624" s="3" t="n">
        <v>3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IF(K624&lt;-5,"CRÍTICO",IF(K624&lt;0,"ATENÇÃO",IF(K624&lt;=5,"OPORTUNO","MUITO BOM")))</f>
        <v/>
      </c>
      <c r="M624" s="3" t="n">
        <v>16</v>
      </c>
      <c r="N624" s="3" t="n">
        <v>96.34</v>
      </c>
      <c r="O624" s="3" t="n">
        <v>17.57188498402556</v>
      </c>
    </row>
    <row r="625" hidden="1">
      <c r="A625" s="10" t="n">
        <v>46164</v>
      </c>
      <c r="B625" s="6" t="inlineStr">
        <is>
          <t>Anna Luiza Rezende Tavares</t>
        </is>
      </c>
      <c r="C625" s="3" t="inlineStr">
        <is>
          <t>JR</t>
        </is>
      </c>
      <c r="D625" s="3" t="n">
        <v>20</v>
      </c>
      <c r="E625" s="3" t="n">
        <v>19</v>
      </c>
      <c r="F625" s="3" t="n">
        <v>22.07</v>
      </c>
      <c r="G625" s="3" t="n">
        <v>0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18</v>
      </c>
      <c r="N625" s="3" t="n">
        <v>99.11</v>
      </c>
      <c r="O625" s="3" t="n">
        <v>17.72151898734177</v>
      </c>
    </row>
    <row r="626" hidden="1">
      <c r="A626" s="10" t="n">
        <v>46164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30</v>
      </c>
      <c r="E626" s="3" t="n">
        <v>27</v>
      </c>
      <c r="F626" s="3" t="n">
        <v>9.15</v>
      </c>
      <c r="G626" s="3" t="n">
        <v>6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24</v>
      </c>
      <c r="N626" s="3" t="n">
        <v>99.13</v>
      </c>
      <c r="O626" s="3" t="n">
        <v>14.7239263803681</v>
      </c>
    </row>
    <row r="627" hidden="1">
      <c r="A627" s="10" t="n">
        <v>46164</v>
      </c>
      <c r="B627" s="6" t="inlineStr">
        <is>
          <t>Carlos Mateus Cassimiro Nunes</t>
        </is>
      </c>
      <c r="C627" s="3" t="inlineStr">
        <is>
          <t>Técnico II</t>
        </is>
      </c>
      <c r="D627" s="3" t="n">
        <v>13</v>
      </c>
      <c r="E627" s="3" t="n">
        <v>12</v>
      </c>
      <c r="F627" s="3" t="n">
        <v>16.53</v>
      </c>
      <c r="G627" s="3" t="n">
        <v>0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12</v>
      </c>
      <c r="N627" s="3" t="n">
        <v>98.8</v>
      </c>
      <c r="O627" s="3" t="n">
        <v>16.89750692520776</v>
      </c>
    </row>
    <row r="628" hidden="1">
      <c r="A628" s="10" t="n">
        <v>46164</v>
      </c>
      <c r="B628" s="6" t="inlineStr">
        <is>
          <t>Claudio de Sousa Velasco Filho</t>
        </is>
      </c>
      <c r="C628" s="3" t="inlineStr">
        <is>
          <t>Estágio</t>
        </is>
      </c>
      <c r="D628" s="3" t="n">
        <v>7</v>
      </c>
      <c r="E628" s="3" t="n">
        <v>7</v>
      </c>
      <c r="F628" s="3" t="n">
        <v>22.38</v>
      </c>
      <c r="G628" s="3" t="n">
        <v>0</v>
      </c>
      <c r="H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3</v>
      </c>
      <c r="N628" s="3" t="n">
        <v>96.43000000000001</v>
      </c>
      <c r="O628" s="3" t="n">
        <v>20</v>
      </c>
    </row>
    <row r="629" hidden="1">
      <c r="A629" s="10" t="n">
        <v>46164</v>
      </c>
      <c r="B629" s="6" t="inlineStr">
        <is>
          <t>Clessiane Pereira dos Santos</t>
        </is>
      </c>
      <c r="C629" s="3" t="inlineStr">
        <is>
          <t>Técnico I</t>
        </is>
      </c>
      <c r="D629" s="3" t="n">
        <v>15</v>
      </c>
      <c r="E629" s="3" t="n">
        <v>14</v>
      </c>
      <c r="F629" s="3" t="n">
        <v>12.06</v>
      </c>
      <c r="G629" s="3" t="n">
        <v>0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12</v>
      </c>
      <c r="N629" s="3" t="n">
        <v>96.88</v>
      </c>
      <c r="O629" s="3" t="n">
        <v>19.52662721893491</v>
      </c>
    </row>
    <row r="630" hidden="1">
      <c r="A630" s="10" t="n">
        <v>46164</v>
      </c>
      <c r="B630" s="6" t="inlineStr">
        <is>
          <t>Cristiane Ramos da Silva Rocha</t>
        </is>
      </c>
      <c r="C630" s="3" t="inlineStr">
        <is>
          <t>Técnico III</t>
        </is>
      </c>
      <c r="D630" s="3" t="n">
        <v>25</v>
      </c>
      <c r="E630" s="3" t="n">
        <v>24</v>
      </c>
      <c r="F630" s="3" t="n">
        <v>15.42</v>
      </c>
      <c r="G630" s="3" t="n">
        <v>0</v>
      </c>
      <c r="H630" s="3" t="n">
        <v>0</v>
      </c>
      <c r="I630" s="3">
        <f>E630+G630+H630</f>
        <v/>
      </c>
      <c r="J630" s="3">
        <f>ROUND(MIN(IF(C630="Técnico III",35,IF(C630="Técnico II",28,IF(C630="Técnico I",23,IF(C630="JR",20,IF(C630="Estágio",10,0))))),IF(C630="Técnico III",SUMIFS($D:$D,$A:$A,$A630,$B:$B,"&lt;&gt;Patrícia Karla de Sousa Araújo",$B:$B,"&lt;&gt;Lorena Dias de Araujo",$B:$B,"&lt;&gt;Lucas Luiz Romero")*(35/1083),IF(C630="Técnico II",SUMIFS($D:$D,$A:$A,$A630,$B:$B,"&lt;&gt;Patrícia Karla de Sousa Araújo",$B:$B,"&lt;&gt;Lorena Dias de Araujo",$B:$B,"&lt;&gt;Lucas Luiz Romero")*(28/1083),IF(C630="Técnico I",SUMIFS($D:$D,$A:$A,$A630,$B:$B,"&lt;&gt;Patrícia Karla de Sousa Araújo",$B:$B,"&lt;&gt;Lorena Dias de Araujo",$B:$B,"&lt;&gt;Lucas Luiz Romero")*(23/1083),IF(C630="JR",SUMIFS($D:$D,$A:$A,$A630,$B:$B,"&lt;&gt;Patrícia Karla de Sousa Araújo",$B:$B,"&lt;&gt;Lorena Dias de Araujo",$B:$B,"&lt;&gt;Lucas Luiz Romero")*(20/1083),IF(C630="Estágio",SUMIFS($D:$D,$A:$A,$A630,$B:$B,"&lt;&gt;Patrícia Karla de Sousa Araújo",$B:$B,"&lt;&gt;Lorena Dias de Araujo",$B:$B,"&lt;&gt;Lucas Luiz Romero")*(10/1083),0)))))),0)</f>
        <v/>
      </c>
      <c r="K630" s="3">
        <f>I630-J630</f>
        <v/>
      </c>
      <c r="L630" s="3">
        <f>IF(K630&lt;-5,"CRÍTICO",IF(K630&lt;0,"ATENÇÃO",IF(K630&lt;=5,"OPORTUNO","MUITO BOM")))</f>
        <v/>
      </c>
      <c r="M630" s="3" t="n">
        <v>22</v>
      </c>
      <c r="N630" s="3" t="n">
        <v>91.84999999999999</v>
      </c>
      <c r="O630" s="3" t="n">
        <v>20.87155963302752</v>
      </c>
    </row>
    <row r="631" hidden="1">
      <c r="A631" s="10" t="n">
        <v>46164</v>
      </c>
      <c r="B631" s="6" t="inlineStr">
        <is>
          <t>Damyllis Lorraine de Oliveira Gonçalves</t>
        </is>
      </c>
      <c r="C631" s="3" t="inlineStr">
        <is>
          <t>Técnico II</t>
        </is>
      </c>
      <c r="D631" s="3" t="n">
        <v>0</v>
      </c>
      <c r="E631" s="3" t="n">
        <v>0</v>
      </c>
      <c r="F631" s="3" t="n">
        <v>0</v>
      </c>
      <c r="G631" s="3" t="n">
        <v>0</v>
      </c>
      <c r="H631" s="3" t="n">
        <v>0</v>
      </c>
      <c r="I631" s="3" t="n">
        <v>0</v>
      </c>
      <c r="J631" s="3" t="n">
        <v>0</v>
      </c>
      <c r="K631" s="3" t="n">
        <v>0</v>
      </c>
      <c r="L631" s="3">
        <f>IF(K631&lt;-5,"CRÍTICO",IF(K631&lt;0,"ATENÇÃO",IF(K631&lt;=5,"OPORTUNO","MUITO BOM")))</f>
        <v/>
      </c>
      <c r="M631" s="3" t="n">
        <v>0</v>
      </c>
      <c r="N631" s="3" t="n">
        <v>98.63</v>
      </c>
      <c r="O631" s="3" t="n">
        <v>18.75</v>
      </c>
    </row>
    <row r="632" hidden="1">
      <c r="A632" s="10" t="n">
        <v>46164</v>
      </c>
      <c r="B632" s="6" t="inlineStr">
        <is>
          <t>Daniel Gomes da Silva</t>
        </is>
      </c>
      <c r="C632" s="3" t="inlineStr">
        <is>
          <t>Técnico I</t>
        </is>
      </c>
      <c r="D632" s="3" t="n">
        <v>24</v>
      </c>
      <c r="E632" s="3" t="n">
        <v>23</v>
      </c>
      <c r="F632" s="3" t="n">
        <v>10.35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18</v>
      </c>
      <c r="N632" s="3" t="n">
        <v>100</v>
      </c>
      <c r="O632" s="3" t="n">
        <v>18.14516129032258</v>
      </c>
    </row>
    <row r="633" hidden="1">
      <c r="A633" s="10" t="n">
        <v>46164</v>
      </c>
      <c r="B633" s="6" t="inlineStr">
        <is>
          <t>Davylla Rodrigues Freitas Silva</t>
        </is>
      </c>
      <c r="C633" s="3" t="inlineStr">
        <is>
          <t>Técnico III</t>
        </is>
      </c>
      <c r="D633" s="3" t="n">
        <v>0</v>
      </c>
      <c r="E633" s="3" t="n">
        <v>0</v>
      </c>
      <c r="F633" s="3" t="n">
        <v>0</v>
      </c>
      <c r="G633" s="3" t="n">
        <v>0</v>
      </c>
      <c r="H633" s="3" t="n">
        <v>0</v>
      </c>
      <c r="I633" s="3" t="n">
        <v>0</v>
      </c>
      <c r="J633" s="3" t="n">
        <v>0</v>
      </c>
      <c r="K633" s="3" t="n">
        <v>0</v>
      </c>
      <c r="L633" s="3">
        <f>IF(K633&lt;-5,"CRÍTICO",IF(K633&lt;0,"ATENÇÃO",IF(K633&lt;=5,"OPORTUNO","MUITO BOM")))</f>
        <v/>
      </c>
      <c r="M633" s="3" t="n">
        <v>0</v>
      </c>
      <c r="N633" s="3" t="n">
        <v>99.06</v>
      </c>
      <c r="O633" s="3" t="n">
        <v>22.95719844357977</v>
      </c>
    </row>
    <row r="634" hidden="1">
      <c r="A634" s="10" t="n">
        <v>46164</v>
      </c>
      <c r="B634" s="6" t="inlineStr">
        <is>
          <t>Emilly Caylane Costa</t>
        </is>
      </c>
      <c r="C634" s="3" t="inlineStr">
        <is>
          <t>Estágio</t>
        </is>
      </c>
      <c r="D634" s="3" t="n">
        <v>6</v>
      </c>
      <c r="E634" s="3" t="n">
        <v>6</v>
      </c>
      <c r="F634" s="3" t="n">
        <v>36.58</v>
      </c>
      <c r="G634" s="3" t="n">
        <v>0</v>
      </c>
      <c r="H634" s="3" t="n">
        <v>0</v>
      </c>
      <c r="I634" s="3">
        <f>E634+G634+H634</f>
        <v/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/>
      </c>
      <c r="K634" s="3">
        <f>I634-J634</f>
        <v/>
      </c>
      <c r="L634" s="3">
        <f>IF(K634&lt;-5,"CRÍTICO",IF(K634&lt;0,"ATENÇÃO",IF(K634&lt;=5,"OPORTUNO","MUITO BOM")))</f>
        <v/>
      </c>
      <c r="M634" s="3" t="n">
        <v>6</v>
      </c>
      <c r="N634" s="3" t="n">
        <v>100</v>
      </c>
      <c r="O634" s="3" t="n">
        <v>29.03225806451613</v>
      </c>
    </row>
    <row r="635" hidden="1">
      <c r="A635" s="10" t="n">
        <v>46164</v>
      </c>
      <c r="B635" s="6" t="inlineStr">
        <is>
          <t>Emilly Kamilly Medeiros Miranda</t>
        </is>
      </c>
      <c r="C635" s="3" t="inlineStr">
        <is>
          <t>Técnico II</t>
        </is>
      </c>
      <c r="D635" s="3" t="n">
        <v>17</v>
      </c>
      <c r="E635" s="3" t="n">
        <v>14</v>
      </c>
      <c r="F635" s="3" t="n">
        <v>13.23</v>
      </c>
      <c r="G635" s="3" t="n">
        <v>1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IF(K635&lt;-5,"CRÍTICO",IF(K635&lt;0,"ATENÇÃO",IF(K635&lt;=5,"OPORTUNO","MUITO BOM")))</f>
        <v/>
      </c>
      <c r="M635" s="3" t="n">
        <v>15</v>
      </c>
      <c r="N635" s="3" t="n">
        <v>100</v>
      </c>
      <c r="O635" s="3" t="n">
        <v>13.8121546961326</v>
      </c>
    </row>
    <row r="636" hidden="1">
      <c r="A636" s="10" t="n">
        <v>46164</v>
      </c>
      <c r="B636" s="6" t="inlineStr">
        <is>
          <t>Francielson de Oliveira</t>
        </is>
      </c>
      <c r="C636" s="3" t="inlineStr">
        <is>
          <t>Técnico III</t>
        </is>
      </c>
      <c r="D636" s="3" t="n">
        <v>12</v>
      </c>
      <c r="E636" s="3" t="n">
        <v>11</v>
      </c>
      <c r="F636" s="3" t="n">
        <v>12.15</v>
      </c>
      <c r="G636" s="3" t="n">
        <v>1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IF(K636&lt;-5,"CRÍTICO",IF(K636&lt;0,"ATENÇÃO",IF(K636&lt;=5,"OPORTUNO","MUITO BOM")))</f>
        <v/>
      </c>
      <c r="M636" s="3" t="n">
        <v>10</v>
      </c>
      <c r="N636" s="3" t="n">
        <v>100</v>
      </c>
      <c r="O636" s="3" t="n">
        <v>9.523809523809524</v>
      </c>
    </row>
    <row r="637" hidden="1">
      <c r="A637" s="10" t="n">
        <v>46164</v>
      </c>
      <c r="B637" s="6" t="inlineStr">
        <is>
          <t>Francilene Ferreira de Jesus</t>
        </is>
      </c>
      <c r="C637" s="3" t="inlineStr">
        <is>
          <t>Técnico II</t>
        </is>
      </c>
      <c r="D637" s="3" t="n">
        <v>0</v>
      </c>
      <c r="E637" s="3" t="n">
        <v>0</v>
      </c>
      <c r="F637" s="3" t="n">
        <v>0</v>
      </c>
      <c r="G637" s="3" t="n">
        <v>0</v>
      </c>
      <c r="H637" s="3" t="n">
        <v>0</v>
      </c>
      <c r="I637" s="3" t="n">
        <v>0</v>
      </c>
      <c r="J637" s="3" t="n">
        <v>0</v>
      </c>
      <c r="K637" s="3" t="n">
        <v>0</v>
      </c>
      <c r="L637" s="3">
        <f>IF(K637&lt;-5,"CRÍTICO",IF(K637&lt;0,"ATENÇÃO",IF(K637&lt;=5,"OPORTUNO","MUITO BOM")))</f>
        <v/>
      </c>
      <c r="M637" s="3" t="n">
        <v>0</v>
      </c>
      <c r="N637" s="3" t="n">
        <v>100</v>
      </c>
      <c r="O637" s="3" t="n">
        <v>17.24137931034483</v>
      </c>
    </row>
    <row r="638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N638" t="n">
        <v>98.91</v>
      </c>
      <c r="O638" t="n">
        <v>31.36729222520107</v>
      </c>
    </row>
    <row r="639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N639" t="n">
        <v>96.67</v>
      </c>
      <c r="O639" t="n">
        <v>31.45161290322581</v>
      </c>
    </row>
    <row r="640" hidden="1">
      <c r="A640" s="10" t="n">
        <v>46164</v>
      </c>
      <c r="B640" s="6" t="inlineStr">
        <is>
          <t>Isabella Borges de Oliveira</t>
        </is>
      </c>
      <c r="C640" s="3" t="inlineStr">
        <is>
          <t>Técnico II</t>
        </is>
      </c>
      <c r="D640" s="3" t="n">
        <v>15</v>
      </c>
      <c r="E640" s="3" t="n">
        <v>15</v>
      </c>
      <c r="F640" s="3" t="n">
        <v>28.35</v>
      </c>
      <c r="G640" s="3" t="n">
        <v>0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14</v>
      </c>
      <c r="N640" s="3" t="n">
        <v>98.63</v>
      </c>
      <c r="O640" s="3" t="n">
        <v>15.75757575757576</v>
      </c>
    </row>
    <row r="641" hidden="1">
      <c r="A641" s="10" t="n">
        <v>46164</v>
      </c>
      <c r="B641" s="6" t="inlineStr">
        <is>
          <t>Janaina Lima dos Reis Urany</t>
        </is>
      </c>
      <c r="C641" s="3" t="inlineStr">
        <is>
          <t>Técnico III</t>
        </is>
      </c>
      <c r="D641" s="3" t="n">
        <v>28</v>
      </c>
      <c r="E641" s="3" t="n">
        <v>26</v>
      </c>
      <c r="F641" s="3" t="n">
        <v>12.35</v>
      </c>
      <c r="G641" s="3" t="n">
        <v>5</v>
      </c>
      <c r="H641" s="3" t="n">
        <v>0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23</v>
      </c>
      <c r="N641" s="3" t="n">
        <v>98.64</v>
      </c>
      <c r="O641" s="3" t="n">
        <v>16.6383701188455</v>
      </c>
    </row>
    <row r="642" hidden="1">
      <c r="A642" s="10" t="n">
        <v>46164</v>
      </c>
      <c r="B642" s="6" t="inlineStr">
        <is>
          <t>Jaqueline Evangelista da Silva Martins</t>
        </is>
      </c>
      <c r="C642" s="3" t="inlineStr">
        <is>
          <t>Técnico III</t>
        </is>
      </c>
      <c r="D642" s="3" t="n">
        <v>14</v>
      </c>
      <c r="E642" s="3" t="n">
        <v>14</v>
      </c>
      <c r="F642" s="3" t="n">
        <v>21.55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14</v>
      </c>
      <c r="N642" s="3" t="n">
        <v>95.40000000000001</v>
      </c>
      <c r="O642" s="3" t="n">
        <v>20.53333333333333</v>
      </c>
    </row>
    <row r="643" hidden="1">
      <c r="A643" s="10" t="n">
        <v>46164</v>
      </c>
      <c r="B643" s="6" t="inlineStr">
        <is>
          <t>Jessica Faria da Silveira</t>
        </is>
      </c>
      <c r="C643" s="3" t="inlineStr">
        <is>
          <t>Técnico II</t>
        </is>
      </c>
      <c r="D643" s="3" t="n">
        <v>13</v>
      </c>
      <c r="E643" s="3" t="n">
        <v>12</v>
      </c>
      <c r="F643" s="3" t="n">
        <v>11.42</v>
      </c>
      <c r="G643" s="3" t="n">
        <v>1</v>
      </c>
      <c r="H643" s="3" t="n">
        <v>0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10</v>
      </c>
      <c r="N643" s="3" t="n">
        <v>98.61</v>
      </c>
      <c r="O643" s="3" t="n">
        <v>16.97530864197531</v>
      </c>
    </row>
    <row r="644" hidden="1">
      <c r="A644" s="10" t="n">
        <v>46164</v>
      </c>
      <c r="B644" s="6" t="inlineStr">
        <is>
          <t>Jéssica Fé Moura</t>
        </is>
      </c>
      <c r="C644" s="3" t="inlineStr">
        <is>
          <t>Técnico III</t>
        </is>
      </c>
      <c r="D644" s="3" t="n">
        <v>0</v>
      </c>
      <c r="E644" s="3" t="n">
        <v>0</v>
      </c>
      <c r="F644" s="3" t="n">
        <v>0</v>
      </c>
      <c r="G644" s="3" t="n">
        <v>0</v>
      </c>
      <c r="H644" s="3" t="n">
        <v>0</v>
      </c>
      <c r="I644" s="3" t="n">
        <v>0</v>
      </c>
      <c r="J644" s="3" t="n">
        <v>0</v>
      </c>
      <c r="K644" s="3" t="n">
        <v>0</v>
      </c>
      <c r="L644" s="3">
        <f>IF(K644&lt;-5,"CRÍTICO",IF(K644&lt;0,"ATENÇÃO",IF(K644&lt;=5,"OPORTUNO","MUITO BOM")))</f>
        <v/>
      </c>
      <c r="M644" s="3" t="n">
        <v>0</v>
      </c>
      <c r="N644" s="3" t="n">
        <v>0</v>
      </c>
      <c r="O644" s="3" t="n">
        <v>0</v>
      </c>
    </row>
    <row r="645" hidden="1">
      <c r="A645" s="10" t="n">
        <v>46164</v>
      </c>
      <c r="B645" s="6" t="inlineStr">
        <is>
          <t>Karina Gonçalves Martins</t>
        </is>
      </c>
      <c r="C645" s="3" t="inlineStr">
        <is>
          <t>JR</t>
        </is>
      </c>
      <c r="D645" s="3" t="n">
        <v>19</v>
      </c>
      <c r="E645" s="3" t="n">
        <v>19</v>
      </c>
      <c r="F645" s="3" t="n">
        <v>21.43</v>
      </c>
      <c r="G645" s="3" t="n">
        <v>0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IF(K645&lt;-5,"CRÍTICO",IF(K645&lt;0,"ATENÇÃO",IF(K645&lt;=5,"OPORTUNO","MUITO BOM")))</f>
        <v/>
      </c>
      <c r="M645" s="3" t="n">
        <v>20</v>
      </c>
      <c r="N645" s="3" t="n">
        <v>97.01000000000001</v>
      </c>
      <c r="O645" s="3" t="n">
        <v>13.96103896103896</v>
      </c>
    </row>
    <row r="646" hidden="1">
      <c r="A646" s="10" t="n">
        <v>46164</v>
      </c>
      <c r="B646" s="6" t="inlineStr">
        <is>
          <t>Kerollen Cristielly de Jesus Siqueira</t>
        </is>
      </c>
      <c r="C646" s="3" t="inlineStr">
        <is>
          <t>Técnico III</t>
        </is>
      </c>
      <c r="D646" s="3" t="n">
        <v>19</v>
      </c>
      <c r="E646" s="3" t="n">
        <v>19</v>
      </c>
      <c r="F646" s="3" t="n">
        <v>16.57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IF(K646&lt;-5,"CRÍTICO",IF(K646&lt;0,"ATENÇÃO",IF(K646&lt;=5,"OPORTUNO","MUITO BOM")))</f>
        <v/>
      </c>
      <c r="M646" s="3" t="n">
        <v>21</v>
      </c>
      <c r="N646" s="3" t="n">
        <v>95.52</v>
      </c>
      <c r="O646" s="3" t="n">
        <v>10.56105610561056</v>
      </c>
    </row>
    <row r="647" hidden="1">
      <c r="A647" s="10" t="n">
        <v>46164</v>
      </c>
      <c r="B647" s="6" t="inlineStr">
        <is>
          <t>Leandro de Souza Silva</t>
        </is>
      </c>
      <c r="C647" s="3" t="inlineStr">
        <is>
          <t>JR</t>
        </is>
      </c>
      <c r="D647" s="3" t="n">
        <v>10</v>
      </c>
      <c r="E647" s="3" t="n">
        <v>10</v>
      </c>
      <c r="F647" s="3" t="n">
        <v>27.18</v>
      </c>
      <c r="G647" s="3" t="n">
        <v>2</v>
      </c>
      <c r="H647" s="3" t="n">
        <v>0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8</v>
      </c>
      <c r="N647" s="3" t="n">
        <v>100</v>
      </c>
      <c r="O647" s="3" t="n">
        <v>16.95906432748538</v>
      </c>
    </row>
    <row r="648" hidden="1">
      <c r="A648" s="10" t="n">
        <v>46164</v>
      </c>
      <c r="B648" s="6" t="inlineStr">
        <is>
          <t>Leandro Oliveira de Sousa</t>
        </is>
      </c>
      <c r="C648" s="3" t="inlineStr">
        <is>
          <t>Técnico III</t>
        </is>
      </c>
      <c r="D648" s="3" t="n">
        <v>21</v>
      </c>
      <c r="E648" s="3" t="n">
        <v>20</v>
      </c>
      <c r="F648" s="3" t="n">
        <v>16.59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IF(K648&lt;-5,"CRÍTICO",IF(K648&lt;0,"ATENÇÃO",IF(K648&lt;=5,"OPORTUNO","MUITO BOM")))</f>
        <v/>
      </c>
      <c r="M648" s="3" t="n">
        <v>20</v>
      </c>
      <c r="N648" s="3" t="n">
        <v>100</v>
      </c>
      <c r="O648" s="3" t="n">
        <v>15.58441558441558</v>
      </c>
    </row>
    <row r="649" hidden="1">
      <c r="A649" s="10" t="n">
        <v>46164</v>
      </c>
      <c r="B649" s="6" t="inlineStr">
        <is>
          <t>Lizandra Gomes Duarte</t>
        </is>
      </c>
      <c r="C649" s="3" t="inlineStr">
        <is>
          <t>Técnico II</t>
        </is>
      </c>
      <c r="D649" s="3" t="n">
        <v>19</v>
      </c>
      <c r="E649" s="3" t="n">
        <v>18</v>
      </c>
      <c r="F649" s="3" t="n">
        <v>20.48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IF(K649&lt;-5,"CRÍTICO",IF(K649&lt;0,"ATENÇÃO",IF(K649&lt;=5,"OPORTUNO","MUITO BOM")))</f>
        <v/>
      </c>
      <c r="M649" s="3" t="n">
        <v>18</v>
      </c>
      <c r="N649" s="3" t="n">
        <v>98.61</v>
      </c>
      <c r="O649" s="3" t="n">
        <v>16.86746987951807</v>
      </c>
    </row>
    <row r="650" hidden="1">
      <c r="A650" s="10" t="n">
        <v>46164</v>
      </c>
      <c r="B650" s="6" t="inlineStr">
        <is>
          <t>Lorena Dias de Araujo</t>
        </is>
      </c>
      <c r="C650" s="3" t="inlineStr">
        <is>
          <t>Técnico II</t>
        </is>
      </c>
      <c r="D650" s="3" t="n">
        <v>0</v>
      </c>
      <c r="E650" s="3" t="n">
        <v>0</v>
      </c>
      <c r="F650" s="3" t="n">
        <v>0</v>
      </c>
      <c r="G650" s="3" t="n">
        <v>0</v>
      </c>
      <c r="H650" s="3" t="n">
        <v>0</v>
      </c>
      <c r="I650" s="3" t="n">
        <v>0</v>
      </c>
      <c r="J650" s="3" t="n">
        <v>0</v>
      </c>
      <c r="K650" s="3" t="n">
        <v>0</v>
      </c>
      <c r="L650" s="3">
        <f>IF(K650&lt;-5,"CRÍTICO",IF(K650&lt;0,"ATENÇÃO",IF(K650&lt;=5,"OPORTUNO","MUITO BOM")))</f>
        <v/>
      </c>
      <c r="M650" s="3" t="n">
        <v>0</v>
      </c>
      <c r="N650" s="3" t="n">
        <v>100</v>
      </c>
      <c r="O650" s="3" t="n">
        <v>20.82018927444795</v>
      </c>
    </row>
    <row r="651" hidden="1">
      <c r="A651" s="10" t="n">
        <v>46164</v>
      </c>
      <c r="B651" s="6" t="inlineStr">
        <is>
          <t>Lucas Luiz Romero</t>
        </is>
      </c>
      <c r="C651" s="3" t="inlineStr">
        <is>
          <t>Técnico III</t>
        </is>
      </c>
      <c r="D651" s="3" t="n">
        <v>26</v>
      </c>
      <c r="E651" s="3" t="n">
        <v>19</v>
      </c>
      <c r="F651" s="3" t="n">
        <v>12.11</v>
      </c>
      <c r="G651" s="3" t="n">
        <v>0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IF(K651&lt;-5,"CRÍTICO",IF(K651&lt;0,"ATENÇÃO",IF(K651&lt;=5,"OPORTUNO","MUITO BOM")))</f>
        <v/>
      </c>
      <c r="M651" s="3" t="n">
        <v>15</v>
      </c>
      <c r="N651" s="3" t="n">
        <v>100</v>
      </c>
      <c r="O651" s="3" t="n">
        <v>4.347826086956522</v>
      </c>
    </row>
    <row r="652" hidden="1">
      <c r="A652" s="10" t="n">
        <v>46164</v>
      </c>
      <c r="B652" s="6" t="inlineStr">
        <is>
          <t>Luiz Fernando de Carvalho Junior</t>
        </is>
      </c>
      <c r="C652" s="3" t="inlineStr">
        <is>
          <t>Técnico I</t>
        </is>
      </c>
      <c r="D652" s="3" t="n">
        <v>8</v>
      </c>
      <c r="E652" s="3" t="n">
        <v>8</v>
      </c>
      <c r="F652" s="3" t="n">
        <v>32.37</v>
      </c>
      <c r="G652" s="3" t="n">
        <v>0</v>
      </c>
      <c r="H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IF(K652&lt;-5,"CRÍTICO",IF(K652&lt;0,"ATENÇÃO",IF(K652&lt;=5,"OPORTUNO","MUITO BOM")))</f>
        <v/>
      </c>
      <c r="M652" s="3" t="n">
        <v>8</v>
      </c>
      <c r="N652" s="3" t="n">
        <v>93.26000000000001</v>
      </c>
      <c r="O652" s="3" t="n">
        <v>19.93957703927493</v>
      </c>
    </row>
    <row r="653" hidden="1">
      <c r="A653" s="10" t="n">
        <v>46164</v>
      </c>
      <c r="B653" s="6" t="inlineStr">
        <is>
          <t>Maria Eduarda Sousa Costa</t>
        </is>
      </c>
      <c r="C653" s="3" t="inlineStr">
        <is>
          <t>Estágio</t>
        </is>
      </c>
      <c r="D653" s="3" t="n">
        <v>8</v>
      </c>
      <c r="E653" s="3" t="n">
        <v>8</v>
      </c>
      <c r="F653" s="3" t="n">
        <v>20.01</v>
      </c>
      <c r="G653" s="3" t="n">
        <v>0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IF(K653&lt;-5,"CRÍTICO",IF(K653&lt;0,"ATENÇÃO",IF(K653&lt;=5,"OPORTUNO","MUITO BOM")))</f>
        <v/>
      </c>
      <c r="M653" s="3" t="n">
        <v>6</v>
      </c>
      <c r="N653" s="3" t="n">
        <v>100</v>
      </c>
      <c r="O653" s="3" t="n">
        <v>11.86440677966102</v>
      </c>
    </row>
    <row r="654" hidden="1">
      <c r="A654" s="10" t="n">
        <v>46164</v>
      </c>
      <c r="B654" s="6" t="inlineStr">
        <is>
          <t>Matheus Farias De Souza</t>
        </is>
      </c>
      <c r="C654" s="3" t="inlineStr">
        <is>
          <t>Técnico III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IF(K654&lt;-5,"CRÍTICO",IF(K654&lt;0,"ATENÇÃO",IF(K654&lt;=5,"OPORTUNO","MUITO BOM")))</f>
        <v/>
      </c>
      <c r="M654" s="3" t="n">
        <v>3</v>
      </c>
      <c r="N654" s="3" t="n">
        <v>98.28</v>
      </c>
      <c r="O654" s="3" t="n">
        <v>9.037900874635568</v>
      </c>
    </row>
    <row r="655" hidden="1">
      <c r="A655" s="10" t="n">
        <v>46164</v>
      </c>
      <c r="B655" s="6" t="inlineStr">
        <is>
          <t>Maysa Victoria Dias Moura</t>
        </is>
      </c>
      <c r="C655" s="3" t="inlineStr">
        <is>
          <t>Técnico III</t>
        </is>
      </c>
      <c r="D655" s="3" t="n">
        <v>23</v>
      </c>
      <c r="E655" s="3" t="n">
        <v>20</v>
      </c>
      <c r="F655" s="3" t="n">
        <v>13.5</v>
      </c>
      <c r="G655" s="3" t="n">
        <v>5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IF(K655&lt;-5,"CRÍTICO",IF(K655&lt;0,"ATENÇÃO",IF(K655&lt;=5,"OPORTUNO","MUITO BOM")))</f>
        <v/>
      </c>
      <c r="M655" s="3" t="n">
        <v>16</v>
      </c>
      <c r="N655" s="3" t="n">
        <v>97.22</v>
      </c>
      <c r="O655" s="3" t="n">
        <v>19.09547738693467</v>
      </c>
    </row>
    <row r="656" hidden="1">
      <c r="A656" s="10" t="n">
        <v>46164</v>
      </c>
      <c r="B656" s="6" t="inlineStr">
        <is>
          <t>Michelle G Santos</t>
        </is>
      </c>
      <c r="C656" s="3" t="inlineStr">
        <is>
          <t>Estágio</t>
        </is>
      </c>
      <c r="D656" s="3" t="n">
        <v>15</v>
      </c>
      <c r="E656" s="3" t="n">
        <v>14</v>
      </c>
      <c r="F656" s="3" t="n">
        <v>31.4</v>
      </c>
      <c r="G656" s="3" t="n">
        <v>0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11</v>
      </c>
      <c r="N656" s="3" t="n">
        <v>100</v>
      </c>
      <c r="O656" s="3" t="n">
        <v>16.8141592920354</v>
      </c>
    </row>
    <row r="657" hidden="1">
      <c r="A657" s="10" t="n">
        <v>46164</v>
      </c>
      <c r="B657" s="6" t="inlineStr">
        <is>
          <t>Milena Sales</t>
        </is>
      </c>
      <c r="C657" s="3" t="inlineStr">
        <is>
          <t>JR</t>
        </is>
      </c>
      <c r="D657" s="3" t="n">
        <v>21</v>
      </c>
      <c r="E657" s="3" t="n">
        <v>18</v>
      </c>
      <c r="F657" s="3" t="n">
        <v>13.49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IF(K657&lt;-5,"CRÍTICO",IF(K657&lt;0,"ATENÇÃO",IF(K657&lt;=5,"OPORTUNO","MUITO BOM")))</f>
        <v/>
      </c>
      <c r="M657" s="3" t="n">
        <v>16</v>
      </c>
      <c r="N657" s="3" t="n">
        <v>98</v>
      </c>
      <c r="O657" s="3" t="n">
        <v>16.43835616438356</v>
      </c>
    </row>
    <row r="658" hidden="1">
      <c r="A658" s="10" t="n">
        <v>46164</v>
      </c>
      <c r="B658" s="6" t="inlineStr">
        <is>
          <t>Patrícia Karla de Sousa Araújo</t>
        </is>
      </c>
      <c r="C658" s="3" t="inlineStr">
        <is>
          <t>Técnico II</t>
        </is>
      </c>
      <c r="D658" s="3" t="n">
        <v>17</v>
      </c>
      <c r="E658" s="3" t="n">
        <v>17</v>
      </c>
      <c r="F658" s="3" t="n">
        <v>22.2</v>
      </c>
      <c r="G658" s="3" t="n">
        <v>0</v>
      </c>
      <c r="H658" s="3" t="n">
        <v>0</v>
      </c>
      <c r="I658" s="3">
        <f>E658+G658+H658</f>
        <v/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/>
      </c>
      <c r="K658" s="3">
        <f>I658-J658</f>
        <v/>
      </c>
      <c r="L658" s="3">
        <f>IF(K658&lt;-5,"CRÍTICO",IF(K658&lt;0,"ATENÇÃO",IF(K658&lt;=5,"OPORTUNO","MUITO BOM")))</f>
        <v/>
      </c>
      <c r="M658" s="3" t="n">
        <v>12</v>
      </c>
      <c r="N658" s="3" t="n">
        <v>100</v>
      </c>
      <c r="O658" s="3" t="n">
        <v>16.89497716894977</v>
      </c>
    </row>
    <row r="659" hidden="1">
      <c r="A659" s="10" t="n">
        <v>46164</v>
      </c>
      <c r="B659" s="6" t="inlineStr">
        <is>
          <t>Paulo Ricardo Santos</t>
        </is>
      </c>
      <c r="C659" s="3" t="inlineStr">
        <is>
          <t>JR</t>
        </is>
      </c>
      <c r="D659" s="3" t="n">
        <v>13</v>
      </c>
      <c r="E659" s="3" t="n">
        <v>13</v>
      </c>
      <c r="F659" s="3" t="n">
        <v>27</v>
      </c>
      <c r="G659" s="3" t="n">
        <v>4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IF(K659&lt;-5,"CRÍTICO",IF(K659&lt;0,"ATENÇÃO",IF(K659&lt;=5,"OPORTUNO","MUITO BOM")))</f>
        <v/>
      </c>
      <c r="M659" s="3" t="n">
        <v>9</v>
      </c>
      <c r="N659" s="3" t="n">
        <v>100</v>
      </c>
      <c r="O659" s="3" t="n">
        <v>19.13875598086124</v>
      </c>
    </row>
    <row r="660" hidden="1">
      <c r="A660" s="10" t="n">
        <v>46164</v>
      </c>
      <c r="B660" s="6" t="inlineStr">
        <is>
          <t>Pedro Luiz Mota Sousa</t>
        </is>
      </c>
      <c r="C660" s="3" t="inlineStr">
        <is>
          <t>JR</t>
        </is>
      </c>
      <c r="D660" s="3" t="n">
        <v>17</v>
      </c>
      <c r="E660" s="3" t="n">
        <v>17</v>
      </c>
      <c r="F660" s="3" t="n">
        <v>17.24</v>
      </c>
      <c r="G660" s="3" t="n">
        <v>2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IF(K660&lt;-5,"CRÍTICO",IF(K660&lt;0,"ATENÇÃO",IF(K660&lt;=5,"OPORTUNO","MUITO BOM")))</f>
        <v/>
      </c>
      <c r="M660" s="3" t="n">
        <v>15</v>
      </c>
      <c r="N660" s="3" t="n">
        <v>100</v>
      </c>
      <c r="O660" s="3" t="n">
        <v>15.02145922746781</v>
      </c>
    </row>
    <row r="661" hidden="1">
      <c r="A661" s="10" t="n">
        <v>46164</v>
      </c>
      <c r="B661" s="6" t="inlineStr">
        <is>
          <t>Quirino Diogo Leite Torres</t>
        </is>
      </c>
      <c r="C661" s="3" t="inlineStr">
        <is>
          <t>Estágio</t>
        </is>
      </c>
      <c r="D661" s="3" t="n">
        <v>17</v>
      </c>
      <c r="E661" s="3" t="n">
        <v>15</v>
      </c>
      <c r="F661" s="3" t="n">
        <v>25.36</v>
      </c>
      <c r="G661" s="3" t="n">
        <v>0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IF(K661&lt;-5,"CRÍTICO",IF(K661&lt;0,"ATENÇÃO",IF(K661&lt;=5,"OPORTUNO","MUITO BOM")))</f>
        <v/>
      </c>
      <c r="M661" s="3" t="n">
        <v>9</v>
      </c>
      <c r="N661" s="3" t="n">
        <v>98.11</v>
      </c>
      <c r="O661" s="3" t="n">
        <v>20.40816326530612</v>
      </c>
    </row>
    <row r="662" hidden="1">
      <c r="A662" s="10" t="n">
        <v>46164</v>
      </c>
      <c r="B662" s="6" t="inlineStr">
        <is>
          <t>Raane Batista Matos</t>
        </is>
      </c>
      <c r="C662" s="3" t="inlineStr">
        <is>
          <t>Técnico I</t>
        </is>
      </c>
      <c r="D662" s="3" t="n">
        <v>18</v>
      </c>
      <c r="E662" s="3" t="n">
        <v>18</v>
      </c>
      <c r="F662" s="3" t="n">
        <v>20.45</v>
      </c>
      <c r="G662" s="3" t="n">
        <v>2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IF(K662&lt;-5,"CRÍTICO",IF(K662&lt;0,"ATENÇÃO",IF(K662&lt;=5,"OPORTUNO","MUITO BOM")))</f>
        <v/>
      </c>
      <c r="M662" s="3" t="n">
        <v>12</v>
      </c>
      <c r="N662" s="3" t="n">
        <v>97.56</v>
      </c>
      <c r="O662" s="3" t="n">
        <v>19.28783382789317</v>
      </c>
    </row>
    <row r="663" hidden="1">
      <c r="A663" s="10" t="n">
        <v>46164</v>
      </c>
      <c r="B663" s="6" t="inlineStr">
        <is>
          <t>Rafael Gomes de Morais</t>
        </is>
      </c>
      <c r="C663" s="3" t="inlineStr">
        <is>
          <t>Técnico III</t>
        </is>
      </c>
      <c r="D663" s="3" t="n">
        <v>25</v>
      </c>
      <c r="E663" s="3" t="n">
        <v>22</v>
      </c>
      <c r="F663" s="3" t="n">
        <v>13.32</v>
      </c>
      <c r="G663" s="3" t="n">
        <v>0</v>
      </c>
      <c r="H663" s="3" t="n">
        <v>0</v>
      </c>
      <c r="I663" s="3">
        <f>E663+G663+H663</f>
        <v/>
      </c>
      <c r="J663" s="3">
        <f>ROUND(MIN(IF(C663="Técnico III",35,IF(C663="Técnico II",28,IF(C663="Técnico I",23,IF(C663="JR",20,IF(C663="Estágio",10,0))))),IF(C663="Técnico III",SUMIFS($D:$D,$A:$A,$A663,$B:$B,"&lt;&gt;Patrícia Karla de Sousa Araújo",$B:$B,"&lt;&gt;Lorena Dias de Araujo",$B:$B,"&lt;&gt;Lucas Luiz Romero")*(35/1083),IF(C663="Técnico II",SUMIFS($D:$D,$A:$A,$A663,$B:$B,"&lt;&gt;Patrícia Karla de Sousa Araújo",$B:$B,"&lt;&gt;Lorena Dias de Araujo",$B:$B,"&lt;&gt;Lucas Luiz Romero")*(28/1083),IF(C663="Técnico I",SUMIFS($D:$D,$A:$A,$A663,$B:$B,"&lt;&gt;Patrícia Karla de Sousa Araújo",$B:$B,"&lt;&gt;Lorena Dias de Araujo",$B:$B,"&lt;&gt;Lucas Luiz Romero")*(23/1083),IF(C663="JR",SUMIFS($D:$D,$A:$A,$A663,$B:$B,"&lt;&gt;Patrícia Karla de Sousa Araújo",$B:$B,"&lt;&gt;Lorena Dias de Araujo",$B:$B,"&lt;&gt;Lucas Luiz Romero")*(20/1083),IF(C663="Estágio",SUMIFS($D:$D,$A:$A,$A663,$B:$B,"&lt;&gt;Patrícia Karla de Sousa Araújo",$B:$B,"&lt;&gt;Lorena Dias de Araujo",$B:$B,"&lt;&gt;Lucas Luiz Romero")*(10/1083),0)))))),0)</f>
        <v/>
      </c>
      <c r="K663" s="3">
        <f>I663-J663</f>
        <v/>
      </c>
      <c r="L663" s="3">
        <f>IF(K663&lt;-5,"CRÍTICO",IF(K663&lt;0,"ATENÇÃO",IF(K663&lt;=5,"OPORTUNO","MUITO BOM")))</f>
        <v/>
      </c>
      <c r="M663" s="3" t="n">
        <v>18</v>
      </c>
      <c r="N663" s="3" t="n">
        <v>99.29000000000001</v>
      </c>
      <c r="O663" s="3" t="n">
        <v>22.49443207126949</v>
      </c>
    </row>
    <row r="664" hidden="1">
      <c r="A664" s="10" t="n">
        <v>46164</v>
      </c>
      <c r="B664" s="6" t="inlineStr">
        <is>
          <t>Sara Maria Monteiro Lopes</t>
        </is>
      </c>
      <c r="C664" s="3" t="inlineStr">
        <is>
          <t>Técnico I</t>
        </is>
      </c>
      <c r="D664" s="3" t="n">
        <v>17</v>
      </c>
      <c r="E664" s="3" t="n">
        <v>16</v>
      </c>
      <c r="F664" s="3" t="n">
        <v>20.55</v>
      </c>
      <c r="G664" s="3" t="n">
        <v>1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IF(K664&lt;-5,"CRÍTICO",IF(K664&lt;0,"ATENÇÃO",IF(K664&lt;=5,"OPORTUNO","MUITO BOM")))</f>
        <v/>
      </c>
      <c r="M664" s="3" t="n">
        <v>17</v>
      </c>
      <c r="N664" s="3" t="n">
        <v>100</v>
      </c>
      <c r="O664" s="3" t="n">
        <v>16.97247706422019</v>
      </c>
    </row>
    <row r="665" hidden="1">
      <c r="A665" s="10" t="n">
        <v>46164</v>
      </c>
      <c r="B665" s="6" t="inlineStr">
        <is>
          <t>Sarah Steffanie de Lima Borges</t>
        </is>
      </c>
      <c r="C665" s="3" t="inlineStr">
        <is>
          <t>Técnico III</t>
        </is>
      </c>
      <c r="D665" s="3" t="n">
        <v>26</v>
      </c>
      <c r="E665" s="3" t="n">
        <v>22</v>
      </c>
      <c r="F665" s="3" t="n">
        <v>13.4</v>
      </c>
      <c r="G665" s="3" t="n">
        <v>0</v>
      </c>
      <c r="H665" s="3" t="n">
        <v>0</v>
      </c>
      <c r="I665" s="3">
        <f>E665+G665+H665</f>
        <v/>
      </c>
      <c r="J665" s="3">
        <f>ROUND(MIN(IF(C665="Técnico III",35,IF(C665="Técnico II",28,IF(C665="Técnico I",23,IF(C665="JR",20,IF(C665="Estágio",10,0))))),IF(C665="Técnico III",SUMIFS($D:$D,$A:$A,$A665,$B:$B,"&lt;&gt;Patrícia Karla de Sousa Araújo",$B:$B,"&lt;&gt;Lorena Dias de Araujo",$B:$B,"&lt;&gt;Lucas Luiz Romero")*(35/1083),IF(C665="Técnico II",SUMIFS($D:$D,$A:$A,$A665,$B:$B,"&lt;&gt;Patrícia Karla de Sousa Araújo",$B:$B,"&lt;&gt;Lorena Dias de Araujo",$B:$B,"&lt;&gt;Lucas Luiz Romero")*(28/1083),IF(C665="Técnico I",SUMIFS($D:$D,$A:$A,$A665,$B:$B,"&lt;&gt;Patrícia Karla de Sousa Araújo",$B:$B,"&lt;&gt;Lorena Dias de Araujo",$B:$B,"&lt;&gt;Lucas Luiz Romero")*(23/1083),IF(C665="JR",SUMIFS($D:$D,$A:$A,$A665,$B:$B,"&lt;&gt;Patrícia Karla de Sousa Araújo",$B:$B,"&lt;&gt;Lorena Dias de Araujo",$B:$B,"&lt;&gt;Lucas Luiz Romero")*(20/1083),IF(C665="Estágio",SUMIFS($D:$D,$A:$A,$A665,$B:$B,"&lt;&gt;Patrícia Karla de Sousa Araújo",$B:$B,"&lt;&gt;Lorena Dias de Araujo",$B:$B,"&lt;&gt;Lucas Luiz Romero")*(10/1083),0)))))),0)</f>
        <v/>
      </c>
      <c r="K665" s="3">
        <f>I665-J665</f>
        <v/>
      </c>
      <c r="L665" s="3">
        <f>IF(K665&lt;-5,"CRÍTICO",IF(K665&lt;0,"ATENÇÃO",IF(K665&lt;=5,"OPORTUNO","MUITO BOM")))</f>
        <v/>
      </c>
      <c r="M665" s="3" t="n">
        <v>17</v>
      </c>
      <c r="N665" s="3" t="n">
        <v>97.33</v>
      </c>
      <c r="O665" s="3" t="n">
        <v>15.80547112462006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11" t="n">
        <v>46167</v>
      </c>
      <c r="B730" t="inlineStr">
        <is>
          <t>Alisson de Freitas Silva</t>
        </is>
      </c>
      <c r="C730" t="inlineStr">
        <is>
          <t>Técnico II</t>
        </is>
      </c>
      <c r="D730" t="n">
        <v>34</v>
      </c>
      <c r="E730" t="n">
        <v>30</v>
      </c>
      <c r="F730" t="n">
        <v>10.14</v>
      </c>
      <c r="G730" t="n">
        <v>0</v>
      </c>
      <c r="H730" t="n">
        <v>0</v>
      </c>
      <c r="I730" s="3" t="n">
        <v>0</v>
      </c>
      <c r="J730" s="3" t="n">
        <v>0</v>
      </c>
      <c r="K730" s="3" t="n">
        <v>0</v>
      </c>
      <c r="L730" s="3">
        <f>IF(K730&lt;-5,"CRÍTICO",IF(K730&lt;0,"ATENÇÃO",IF(K730&lt;=5,"OPORTUNO","MUITO BOM")))</f>
        <v/>
      </c>
    </row>
    <row r="731" hidden="1">
      <c r="A731" s="11" t="n">
        <v>46167</v>
      </c>
      <c r="B731" t="inlineStr">
        <is>
          <t>Amanda Moura Ferreira</t>
        </is>
      </c>
      <c r="C731" t="inlineStr">
        <is>
          <t>Técnico III</t>
        </is>
      </c>
      <c r="D731" t="n">
        <v>0</v>
      </c>
      <c r="E731" t="n">
        <v>0</v>
      </c>
      <c r="F731" t="n">
        <v>0</v>
      </c>
      <c r="G731" t="n">
        <v>0</v>
      </c>
      <c r="H731" t="n">
        <v>0</v>
      </c>
      <c r="I731" s="3" t="n">
        <v>0</v>
      </c>
      <c r="J731" s="3" t="n">
        <v>0</v>
      </c>
      <c r="K731" s="3" t="n">
        <v>0</v>
      </c>
      <c r="L731" s="3">
        <f>IF(K731&lt;-5,"CRÍTICO",IF(K731&lt;0,"ATENÇÃO",IF(K731&lt;=5,"OPORTUNO","MUITO BOM")))</f>
        <v/>
      </c>
    </row>
    <row r="732" hidden="1">
      <c r="A732" s="11" t="n">
        <v>46167</v>
      </c>
      <c r="B732" t="inlineStr">
        <is>
          <t>Ana Karollyne Souza Faria</t>
        </is>
      </c>
      <c r="C732" t="inlineStr">
        <is>
          <t>Técnico I</t>
        </is>
      </c>
      <c r="D732" t="n">
        <v>25</v>
      </c>
      <c r="E732" t="n">
        <v>24</v>
      </c>
      <c r="F732" t="n">
        <v>15.25</v>
      </c>
      <c r="G732" t="n">
        <v>0</v>
      </c>
      <c r="H732" t="n">
        <v>0</v>
      </c>
      <c r="I732" s="3" t="n">
        <v>0</v>
      </c>
      <c r="J732" s="3" t="n">
        <v>0</v>
      </c>
      <c r="K732" s="3" t="n">
        <v>0</v>
      </c>
      <c r="L732" s="3">
        <f>IF(K732&lt;-5,"CRÍTICO",IF(K732&lt;0,"ATENÇÃO",IF(K732&lt;=5,"OPORTUNO","MUITO BOM")))</f>
        <v/>
      </c>
    </row>
    <row r="733" hidden="1">
      <c r="A733" s="11" t="n">
        <v>46167</v>
      </c>
      <c r="B733" t="inlineStr">
        <is>
          <t>Ana Paula Da Luz Silva Aleixo</t>
        </is>
      </c>
      <c r="C733" t="inlineStr">
        <is>
          <t>Técnico III</t>
        </is>
      </c>
      <c r="D733" t="n">
        <v>27</v>
      </c>
      <c r="E733" t="n">
        <v>23</v>
      </c>
      <c r="F733" t="n">
        <v>13.5</v>
      </c>
      <c r="G733" t="n">
        <v>0</v>
      </c>
      <c r="H73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IF(K733&lt;-5,"CRÍTICO",IF(K733&lt;0,"ATENÇÃO",IF(K733&lt;=5,"OPORTUNO","MUITO BOM")))</f>
        <v/>
      </c>
    </row>
    <row r="734" hidden="1">
      <c r="A734" s="11" t="n">
        <v>46167</v>
      </c>
      <c r="B734" t="inlineStr">
        <is>
          <t>Anna Luiza Rezende Tavares</t>
        </is>
      </c>
      <c r="C734" t="inlineStr">
        <is>
          <t>JR</t>
        </is>
      </c>
      <c r="D734" t="n">
        <v>25</v>
      </c>
      <c r="E734" t="n">
        <v>25</v>
      </c>
      <c r="F734" t="n">
        <v>15.22</v>
      </c>
      <c r="G734" t="n">
        <v>0</v>
      </c>
      <c r="H734" t="n">
        <v>0</v>
      </c>
      <c r="I734" s="3" t="n">
        <v>0</v>
      </c>
      <c r="J734" s="3" t="n">
        <v>0</v>
      </c>
      <c r="K734" s="3" t="n">
        <v>0</v>
      </c>
      <c r="L734" s="3">
        <f>IF(K734&lt;-5,"CRÍTICO",IF(K734&lt;0,"ATENÇÃO",IF(K734&lt;=5,"OPORTUNO","MUITO BOM")))</f>
        <v/>
      </c>
    </row>
    <row r="735" hidden="1">
      <c r="A735" s="11" t="n">
        <v>46167</v>
      </c>
      <c r="B735" t="inlineStr">
        <is>
          <t>Brenda de Menezes Silva</t>
        </is>
      </c>
      <c r="C735" t="inlineStr">
        <is>
          <t>Técnico II</t>
        </is>
      </c>
      <c r="D735" t="n">
        <v>35</v>
      </c>
      <c r="E735" t="n">
        <v>31</v>
      </c>
      <c r="F735" t="n">
        <v>10.11</v>
      </c>
      <c r="G735" t="n">
        <v>0</v>
      </c>
      <c r="H735" t="n">
        <v>0</v>
      </c>
      <c r="I735" s="3" t="n">
        <v>0</v>
      </c>
      <c r="J735" s="3" t="n">
        <v>0</v>
      </c>
      <c r="K735" s="3" t="n">
        <v>0</v>
      </c>
      <c r="L735" s="3">
        <f>IF(K735&lt;-5,"CRÍTICO",IF(K735&lt;0,"ATENÇÃO",IF(K735&lt;=5,"OPORTUNO","MUITO BOM")))</f>
        <v/>
      </c>
    </row>
    <row r="736" hidden="1">
      <c r="A736" s="11" t="n">
        <v>46167</v>
      </c>
      <c r="B736" t="inlineStr">
        <is>
          <t>Carlos Mateus Cassimiro Nunes</t>
        </is>
      </c>
      <c r="C736" t="inlineStr">
        <is>
          <t>Técnico II</t>
        </is>
      </c>
      <c r="D736" t="n">
        <v>23</v>
      </c>
      <c r="E736" t="n">
        <v>23</v>
      </c>
      <c r="F736" t="n">
        <v>20.51</v>
      </c>
      <c r="G736" t="n">
        <v>0</v>
      </c>
      <c r="H736" t="n">
        <v>0</v>
      </c>
      <c r="I736" s="3" t="n">
        <v>0</v>
      </c>
      <c r="J736" s="3" t="n">
        <v>0</v>
      </c>
      <c r="K736" s="3" t="n">
        <v>0</v>
      </c>
      <c r="L736" s="3">
        <f>IF(K736&lt;-5,"CRÍTICO",IF(K736&lt;0,"ATENÇÃO",IF(K736&lt;=5,"OPORTUNO","MUITO BOM")))</f>
        <v/>
      </c>
    </row>
    <row r="737" hidden="1">
      <c r="A737" s="11" t="n">
        <v>46167</v>
      </c>
      <c r="B737" t="inlineStr">
        <is>
          <t>Claudio de Sousa Velasco Filho</t>
        </is>
      </c>
      <c r="C737" t="inlineStr">
        <is>
          <t>Estágio</t>
        </is>
      </c>
      <c r="D737" t="n">
        <v>6</v>
      </c>
      <c r="E737" t="n">
        <v>4</v>
      </c>
      <c r="F737" t="n">
        <v>26.55</v>
      </c>
      <c r="G737" t="n">
        <v>0</v>
      </c>
      <c r="H737" t="n">
        <v>0</v>
      </c>
      <c r="I737" s="3" t="n">
        <v>0</v>
      </c>
      <c r="J737" s="3" t="n">
        <v>0</v>
      </c>
      <c r="K737" s="3" t="n">
        <v>0</v>
      </c>
      <c r="L737" s="3">
        <f>IF(K737&lt;-5,"CRÍTICO",IF(K737&lt;0,"ATENÇÃO",IF(K737&lt;=5,"OPORTUNO","MUITO BOM")))</f>
        <v/>
      </c>
    </row>
    <row r="738" hidden="1">
      <c r="A738" s="11" t="n">
        <v>46167</v>
      </c>
      <c r="B738" t="inlineStr">
        <is>
          <t>Clessiane Pereira dos Santos</t>
        </is>
      </c>
      <c r="C738" t="inlineStr">
        <is>
          <t>Técnico I</t>
        </is>
      </c>
      <c r="D738" t="n">
        <v>11</v>
      </c>
      <c r="E738" t="n">
        <v>11</v>
      </c>
      <c r="F738" t="n">
        <v>15.57</v>
      </c>
      <c r="G738" t="n">
        <v>0</v>
      </c>
      <c r="H738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IF(K738&lt;-5,"CRÍTICO",IF(K738&lt;0,"ATENÇÃO",IF(K738&lt;=5,"OPORTUNO","MUITO BOM")))</f>
        <v/>
      </c>
    </row>
    <row r="739" hidden="1">
      <c r="A739" s="11" t="n">
        <v>46167</v>
      </c>
      <c r="B739" t="inlineStr">
        <is>
          <t>Cristiane Ramos da Silva Rocha</t>
        </is>
      </c>
      <c r="C739" t="inlineStr">
        <is>
          <t>Técnico III</t>
        </is>
      </c>
      <c r="D739" t="n">
        <v>25</v>
      </c>
      <c r="E739" t="n">
        <v>22</v>
      </c>
      <c r="F739" t="n">
        <v>12.25</v>
      </c>
      <c r="G739" t="n">
        <v>0</v>
      </c>
      <c r="H739" t="n">
        <v>0</v>
      </c>
      <c r="I739" s="3" t="n">
        <v>0</v>
      </c>
      <c r="J739" s="3" t="n">
        <v>0</v>
      </c>
      <c r="K739" s="3" t="n">
        <v>0</v>
      </c>
      <c r="L739" s="3">
        <f>IF(K739&lt;-5,"CRÍTICO",IF(K739&lt;0,"ATENÇÃO",IF(K739&lt;=5,"OPORTUNO","MUITO BOM")))</f>
        <v/>
      </c>
    </row>
    <row r="740" hidden="1">
      <c r="A740" s="11" t="n">
        <v>46167</v>
      </c>
      <c r="B740" t="inlineStr">
        <is>
          <t>Damyllis Lorraine de Oliveira Gonçalves</t>
        </is>
      </c>
      <c r="C740" t="inlineStr">
        <is>
          <t>Técnico II</t>
        </is>
      </c>
      <c r="D740" t="n">
        <v>0</v>
      </c>
      <c r="E740" t="n">
        <v>0</v>
      </c>
      <c r="F740" t="n">
        <v>0</v>
      </c>
      <c r="G740" t="n">
        <v>0</v>
      </c>
      <c r="H740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IF(K740&lt;-5,"CRÍTICO",IF(K740&lt;0,"ATENÇÃO",IF(K740&lt;=5,"OPORTUNO","MUITO BOM")))</f>
        <v/>
      </c>
    </row>
    <row r="741" hidden="1">
      <c r="A741" s="11" t="n">
        <v>46167</v>
      </c>
      <c r="B741" t="inlineStr">
        <is>
          <t>Daniel Gomes da Silva</t>
        </is>
      </c>
      <c r="C741" t="inlineStr">
        <is>
          <t>Técnico I</t>
        </is>
      </c>
      <c r="D741" t="n">
        <v>28</v>
      </c>
      <c r="E741" t="n">
        <v>25</v>
      </c>
      <c r="F741" t="n">
        <v>13.29</v>
      </c>
      <c r="G741" t="n">
        <v>0</v>
      </c>
      <c r="H741" t="n">
        <v>0</v>
      </c>
      <c r="I741" s="3" t="n">
        <v>0</v>
      </c>
      <c r="J741" s="3" t="n">
        <v>0</v>
      </c>
      <c r="K741" s="3" t="n">
        <v>0</v>
      </c>
      <c r="L741" s="3">
        <f>IF(K741&lt;-5,"CRÍTICO",IF(K741&lt;0,"ATENÇÃO",IF(K741&lt;=5,"OPORTUNO","MUITO BOM")))</f>
        <v/>
      </c>
    </row>
    <row r="742" hidden="1">
      <c r="A742" s="11" t="n">
        <v>46167</v>
      </c>
      <c r="B742" t="inlineStr">
        <is>
          <t>Davylla Rodrigues Freitas Silva</t>
        </is>
      </c>
      <c r="C742" t="inlineStr">
        <is>
          <t>Técnico III</t>
        </is>
      </c>
      <c r="D742" t="n">
        <v>0</v>
      </c>
      <c r="E742" t="n">
        <v>0</v>
      </c>
      <c r="F742" t="n">
        <v>0</v>
      </c>
      <c r="G742" t="n">
        <v>0</v>
      </c>
      <c r="H742" t="n">
        <v>0</v>
      </c>
      <c r="I742" s="3" t="n">
        <v>0</v>
      </c>
      <c r="J742" s="3" t="n">
        <v>0</v>
      </c>
      <c r="K742" s="3" t="n">
        <v>0</v>
      </c>
      <c r="L742" s="3">
        <f>IF(K742&lt;-5,"CRÍTICO",IF(K742&lt;0,"ATENÇÃO",IF(K742&lt;=5,"OPORTUNO","MUITO BOM")))</f>
        <v/>
      </c>
    </row>
    <row r="743" hidden="1">
      <c r="A743" s="11" t="n">
        <v>46167</v>
      </c>
      <c r="B743" t="inlineStr">
        <is>
          <t>Emilly Caylane Costa</t>
        </is>
      </c>
      <c r="C743" t="inlineStr">
        <is>
          <t>Estágio</t>
        </is>
      </c>
      <c r="D743" t="n">
        <v>1</v>
      </c>
      <c r="E743" t="n">
        <v>1</v>
      </c>
      <c r="F743" t="n">
        <v>72.06999999999999</v>
      </c>
      <c r="G743" t="n">
        <v>0</v>
      </c>
      <c r="H743" t="n">
        <v>0</v>
      </c>
      <c r="I743" s="3" t="n">
        <v>0</v>
      </c>
      <c r="J743" s="3" t="n">
        <v>0</v>
      </c>
      <c r="K743" s="3" t="n">
        <v>0</v>
      </c>
      <c r="L743" s="3">
        <f>IF(K743&lt;-5,"CRÍTICO",IF(K743&lt;0,"ATENÇÃO",IF(K743&lt;=5,"OPORTUNO","MUITO BOM")))</f>
        <v/>
      </c>
    </row>
    <row r="744" hidden="1">
      <c r="A744" s="11" t="n">
        <v>46167</v>
      </c>
      <c r="B744" t="inlineStr">
        <is>
          <t>Emilly Kamilly Medeiros Miranda</t>
        </is>
      </c>
      <c r="C744" t="inlineStr">
        <is>
          <t>Técnico II</t>
        </is>
      </c>
      <c r="D744" t="n">
        <v>23</v>
      </c>
      <c r="E744" t="n">
        <v>21</v>
      </c>
      <c r="F744" t="n">
        <v>13.4</v>
      </c>
      <c r="G744" t="n">
        <v>0</v>
      </c>
      <c r="H744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IF(K744&lt;-5,"CRÍTICO",IF(K744&lt;0,"ATENÇÃO",IF(K744&lt;=5,"OPORTUNO","MUITO BOM")))</f>
        <v/>
      </c>
    </row>
    <row r="745" hidden="1">
      <c r="A745" s="11" t="n">
        <v>46167</v>
      </c>
      <c r="B745" t="inlineStr">
        <is>
          <t>Francielson de Oliveira</t>
        </is>
      </c>
      <c r="C745" t="inlineStr">
        <is>
          <t>Técnico III</t>
        </is>
      </c>
      <c r="D745" t="n">
        <v>20</v>
      </c>
      <c r="E745" t="n">
        <v>19</v>
      </c>
      <c r="F745" t="n">
        <v>17.3</v>
      </c>
      <c r="G745" t="n">
        <v>0</v>
      </c>
      <c r="H745" t="n">
        <v>0</v>
      </c>
      <c r="I745" s="3" t="n">
        <v>0</v>
      </c>
      <c r="J745" s="3" t="n">
        <v>0</v>
      </c>
      <c r="K745" s="3" t="n">
        <v>0</v>
      </c>
      <c r="L745" s="3">
        <f>IF(K745&lt;-5,"CRÍTICO",IF(K745&lt;0,"ATENÇÃO",IF(K745&lt;=5,"OPORTUNO","MUITO BOM")))</f>
        <v/>
      </c>
    </row>
    <row r="746" hidden="1">
      <c r="A746" s="11" t="n">
        <v>46167</v>
      </c>
      <c r="B746" t="inlineStr">
        <is>
          <t>Francilene Ferreira de Jesus</t>
        </is>
      </c>
      <c r="C746" t="inlineStr">
        <is>
          <t>Técnico II</t>
        </is>
      </c>
      <c r="D746" t="n">
        <v>0</v>
      </c>
      <c r="E746" t="n">
        <v>0</v>
      </c>
      <c r="F746" t="n">
        <v>0</v>
      </c>
      <c r="G746" t="n">
        <v>0</v>
      </c>
      <c r="H746" t="n">
        <v>0</v>
      </c>
      <c r="I746" s="3" t="n">
        <v>0</v>
      </c>
      <c r="J746" s="3" t="n">
        <v>0</v>
      </c>
      <c r="K746" s="3" t="n">
        <v>0</v>
      </c>
      <c r="L746" s="3">
        <f>IF(K746&lt;-5,"CRÍTICO",IF(K746&lt;0,"ATENÇÃO",IF(K746&lt;=5,"OPORTUNO","MUITO BOM")))</f>
        <v/>
      </c>
    </row>
    <row r="747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11" t="n">
        <v>46167</v>
      </c>
      <c r="B749" t="inlineStr">
        <is>
          <t>Isabella Borges de Oliveira</t>
        </is>
      </c>
      <c r="C749" t="inlineStr">
        <is>
          <t>Técnico II</t>
        </is>
      </c>
      <c r="D749" t="n">
        <v>27</v>
      </c>
      <c r="E749" t="n">
        <v>23</v>
      </c>
      <c r="F749" t="n">
        <v>15.42</v>
      </c>
      <c r="G749" t="n">
        <v>0</v>
      </c>
      <c r="H749" t="n">
        <v>0</v>
      </c>
      <c r="I749" s="3" t="n">
        <v>0</v>
      </c>
      <c r="J749" s="3" t="n">
        <v>0</v>
      </c>
      <c r="K749" s="3" t="n">
        <v>0</v>
      </c>
      <c r="L749" s="3">
        <f>IF(K749&lt;-5,"CRÍTICO",IF(K749&lt;0,"ATENÇÃO",IF(K749&lt;=5,"OPORTUNO","MUITO BOM")))</f>
        <v/>
      </c>
    </row>
    <row r="750" hidden="1">
      <c r="A750" s="11" t="n">
        <v>46167</v>
      </c>
      <c r="B750" t="inlineStr">
        <is>
          <t>Janaina Lima dos Reis Urany</t>
        </is>
      </c>
      <c r="C750" t="inlineStr">
        <is>
          <t>Técnico III</t>
        </is>
      </c>
      <c r="D750" t="n">
        <v>22</v>
      </c>
      <c r="E750" t="n">
        <v>21</v>
      </c>
      <c r="F750" t="n">
        <v>17.1</v>
      </c>
      <c r="G750" t="n">
        <v>0</v>
      </c>
      <c r="H750" t="n">
        <v>0</v>
      </c>
      <c r="I750" s="3" t="n">
        <v>0</v>
      </c>
      <c r="J750" s="3" t="n">
        <v>0</v>
      </c>
      <c r="K750" s="3" t="n">
        <v>0</v>
      </c>
      <c r="L750" s="3">
        <f>IF(K750&lt;-5,"CRÍTICO",IF(K750&lt;0,"ATENÇÃO",IF(K750&lt;=5,"OPORTUNO","MUITO BOM")))</f>
        <v/>
      </c>
    </row>
    <row r="751" hidden="1">
      <c r="A751" s="11" t="n">
        <v>46167</v>
      </c>
      <c r="B751" t="inlineStr">
        <is>
          <t>Jaqueline Evangelista da Silva Martins</t>
        </is>
      </c>
      <c r="C751" t="inlineStr">
        <is>
          <t>Técnico III</t>
        </is>
      </c>
      <c r="D751" t="n">
        <v>17</v>
      </c>
      <c r="E751" t="n">
        <v>16</v>
      </c>
      <c r="F751" t="n">
        <v>18.3</v>
      </c>
      <c r="G751" t="n">
        <v>0</v>
      </c>
      <c r="H751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</row>
    <row r="752" hidden="1">
      <c r="A752" s="11" t="n">
        <v>46167</v>
      </c>
      <c r="B752" t="inlineStr">
        <is>
          <t>Jessica Faria da Silveira</t>
        </is>
      </c>
      <c r="C752" t="inlineStr">
        <is>
          <t>Técnico II</t>
        </is>
      </c>
      <c r="D752" t="n">
        <v>21</v>
      </c>
      <c r="E752" t="n">
        <v>17</v>
      </c>
      <c r="F752" t="n">
        <v>17.19</v>
      </c>
      <c r="G752" t="n">
        <v>0</v>
      </c>
      <c r="H752" t="n">
        <v>0</v>
      </c>
      <c r="I752" s="3" t="n">
        <v>0</v>
      </c>
      <c r="J752" s="3" t="n">
        <v>0</v>
      </c>
      <c r="K752" s="3" t="n">
        <v>0</v>
      </c>
      <c r="L752" s="3">
        <f>IF(K752&lt;-5,"CRÍTICO",IF(K752&lt;0,"ATENÇÃO",IF(K752&lt;=5,"OPORTUNO","MUITO BOM")))</f>
        <v/>
      </c>
    </row>
    <row r="753" hidden="1">
      <c r="A753" s="11" t="n">
        <v>46167</v>
      </c>
      <c r="B753" t="inlineStr">
        <is>
          <t>Jéssica Fé Moura</t>
        </is>
      </c>
      <c r="C753" t="inlineStr">
        <is>
          <t>Técnico III</t>
        </is>
      </c>
      <c r="D753" t="n">
        <v>0</v>
      </c>
      <c r="E753" t="n">
        <v>0</v>
      </c>
      <c r="F753" t="n">
        <v>0</v>
      </c>
      <c r="G753" t="n">
        <v>0</v>
      </c>
      <c r="H75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</row>
    <row r="754" hidden="1">
      <c r="A754" s="11" t="n">
        <v>46167</v>
      </c>
      <c r="B754" t="inlineStr">
        <is>
          <t>Karina Gonçalves Martins</t>
        </is>
      </c>
      <c r="C754" t="inlineStr">
        <is>
          <t>JR</t>
        </is>
      </c>
      <c r="D754" t="n">
        <v>14</v>
      </c>
      <c r="E754" t="n">
        <v>13</v>
      </c>
      <c r="F754" t="n">
        <v>14.05</v>
      </c>
      <c r="G754" t="n">
        <v>0</v>
      </c>
      <c r="H754" t="n">
        <v>0</v>
      </c>
      <c r="I754" s="3" t="n">
        <v>0</v>
      </c>
      <c r="J754" s="3" t="n">
        <v>0</v>
      </c>
      <c r="K754" s="3" t="n">
        <v>0</v>
      </c>
      <c r="L754" s="3">
        <f>IF(K754&lt;-5,"CRÍTICO",IF(K754&lt;0,"ATENÇÃO",IF(K754&lt;=5,"OPORTUNO","MUITO BOM")))</f>
        <v/>
      </c>
    </row>
    <row r="755" hidden="1">
      <c r="A755" s="11" t="n">
        <v>46167</v>
      </c>
      <c r="B755" t="inlineStr">
        <is>
          <t>Kerollen Cristielly de Jesus Siqueira</t>
        </is>
      </c>
      <c r="C755" t="inlineStr">
        <is>
          <t>Técnico III</t>
        </is>
      </c>
      <c r="D755" t="n">
        <v>27</v>
      </c>
      <c r="E755" t="n">
        <v>27</v>
      </c>
      <c r="F755" t="n">
        <v>13.4</v>
      </c>
      <c r="G755" t="n">
        <v>0</v>
      </c>
      <c r="H755" t="n">
        <v>0</v>
      </c>
      <c r="I755" s="3" t="n">
        <v>0</v>
      </c>
      <c r="J755" s="3" t="n">
        <v>0</v>
      </c>
      <c r="K755" s="3" t="n">
        <v>0</v>
      </c>
      <c r="L755" s="3">
        <f>IF(K755&lt;-5,"CRÍTICO",IF(K755&lt;0,"ATENÇÃO",IF(K755&lt;=5,"OPORTUNO","MUITO BOM")))</f>
        <v/>
      </c>
    </row>
    <row r="756" hidden="1">
      <c r="A756" s="11" t="n">
        <v>46167</v>
      </c>
      <c r="B756" t="inlineStr">
        <is>
          <t>Leandro de Souza Silva</t>
        </is>
      </c>
      <c r="C756" t="inlineStr">
        <is>
          <t>JR</t>
        </is>
      </c>
      <c r="D756" t="n">
        <v>16</v>
      </c>
      <c r="E756" t="n">
        <v>16</v>
      </c>
      <c r="F756" t="n">
        <v>25.06</v>
      </c>
      <c r="G756" t="n">
        <v>0</v>
      </c>
      <c r="H756" t="n">
        <v>0</v>
      </c>
      <c r="I756" s="3" t="n">
        <v>0</v>
      </c>
      <c r="J756" s="3" t="n">
        <v>0</v>
      </c>
      <c r="K756" s="3" t="n">
        <v>0</v>
      </c>
      <c r="L756" s="3">
        <f>IF(K756&lt;-5,"CRÍTICO",IF(K756&lt;0,"ATENÇÃO",IF(K756&lt;=5,"OPORTUNO","MUITO BOM")))</f>
        <v/>
      </c>
    </row>
    <row r="757" hidden="1">
      <c r="A757" s="11" t="n">
        <v>46167</v>
      </c>
      <c r="B757" t="inlineStr">
        <is>
          <t>Leandro Oliveira de Sousa</t>
        </is>
      </c>
      <c r="C757" t="inlineStr">
        <is>
          <t>Técnico III</t>
        </is>
      </c>
      <c r="D757" t="n">
        <v>26</v>
      </c>
      <c r="E757" t="n">
        <v>24</v>
      </c>
      <c r="F757" t="n">
        <v>16.44</v>
      </c>
      <c r="G757" t="n">
        <v>0</v>
      </c>
      <c r="H757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</row>
    <row r="758" hidden="1">
      <c r="A758" s="11" t="n">
        <v>46167</v>
      </c>
      <c r="B758" t="inlineStr">
        <is>
          <t>Lizandra Gomes Duarte</t>
        </is>
      </c>
      <c r="C758" t="inlineStr">
        <is>
          <t>Técnico II</t>
        </is>
      </c>
      <c r="D758" t="n">
        <v>24</v>
      </c>
      <c r="E758" t="n">
        <v>24</v>
      </c>
      <c r="F758" t="n">
        <v>20.36</v>
      </c>
      <c r="G758" t="n">
        <v>0</v>
      </c>
      <c r="H758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</row>
    <row r="759" hidden="1">
      <c r="A759" s="11" t="n">
        <v>46167</v>
      </c>
      <c r="B759" t="inlineStr">
        <is>
          <t>Lorena Dias de Araujo</t>
        </is>
      </c>
      <c r="C759" t="inlineStr">
        <is>
          <t>Técnico II</t>
        </is>
      </c>
      <c r="D759" t="n">
        <v>19</v>
      </c>
      <c r="E759" t="n">
        <v>15</v>
      </c>
      <c r="F759" t="n">
        <v>24.06</v>
      </c>
      <c r="G759" t="n">
        <v>0</v>
      </c>
      <c r="H759" t="n">
        <v>0</v>
      </c>
      <c r="I759" s="3" t="n">
        <v>0</v>
      </c>
      <c r="J759" s="3" t="n">
        <v>0</v>
      </c>
      <c r="K759" s="3" t="n">
        <v>0</v>
      </c>
      <c r="L759" s="3">
        <f>IF(K759&lt;-5,"CRÍTICO",IF(K759&lt;0,"ATENÇÃO",IF(K759&lt;=5,"OPORTUNO","MUITO BOM")))</f>
        <v/>
      </c>
    </row>
    <row r="760" hidden="1">
      <c r="A760" s="11" t="n">
        <v>46167</v>
      </c>
      <c r="B760" t="inlineStr">
        <is>
          <t>Lucas Luiz Romero</t>
        </is>
      </c>
      <c r="C760" t="inlineStr">
        <is>
          <t>Técnico III</t>
        </is>
      </c>
      <c r="D760" t="n">
        <v>0</v>
      </c>
      <c r="E760" t="n">
        <v>0</v>
      </c>
      <c r="F760" t="n">
        <v>0</v>
      </c>
      <c r="G760" t="n">
        <v>0</v>
      </c>
      <c r="H760" t="n">
        <v>0</v>
      </c>
      <c r="I760" s="3" t="n">
        <v>0</v>
      </c>
      <c r="J760" s="3" t="n">
        <v>0</v>
      </c>
      <c r="K760" s="3" t="n">
        <v>0</v>
      </c>
      <c r="L760" s="3">
        <f>IF(K760&lt;-5,"CRÍTICO",IF(K760&lt;0,"ATENÇÃO",IF(K760&lt;=5,"OPORTUNO","MUITO BOM")))</f>
        <v/>
      </c>
    </row>
    <row r="761" hidden="1">
      <c r="A761" s="11" t="n">
        <v>46167</v>
      </c>
      <c r="B761" t="inlineStr">
        <is>
          <t>Luiz Fernando de Carvalho Junior</t>
        </is>
      </c>
      <c r="C761" t="inlineStr">
        <is>
          <t>Técnico I</t>
        </is>
      </c>
      <c r="D761" t="n">
        <v>14</v>
      </c>
      <c r="E761" t="n">
        <v>14</v>
      </c>
      <c r="F761" t="n">
        <v>28.35</v>
      </c>
      <c r="G761" t="n">
        <v>0</v>
      </c>
      <c r="H761" t="n">
        <v>0</v>
      </c>
      <c r="I761" s="3" t="n">
        <v>0</v>
      </c>
      <c r="J761" s="3" t="n">
        <v>0</v>
      </c>
      <c r="K761" s="3" t="n">
        <v>0</v>
      </c>
      <c r="L761" s="3">
        <f>IF(K761&lt;-5,"CRÍTICO",IF(K761&lt;0,"ATENÇÃO",IF(K761&lt;=5,"OPORTUNO","MUITO BOM")))</f>
        <v/>
      </c>
    </row>
    <row r="762" hidden="1">
      <c r="A762" s="11" t="n">
        <v>46167</v>
      </c>
      <c r="B762" t="inlineStr">
        <is>
          <t>Maria Eduarda Sousa Costa</t>
        </is>
      </c>
      <c r="C762" t="inlineStr">
        <is>
          <t>Estágio</t>
        </is>
      </c>
      <c r="D762" t="n">
        <v>9</v>
      </c>
      <c r="E762" t="n">
        <v>9</v>
      </c>
      <c r="F762" t="n">
        <v>20.48</v>
      </c>
      <c r="G762" t="n">
        <v>0</v>
      </c>
      <c r="H762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</row>
    <row r="763" hidden="1">
      <c r="A763" s="11" t="n">
        <v>46167</v>
      </c>
      <c r="B763" t="inlineStr">
        <is>
          <t>Matheus Farias De Souza</t>
        </is>
      </c>
      <c r="C763" t="inlineStr">
        <is>
          <t>Técnico III</t>
        </is>
      </c>
      <c r="D763" t="n">
        <v>0</v>
      </c>
      <c r="E763" t="n">
        <v>0</v>
      </c>
      <c r="F763" t="n">
        <v>0</v>
      </c>
      <c r="G763" t="n">
        <v>0</v>
      </c>
      <c r="H763" t="n">
        <v>0</v>
      </c>
      <c r="I763" s="3" t="n">
        <v>0</v>
      </c>
      <c r="J763" s="3" t="n">
        <v>0</v>
      </c>
      <c r="K763" s="3" t="n">
        <v>0</v>
      </c>
      <c r="L763" s="3">
        <f>IF(K763&lt;-5,"CRÍTICO",IF(K763&lt;0,"ATENÇÃO",IF(K763&lt;=5,"OPORTUNO","MUITO BOM")))</f>
        <v/>
      </c>
    </row>
    <row r="764" hidden="1">
      <c r="A764" s="11" t="n">
        <v>46167</v>
      </c>
      <c r="B764" t="inlineStr">
        <is>
          <t>Maysa Victoria Dias Moura</t>
        </is>
      </c>
      <c r="C764" t="inlineStr">
        <is>
          <t>Técnico III</t>
        </is>
      </c>
      <c r="D764" t="n">
        <v>25</v>
      </c>
      <c r="E764" t="n">
        <v>24</v>
      </c>
      <c r="F764" t="n">
        <v>17.35</v>
      </c>
      <c r="G764" t="n">
        <v>0</v>
      </c>
      <c r="H764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</row>
    <row r="765" hidden="1">
      <c r="A765" s="11" t="n">
        <v>46167</v>
      </c>
      <c r="B765" t="inlineStr">
        <is>
          <t>Michelle G Santos</t>
        </is>
      </c>
      <c r="C765" t="inlineStr">
        <is>
          <t>Estágio</t>
        </is>
      </c>
      <c r="D765" t="n">
        <v>5</v>
      </c>
      <c r="E765" t="n">
        <v>5</v>
      </c>
      <c r="F765" t="n">
        <v>54.07</v>
      </c>
      <c r="G765" t="n">
        <v>0</v>
      </c>
      <c r="H765" t="n">
        <v>0</v>
      </c>
      <c r="I765" s="3" t="n">
        <v>0</v>
      </c>
      <c r="J765" s="3" t="n">
        <v>0</v>
      </c>
      <c r="K765" s="3" t="n">
        <v>0</v>
      </c>
      <c r="L765" s="3">
        <f>IF(K765&lt;-5,"CRÍTICO",IF(K765&lt;0,"ATENÇÃO",IF(K765&lt;=5,"OPORTUNO","MUITO BOM")))</f>
        <v/>
      </c>
    </row>
    <row r="766" hidden="1">
      <c r="A766" s="11" t="n">
        <v>46167</v>
      </c>
      <c r="B766" t="inlineStr">
        <is>
          <t>Milena Sales</t>
        </is>
      </c>
      <c r="C766" t="inlineStr">
        <is>
          <t>JR</t>
        </is>
      </c>
      <c r="D766" t="n">
        <v>0</v>
      </c>
      <c r="E766" t="n">
        <v>0</v>
      </c>
      <c r="F766" t="n">
        <v>0</v>
      </c>
      <c r="G766" t="n">
        <v>0</v>
      </c>
      <c r="H766" t="n">
        <v>0</v>
      </c>
      <c r="I766" s="3" t="n">
        <v>0</v>
      </c>
      <c r="J766" s="3" t="n">
        <v>0</v>
      </c>
      <c r="K766" s="3" t="n">
        <v>0</v>
      </c>
      <c r="L766" s="3">
        <f>IF(K766&lt;-5,"CRÍTICO",IF(K766&lt;0,"ATENÇÃO",IF(K766&lt;=5,"OPORTUNO","MUITO BOM")))</f>
        <v/>
      </c>
    </row>
    <row r="767" hidden="1">
      <c r="A767" s="11" t="n">
        <v>46167</v>
      </c>
      <c r="B767" t="inlineStr">
        <is>
          <t>Patrícia Karla de Sousa Araújo</t>
        </is>
      </c>
      <c r="C767" t="inlineStr">
        <is>
          <t>Técnico II</t>
        </is>
      </c>
      <c r="D767" t="n">
        <v>0</v>
      </c>
      <c r="E767" t="n">
        <v>0</v>
      </c>
      <c r="F767" t="n">
        <v>0</v>
      </c>
      <c r="G767" t="n">
        <v>0</v>
      </c>
      <c r="H767" t="n">
        <v>0</v>
      </c>
      <c r="I767" s="3" t="n">
        <v>0</v>
      </c>
      <c r="J767" s="3" t="n">
        <v>0</v>
      </c>
      <c r="K767" s="3" t="n">
        <v>0</v>
      </c>
      <c r="L767" s="3">
        <f>IF(K767&lt;-5,"CRÍTICO",IF(K767&lt;0,"ATENÇÃO",IF(K767&lt;=5,"OPORTUNO","MUITO BOM")))</f>
        <v/>
      </c>
    </row>
    <row r="768" hidden="1">
      <c r="A768" s="11" t="n">
        <v>46167</v>
      </c>
      <c r="B768" t="inlineStr">
        <is>
          <t>Paulo Ricardo Santos</t>
        </is>
      </c>
      <c r="C768" t="inlineStr">
        <is>
          <t>JR</t>
        </is>
      </c>
      <c r="D768" t="n">
        <v>16</v>
      </c>
      <c r="E768" t="n">
        <v>16</v>
      </c>
      <c r="F768" t="n">
        <v>21.46</v>
      </c>
      <c r="G768" t="n">
        <v>0</v>
      </c>
      <c r="H768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</row>
    <row r="769" hidden="1">
      <c r="A769" s="11" t="n">
        <v>46167</v>
      </c>
      <c r="B769" t="inlineStr">
        <is>
          <t>Pedro Luiz Mota Sousa</t>
        </is>
      </c>
      <c r="C769" t="inlineStr">
        <is>
          <t>JR</t>
        </is>
      </c>
      <c r="D769" t="n">
        <v>13</v>
      </c>
      <c r="E769" t="n">
        <v>12</v>
      </c>
      <c r="F769" t="n">
        <v>15.01</v>
      </c>
      <c r="G769" t="n">
        <v>0</v>
      </c>
      <c r="H769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</row>
    <row r="770" hidden="1">
      <c r="A770" s="11" t="n">
        <v>46167</v>
      </c>
      <c r="B770" t="inlineStr">
        <is>
          <t>Quirino Diogo Leite Torres</t>
        </is>
      </c>
      <c r="C770" t="inlineStr">
        <is>
          <t>Estágio</t>
        </is>
      </c>
      <c r="D770" t="n">
        <v>17</v>
      </c>
      <c r="E770" t="n">
        <v>17</v>
      </c>
      <c r="F770" t="n">
        <v>32.24</v>
      </c>
      <c r="G770" t="n">
        <v>0</v>
      </c>
      <c r="H770" t="n">
        <v>0</v>
      </c>
      <c r="I770" s="3" t="n">
        <v>0</v>
      </c>
      <c r="J770" s="3" t="n">
        <v>0</v>
      </c>
      <c r="K770" s="3" t="n">
        <v>0</v>
      </c>
      <c r="L770" s="3">
        <f>IF(K770&lt;-5,"CRÍTICO",IF(K770&lt;0,"ATENÇÃO",IF(K770&lt;=5,"OPORTUNO","MUITO BOM")))</f>
        <v/>
      </c>
    </row>
    <row r="771" hidden="1">
      <c r="A771" s="11" t="n">
        <v>46167</v>
      </c>
      <c r="B771" t="inlineStr">
        <is>
          <t>Raane Batista Matos</t>
        </is>
      </c>
      <c r="C771" t="inlineStr">
        <is>
          <t>Técnico I</t>
        </is>
      </c>
      <c r="D771" t="n">
        <v>28</v>
      </c>
      <c r="E771" t="n">
        <v>26</v>
      </c>
      <c r="F771" t="n">
        <v>15.04</v>
      </c>
      <c r="G771" t="n">
        <v>0</v>
      </c>
      <c r="H771" t="n">
        <v>0</v>
      </c>
      <c r="I771" s="3" t="n">
        <v>0</v>
      </c>
      <c r="J771" s="3" t="n">
        <v>0</v>
      </c>
      <c r="K771" s="3" t="n">
        <v>0</v>
      </c>
      <c r="L771" s="3">
        <f>IF(K771&lt;-5,"CRÍTICO",IF(K771&lt;0,"ATENÇÃO",IF(K771&lt;=5,"OPORTUNO","MUITO BOM")))</f>
        <v/>
      </c>
    </row>
    <row r="772" hidden="1">
      <c r="A772" s="11" t="n">
        <v>46167</v>
      </c>
      <c r="B772" t="inlineStr">
        <is>
          <t>Rafael Gomes de Morais</t>
        </is>
      </c>
      <c r="C772" t="inlineStr">
        <is>
          <t>Técnico III</t>
        </is>
      </c>
      <c r="D772" t="n">
        <v>27</v>
      </c>
      <c r="E772" t="n">
        <v>24</v>
      </c>
      <c r="F772" t="n">
        <v>13.43</v>
      </c>
      <c r="G772" t="n">
        <v>0</v>
      </c>
      <c r="H772" t="n">
        <v>0</v>
      </c>
      <c r="I772" s="3" t="n">
        <v>0</v>
      </c>
      <c r="J772" s="3" t="n">
        <v>0</v>
      </c>
      <c r="K772" s="3" t="n">
        <v>0</v>
      </c>
      <c r="L772" s="3">
        <f>IF(K772&lt;-5,"CRÍTICO",IF(K772&lt;0,"ATENÇÃO",IF(K772&lt;=5,"OPORTUNO","MUITO BOM")))</f>
        <v/>
      </c>
    </row>
    <row r="773" hidden="1">
      <c r="A773" s="11" t="n">
        <v>46167</v>
      </c>
      <c r="B773" t="inlineStr">
        <is>
          <t>Sara Maria Monteiro Lopes</t>
        </is>
      </c>
      <c r="C773" t="inlineStr">
        <is>
          <t>Técnico I</t>
        </is>
      </c>
      <c r="D773" t="n">
        <v>17</v>
      </c>
      <c r="E773" t="n">
        <v>17</v>
      </c>
      <c r="F773" t="n">
        <v>25.3</v>
      </c>
      <c r="G773" t="n">
        <v>0</v>
      </c>
      <c r="H77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</row>
    <row r="774" hidden="1">
      <c r="A774" s="11" t="n">
        <v>46167</v>
      </c>
      <c r="B774" t="inlineStr">
        <is>
          <t>Sarah Steffanie de Lima Borges</t>
        </is>
      </c>
      <c r="C774" t="inlineStr">
        <is>
          <t>Técnico III</t>
        </is>
      </c>
      <c r="D774" t="n">
        <v>27</v>
      </c>
      <c r="E774" t="n">
        <v>25</v>
      </c>
      <c r="F774" t="n">
        <v>10.34</v>
      </c>
      <c r="G774" t="n">
        <v>0</v>
      </c>
      <c r="H774" t="n">
        <v>0</v>
      </c>
      <c r="I774" s="3" t="n">
        <v>0</v>
      </c>
      <c r="J774" s="3" t="n">
        <v>0</v>
      </c>
      <c r="K774" s="3" t="n">
        <v>0</v>
      </c>
      <c r="L774" s="3">
        <f>IF(K774&lt;-5,"CRÍTICO",IF(K774&lt;0,"ATENÇÃO",IF(K774&lt;=5,"OPORTUNO","MUITO BOM")))</f>
        <v/>
      </c>
    </row>
    <row r="775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0</v>
      </c>
      <c r="E785" t="n">
        <v>0</v>
      </c>
      <c r="F785" t="n">
        <v>0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0</v>
      </c>
      <c r="E787" t="n">
        <v>0</v>
      </c>
      <c r="F787" t="n">
        <v>0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0</v>
      </c>
      <c r="E803" t="n">
        <v>0</v>
      </c>
      <c r="F803" t="n">
        <v>0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0</v>
      </c>
      <c r="E829" t="n">
        <v>0</v>
      </c>
      <c r="F829" t="n">
        <v>0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0</v>
      </c>
      <c r="E831" t="n">
        <v>0</v>
      </c>
      <c r="F831" t="n">
        <v>0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0</v>
      </c>
      <c r="E847" t="n">
        <v>0</v>
      </c>
      <c r="F847" t="n">
        <v>0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N863" t="n">
        <v>96.81</v>
      </c>
      <c r="O863" t="n">
        <v>27.98053527980535</v>
      </c>
    </row>
    <row r="864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N864" t="n">
        <v>98.73</v>
      </c>
      <c r="O864" t="n">
        <v>35.75638506876228</v>
      </c>
    </row>
    <row r="865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N865" t="n">
        <v>98.31999999999999</v>
      </c>
      <c r="O865" t="n">
        <v>26.76348547717842</v>
      </c>
    </row>
    <row r="866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N866" t="n">
        <v>99.19</v>
      </c>
      <c r="O866" t="n">
        <v>27.63713080168776</v>
      </c>
    </row>
    <row r="867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N867" t="n">
        <v>100</v>
      </c>
      <c r="O867" t="n">
        <v>39.56834532374101</v>
      </c>
    </row>
    <row r="868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N868" t="n">
        <v>98.54000000000001</v>
      </c>
      <c r="O868" t="n">
        <v>28.54477611940299</v>
      </c>
    </row>
    <row r="869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N869" t="n">
        <v>100</v>
      </c>
      <c r="O869" t="n">
        <v>34.36692506459949</v>
      </c>
    </row>
    <row r="870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N870" t="n">
        <v>0</v>
      </c>
      <c r="O870" t="n">
        <v>0</v>
      </c>
    </row>
    <row r="87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N871" t="n">
        <v>100</v>
      </c>
      <c r="O871" t="n">
        <v>29.51807228915663</v>
      </c>
    </row>
    <row r="872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N872" t="n">
        <v>97.45</v>
      </c>
      <c r="O872" t="n">
        <v>41.421143847487</v>
      </c>
    </row>
    <row r="873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0</v>
      </c>
      <c r="E873" t="n">
        <v>0</v>
      </c>
      <c r="F873" t="n">
        <v>0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N873" t="n">
        <v>96.58</v>
      </c>
      <c r="O873" t="n">
        <v>30.39647577092511</v>
      </c>
    </row>
    <row r="874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N874" t="n">
        <v>100</v>
      </c>
      <c r="O874" t="n">
        <v>27.44282744282744</v>
      </c>
    </row>
    <row r="875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0</v>
      </c>
      <c r="E875" t="n">
        <v>0</v>
      </c>
      <c r="F875" t="n">
        <v>0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N875" t="n">
        <v>99.48999999999999</v>
      </c>
      <c r="O875" t="n">
        <v>40.2</v>
      </c>
    </row>
    <row r="876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N876" t="n">
        <v>100</v>
      </c>
      <c r="O876" t="n">
        <v>25</v>
      </c>
    </row>
    <row r="877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N877" t="n">
        <v>100</v>
      </c>
      <c r="O877" t="n">
        <v>34.15094339622641</v>
      </c>
    </row>
    <row r="878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N878" t="n">
        <v>100</v>
      </c>
      <c r="O878" t="n">
        <v>32.7313769751693</v>
      </c>
    </row>
    <row r="879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N879" t="n">
        <v>99.31</v>
      </c>
      <c r="O879" t="n">
        <v>30.96234309623431</v>
      </c>
    </row>
    <row r="880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N880" t="n">
        <v>96.67</v>
      </c>
      <c r="O880" t="n">
        <v>31.45161290322581</v>
      </c>
    </row>
    <row r="88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N881" t="n">
        <v>100</v>
      </c>
      <c r="O881" t="n">
        <v>27.67676767676768</v>
      </c>
    </row>
    <row r="882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N882" t="n">
        <v>100</v>
      </c>
      <c r="O882" t="n">
        <v>31.17723156532988</v>
      </c>
    </row>
    <row r="883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N883" t="n">
        <v>100</v>
      </c>
      <c r="O883" t="n">
        <v>27.60942760942761</v>
      </c>
    </row>
    <row r="884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N884" t="n">
        <v>96.40000000000001</v>
      </c>
      <c r="O884" t="n">
        <v>28.76404494382023</v>
      </c>
    </row>
    <row r="885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N885" t="n">
        <v>100</v>
      </c>
      <c r="O885" t="n">
        <v>33.98058252427185</v>
      </c>
    </row>
    <row r="886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N886" t="n">
        <v>97.56</v>
      </c>
      <c r="O886" t="n">
        <v>32.51533742331289</v>
      </c>
    </row>
    <row r="887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N887" t="n">
        <v>97.11</v>
      </c>
      <c r="O887" t="n">
        <v>37.40831295843521</v>
      </c>
    </row>
    <row r="888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N888" t="n">
        <v>0</v>
      </c>
      <c r="O888" t="n">
        <v>0</v>
      </c>
    </row>
    <row r="889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N889" t="n">
        <v>100</v>
      </c>
      <c r="O889" t="n">
        <v>30.47034764826176</v>
      </c>
    </row>
    <row r="890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N890" t="n">
        <v>100</v>
      </c>
      <c r="O890" t="n">
        <v>32.37113402061856</v>
      </c>
    </row>
    <row r="89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0</v>
      </c>
      <c r="E891" t="n">
        <v>0</v>
      </c>
      <c r="F891" t="n">
        <v>0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N891" t="n">
        <v>98.31999999999999</v>
      </c>
      <c r="O891" t="n">
        <v>32.31850117096019</v>
      </c>
    </row>
    <row r="892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N892" t="n">
        <v>96.43000000000001</v>
      </c>
      <c r="O892" t="n">
        <v>27.01525054466231</v>
      </c>
    </row>
    <row r="893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N893" t="n">
        <v>98.89</v>
      </c>
      <c r="O893" t="n">
        <v>28.02197802197802</v>
      </c>
    </row>
    <row r="894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N894" t="n">
        <v>100</v>
      </c>
      <c r="O894" t="n">
        <v>33.33333333333333</v>
      </c>
    </row>
    <row r="895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N895" t="n">
        <v>100</v>
      </c>
      <c r="O895" t="n">
        <v>27.43362831858407</v>
      </c>
    </row>
    <row r="896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N896" t="n">
        <v>98.65000000000001</v>
      </c>
      <c r="O896" t="n">
        <v>30.97826086956522</v>
      </c>
    </row>
    <row r="897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N897" t="n">
        <v>100</v>
      </c>
      <c r="O897" t="n">
        <v>12</v>
      </c>
    </row>
    <row r="898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N898" t="n">
        <v>0</v>
      </c>
      <c r="O898" t="n">
        <v>0</v>
      </c>
    </row>
    <row r="899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N899" t="n">
        <v>97.56</v>
      </c>
      <c r="O899" t="n">
        <v>31.06796116504854</v>
      </c>
    </row>
    <row r="900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N900" t="n">
        <v>0</v>
      </c>
      <c r="O900" t="n">
        <v>0</v>
      </c>
    </row>
    <row r="90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N901" t="n">
        <v>0</v>
      </c>
      <c r="O901" t="n">
        <v>0</v>
      </c>
    </row>
    <row r="902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N902" t="n">
        <v>0</v>
      </c>
      <c r="O902" t="n">
        <v>0</v>
      </c>
    </row>
    <row r="903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N903" t="n">
        <v>100</v>
      </c>
      <c r="O903" t="n">
        <v>53.84615384615385</v>
      </c>
    </row>
    <row r="904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N904" t="n">
        <v>100</v>
      </c>
      <c r="O904" t="n">
        <v>44.05594405594406</v>
      </c>
    </row>
    <row r="905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N905" t="n">
        <v>100</v>
      </c>
      <c r="O905" t="n">
        <v>31.87250996015936</v>
      </c>
    </row>
    <row r="906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N906" t="n">
        <v>98.41</v>
      </c>
      <c r="O906" t="n">
        <v>29.22465208747515</v>
      </c>
    </row>
    <row r="907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N907" t="n">
        <v>96.81</v>
      </c>
      <c r="O907" t="n">
        <v>27.98053527980535</v>
      </c>
    </row>
    <row r="908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N908" t="n">
        <v>98.73</v>
      </c>
      <c r="O908" t="n">
        <v>35.75638506876228</v>
      </c>
    </row>
    <row r="909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N909" t="n">
        <v>98.31999999999999</v>
      </c>
      <c r="O909" t="n">
        <v>26.76348547717842</v>
      </c>
    </row>
    <row r="910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N910" t="n">
        <v>99.19</v>
      </c>
      <c r="O910" t="n">
        <v>27.63713080168776</v>
      </c>
    </row>
    <row r="91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N911" t="n">
        <v>100</v>
      </c>
      <c r="O911" t="n">
        <v>39.56834532374101</v>
      </c>
    </row>
    <row r="912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N912" t="n">
        <v>98.54000000000001</v>
      </c>
      <c r="O912" t="n">
        <v>28.54477611940299</v>
      </c>
    </row>
    <row r="913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N913" t="n">
        <v>100</v>
      </c>
      <c r="O913" t="n">
        <v>34.36692506459949</v>
      </c>
    </row>
    <row r="914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N914" t="n">
        <v>0</v>
      </c>
      <c r="O914" t="n">
        <v>0</v>
      </c>
    </row>
    <row r="915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N915" t="n">
        <v>100</v>
      </c>
      <c r="O915" t="n">
        <v>29.51807228915663</v>
      </c>
    </row>
    <row r="916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N916" t="n">
        <v>97.45</v>
      </c>
      <c r="O916" t="n">
        <v>41.421143847487</v>
      </c>
    </row>
    <row r="917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0</v>
      </c>
      <c r="E917" t="n">
        <v>0</v>
      </c>
      <c r="F917" t="n">
        <v>0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N917" t="n">
        <v>96.58</v>
      </c>
      <c r="O917" t="n">
        <v>30.39647577092511</v>
      </c>
    </row>
    <row r="918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N918" t="n">
        <v>100</v>
      </c>
      <c r="O918" t="n">
        <v>27.44282744282744</v>
      </c>
    </row>
    <row r="919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0</v>
      </c>
      <c r="E919" t="n">
        <v>0</v>
      </c>
      <c r="F919" t="n">
        <v>0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N919" t="n">
        <v>99.48999999999999</v>
      </c>
      <c r="O919" t="n">
        <v>40.2</v>
      </c>
    </row>
    <row r="920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N920" t="n">
        <v>100</v>
      </c>
      <c r="O920" t="n">
        <v>25</v>
      </c>
    </row>
    <row r="92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N921" t="n">
        <v>100</v>
      </c>
      <c r="O921" t="n">
        <v>34.15094339622641</v>
      </c>
    </row>
    <row r="922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N922" t="n">
        <v>100</v>
      </c>
      <c r="O922" t="n">
        <v>32.7313769751693</v>
      </c>
    </row>
    <row r="923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N923" t="n">
        <v>99.31</v>
      </c>
      <c r="O923" t="n">
        <v>30.96234309623431</v>
      </c>
    </row>
    <row r="924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N925" t="n">
        <v>100</v>
      </c>
      <c r="O925" t="n">
        <v>27.67676767676768</v>
      </c>
    </row>
    <row r="926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N926" t="n">
        <v>100</v>
      </c>
      <c r="O926" t="n">
        <v>31.17723156532988</v>
      </c>
    </row>
    <row r="927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N927" t="n">
        <v>100</v>
      </c>
      <c r="O927" t="n">
        <v>27.60942760942761</v>
      </c>
    </row>
    <row r="928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N928" t="n">
        <v>96.40000000000001</v>
      </c>
      <c r="O928" t="n">
        <v>28.76404494382023</v>
      </c>
    </row>
    <row r="929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N929" t="n">
        <v>100</v>
      </c>
      <c r="O929" t="n">
        <v>33.98058252427185</v>
      </c>
    </row>
    <row r="930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N930" t="n">
        <v>97.56</v>
      </c>
      <c r="O930" t="n">
        <v>32.51533742331289</v>
      </c>
    </row>
    <row r="93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N931" t="n">
        <v>97.11</v>
      </c>
      <c r="O931" t="n">
        <v>37.40831295843521</v>
      </c>
    </row>
    <row r="932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N932" t="n">
        <v>0</v>
      </c>
      <c r="O932" t="n">
        <v>0</v>
      </c>
    </row>
    <row r="933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N933" t="n">
        <v>100</v>
      </c>
      <c r="O933" t="n">
        <v>30.47034764826176</v>
      </c>
    </row>
    <row r="934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N934" t="n">
        <v>100</v>
      </c>
      <c r="O934" t="n">
        <v>32.37113402061856</v>
      </c>
    </row>
    <row r="935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0</v>
      </c>
      <c r="E935" t="n">
        <v>0</v>
      </c>
      <c r="F935" t="n">
        <v>0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N935" t="n">
        <v>98.31999999999999</v>
      </c>
      <c r="O935" t="n">
        <v>32.31850117096019</v>
      </c>
    </row>
    <row r="936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N936" t="n">
        <v>96.43000000000001</v>
      </c>
      <c r="O936" t="n">
        <v>27.01525054466231</v>
      </c>
    </row>
    <row r="937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N937" t="n">
        <v>98.89</v>
      </c>
      <c r="O937" t="n">
        <v>28.02197802197802</v>
      </c>
    </row>
    <row r="938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N938" t="n">
        <v>100</v>
      </c>
      <c r="O938" t="n">
        <v>33.33333333333333</v>
      </c>
    </row>
    <row r="939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N939" t="n">
        <v>100</v>
      </c>
      <c r="O939" t="n">
        <v>27.43362831858407</v>
      </c>
    </row>
    <row r="940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N940" t="n">
        <v>98.65000000000001</v>
      </c>
      <c r="O940" t="n">
        <v>30.97826086956522</v>
      </c>
    </row>
    <row r="94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N941" t="n">
        <v>100</v>
      </c>
      <c r="O941" t="n">
        <v>12</v>
      </c>
    </row>
    <row r="942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N942" t="n">
        <v>0</v>
      </c>
      <c r="O942" t="n">
        <v>0</v>
      </c>
    </row>
    <row r="943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N943" t="n">
        <v>97.56</v>
      </c>
      <c r="O943" t="n">
        <v>31.06796116504854</v>
      </c>
    </row>
    <row r="944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N944" t="n">
        <v>0</v>
      </c>
      <c r="O944" t="n">
        <v>0</v>
      </c>
    </row>
    <row r="945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N945" t="n">
        <v>0</v>
      </c>
      <c r="O945" t="n">
        <v>0</v>
      </c>
    </row>
    <row r="946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N946" t="n">
        <v>0</v>
      </c>
      <c r="O946" t="n">
        <v>0</v>
      </c>
    </row>
    <row r="947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N947" t="n">
        <v>100</v>
      </c>
      <c r="O947" t="n">
        <v>53.84615384615385</v>
      </c>
    </row>
    <row r="948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N948" t="n">
        <v>100</v>
      </c>
      <c r="O948" t="n">
        <v>44.05594405594406</v>
      </c>
    </row>
    <row r="949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N949" t="n">
        <v>100</v>
      </c>
      <c r="O949" t="n">
        <v>31.87250996015936</v>
      </c>
    </row>
    <row r="950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N950" t="n">
        <v>98.41</v>
      </c>
      <c r="O950" t="n">
        <v>29.22465208747515</v>
      </c>
    </row>
    <row r="95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N951" t="n">
        <v>96.81</v>
      </c>
      <c r="O951" t="n">
        <v>27.98053527980535</v>
      </c>
    </row>
    <row r="952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N952" t="n">
        <v>98.73</v>
      </c>
      <c r="O952" t="n">
        <v>35.75638506876228</v>
      </c>
    </row>
    <row r="953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N953" t="n">
        <v>98.31999999999999</v>
      </c>
      <c r="O953" t="n">
        <v>26.76348547717842</v>
      </c>
    </row>
    <row r="954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N954" t="n">
        <v>99.19</v>
      </c>
      <c r="O954" t="n">
        <v>27.63713080168776</v>
      </c>
    </row>
    <row r="955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N955" t="n">
        <v>100</v>
      </c>
      <c r="O955" t="n">
        <v>39.56834532374101</v>
      </c>
    </row>
    <row r="956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N956" t="n">
        <v>98.54000000000001</v>
      </c>
      <c r="O956" t="n">
        <v>28.54477611940299</v>
      </c>
    </row>
    <row r="957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N957" t="n">
        <v>100</v>
      </c>
      <c r="O957" t="n">
        <v>34.36692506459949</v>
      </c>
    </row>
    <row r="958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N958" t="n">
        <v>0</v>
      </c>
      <c r="O958" t="n">
        <v>0</v>
      </c>
    </row>
    <row r="959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N959" t="n">
        <v>100</v>
      </c>
      <c r="O959" t="n">
        <v>29.51807228915663</v>
      </c>
    </row>
    <row r="960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N960" t="n">
        <v>97.45</v>
      </c>
      <c r="O960" t="n">
        <v>41.421143847487</v>
      </c>
    </row>
    <row r="96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0</v>
      </c>
      <c r="E961" t="n">
        <v>0</v>
      </c>
      <c r="F961" t="n">
        <v>0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N961" t="n">
        <v>96.58</v>
      </c>
      <c r="O961" t="n">
        <v>30.39647577092511</v>
      </c>
    </row>
    <row r="962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N962" t="n">
        <v>100</v>
      </c>
      <c r="O962" t="n">
        <v>27.44282744282744</v>
      </c>
    </row>
    <row r="963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0</v>
      </c>
      <c r="E963" t="n">
        <v>0</v>
      </c>
      <c r="F963" t="n">
        <v>0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N963" t="n">
        <v>99.48999999999999</v>
      </c>
      <c r="O963" t="n">
        <v>40.2</v>
      </c>
    </row>
    <row r="964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N964" t="n">
        <v>100</v>
      </c>
      <c r="O964" t="n">
        <v>25</v>
      </c>
    </row>
    <row r="965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N965" t="n">
        <v>100</v>
      </c>
      <c r="O965" t="n">
        <v>34.15094339622641</v>
      </c>
    </row>
    <row r="966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N966" t="n">
        <v>100</v>
      </c>
      <c r="O966" t="n">
        <v>32.7313769751693</v>
      </c>
    </row>
    <row r="967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N967" t="n">
        <v>99.31</v>
      </c>
      <c r="O967" t="n">
        <v>30.96234309623431</v>
      </c>
    </row>
    <row r="968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N968" t="n">
        <v>96.67</v>
      </c>
      <c r="O968" t="n">
        <v>31.45161290322581</v>
      </c>
    </row>
    <row r="969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N969" t="n">
        <v>100</v>
      </c>
      <c r="O969" t="n">
        <v>27.67676767676768</v>
      </c>
    </row>
    <row r="970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N970" t="n">
        <v>100</v>
      </c>
      <c r="O970" t="n">
        <v>31.17723156532988</v>
      </c>
    </row>
    <row r="97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N971" t="n">
        <v>100</v>
      </c>
      <c r="O971" t="n">
        <v>27.60942760942761</v>
      </c>
    </row>
    <row r="972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N972" t="n">
        <v>96.40000000000001</v>
      </c>
      <c r="O972" t="n">
        <v>28.76404494382023</v>
      </c>
    </row>
    <row r="973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N973" t="n">
        <v>100</v>
      </c>
      <c r="O973" t="n">
        <v>33.98058252427185</v>
      </c>
    </row>
    <row r="974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N974" t="n">
        <v>97.56</v>
      </c>
      <c r="O974" t="n">
        <v>32.51533742331289</v>
      </c>
    </row>
    <row r="975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N975" t="n">
        <v>97.11</v>
      </c>
      <c r="O975" t="n">
        <v>37.40831295843521</v>
      </c>
    </row>
    <row r="976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N976" t="n">
        <v>0</v>
      </c>
      <c r="O976" t="n">
        <v>0</v>
      </c>
    </row>
    <row r="977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N977" t="n">
        <v>100</v>
      </c>
      <c r="O977" t="n">
        <v>30.47034764826176</v>
      </c>
    </row>
    <row r="978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N978" t="n">
        <v>100</v>
      </c>
      <c r="O978" t="n">
        <v>32.37113402061856</v>
      </c>
    </row>
    <row r="979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0</v>
      </c>
      <c r="E979" t="n">
        <v>0</v>
      </c>
      <c r="F979" t="n">
        <v>0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N979" t="n">
        <v>98.31999999999999</v>
      </c>
      <c r="O979" t="n">
        <v>32.31850117096019</v>
      </c>
    </row>
    <row r="980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N980" t="n">
        <v>96.43000000000001</v>
      </c>
      <c r="O980" t="n">
        <v>27.01525054466231</v>
      </c>
    </row>
    <row r="98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N981" t="n">
        <v>98.89</v>
      </c>
      <c r="O981" t="n">
        <v>28.02197802197802</v>
      </c>
    </row>
    <row r="982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N982" t="n">
        <v>100</v>
      </c>
      <c r="O982" t="n">
        <v>33.33333333333333</v>
      </c>
    </row>
    <row r="983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N983" t="n">
        <v>100</v>
      </c>
      <c r="O983" t="n">
        <v>27.43362831858407</v>
      </c>
    </row>
    <row r="984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N984" t="n">
        <v>98.65000000000001</v>
      </c>
      <c r="O984" t="n">
        <v>30.97826086956522</v>
      </c>
    </row>
    <row r="985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N985" t="n">
        <v>100</v>
      </c>
      <c r="O985" t="n">
        <v>12</v>
      </c>
    </row>
    <row r="986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N986" t="n">
        <v>0</v>
      </c>
      <c r="O986" t="n">
        <v>0</v>
      </c>
    </row>
    <row r="987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N987" t="n">
        <v>97.56</v>
      </c>
      <c r="O987" t="n">
        <v>31.06796116504854</v>
      </c>
    </row>
    <row r="988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N988" t="n">
        <v>0</v>
      </c>
      <c r="O988" t="n">
        <v>0</v>
      </c>
    </row>
    <row r="989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N989" t="n">
        <v>0</v>
      </c>
      <c r="O989" t="n">
        <v>0</v>
      </c>
    </row>
    <row r="990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N990" t="n">
        <v>0</v>
      </c>
      <c r="O990" t="n">
        <v>0</v>
      </c>
    </row>
    <row r="99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N991" t="n">
        <v>100</v>
      </c>
      <c r="O991" t="n">
        <v>53.84615384615385</v>
      </c>
    </row>
    <row r="992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N992" t="n">
        <v>100</v>
      </c>
      <c r="O992" t="n">
        <v>44.05594405594406</v>
      </c>
    </row>
    <row r="993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N993" t="n">
        <v>100</v>
      </c>
      <c r="O993" t="n">
        <v>31.87250996015936</v>
      </c>
    </row>
    <row r="994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N994" t="n">
        <v>98.41</v>
      </c>
      <c r="O994" t="n">
        <v>29.22465208747515</v>
      </c>
    </row>
    <row r="995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N995" t="n">
        <v>96.81</v>
      </c>
      <c r="O995" t="n">
        <v>27.98053527980535</v>
      </c>
    </row>
    <row r="996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N996" t="n">
        <v>98.73</v>
      </c>
      <c r="O996" t="n">
        <v>35.75638506876228</v>
      </c>
    </row>
    <row r="997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N997" t="n">
        <v>98.31999999999999</v>
      </c>
      <c r="O997" t="n">
        <v>26.76348547717842</v>
      </c>
    </row>
    <row r="998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N998" t="n">
        <v>99.19</v>
      </c>
      <c r="O998" t="n">
        <v>27.63713080168776</v>
      </c>
    </row>
    <row r="999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N999" t="n">
        <v>100</v>
      </c>
      <c r="O999" t="n">
        <v>39.56834532374101</v>
      </c>
    </row>
    <row r="1000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N1000" t="n">
        <v>98.54000000000001</v>
      </c>
      <c r="O1000" t="n">
        <v>28.54477611940299</v>
      </c>
    </row>
    <row r="100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N1001" t="n">
        <v>100</v>
      </c>
      <c r="O1001" t="n">
        <v>34.36692506459949</v>
      </c>
    </row>
    <row r="1002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N1002" t="n">
        <v>0</v>
      </c>
      <c r="O1002" t="n">
        <v>0</v>
      </c>
    </row>
    <row r="1003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N1003" t="n">
        <v>100</v>
      </c>
      <c r="O1003" t="n">
        <v>29.51807228915663</v>
      </c>
    </row>
    <row r="1004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N1004" t="n">
        <v>97.45</v>
      </c>
      <c r="O1004" t="n">
        <v>41.421143847487</v>
      </c>
    </row>
    <row r="1005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0</v>
      </c>
      <c r="E1005" t="n">
        <v>0</v>
      </c>
      <c r="F1005" t="n">
        <v>0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N1005" t="n">
        <v>96.58</v>
      </c>
      <c r="O1005" t="n">
        <v>30.39647577092511</v>
      </c>
    </row>
    <row r="1006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N1006" t="n">
        <v>100</v>
      </c>
      <c r="O1006" t="n">
        <v>27.44282744282744</v>
      </c>
    </row>
    <row r="1007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0</v>
      </c>
      <c r="E1007" t="n">
        <v>0</v>
      </c>
      <c r="F1007" t="n">
        <v>0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N1007" t="n">
        <v>99.48999999999999</v>
      </c>
      <c r="O1007" t="n">
        <v>40.2</v>
      </c>
    </row>
    <row r="1008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N1008" t="n">
        <v>100</v>
      </c>
      <c r="O1008" t="n">
        <v>25</v>
      </c>
    </row>
    <row r="1009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N1009" t="n">
        <v>100</v>
      </c>
      <c r="O1009" t="n">
        <v>34.15094339622641</v>
      </c>
    </row>
    <row r="1010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N1010" t="n">
        <v>100</v>
      </c>
      <c r="O1010" t="n">
        <v>32.7313769751693</v>
      </c>
    </row>
    <row r="101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N1011" t="n">
        <v>99.31</v>
      </c>
      <c r="O1011" t="n">
        <v>30.96234309623431</v>
      </c>
    </row>
    <row r="1012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N1012" t="n">
        <v>96.67</v>
      </c>
      <c r="O1012" t="n">
        <v>31.45161290322581</v>
      </c>
    </row>
    <row r="1013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N1013" t="n">
        <v>100</v>
      </c>
      <c r="O1013" t="n">
        <v>27.67676767676768</v>
      </c>
    </row>
    <row r="1014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N1014" t="n">
        <v>100</v>
      </c>
      <c r="O1014" t="n">
        <v>31.17723156532988</v>
      </c>
    </row>
    <row r="1015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N1015" t="n">
        <v>100</v>
      </c>
      <c r="O1015" t="n">
        <v>27.60942760942761</v>
      </c>
    </row>
    <row r="1016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N1016" t="n">
        <v>96.40000000000001</v>
      </c>
      <c r="O1016" t="n">
        <v>28.76404494382023</v>
      </c>
    </row>
    <row r="1017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N1017" t="n">
        <v>100</v>
      </c>
      <c r="O1017" t="n">
        <v>33.98058252427185</v>
      </c>
    </row>
    <row r="1018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N1018" t="n">
        <v>97.56</v>
      </c>
      <c r="O1018" t="n">
        <v>32.51533742331289</v>
      </c>
    </row>
    <row r="1019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N1019" t="n">
        <v>97.11</v>
      </c>
      <c r="O1019" t="n">
        <v>37.40831295843521</v>
      </c>
    </row>
    <row r="1020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N1020" t="n">
        <v>0</v>
      </c>
      <c r="O1020" t="n">
        <v>0</v>
      </c>
    </row>
    <row r="102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N1021" t="n">
        <v>100</v>
      </c>
      <c r="O1021" t="n">
        <v>30.47034764826176</v>
      </c>
    </row>
    <row r="1022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N1022" t="n">
        <v>100</v>
      </c>
      <c r="O1022" t="n">
        <v>32.37113402061856</v>
      </c>
    </row>
    <row r="1023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0</v>
      </c>
      <c r="E1023" t="n">
        <v>0</v>
      </c>
      <c r="F1023" t="n">
        <v>0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N1023" t="n">
        <v>98.31999999999999</v>
      </c>
      <c r="O1023" t="n">
        <v>32.31850117096019</v>
      </c>
    </row>
    <row r="1024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N1024" t="n">
        <v>96.43000000000001</v>
      </c>
      <c r="O1024" t="n">
        <v>27.01525054466231</v>
      </c>
    </row>
    <row r="1025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N1025" t="n">
        <v>98.89</v>
      </c>
      <c r="O1025" t="n">
        <v>28.02197802197802</v>
      </c>
    </row>
    <row r="1026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N1026" t="n">
        <v>100</v>
      </c>
      <c r="O1026" t="n">
        <v>33.33333333333333</v>
      </c>
    </row>
    <row r="1027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N1027" t="n">
        <v>100</v>
      </c>
      <c r="O1027" t="n">
        <v>27.43362831858407</v>
      </c>
    </row>
    <row r="1028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N1028" t="n">
        <v>98.65000000000001</v>
      </c>
      <c r="O1028" t="n">
        <v>30.97826086956522</v>
      </c>
    </row>
    <row r="1029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N1029" t="n">
        <v>100</v>
      </c>
      <c r="O1029" t="n">
        <v>12</v>
      </c>
    </row>
    <row r="1030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N1030" t="n">
        <v>0</v>
      </c>
      <c r="O1030" t="n">
        <v>0</v>
      </c>
    </row>
    <row r="103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N1031" t="n">
        <v>97.56</v>
      </c>
      <c r="O1031" t="n">
        <v>31.06796116504854</v>
      </c>
    </row>
    <row r="1032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N1032" t="n">
        <v>0</v>
      </c>
      <c r="O1032" t="n">
        <v>0</v>
      </c>
    </row>
    <row r="1033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N1033" t="n">
        <v>0</v>
      </c>
      <c r="O1033" t="n">
        <v>0</v>
      </c>
    </row>
    <row r="1034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N1034" t="n">
        <v>0</v>
      </c>
      <c r="O1034" t="n">
        <v>0</v>
      </c>
    </row>
    <row r="1035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N1035" t="n">
        <v>100</v>
      </c>
      <c r="O1035" t="n">
        <v>53.84615384615385</v>
      </c>
    </row>
    <row r="1036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N1036" t="n">
        <v>100</v>
      </c>
      <c r="O1036" t="n">
        <v>44.05594405594406</v>
      </c>
    </row>
    <row r="1037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N1037" t="n">
        <v>100</v>
      </c>
      <c r="O1037" t="n">
        <v>31.87250996015936</v>
      </c>
    </row>
    <row r="1038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N1038" t="n">
        <v>98.41</v>
      </c>
      <c r="O1038" t="n">
        <v>29.22465208747515</v>
      </c>
    </row>
    <row r="1039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N1039" t="n">
        <v>96.81</v>
      </c>
      <c r="O1039" t="n">
        <v>27.98053527980535</v>
      </c>
    </row>
    <row r="1040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N1040" t="n">
        <v>98.73</v>
      </c>
      <c r="O1040" t="n">
        <v>35.75638506876228</v>
      </c>
    </row>
    <row r="104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N1041" t="n">
        <v>98.31999999999999</v>
      </c>
      <c r="O1041" t="n">
        <v>26.76348547717842</v>
      </c>
    </row>
    <row r="1042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N1042" t="n">
        <v>99.19</v>
      </c>
      <c r="O1042" t="n">
        <v>27.63713080168776</v>
      </c>
    </row>
    <row r="1043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N1043" t="n">
        <v>100</v>
      </c>
      <c r="O1043" t="n">
        <v>39.56834532374101</v>
      </c>
    </row>
    <row r="1044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N1044" t="n">
        <v>98.54000000000001</v>
      </c>
      <c r="O1044" t="n">
        <v>28.54477611940299</v>
      </c>
    </row>
    <row r="1045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N1045" t="n">
        <v>100</v>
      </c>
      <c r="O1045" t="n">
        <v>34.36692506459949</v>
      </c>
    </row>
    <row r="1046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N1046" t="n">
        <v>0</v>
      </c>
      <c r="O1046" t="n">
        <v>0</v>
      </c>
    </row>
    <row r="1047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N1047" t="n">
        <v>100</v>
      </c>
      <c r="O1047" t="n">
        <v>29.51807228915663</v>
      </c>
    </row>
    <row r="1048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N1048" t="n">
        <v>97.45</v>
      </c>
      <c r="O1048" t="n">
        <v>41.421143847487</v>
      </c>
    </row>
    <row r="1049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0</v>
      </c>
      <c r="E1049" t="n">
        <v>0</v>
      </c>
      <c r="F1049" t="n">
        <v>0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N1049" t="n">
        <v>96.58</v>
      </c>
      <c r="O1049" t="n">
        <v>30.39647577092511</v>
      </c>
    </row>
    <row r="1050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N1050" t="n">
        <v>100</v>
      </c>
      <c r="O1050" t="n">
        <v>27.44282744282744</v>
      </c>
    </row>
    <row r="105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0</v>
      </c>
      <c r="E1051" t="n">
        <v>0</v>
      </c>
      <c r="F1051" t="n">
        <v>0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N1051" t="n">
        <v>99.48999999999999</v>
      </c>
      <c r="O1051" t="n">
        <v>40.2</v>
      </c>
    </row>
    <row r="1052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N1052" t="n">
        <v>100</v>
      </c>
      <c r="O1052" t="n">
        <v>25</v>
      </c>
    </row>
    <row r="1053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N1053" t="n">
        <v>100</v>
      </c>
      <c r="O1053" t="n">
        <v>34.15094339622641</v>
      </c>
    </row>
    <row r="1054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N1054" t="n">
        <v>100</v>
      </c>
      <c r="O1054" t="n">
        <v>32.7313769751693</v>
      </c>
    </row>
    <row r="1055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N1055" t="n">
        <v>99.31</v>
      </c>
      <c r="O1055" t="n">
        <v>30.96234309623431</v>
      </c>
    </row>
    <row r="1056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N1056" t="n">
        <v>96.67</v>
      </c>
      <c r="O1056" t="n">
        <v>31.45161290322581</v>
      </c>
    </row>
    <row r="1057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N1057" t="n">
        <v>100</v>
      </c>
      <c r="O1057" t="n">
        <v>27.67676767676768</v>
      </c>
    </row>
    <row r="1058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N1058" t="n">
        <v>100</v>
      </c>
      <c r="O1058" t="n">
        <v>31.17723156532988</v>
      </c>
    </row>
    <row r="1059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N1059" t="n">
        <v>100</v>
      </c>
      <c r="O1059" t="n">
        <v>27.60942760942761</v>
      </c>
    </row>
    <row r="1060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N1060" t="n">
        <v>96.40000000000001</v>
      </c>
      <c r="O1060" t="n">
        <v>28.76404494382023</v>
      </c>
    </row>
    <row r="106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N1061" t="n">
        <v>100</v>
      </c>
      <c r="O1061" t="n">
        <v>33.98058252427185</v>
      </c>
    </row>
    <row r="1062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N1062" t="n">
        <v>97.56</v>
      </c>
      <c r="O1062" t="n">
        <v>32.51533742331289</v>
      </c>
    </row>
    <row r="1063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N1063" t="n">
        <v>97.11</v>
      </c>
      <c r="O1063" t="n">
        <v>37.40831295843521</v>
      </c>
    </row>
    <row r="1064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N1064" t="n">
        <v>0</v>
      </c>
      <c r="O1064" t="n">
        <v>0</v>
      </c>
    </row>
    <row r="1065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N1065" t="n">
        <v>100</v>
      </c>
      <c r="O1065" t="n">
        <v>30.47034764826176</v>
      </c>
    </row>
    <row r="1066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N1066" t="n">
        <v>100</v>
      </c>
      <c r="O1066" t="n">
        <v>32.37113402061856</v>
      </c>
    </row>
    <row r="1067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0</v>
      </c>
      <c r="E1067" t="n">
        <v>0</v>
      </c>
      <c r="F1067" t="n">
        <v>0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N1067" t="n">
        <v>98.31999999999999</v>
      </c>
      <c r="O1067" t="n">
        <v>32.31850117096019</v>
      </c>
    </row>
    <row r="1068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N1068" t="n">
        <v>96.43000000000001</v>
      </c>
      <c r="O1068" t="n">
        <v>27.01525054466231</v>
      </c>
    </row>
    <row r="1069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N1069" t="n">
        <v>98.89</v>
      </c>
      <c r="O1069" t="n">
        <v>28.02197802197802</v>
      </c>
    </row>
    <row r="1070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N1070" t="n">
        <v>100</v>
      </c>
      <c r="O1070" t="n">
        <v>33.33333333333333</v>
      </c>
    </row>
    <row r="107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N1071" t="n">
        <v>100</v>
      </c>
      <c r="O1071" t="n">
        <v>27.43362831858407</v>
      </c>
    </row>
    <row r="1072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N1072" t="n">
        <v>98.65000000000001</v>
      </c>
      <c r="O1072" t="n">
        <v>30.97826086956522</v>
      </c>
    </row>
    <row r="1073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N1073" t="n">
        <v>100</v>
      </c>
      <c r="O1073" t="n">
        <v>12</v>
      </c>
    </row>
    <row r="1074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N1074" t="n">
        <v>0</v>
      </c>
      <c r="O1074" t="n">
        <v>0</v>
      </c>
    </row>
    <row r="1075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N1075" t="n">
        <v>97.56</v>
      </c>
      <c r="O1075" t="n">
        <v>31.06796116504854</v>
      </c>
    </row>
    <row r="1076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N1076" t="n">
        <v>0</v>
      </c>
      <c r="O1076" t="n">
        <v>0</v>
      </c>
    </row>
    <row r="1077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N1077" t="n">
        <v>0</v>
      </c>
      <c r="O1077" t="n">
        <v>0</v>
      </c>
    </row>
    <row r="1078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N1078" t="n">
        <v>0</v>
      </c>
      <c r="O1078" t="n">
        <v>0</v>
      </c>
    </row>
    <row r="1079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N1079" t="n">
        <v>100</v>
      </c>
      <c r="O1079" t="n">
        <v>53.84615384615385</v>
      </c>
    </row>
    <row r="1080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N1080" t="n">
        <v>100</v>
      </c>
      <c r="O1080" t="n">
        <v>44.05594405594406</v>
      </c>
    </row>
    <row r="108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N1081" t="n">
        <v>100</v>
      </c>
      <c r="O1081" t="n">
        <v>31.87250996015936</v>
      </c>
    </row>
    <row r="1082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N1082" t="n">
        <v>98.41</v>
      </c>
      <c r="O1082" t="n">
        <v>29.22465208747515</v>
      </c>
    </row>
    <row r="1083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N1083" t="n">
        <v>96.81</v>
      </c>
      <c r="O1083" t="n">
        <v>27.98053527980535</v>
      </c>
    </row>
    <row r="1084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N1084" t="n">
        <v>98.73</v>
      </c>
      <c r="O1084" t="n">
        <v>35.75638506876228</v>
      </c>
    </row>
    <row r="1085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N1085" t="n">
        <v>98.31999999999999</v>
      </c>
      <c r="O1085" t="n">
        <v>26.76348547717842</v>
      </c>
    </row>
    <row r="1086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N1086" t="n">
        <v>99.19</v>
      </c>
      <c r="O1086" t="n">
        <v>27.63713080168776</v>
      </c>
    </row>
    <row r="1087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N1087" t="n">
        <v>100</v>
      </c>
      <c r="O1087" t="n">
        <v>39.56834532374101</v>
      </c>
    </row>
    <row r="1088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N1088" t="n">
        <v>98.54000000000001</v>
      </c>
      <c r="O1088" t="n">
        <v>28.54477611940299</v>
      </c>
    </row>
    <row r="1089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N1089" t="n">
        <v>100</v>
      </c>
      <c r="O1089" t="n">
        <v>34.36692506459949</v>
      </c>
    </row>
    <row r="1090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N1090" t="n">
        <v>0</v>
      </c>
      <c r="O1090" t="n">
        <v>0</v>
      </c>
    </row>
    <row r="109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N1091" t="n">
        <v>100</v>
      </c>
      <c r="O1091" t="n">
        <v>29.51807228915663</v>
      </c>
    </row>
    <row r="1092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N1092" t="n">
        <v>97.45</v>
      </c>
      <c r="O1092" t="n">
        <v>41.421143847487</v>
      </c>
    </row>
    <row r="1093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0</v>
      </c>
      <c r="E1093" t="n">
        <v>0</v>
      </c>
      <c r="F1093" t="n">
        <v>0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N1093" t="n">
        <v>96.58</v>
      </c>
      <c r="O1093" t="n">
        <v>30.39647577092511</v>
      </c>
    </row>
    <row r="1094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N1094" t="n">
        <v>100</v>
      </c>
      <c r="O1094" t="n">
        <v>27.44282744282744</v>
      </c>
    </row>
    <row r="1095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0</v>
      </c>
      <c r="E1095" t="n">
        <v>0</v>
      </c>
      <c r="F1095" t="n">
        <v>0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N1095" t="n">
        <v>99.48999999999999</v>
      </c>
      <c r="O1095" t="n">
        <v>40.2</v>
      </c>
    </row>
    <row r="1096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N1096" t="n">
        <v>100</v>
      </c>
      <c r="O1096" t="n">
        <v>25</v>
      </c>
    </row>
    <row r="1097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N1097" t="n">
        <v>100</v>
      </c>
      <c r="O1097" t="n">
        <v>34.15094339622641</v>
      </c>
    </row>
    <row r="1098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N1098" t="n">
        <v>100</v>
      </c>
      <c r="O1098" t="n">
        <v>32.7313769751693</v>
      </c>
    </row>
    <row r="1099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N1099" t="n">
        <v>99.31</v>
      </c>
      <c r="O1099" t="n">
        <v>30.96234309623431</v>
      </c>
    </row>
    <row r="1100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N1100" t="n">
        <v>96.67</v>
      </c>
      <c r="O1100" t="n">
        <v>31.45161290322581</v>
      </c>
    </row>
    <row r="110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N1101" t="n">
        <v>100</v>
      </c>
      <c r="O1101" t="n">
        <v>27.67676767676768</v>
      </c>
    </row>
    <row r="1102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N1102" t="n">
        <v>100</v>
      </c>
      <c r="O1102" t="n">
        <v>31.17723156532988</v>
      </c>
    </row>
    <row r="1103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N1103" t="n">
        <v>100</v>
      </c>
      <c r="O1103" t="n">
        <v>27.60942760942761</v>
      </c>
    </row>
    <row r="1104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N1104" t="n">
        <v>96.40000000000001</v>
      </c>
      <c r="O1104" t="n">
        <v>28.76404494382023</v>
      </c>
    </row>
    <row r="1105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N1105" t="n">
        <v>100</v>
      </c>
      <c r="O1105" t="n">
        <v>33.98058252427185</v>
      </c>
    </row>
    <row r="1106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N1106" t="n">
        <v>97.56</v>
      </c>
      <c r="O1106" t="n">
        <v>32.51533742331289</v>
      </c>
    </row>
    <row r="1107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N1107" t="n">
        <v>97.11</v>
      </c>
      <c r="O1107" t="n">
        <v>37.40831295843521</v>
      </c>
    </row>
    <row r="1108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N1108" t="n">
        <v>0</v>
      </c>
      <c r="O1108" t="n">
        <v>0</v>
      </c>
    </row>
    <row r="1109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N1109" t="n">
        <v>100</v>
      </c>
      <c r="O1109" t="n">
        <v>30.47034764826176</v>
      </c>
    </row>
    <row r="1110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N1110" t="n">
        <v>100</v>
      </c>
      <c r="O1110" t="n">
        <v>32.37113402061856</v>
      </c>
    </row>
    <row r="111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0</v>
      </c>
      <c r="E1111" t="n">
        <v>0</v>
      </c>
      <c r="F1111" t="n">
        <v>0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N1111" t="n">
        <v>98.31999999999999</v>
      </c>
      <c r="O1111" t="n">
        <v>32.31850117096019</v>
      </c>
    </row>
    <row r="1112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N1112" t="n">
        <v>96.43000000000001</v>
      </c>
      <c r="O1112" t="n">
        <v>27.01525054466231</v>
      </c>
    </row>
    <row r="1113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N1113" t="n">
        <v>98.89</v>
      </c>
      <c r="O1113" t="n">
        <v>28.02197802197802</v>
      </c>
    </row>
    <row r="1114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N1114" t="n">
        <v>100</v>
      </c>
      <c r="O1114" t="n">
        <v>33.33333333333333</v>
      </c>
    </row>
    <row r="1115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N1115" t="n">
        <v>100</v>
      </c>
      <c r="O1115" t="n">
        <v>27.43362831858407</v>
      </c>
    </row>
    <row r="1116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N1116" t="n">
        <v>98.65000000000001</v>
      </c>
      <c r="O1116" t="n">
        <v>30.97826086956522</v>
      </c>
    </row>
    <row r="1117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N1117" t="n">
        <v>100</v>
      </c>
      <c r="O1117" t="n">
        <v>12</v>
      </c>
    </row>
    <row r="1118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N1118" t="n">
        <v>0</v>
      </c>
      <c r="O1118" t="n">
        <v>0</v>
      </c>
    </row>
    <row r="1119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N1119" t="n">
        <v>97.56</v>
      </c>
      <c r="O1119" t="n">
        <v>31.06796116504854</v>
      </c>
    </row>
    <row r="1120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N1120" t="n">
        <v>0</v>
      </c>
      <c r="O1120" t="n">
        <v>0</v>
      </c>
    </row>
    <row r="112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N1121" t="n">
        <v>0</v>
      </c>
      <c r="O1121" t="n">
        <v>0</v>
      </c>
    </row>
    <row r="1122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N1122" t="n">
        <v>0</v>
      </c>
      <c r="O1122" t="n">
        <v>0</v>
      </c>
    </row>
    <row r="1123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N1123" t="n">
        <v>100</v>
      </c>
      <c r="O1123" t="n">
        <v>53.84615384615385</v>
      </c>
    </row>
    <row r="1124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N1124" t="n">
        <v>100</v>
      </c>
      <c r="O1124" t="n">
        <v>44.05594405594406</v>
      </c>
    </row>
    <row r="1125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N1125" t="n">
        <v>100</v>
      </c>
      <c r="O1125" t="n">
        <v>31.87250996015936</v>
      </c>
    </row>
    <row r="1126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N1126" t="n">
        <v>98.41</v>
      </c>
      <c r="O1126" t="n">
        <v>29.22465208747515</v>
      </c>
    </row>
    <row r="1127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N1127" t="n">
        <v>96.81</v>
      </c>
      <c r="O1127" t="n">
        <v>27.98053527980535</v>
      </c>
    </row>
    <row r="1128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N1128" t="n">
        <v>98.73</v>
      </c>
      <c r="O1128" t="n">
        <v>35.75638506876228</v>
      </c>
    </row>
    <row r="1129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N1129" t="n">
        <v>98.31999999999999</v>
      </c>
      <c r="O1129" t="n">
        <v>26.76348547717842</v>
      </c>
    </row>
    <row r="1130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N1130" t="n">
        <v>99.19</v>
      </c>
      <c r="O1130" t="n">
        <v>27.63713080168776</v>
      </c>
    </row>
    <row r="113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N1131" t="n">
        <v>100</v>
      </c>
      <c r="O1131" t="n">
        <v>39.56834532374101</v>
      </c>
    </row>
    <row r="1132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N1132" t="n">
        <v>98.54000000000001</v>
      </c>
      <c r="O1132" t="n">
        <v>28.54477611940299</v>
      </c>
    </row>
    <row r="1133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N1133" t="n">
        <v>100</v>
      </c>
      <c r="O1133" t="n">
        <v>34.36692506459949</v>
      </c>
    </row>
    <row r="1134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N1134" t="n">
        <v>0</v>
      </c>
      <c r="O1134" t="n">
        <v>0</v>
      </c>
    </row>
    <row r="1135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N1135" t="n">
        <v>100</v>
      </c>
      <c r="O1135" t="n">
        <v>29.51807228915663</v>
      </c>
    </row>
    <row r="1136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N1136" t="n">
        <v>97.45</v>
      </c>
      <c r="O1136" t="n">
        <v>41.421143847487</v>
      </c>
    </row>
    <row r="1137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0</v>
      </c>
      <c r="E1137" t="n">
        <v>0</v>
      </c>
      <c r="F1137" t="n">
        <v>0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N1137" t="n">
        <v>96.58</v>
      </c>
      <c r="O1137" t="n">
        <v>30.39647577092511</v>
      </c>
    </row>
    <row r="1138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N1138" t="n">
        <v>100</v>
      </c>
      <c r="O1138" t="n">
        <v>27.44282744282744</v>
      </c>
    </row>
    <row r="1139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0</v>
      </c>
      <c r="E1139" t="n">
        <v>0</v>
      </c>
      <c r="F1139" t="n">
        <v>0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N1139" t="n">
        <v>99.48999999999999</v>
      </c>
      <c r="O1139" t="n">
        <v>40.2</v>
      </c>
    </row>
    <row r="1140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N1140" t="n">
        <v>100</v>
      </c>
      <c r="O1140" t="n">
        <v>25</v>
      </c>
    </row>
    <row r="114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N1141" t="n">
        <v>100</v>
      </c>
      <c r="O1141" t="n">
        <v>34.15094339622641</v>
      </c>
    </row>
    <row r="1142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N1142" t="n">
        <v>100</v>
      </c>
      <c r="O1142" t="n">
        <v>32.7313769751693</v>
      </c>
    </row>
    <row r="1143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N1143" t="n">
        <v>99.31</v>
      </c>
      <c r="O1143" t="n">
        <v>30.96234309623431</v>
      </c>
    </row>
    <row r="1144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N1144" t="n">
        <v>96.67</v>
      </c>
      <c r="O1144" t="n">
        <v>31.45161290322581</v>
      </c>
    </row>
    <row r="1145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N1145" t="n">
        <v>100</v>
      </c>
      <c r="O1145" t="n">
        <v>27.67676767676768</v>
      </c>
    </row>
    <row r="1146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N1146" t="n">
        <v>100</v>
      </c>
      <c r="O1146" t="n">
        <v>31.17723156532988</v>
      </c>
    </row>
    <row r="1147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N1147" t="n">
        <v>100</v>
      </c>
      <c r="O1147" t="n">
        <v>27.60942760942761</v>
      </c>
    </row>
    <row r="1148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N1148" t="n">
        <v>96.40000000000001</v>
      </c>
      <c r="O1148" t="n">
        <v>28.76404494382023</v>
      </c>
    </row>
    <row r="1149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N1149" t="n">
        <v>100</v>
      </c>
      <c r="O1149" t="n">
        <v>33.98058252427185</v>
      </c>
    </row>
    <row r="1150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N1150" t="n">
        <v>97.56</v>
      </c>
      <c r="O1150" t="n">
        <v>32.51533742331289</v>
      </c>
    </row>
    <row r="115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N1151" t="n">
        <v>97.11</v>
      </c>
      <c r="O1151" t="n">
        <v>37.40831295843521</v>
      </c>
    </row>
    <row r="1152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N1152" t="n">
        <v>0</v>
      </c>
      <c r="O1152" t="n">
        <v>0</v>
      </c>
    </row>
    <row r="1153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N1153" t="n">
        <v>100</v>
      </c>
      <c r="O1153" t="n">
        <v>30.47034764826176</v>
      </c>
    </row>
    <row r="1154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N1154" t="n">
        <v>100</v>
      </c>
      <c r="O1154" t="n">
        <v>32.37113402061856</v>
      </c>
    </row>
    <row r="1155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0</v>
      </c>
      <c r="E1155" t="n">
        <v>0</v>
      </c>
      <c r="F1155" t="n">
        <v>0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N1155" t="n">
        <v>98.31999999999999</v>
      </c>
      <c r="O1155" t="n">
        <v>32.31850117096019</v>
      </c>
    </row>
    <row r="1156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N1156" t="n">
        <v>96.43000000000001</v>
      </c>
      <c r="O1156" t="n">
        <v>27.01525054466231</v>
      </c>
    </row>
    <row r="1157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N1157" t="n">
        <v>98.89</v>
      </c>
      <c r="O1157" t="n">
        <v>28.02197802197802</v>
      </c>
    </row>
    <row r="1158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N1158" t="n">
        <v>100</v>
      </c>
      <c r="O1158" t="n">
        <v>33.33333333333333</v>
      </c>
    </row>
    <row r="1159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N1159" t="n">
        <v>100</v>
      </c>
      <c r="O1159" t="n">
        <v>27.43362831858407</v>
      </c>
    </row>
    <row r="1160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N1160" t="n">
        <v>98.65000000000001</v>
      </c>
      <c r="O1160" t="n">
        <v>30.97826086956522</v>
      </c>
    </row>
    <row r="116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N1161" t="n">
        <v>100</v>
      </c>
      <c r="O1161" t="n">
        <v>12</v>
      </c>
    </row>
    <row r="1162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N1162" t="n">
        <v>0</v>
      </c>
      <c r="O1162" t="n">
        <v>0</v>
      </c>
    </row>
    <row r="1163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N1163" t="n">
        <v>97.56</v>
      </c>
      <c r="O1163" t="n">
        <v>31.06796116504854</v>
      </c>
    </row>
    <row r="1164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N1164" t="n">
        <v>0</v>
      </c>
      <c r="O1164" t="n">
        <v>0</v>
      </c>
    </row>
    <row r="1165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N1165" t="n">
        <v>0</v>
      </c>
      <c r="O1165" t="n">
        <v>0</v>
      </c>
    </row>
    <row r="1166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N1166" t="n">
        <v>0</v>
      </c>
      <c r="O1166" t="n">
        <v>0</v>
      </c>
    </row>
    <row r="1167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N1167" t="n">
        <v>100</v>
      </c>
      <c r="O1167" t="n">
        <v>53.84615384615385</v>
      </c>
    </row>
    <row r="1168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N1168" t="n">
        <v>100</v>
      </c>
      <c r="O1168" t="n">
        <v>44.05594405594406</v>
      </c>
    </row>
    <row r="1169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N1169" t="n">
        <v>100</v>
      </c>
      <c r="O1169" t="n">
        <v>31.87250996015936</v>
      </c>
    </row>
    <row r="1170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N1170" t="n">
        <v>98.41</v>
      </c>
      <c r="O1170" t="n">
        <v>29.22465208747515</v>
      </c>
    </row>
    <row r="117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N1171" t="n">
        <v>96.81</v>
      </c>
      <c r="O1171" t="n">
        <v>27.98053527980535</v>
      </c>
    </row>
    <row r="1172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N1172" t="n">
        <v>98.73</v>
      </c>
      <c r="O1172" t="n">
        <v>35.75638506876228</v>
      </c>
    </row>
    <row r="1173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N1173" t="n">
        <v>98.31999999999999</v>
      </c>
      <c r="O1173" t="n">
        <v>26.76348547717842</v>
      </c>
    </row>
    <row r="1174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N1174" t="n">
        <v>99.19</v>
      </c>
      <c r="O1174" t="n">
        <v>27.63713080168776</v>
      </c>
    </row>
    <row r="1175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N1175" t="n">
        <v>100</v>
      </c>
      <c r="O1175" t="n">
        <v>39.56834532374101</v>
      </c>
    </row>
    <row r="1176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N1176" t="n">
        <v>98.54000000000001</v>
      </c>
      <c r="O1176" t="n">
        <v>28.54477611940299</v>
      </c>
    </row>
    <row r="1177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N1177" t="n">
        <v>100</v>
      </c>
      <c r="O1177" t="n">
        <v>34.36692506459949</v>
      </c>
    </row>
    <row r="1178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N1178" t="n">
        <v>0</v>
      </c>
      <c r="O1178" t="n">
        <v>0</v>
      </c>
    </row>
    <row r="1179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N1179" t="n">
        <v>100</v>
      </c>
      <c r="O1179" t="n">
        <v>29.51807228915663</v>
      </c>
    </row>
    <row r="1180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N1180" t="n">
        <v>97.45</v>
      </c>
      <c r="O1180" t="n">
        <v>41.421143847487</v>
      </c>
    </row>
    <row r="118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0</v>
      </c>
      <c r="E1181" t="n">
        <v>0</v>
      </c>
      <c r="F1181" t="n">
        <v>0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N1181" t="n">
        <v>96.58</v>
      </c>
      <c r="O1181" t="n">
        <v>30.39647577092511</v>
      </c>
    </row>
    <row r="1182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N1182" t="n">
        <v>100</v>
      </c>
      <c r="O1182" t="n">
        <v>27.44282744282744</v>
      </c>
    </row>
    <row r="1183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0</v>
      </c>
      <c r="E1183" t="n">
        <v>0</v>
      </c>
      <c r="F1183" t="n">
        <v>0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N1183" t="n">
        <v>99.48999999999999</v>
      </c>
      <c r="O1183" t="n">
        <v>40.2</v>
      </c>
    </row>
    <row r="1184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N1184" t="n">
        <v>100</v>
      </c>
      <c r="O1184" t="n">
        <v>25</v>
      </c>
    </row>
    <row r="1185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N1185" t="n">
        <v>100</v>
      </c>
      <c r="O1185" t="n">
        <v>34.15094339622641</v>
      </c>
    </row>
    <row r="1186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N1186" t="n">
        <v>100</v>
      </c>
      <c r="O1186" t="n">
        <v>32.7313769751693</v>
      </c>
    </row>
    <row r="1187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N1187" t="n">
        <v>99.31</v>
      </c>
      <c r="O1187" t="n">
        <v>30.96234309623431</v>
      </c>
    </row>
    <row r="1188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N1188" t="n">
        <v>96.67</v>
      </c>
      <c r="O1188" t="n">
        <v>31.45161290322581</v>
      </c>
    </row>
    <row r="1189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N1189" t="n">
        <v>100</v>
      </c>
      <c r="O1189" t="n">
        <v>27.67676767676768</v>
      </c>
    </row>
    <row r="1190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N1190" t="n">
        <v>100</v>
      </c>
      <c r="O1190" t="n">
        <v>31.17723156532988</v>
      </c>
    </row>
    <row r="119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N1191" t="n">
        <v>100</v>
      </c>
      <c r="O1191" t="n">
        <v>27.60942760942761</v>
      </c>
    </row>
    <row r="1192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N1192" t="n">
        <v>96.40000000000001</v>
      </c>
      <c r="O1192" t="n">
        <v>28.76404494382023</v>
      </c>
    </row>
    <row r="1193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N1193" t="n">
        <v>100</v>
      </c>
      <c r="O1193" t="n">
        <v>33.98058252427185</v>
      </c>
    </row>
    <row r="1194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N1194" t="n">
        <v>97.56</v>
      </c>
      <c r="O1194" t="n">
        <v>32.51533742331289</v>
      </c>
    </row>
    <row r="1195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N1195" t="n">
        <v>97.11</v>
      </c>
      <c r="O1195" t="n">
        <v>37.40831295843521</v>
      </c>
    </row>
    <row r="1196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N1196" t="n">
        <v>0</v>
      </c>
      <c r="O1196" t="n">
        <v>0</v>
      </c>
    </row>
    <row r="1197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N1197" t="n">
        <v>100</v>
      </c>
      <c r="O1197" t="n">
        <v>30.47034764826176</v>
      </c>
    </row>
    <row r="1198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N1198" t="n">
        <v>100</v>
      </c>
      <c r="O1198" t="n">
        <v>32.37113402061856</v>
      </c>
    </row>
    <row r="1199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0</v>
      </c>
      <c r="E1199" t="n">
        <v>0</v>
      </c>
      <c r="F1199" t="n">
        <v>0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N1199" t="n">
        <v>98.31999999999999</v>
      </c>
      <c r="O1199" t="n">
        <v>32.31850117096019</v>
      </c>
    </row>
    <row r="1200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N1200" t="n">
        <v>96.43000000000001</v>
      </c>
      <c r="O1200" t="n">
        <v>27.01525054466231</v>
      </c>
    </row>
    <row r="120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N1201" t="n">
        <v>98.89</v>
      </c>
      <c r="O1201" t="n">
        <v>28.02197802197802</v>
      </c>
    </row>
    <row r="1202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N1202" t="n">
        <v>100</v>
      </c>
      <c r="O1202" t="n">
        <v>33.33333333333333</v>
      </c>
    </row>
    <row r="1203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N1203" t="n">
        <v>100</v>
      </c>
      <c r="O1203" t="n">
        <v>27.43362831858407</v>
      </c>
    </row>
    <row r="1204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N1204" t="n">
        <v>98.65000000000001</v>
      </c>
      <c r="O1204" t="n">
        <v>30.97826086956522</v>
      </c>
    </row>
    <row r="1205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N1205" t="n">
        <v>100</v>
      </c>
      <c r="O1205" t="n">
        <v>12</v>
      </c>
    </row>
    <row r="1206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N1206" t="n">
        <v>0</v>
      </c>
      <c r="O1206" t="n">
        <v>0</v>
      </c>
    </row>
    <row r="1207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N1207" t="n">
        <v>97.56</v>
      </c>
      <c r="O1207" t="n">
        <v>31.06796116504854</v>
      </c>
    </row>
    <row r="1208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N1208" t="n">
        <v>0</v>
      </c>
      <c r="O1208" t="n">
        <v>0</v>
      </c>
    </row>
    <row r="1209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N1209" t="n">
        <v>0</v>
      </c>
      <c r="O1209" t="n">
        <v>0</v>
      </c>
    </row>
    <row r="1210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N1210" t="n">
        <v>0</v>
      </c>
      <c r="O1210" t="n">
        <v>0</v>
      </c>
    </row>
    <row r="121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N1211" t="n">
        <v>100</v>
      </c>
      <c r="O1211" t="n">
        <v>53.84615384615385</v>
      </c>
    </row>
    <row r="1212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N1212" t="n">
        <v>100</v>
      </c>
      <c r="O1212" t="n">
        <v>44.05594405594406</v>
      </c>
    </row>
    <row r="1213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N1213" t="n">
        <v>100</v>
      </c>
      <c r="O1213" t="n">
        <v>31.87250996015936</v>
      </c>
    </row>
    <row r="1214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N1214" t="n">
        <v>98.41</v>
      </c>
      <c r="O1214" t="n">
        <v>29.22465208747515</v>
      </c>
    </row>
    <row r="1215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N1215" t="n">
        <v>96.81</v>
      </c>
      <c r="O1215" t="n">
        <v>27.98053527980535</v>
      </c>
    </row>
    <row r="1216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N1216" t="n">
        <v>98.73</v>
      </c>
      <c r="O1216" t="n">
        <v>35.75638506876228</v>
      </c>
    </row>
    <row r="1217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N1217" t="n">
        <v>98.31999999999999</v>
      </c>
      <c r="O1217" t="n">
        <v>26.76348547717842</v>
      </c>
    </row>
    <row r="1218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N1218" t="n">
        <v>99.19</v>
      </c>
      <c r="O1218" t="n">
        <v>27.63713080168776</v>
      </c>
    </row>
    <row r="1219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N1219" t="n">
        <v>100</v>
      </c>
      <c r="O1219" t="n">
        <v>39.56834532374101</v>
      </c>
    </row>
    <row r="1220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N1220" t="n">
        <v>98.54000000000001</v>
      </c>
      <c r="O1220" t="n">
        <v>28.54477611940299</v>
      </c>
    </row>
    <row r="122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N1221" t="n">
        <v>100</v>
      </c>
      <c r="O1221" t="n">
        <v>34.36692506459949</v>
      </c>
    </row>
    <row r="1222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N1222" t="n">
        <v>0</v>
      </c>
      <c r="O1222" t="n">
        <v>0</v>
      </c>
    </row>
    <row r="1223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N1223" t="n">
        <v>100</v>
      </c>
      <c r="O1223" t="n">
        <v>29.51807228915663</v>
      </c>
    </row>
    <row r="1224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N1224" t="n">
        <v>97.45</v>
      </c>
      <c r="O1224" t="n">
        <v>41.421143847487</v>
      </c>
    </row>
    <row r="1225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0</v>
      </c>
      <c r="E1225" t="n">
        <v>0</v>
      </c>
      <c r="F1225" t="n">
        <v>0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N1225" t="n">
        <v>96.58</v>
      </c>
      <c r="O1225" t="n">
        <v>30.39647577092511</v>
      </c>
    </row>
    <row r="1226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N1226" t="n">
        <v>100</v>
      </c>
      <c r="O1226" t="n">
        <v>27.44282744282744</v>
      </c>
    </row>
    <row r="1227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0</v>
      </c>
      <c r="E1227" t="n">
        <v>0</v>
      </c>
      <c r="F1227" t="n">
        <v>0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N1227" t="n">
        <v>99.48999999999999</v>
      </c>
      <c r="O1227" t="n">
        <v>40.2</v>
      </c>
    </row>
    <row r="1228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N1228" t="n">
        <v>100</v>
      </c>
      <c r="O1228" t="n">
        <v>25</v>
      </c>
    </row>
    <row r="1229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N1229" t="n">
        <v>100</v>
      </c>
      <c r="O1229" t="n">
        <v>34.15094339622641</v>
      </c>
    </row>
    <row r="1230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N1230" t="n">
        <v>100</v>
      </c>
      <c r="O1230" t="n">
        <v>32.7313769751693</v>
      </c>
    </row>
    <row r="123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N1231" t="n">
        <v>99.31</v>
      </c>
      <c r="O1231" t="n">
        <v>30.96234309623431</v>
      </c>
    </row>
    <row r="1232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N1232" t="n">
        <v>96.67</v>
      </c>
      <c r="O1232" t="n">
        <v>31.45161290322581</v>
      </c>
    </row>
    <row r="1233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N1233" t="n">
        <v>100</v>
      </c>
      <c r="O1233" t="n">
        <v>27.67676767676768</v>
      </c>
    </row>
    <row r="1234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N1234" t="n">
        <v>100</v>
      </c>
      <c r="O1234" t="n">
        <v>31.17723156532988</v>
      </c>
    </row>
    <row r="1235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N1235" t="n">
        <v>100</v>
      </c>
      <c r="O1235" t="n">
        <v>27.60942760942761</v>
      </c>
    </row>
    <row r="1236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N1236" t="n">
        <v>96.40000000000001</v>
      </c>
      <c r="O1236" t="n">
        <v>28.76404494382023</v>
      </c>
    </row>
    <row r="1237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N1237" t="n">
        <v>100</v>
      </c>
      <c r="O1237" t="n">
        <v>33.98058252427185</v>
      </c>
    </row>
    <row r="1238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N1238" t="n">
        <v>97.56</v>
      </c>
      <c r="O1238" t="n">
        <v>32.51533742331289</v>
      </c>
    </row>
    <row r="1239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N1239" t="n">
        <v>97.11</v>
      </c>
      <c r="O1239" t="n">
        <v>37.40831295843521</v>
      </c>
    </row>
    <row r="1240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N1240" t="n">
        <v>0</v>
      </c>
      <c r="O1240" t="n">
        <v>0</v>
      </c>
    </row>
    <row r="124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N1241" t="n">
        <v>100</v>
      </c>
      <c r="O1241" t="n">
        <v>30.47034764826176</v>
      </c>
    </row>
    <row r="1242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N1242" t="n">
        <v>100</v>
      </c>
      <c r="O1242" t="n">
        <v>32.37113402061856</v>
      </c>
    </row>
    <row r="1243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0</v>
      </c>
      <c r="E1243" t="n">
        <v>0</v>
      </c>
      <c r="F1243" t="n">
        <v>0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N1243" t="n">
        <v>98.31999999999999</v>
      </c>
      <c r="O1243" t="n">
        <v>32.31850117096019</v>
      </c>
    </row>
    <row r="1244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N1244" t="n">
        <v>96.43000000000001</v>
      </c>
      <c r="O1244" t="n">
        <v>27.01525054466231</v>
      </c>
    </row>
    <row r="1245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N1245" t="n">
        <v>98.89</v>
      </c>
      <c r="O1245" t="n">
        <v>28.02197802197802</v>
      </c>
    </row>
    <row r="1246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N1246" t="n">
        <v>100</v>
      </c>
      <c r="O1246" t="n">
        <v>33.33333333333333</v>
      </c>
    </row>
    <row r="1247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N1247" t="n">
        <v>100</v>
      </c>
      <c r="O1247" t="n">
        <v>27.43362831858407</v>
      </c>
    </row>
    <row r="1248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N1248" t="n">
        <v>98.65000000000001</v>
      </c>
      <c r="O1248" t="n">
        <v>30.97826086956522</v>
      </c>
    </row>
    <row r="1249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N1249" t="n">
        <v>100</v>
      </c>
      <c r="O1249" t="n">
        <v>12</v>
      </c>
    </row>
    <row r="1250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N1250" t="n">
        <v>0</v>
      </c>
      <c r="O1250" t="n">
        <v>0</v>
      </c>
    </row>
    <row r="125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N1251" t="n">
        <v>97.56</v>
      </c>
      <c r="O1251" t="n">
        <v>31.06796116504854</v>
      </c>
    </row>
    <row r="1252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N1252" t="n">
        <v>0</v>
      </c>
      <c r="O1252" t="n">
        <v>0</v>
      </c>
    </row>
    <row r="1253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N1253" t="n">
        <v>0</v>
      </c>
      <c r="O1253" t="n">
        <v>0</v>
      </c>
    </row>
    <row r="1254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N1254" t="n">
        <v>0</v>
      </c>
      <c r="O1254" t="n">
        <v>0</v>
      </c>
    </row>
    <row r="1255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N1255" t="n">
        <v>100</v>
      </c>
      <c r="O1255" t="n">
        <v>53.84615384615385</v>
      </c>
    </row>
    <row r="1256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N1256" t="n">
        <v>100</v>
      </c>
      <c r="O1256" t="n">
        <v>44.05594405594406</v>
      </c>
    </row>
    <row r="1257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N1257" t="n">
        <v>100</v>
      </c>
      <c r="O1257" t="n">
        <v>31.87250996015936</v>
      </c>
    </row>
    <row r="1258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N1258" t="n">
        <v>98.41</v>
      </c>
      <c r="O1258" t="n">
        <v>29.22465208747515</v>
      </c>
    </row>
    <row r="1259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N1259" t="n">
        <v>96.81</v>
      </c>
      <c r="O1259" t="n">
        <v>27.98053527980535</v>
      </c>
    </row>
    <row r="1260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N1260" t="n">
        <v>98.73</v>
      </c>
      <c r="O1260" t="n">
        <v>35.75638506876228</v>
      </c>
    </row>
    <row r="126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N1261" t="n">
        <v>98.31999999999999</v>
      </c>
      <c r="O1261" t="n">
        <v>26.76348547717842</v>
      </c>
    </row>
    <row r="1262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N1262" t="n">
        <v>99.19</v>
      </c>
      <c r="O1262" t="n">
        <v>27.63713080168776</v>
      </c>
    </row>
    <row r="1263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N1263" t="n">
        <v>100</v>
      </c>
      <c r="O1263" t="n">
        <v>39.56834532374101</v>
      </c>
    </row>
    <row r="1264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N1264" t="n">
        <v>98.54000000000001</v>
      </c>
      <c r="O1264" t="n">
        <v>28.54477611940299</v>
      </c>
    </row>
    <row r="1265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N1265" t="n">
        <v>100</v>
      </c>
      <c r="O1265" t="n">
        <v>34.36692506459949</v>
      </c>
    </row>
    <row r="1266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N1266" t="n">
        <v>0</v>
      </c>
      <c r="O1266" t="n">
        <v>0</v>
      </c>
    </row>
    <row r="1267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N1267" t="n">
        <v>100</v>
      </c>
      <c r="O1267" t="n">
        <v>29.51807228915663</v>
      </c>
    </row>
    <row r="1268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N1268" t="n">
        <v>97.45</v>
      </c>
      <c r="O1268" t="n">
        <v>41.421143847487</v>
      </c>
    </row>
    <row r="1269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0</v>
      </c>
      <c r="E1269" t="n">
        <v>0</v>
      </c>
      <c r="F1269" t="n">
        <v>0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N1269" t="n">
        <v>96.58</v>
      </c>
      <c r="O1269" t="n">
        <v>30.39647577092511</v>
      </c>
    </row>
    <row r="1270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N1270" t="n">
        <v>100</v>
      </c>
      <c r="O1270" t="n">
        <v>27.44282744282744</v>
      </c>
    </row>
    <row r="127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0</v>
      </c>
      <c r="E1271" t="n">
        <v>0</v>
      </c>
      <c r="F1271" t="n">
        <v>0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N1271" t="n">
        <v>99.48999999999999</v>
      </c>
      <c r="O1271" t="n">
        <v>40.2</v>
      </c>
    </row>
    <row r="1272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N1272" t="n">
        <v>100</v>
      </c>
      <c r="O1272" t="n">
        <v>25</v>
      </c>
    </row>
    <row r="1273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N1273" t="n">
        <v>100</v>
      </c>
      <c r="O1273" t="n">
        <v>34.15094339622641</v>
      </c>
    </row>
    <row r="1274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N1274" t="n">
        <v>100</v>
      </c>
      <c r="O1274" t="n">
        <v>32.7313769751693</v>
      </c>
    </row>
    <row r="1275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N1275" t="n">
        <v>99.31</v>
      </c>
      <c r="O1275" t="n">
        <v>30.96234309623431</v>
      </c>
    </row>
    <row r="1276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N1277" t="n">
        <v>100</v>
      </c>
      <c r="O1277" t="n">
        <v>27.67676767676768</v>
      </c>
    </row>
    <row r="1278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N1278" t="n">
        <v>100</v>
      </c>
      <c r="O1278" t="n">
        <v>31.17723156532988</v>
      </c>
    </row>
    <row r="1279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N1279" t="n">
        <v>100</v>
      </c>
      <c r="O1279" t="n">
        <v>27.60942760942761</v>
      </c>
    </row>
    <row r="1280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N1280" t="n">
        <v>96.40000000000001</v>
      </c>
      <c r="O1280" t="n">
        <v>28.76404494382023</v>
      </c>
    </row>
    <row r="128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N1281" t="n">
        <v>100</v>
      </c>
      <c r="O1281" t="n">
        <v>33.98058252427185</v>
      </c>
    </row>
    <row r="1282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N1282" t="n">
        <v>97.56</v>
      </c>
      <c r="O1282" t="n">
        <v>32.51533742331289</v>
      </c>
    </row>
    <row r="1283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N1283" t="n">
        <v>97.11</v>
      </c>
      <c r="O1283" t="n">
        <v>37.40831295843521</v>
      </c>
    </row>
    <row r="1284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N1284" t="n">
        <v>0</v>
      </c>
      <c r="O1284" t="n">
        <v>0</v>
      </c>
    </row>
    <row r="1285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N1285" t="n">
        <v>100</v>
      </c>
      <c r="O1285" t="n">
        <v>30.47034764826176</v>
      </c>
    </row>
    <row r="1286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N1286" t="n">
        <v>100</v>
      </c>
      <c r="O1286" t="n">
        <v>32.37113402061856</v>
      </c>
    </row>
    <row r="1287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0</v>
      </c>
      <c r="E1287" t="n">
        <v>0</v>
      </c>
      <c r="F1287" t="n">
        <v>0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N1287" t="n">
        <v>98.31999999999999</v>
      </c>
      <c r="O1287" t="n">
        <v>32.31850117096019</v>
      </c>
    </row>
    <row r="1288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N1288" t="n">
        <v>96.43000000000001</v>
      </c>
      <c r="O1288" t="n">
        <v>27.01525054466231</v>
      </c>
    </row>
    <row r="1289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N1289" t="n">
        <v>98.89</v>
      </c>
      <c r="O1289" t="n">
        <v>28.02197802197802</v>
      </c>
    </row>
    <row r="1290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N1290" t="n">
        <v>100</v>
      </c>
      <c r="O1290" t="n">
        <v>33.33333333333333</v>
      </c>
    </row>
    <row r="129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N1291" t="n">
        <v>100</v>
      </c>
      <c r="O1291" t="n">
        <v>27.43362831858407</v>
      </c>
    </row>
    <row r="1292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N1292" t="n">
        <v>98.65000000000001</v>
      </c>
      <c r="O1292" t="n">
        <v>30.97826086956522</v>
      </c>
    </row>
    <row r="1293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N1293" t="n">
        <v>100</v>
      </c>
      <c r="O1293" t="n">
        <v>12</v>
      </c>
    </row>
    <row r="1294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N1294" t="n">
        <v>0</v>
      </c>
      <c r="O1294" t="n">
        <v>0</v>
      </c>
    </row>
    <row r="1295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N1295" t="n">
        <v>97.56</v>
      </c>
      <c r="O1295" t="n">
        <v>31.06796116504854</v>
      </c>
    </row>
    <row r="1296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N1296" t="n">
        <v>0</v>
      </c>
      <c r="O1296" t="n">
        <v>0</v>
      </c>
    </row>
    <row r="1297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N1297" t="n">
        <v>0</v>
      </c>
      <c r="O1297" t="n">
        <v>0</v>
      </c>
    </row>
    <row r="1298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N1298" t="n">
        <v>0</v>
      </c>
      <c r="O1298" t="n">
        <v>0</v>
      </c>
    </row>
    <row r="1299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N1299" t="n">
        <v>100</v>
      </c>
      <c r="O1299" t="n">
        <v>53.84615384615385</v>
      </c>
    </row>
    <row r="1300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N1300" t="n">
        <v>100</v>
      </c>
      <c r="O1300" t="n">
        <v>44.05594405594406</v>
      </c>
    </row>
    <row r="130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N1301" t="n">
        <v>100</v>
      </c>
      <c r="O1301" t="n">
        <v>31.87250996015936</v>
      </c>
    </row>
    <row r="1302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N1302" t="n">
        <v>98.41</v>
      </c>
      <c r="O1302" t="n">
        <v>29.22465208747515</v>
      </c>
    </row>
    <row r="1303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N1303" t="n">
        <v>96.81</v>
      </c>
      <c r="O1303" t="n">
        <v>27.98053527980535</v>
      </c>
    </row>
    <row r="1304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N1304" t="n">
        <v>98.73</v>
      </c>
      <c r="O1304" t="n">
        <v>35.75638506876228</v>
      </c>
    </row>
    <row r="1305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N1305" t="n">
        <v>98.31999999999999</v>
      </c>
      <c r="O1305" t="n">
        <v>26.76348547717842</v>
      </c>
    </row>
    <row r="1306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N1306" t="n">
        <v>99.19</v>
      </c>
      <c r="O1306" t="n">
        <v>27.63713080168776</v>
      </c>
    </row>
    <row r="1307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N1307" t="n">
        <v>100</v>
      </c>
      <c r="O1307" t="n">
        <v>39.56834532374101</v>
      </c>
    </row>
    <row r="1308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N1308" t="n">
        <v>98.54000000000001</v>
      </c>
      <c r="O1308" t="n">
        <v>28.54477611940299</v>
      </c>
    </row>
    <row r="1309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N1309" t="n">
        <v>100</v>
      </c>
      <c r="O1309" t="n">
        <v>34.36692506459949</v>
      </c>
    </row>
    <row r="1310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N1310" t="n">
        <v>0</v>
      </c>
      <c r="O1310" t="n">
        <v>0</v>
      </c>
    </row>
    <row r="131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N1311" t="n">
        <v>100</v>
      </c>
      <c r="O1311" t="n">
        <v>29.51807228915663</v>
      </c>
    </row>
    <row r="1312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N1312" t="n">
        <v>97.45</v>
      </c>
      <c r="O1312" t="n">
        <v>41.421143847487</v>
      </c>
    </row>
    <row r="1313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0</v>
      </c>
      <c r="E1313" t="n">
        <v>0</v>
      </c>
      <c r="F1313" t="n">
        <v>0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N1313" t="n">
        <v>96.58</v>
      </c>
      <c r="O1313" t="n">
        <v>30.39647577092511</v>
      </c>
    </row>
    <row r="1314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N1314" t="n">
        <v>100</v>
      </c>
      <c r="O1314" t="n">
        <v>27.44282744282744</v>
      </c>
    </row>
    <row r="1315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0</v>
      </c>
      <c r="E1315" t="n">
        <v>0</v>
      </c>
      <c r="F1315" t="n">
        <v>0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N1315" t="n">
        <v>99.48999999999999</v>
      </c>
      <c r="O1315" t="n">
        <v>40.2</v>
      </c>
    </row>
    <row r="1316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N1316" t="n">
        <v>100</v>
      </c>
      <c r="O1316" t="n">
        <v>25</v>
      </c>
    </row>
    <row r="1317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N1317" t="n">
        <v>100</v>
      </c>
      <c r="O1317" t="n">
        <v>34.15094339622641</v>
      </c>
    </row>
    <row r="1318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N1318" t="n">
        <v>100</v>
      </c>
      <c r="O1318" t="n">
        <v>32.7313769751693</v>
      </c>
    </row>
    <row r="1319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N1319" t="n">
        <v>99.31</v>
      </c>
      <c r="O1319" t="n">
        <v>30.96234309623431</v>
      </c>
    </row>
    <row r="1320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N1321" t="n">
        <v>100</v>
      </c>
      <c r="O1321" t="n">
        <v>27.67676767676768</v>
      </c>
    </row>
    <row r="1322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N1322" t="n">
        <v>100</v>
      </c>
      <c r="O1322" t="n">
        <v>31.17723156532988</v>
      </c>
    </row>
    <row r="1323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N1323" t="n">
        <v>100</v>
      </c>
      <c r="O1323" t="n">
        <v>27.60942760942761</v>
      </c>
    </row>
    <row r="1324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N1324" t="n">
        <v>96.40000000000001</v>
      </c>
      <c r="O1324" t="n">
        <v>28.76404494382023</v>
      </c>
    </row>
    <row r="1325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N1325" t="n">
        <v>100</v>
      </c>
      <c r="O1325" t="n">
        <v>33.98058252427185</v>
      </c>
    </row>
    <row r="1326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N1326" t="n">
        <v>97.56</v>
      </c>
      <c r="O1326" t="n">
        <v>32.51533742331289</v>
      </c>
    </row>
    <row r="1327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N1327" t="n">
        <v>97.11</v>
      </c>
      <c r="O1327" t="n">
        <v>37.40831295843521</v>
      </c>
    </row>
    <row r="1328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N1328" t="n">
        <v>0</v>
      </c>
      <c r="O1328" t="n">
        <v>0</v>
      </c>
    </row>
    <row r="1329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N1329" t="n">
        <v>100</v>
      </c>
      <c r="O1329" t="n">
        <v>30.47034764826176</v>
      </c>
    </row>
    <row r="1330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N1330" t="n">
        <v>100</v>
      </c>
      <c r="O1330" t="n">
        <v>32.37113402061856</v>
      </c>
    </row>
    <row r="133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0</v>
      </c>
      <c r="E1331" t="n">
        <v>0</v>
      </c>
      <c r="F1331" t="n">
        <v>0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N1331" t="n">
        <v>98.31999999999999</v>
      </c>
      <c r="O1331" t="n">
        <v>32.31850117096019</v>
      </c>
    </row>
    <row r="1332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N1332" t="n">
        <v>96.43000000000001</v>
      </c>
      <c r="O1332" t="n">
        <v>27.01525054466231</v>
      </c>
    </row>
    <row r="1333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N1333" t="n">
        <v>98.89</v>
      </c>
      <c r="O1333" t="n">
        <v>28.02197802197802</v>
      </c>
    </row>
    <row r="1334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N1334" t="n">
        <v>100</v>
      </c>
      <c r="O1334" t="n">
        <v>33.33333333333333</v>
      </c>
    </row>
    <row r="1335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N1335" t="n">
        <v>100</v>
      </c>
      <c r="O1335" t="n">
        <v>27.43362831858407</v>
      </c>
    </row>
    <row r="1336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N1336" t="n">
        <v>98.65000000000001</v>
      </c>
      <c r="O1336" t="n">
        <v>30.97826086956522</v>
      </c>
    </row>
    <row r="1337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N1337" t="n">
        <v>100</v>
      </c>
      <c r="O1337" t="n">
        <v>12</v>
      </c>
    </row>
    <row r="1338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N1338" t="n">
        <v>0</v>
      </c>
      <c r="O1338" t="n">
        <v>0</v>
      </c>
    </row>
    <row r="1339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N1339" t="n">
        <v>97.56</v>
      </c>
      <c r="O1339" t="n">
        <v>31.06796116504854</v>
      </c>
    </row>
    <row r="1340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N1340" t="n">
        <v>0</v>
      </c>
      <c r="O1340" t="n">
        <v>0</v>
      </c>
    </row>
    <row r="134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N1341" t="n">
        <v>0</v>
      </c>
      <c r="O1341" t="n">
        <v>0</v>
      </c>
    </row>
    <row r="1342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N1342" t="n">
        <v>0</v>
      </c>
      <c r="O1342" t="n">
        <v>0</v>
      </c>
    </row>
    <row r="1343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N1343" t="n">
        <v>100</v>
      </c>
      <c r="O1343" t="n">
        <v>53.84615384615385</v>
      </c>
    </row>
    <row r="1344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N1344" t="n">
        <v>100</v>
      </c>
      <c r="O1344" t="n">
        <v>44.05594405594406</v>
      </c>
    </row>
    <row r="1345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N1345" t="n">
        <v>100</v>
      </c>
      <c r="O1345" t="n">
        <v>31.87250996015936</v>
      </c>
    </row>
    <row r="1346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N1346" t="n">
        <v>98.41</v>
      </c>
      <c r="O1346" t="n">
        <v>29.22465208747515</v>
      </c>
    </row>
    <row r="1347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0</v>
      </c>
      <c r="E1357" t="n">
        <v>0</v>
      </c>
      <c r="F1357" t="n">
        <v>0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0</v>
      </c>
      <c r="E1359" t="n">
        <v>0</v>
      </c>
      <c r="F1359" t="n">
        <v>0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0</v>
      </c>
      <c r="E1375" t="n">
        <v>0</v>
      </c>
      <c r="F1375" t="n">
        <v>0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0</v>
      </c>
      <c r="E1401" t="n">
        <v>0</v>
      </c>
      <c r="F1401" t="n">
        <v>0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0</v>
      </c>
      <c r="E1403" t="n">
        <v>0</v>
      </c>
      <c r="F1403" t="n">
        <v>0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0</v>
      </c>
      <c r="E1419" t="n">
        <v>0</v>
      </c>
      <c r="F1419" t="n">
        <v>0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0</v>
      </c>
      <c r="E1445" t="n">
        <v>0</v>
      </c>
      <c r="F1445" t="n">
        <v>0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0</v>
      </c>
      <c r="E1447" t="n">
        <v>0</v>
      </c>
      <c r="F1447" t="n">
        <v>0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0</v>
      </c>
      <c r="E1463" t="n">
        <v>0</v>
      </c>
      <c r="F1463" t="n">
        <v>0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N1479" t="n">
        <v>96.81</v>
      </c>
      <c r="O1479" t="n">
        <v>27.98053527980535</v>
      </c>
    </row>
    <row r="1480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N1480" t="n">
        <v>98.73</v>
      </c>
      <c r="O1480" t="n">
        <v>35.75638506876228</v>
      </c>
    </row>
    <row r="148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N1481" t="n">
        <v>98.31999999999999</v>
      </c>
      <c r="O1481" t="n">
        <v>26.76348547717842</v>
      </c>
    </row>
    <row r="1482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N1482" t="n">
        <v>99.19</v>
      </c>
      <c r="O1482" t="n">
        <v>27.63713080168776</v>
      </c>
    </row>
    <row r="1483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N1483" t="n">
        <v>100</v>
      </c>
      <c r="O1483" t="n">
        <v>39.56834532374101</v>
      </c>
    </row>
    <row r="1484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N1484" t="n">
        <v>98.54000000000001</v>
      </c>
      <c r="O1484" t="n">
        <v>28.54477611940299</v>
      </c>
    </row>
    <row r="1485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N1485" t="n">
        <v>100</v>
      </c>
      <c r="O1485" t="n">
        <v>34.36692506459949</v>
      </c>
    </row>
    <row r="1486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N1486" t="n">
        <v>0</v>
      </c>
      <c r="O1486" t="n">
        <v>0</v>
      </c>
    </row>
    <row r="1487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N1487" t="n">
        <v>100</v>
      </c>
      <c r="O1487" t="n">
        <v>29.51807228915663</v>
      </c>
    </row>
    <row r="1488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N1488" t="n">
        <v>97.45</v>
      </c>
      <c r="O1488" t="n">
        <v>41.421143847487</v>
      </c>
    </row>
    <row r="1489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0</v>
      </c>
      <c r="E1489" t="n">
        <v>0</v>
      </c>
      <c r="F1489" t="n">
        <v>0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N1489" t="n">
        <v>96.58</v>
      </c>
      <c r="O1489" t="n">
        <v>30.39647577092511</v>
      </c>
    </row>
    <row r="1490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N1490" t="n">
        <v>100</v>
      </c>
      <c r="O1490" t="n">
        <v>27.44282744282744</v>
      </c>
    </row>
    <row r="149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0</v>
      </c>
      <c r="E1491" t="n">
        <v>0</v>
      </c>
      <c r="F1491" t="n">
        <v>0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N1491" t="n">
        <v>99.48999999999999</v>
      </c>
      <c r="O1491" t="n">
        <v>40.2</v>
      </c>
    </row>
    <row r="1492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N1492" t="n">
        <v>100</v>
      </c>
      <c r="O1492" t="n">
        <v>25</v>
      </c>
    </row>
    <row r="1493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N1493" t="n">
        <v>100</v>
      </c>
      <c r="O1493" t="n">
        <v>34.15094339622641</v>
      </c>
    </row>
    <row r="1494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N1494" t="n">
        <v>100</v>
      </c>
      <c r="O1494" t="n">
        <v>32.7313769751693</v>
      </c>
    </row>
    <row r="1495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N1495" t="n">
        <v>99.31</v>
      </c>
      <c r="O1495" t="n">
        <v>30.96234309623431</v>
      </c>
    </row>
    <row r="1496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N1497" t="n">
        <v>100</v>
      </c>
      <c r="O1497" t="n">
        <v>27.67676767676768</v>
      </c>
    </row>
    <row r="1498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N1498" t="n">
        <v>100</v>
      </c>
      <c r="O1498" t="n">
        <v>31.17723156532988</v>
      </c>
    </row>
    <row r="1499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N1499" t="n">
        <v>100</v>
      </c>
      <c r="O1499" t="n">
        <v>27.60942760942761</v>
      </c>
    </row>
    <row r="1500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N1500" t="n">
        <v>96.40000000000001</v>
      </c>
      <c r="O1500" t="n">
        <v>28.76404494382023</v>
      </c>
    </row>
    <row r="150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N1501" t="n">
        <v>100</v>
      </c>
      <c r="O1501" t="n">
        <v>33.98058252427185</v>
      </c>
    </row>
    <row r="1502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N1502" t="n">
        <v>97.56</v>
      </c>
      <c r="O1502" t="n">
        <v>32.51533742331289</v>
      </c>
    </row>
    <row r="1503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N1503" t="n">
        <v>97.11</v>
      </c>
      <c r="O1503" t="n">
        <v>37.40831295843521</v>
      </c>
    </row>
    <row r="1504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N1504" t="n">
        <v>0</v>
      </c>
      <c r="O1504" t="n">
        <v>0</v>
      </c>
    </row>
    <row r="1505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N1505" t="n">
        <v>100</v>
      </c>
      <c r="O1505" t="n">
        <v>30.47034764826176</v>
      </c>
    </row>
    <row r="1506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N1506" t="n">
        <v>100</v>
      </c>
      <c r="O1506" t="n">
        <v>32.37113402061856</v>
      </c>
    </row>
    <row r="1507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0</v>
      </c>
      <c r="E1507" t="n">
        <v>0</v>
      </c>
      <c r="F1507" t="n">
        <v>0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N1507" t="n">
        <v>98.31999999999999</v>
      </c>
      <c r="O1507" t="n">
        <v>32.31850117096019</v>
      </c>
    </row>
    <row r="1508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N1508" t="n">
        <v>96.43000000000001</v>
      </c>
      <c r="O1508" t="n">
        <v>27.01525054466231</v>
      </c>
    </row>
    <row r="1509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N1509" t="n">
        <v>98.89</v>
      </c>
      <c r="O1509" t="n">
        <v>28.02197802197802</v>
      </c>
    </row>
    <row r="1510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N1510" t="n">
        <v>100</v>
      </c>
      <c r="O1510" t="n">
        <v>33.33333333333333</v>
      </c>
    </row>
    <row r="151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N1511" t="n">
        <v>100</v>
      </c>
      <c r="O1511" t="n">
        <v>27.43362831858407</v>
      </c>
    </row>
    <row r="1512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N1512" t="n">
        <v>98.65000000000001</v>
      </c>
      <c r="O1512" t="n">
        <v>30.97826086956522</v>
      </c>
    </row>
    <row r="1513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N1513" t="n">
        <v>100</v>
      </c>
      <c r="O1513" t="n">
        <v>12</v>
      </c>
    </row>
    <row r="1514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N1514" t="n">
        <v>0</v>
      </c>
      <c r="O1514" t="n">
        <v>0</v>
      </c>
    </row>
    <row r="1515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N1515" t="n">
        <v>97.56</v>
      </c>
      <c r="O1515" t="n">
        <v>31.06796116504854</v>
      </c>
    </row>
    <row r="1516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N1516" t="n">
        <v>0</v>
      </c>
      <c r="O1516" t="n">
        <v>0</v>
      </c>
    </row>
    <row r="1517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N1517" t="n">
        <v>0</v>
      </c>
      <c r="O1517" t="n">
        <v>0</v>
      </c>
    </row>
    <row r="1518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N1518" t="n">
        <v>0</v>
      </c>
      <c r="O1518" t="n">
        <v>0</v>
      </c>
    </row>
    <row r="1519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N1519" t="n">
        <v>100</v>
      </c>
      <c r="O1519" t="n">
        <v>53.84615384615385</v>
      </c>
    </row>
    <row r="1520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N1520" t="n">
        <v>100</v>
      </c>
      <c r="O1520" t="n">
        <v>44.05594405594406</v>
      </c>
    </row>
    <row r="152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N1521" t="n">
        <v>100</v>
      </c>
      <c r="O1521" t="n">
        <v>31.87250996015936</v>
      </c>
    </row>
    <row r="1522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N1522" t="n">
        <v>98.41</v>
      </c>
      <c r="O1522" t="n">
        <v>29.22465208747515</v>
      </c>
    </row>
    <row r="1523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N1523" t="n">
        <v>96.81</v>
      </c>
      <c r="O1523" t="n">
        <v>27.98053527980535</v>
      </c>
    </row>
    <row r="1524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N1524" t="n">
        <v>98.73</v>
      </c>
      <c r="O1524" t="n">
        <v>35.75638506876228</v>
      </c>
    </row>
    <row r="1525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N1525" t="n">
        <v>98.31999999999999</v>
      </c>
      <c r="O1525" t="n">
        <v>26.76348547717842</v>
      </c>
    </row>
    <row r="1526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N1526" t="n">
        <v>99.19</v>
      </c>
      <c r="O1526" t="n">
        <v>27.63713080168776</v>
      </c>
    </row>
    <row r="1527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N1527" t="n">
        <v>100</v>
      </c>
      <c r="O1527" t="n">
        <v>39.56834532374101</v>
      </c>
    </row>
    <row r="1528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N1528" t="n">
        <v>98.54000000000001</v>
      </c>
      <c r="O1528" t="n">
        <v>28.54477611940299</v>
      </c>
    </row>
    <row r="1529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N1529" t="n">
        <v>100</v>
      </c>
      <c r="O1529" t="n">
        <v>34.36692506459949</v>
      </c>
    </row>
    <row r="1530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N1530" t="n">
        <v>0</v>
      </c>
      <c r="O1530" t="n">
        <v>0</v>
      </c>
    </row>
    <row r="153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N1531" t="n">
        <v>100</v>
      </c>
      <c r="O1531" t="n">
        <v>29.51807228915663</v>
      </c>
    </row>
    <row r="1532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N1532" t="n">
        <v>97.45</v>
      </c>
      <c r="O1532" t="n">
        <v>41.421143847487</v>
      </c>
    </row>
    <row r="1533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0</v>
      </c>
      <c r="E1533" t="n">
        <v>0</v>
      </c>
      <c r="F1533" t="n">
        <v>0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N1533" t="n">
        <v>96.58</v>
      </c>
      <c r="O1533" t="n">
        <v>30.39647577092511</v>
      </c>
    </row>
    <row r="1534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N1534" t="n">
        <v>100</v>
      </c>
      <c r="O1534" t="n">
        <v>27.44282744282744</v>
      </c>
    </row>
    <row r="1535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0</v>
      </c>
      <c r="E1535" t="n">
        <v>0</v>
      </c>
      <c r="F1535" t="n">
        <v>0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N1535" t="n">
        <v>99.48999999999999</v>
      </c>
      <c r="O1535" t="n">
        <v>40.2</v>
      </c>
    </row>
    <row r="1536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N1536" t="n">
        <v>100</v>
      </c>
      <c r="O1536" t="n">
        <v>25</v>
      </c>
    </row>
    <row r="1537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N1537" t="n">
        <v>100</v>
      </c>
      <c r="O1537" t="n">
        <v>34.15094339622641</v>
      </c>
    </row>
    <row r="1538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N1538" t="n">
        <v>100</v>
      </c>
      <c r="O1538" t="n">
        <v>32.7313769751693</v>
      </c>
    </row>
    <row r="1539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N1539" t="n">
        <v>99.31</v>
      </c>
      <c r="O1539" t="n">
        <v>30.96234309623431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N1541" t="n">
        <v>100</v>
      </c>
      <c r="O1541" t="n">
        <v>27.67676767676768</v>
      </c>
    </row>
    <row r="1542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N1542" t="n">
        <v>100</v>
      </c>
      <c r="O1542" t="n">
        <v>31.17723156532988</v>
      </c>
    </row>
    <row r="1543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N1543" t="n">
        <v>100</v>
      </c>
      <c r="O1543" t="n">
        <v>27.60942760942761</v>
      </c>
    </row>
    <row r="1544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N1544" t="n">
        <v>96.40000000000001</v>
      </c>
      <c r="O1544" t="n">
        <v>28.76404494382023</v>
      </c>
    </row>
    <row r="1545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N1545" t="n">
        <v>100</v>
      </c>
      <c r="O1545" t="n">
        <v>33.98058252427185</v>
      </c>
    </row>
    <row r="1546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N1546" t="n">
        <v>97.56</v>
      </c>
      <c r="O1546" t="n">
        <v>32.51533742331289</v>
      </c>
    </row>
    <row r="1547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N1547" t="n">
        <v>97.11</v>
      </c>
      <c r="O1547" t="n">
        <v>37.40831295843521</v>
      </c>
    </row>
    <row r="1548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N1548" t="n">
        <v>0</v>
      </c>
      <c r="O1548" t="n">
        <v>0</v>
      </c>
    </row>
    <row r="1549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N1549" t="n">
        <v>100</v>
      </c>
      <c r="O1549" t="n">
        <v>30.47034764826176</v>
      </c>
    </row>
    <row r="1550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N1550" t="n">
        <v>100</v>
      </c>
      <c r="O1550" t="n">
        <v>32.37113402061856</v>
      </c>
    </row>
    <row r="155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0</v>
      </c>
      <c r="E1551" t="n">
        <v>0</v>
      </c>
      <c r="F1551" t="n">
        <v>0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N1551" t="n">
        <v>98.31999999999999</v>
      </c>
      <c r="O1551" t="n">
        <v>32.31850117096019</v>
      </c>
    </row>
    <row r="1552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N1552" t="n">
        <v>96.43000000000001</v>
      </c>
      <c r="O1552" t="n">
        <v>27.01525054466231</v>
      </c>
    </row>
    <row r="1553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N1553" t="n">
        <v>98.89</v>
      </c>
      <c r="O1553" t="n">
        <v>28.02197802197802</v>
      </c>
    </row>
    <row r="1554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N1554" t="n">
        <v>100</v>
      </c>
      <c r="O1554" t="n">
        <v>33.33333333333333</v>
      </c>
    </row>
    <row r="1555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N1555" t="n">
        <v>100</v>
      </c>
      <c r="O1555" t="n">
        <v>27.43362831858407</v>
      </c>
    </row>
    <row r="1556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N1556" t="n">
        <v>98.65000000000001</v>
      </c>
      <c r="O1556" t="n">
        <v>30.97826086956522</v>
      </c>
    </row>
    <row r="1557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N1557" t="n">
        <v>100</v>
      </c>
      <c r="O1557" t="n">
        <v>12</v>
      </c>
    </row>
    <row r="1558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N1558" t="n">
        <v>0</v>
      </c>
      <c r="O1558" t="n">
        <v>0</v>
      </c>
    </row>
    <row r="1559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N1559" t="n">
        <v>97.56</v>
      </c>
      <c r="O1559" t="n">
        <v>31.06796116504854</v>
      </c>
    </row>
    <row r="1560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N1560" t="n">
        <v>0</v>
      </c>
      <c r="O1560" t="n">
        <v>0</v>
      </c>
    </row>
    <row r="156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N1561" t="n">
        <v>0</v>
      </c>
      <c r="O1561" t="n">
        <v>0</v>
      </c>
    </row>
    <row r="1562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N1562" t="n">
        <v>0</v>
      </c>
      <c r="O1562" t="n">
        <v>0</v>
      </c>
    </row>
    <row r="1563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N1563" t="n">
        <v>100</v>
      </c>
      <c r="O1563" t="n">
        <v>53.84615384615385</v>
      </c>
    </row>
    <row r="1564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N1564" t="n">
        <v>100</v>
      </c>
      <c r="O1564" t="n">
        <v>44.05594405594406</v>
      </c>
    </row>
    <row r="1565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N1565" t="n">
        <v>100</v>
      </c>
      <c r="O1565" t="n">
        <v>31.87250996015936</v>
      </c>
    </row>
    <row r="1566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N1566" t="n">
        <v>98.41</v>
      </c>
      <c r="O1566" t="n">
        <v>29.22465208747515</v>
      </c>
    </row>
    <row r="1567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N1567" t="n">
        <v>96.81</v>
      </c>
      <c r="O1567" t="n">
        <v>27.98053527980535</v>
      </c>
    </row>
    <row r="1568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N1568" t="n">
        <v>98.73</v>
      </c>
      <c r="O1568" t="n">
        <v>35.75638506876228</v>
      </c>
    </row>
    <row r="1569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N1569" t="n">
        <v>98.31999999999999</v>
      </c>
      <c r="O1569" t="n">
        <v>26.76348547717842</v>
      </c>
    </row>
    <row r="1570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N1570" t="n">
        <v>99.19</v>
      </c>
      <c r="O1570" t="n">
        <v>27.63713080168776</v>
      </c>
    </row>
    <row r="157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N1571" t="n">
        <v>100</v>
      </c>
      <c r="O1571" t="n">
        <v>39.56834532374101</v>
      </c>
    </row>
    <row r="1572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N1572" t="n">
        <v>98.54000000000001</v>
      </c>
      <c r="O1572" t="n">
        <v>28.54477611940299</v>
      </c>
    </row>
    <row r="1573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N1573" t="n">
        <v>100</v>
      </c>
      <c r="O1573" t="n">
        <v>34.36692506459949</v>
      </c>
    </row>
    <row r="1574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N1574" t="n">
        <v>0</v>
      </c>
      <c r="O1574" t="n">
        <v>0</v>
      </c>
    </row>
    <row r="1575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N1575" t="n">
        <v>100</v>
      </c>
      <c r="O1575" t="n">
        <v>29.51807228915663</v>
      </c>
    </row>
    <row r="1576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N1576" t="n">
        <v>97.45</v>
      </c>
      <c r="O1576" t="n">
        <v>41.421143847487</v>
      </c>
    </row>
    <row r="1577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0</v>
      </c>
      <c r="E1577" t="n">
        <v>0</v>
      </c>
      <c r="F1577" t="n">
        <v>0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N1577" t="n">
        <v>96.58</v>
      </c>
      <c r="O1577" t="n">
        <v>30.39647577092511</v>
      </c>
    </row>
    <row r="1578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N1578" t="n">
        <v>100</v>
      </c>
      <c r="O1578" t="n">
        <v>27.44282744282744</v>
      </c>
    </row>
    <row r="1579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0</v>
      </c>
      <c r="E1579" t="n">
        <v>0</v>
      </c>
      <c r="F1579" t="n">
        <v>0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N1579" t="n">
        <v>99.48999999999999</v>
      </c>
      <c r="O1579" t="n">
        <v>40.2</v>
      </c>
    </row>
    <row r="1580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N1580" t="n">
        <v>100</v>
      </c>
      <c r="O1580" t="n">
        <v>25</v>
      </c>
    </row>
    <row r="158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N1581" t="n">
        <v>100</v>
      </c>
      <c r="O1581" t="n">
        <v>34.15094339622641</v>
      </c>
    </row>
    <row r="1582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N1582" t="n">
        <v>100</v>
      </c>
      <c r="O1582" t="n">
        <v>32.7313769751693</v>
      </c>
    </row>
    <row r="1583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N1583" t="n">
        <v>99.31</v>
      </c>
      <c r="O1583" t="n">
        <v>30.96234309623431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N1585" t="n">
        <v>100</v>
      </c>
      <c r="O1585" t="n">
        <v>27.67676767676768</v>
      </c>
    </row>
    <row r="1586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N1586" t="n">
        <v>100</v>
      </c>
      <c r="O1586" t="n">
        <v>31.17723156532988</v>
      </c>
    </row>
    <row r="1587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N1587" t="n">
        <v>100</v>
      </c>
      <c r="O1587" t="n">
        <v>27.60942760942761</v>
      </c>
    </row>
    <row r="1588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N1588" t="n">
        <v>96.40000000000001</v>
      </c>
      <c r="O1588" t="n">
        <v>28.76404494382023</v>
      </c>
    </row>
    <row r="1589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N1589" t="n">
        <v>100</v>
      </c>
      <c r="O1589" t="n">
        <v>33.98058252427185</v>
      </c>
    </row>
    <row r="1590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N1590" t="n">
        <v>97.56</v>
      </c>
      <c r="O1590" t="n">
        <v>32.51533742331289</v>
      </c>
    </row>
    <row r="159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N1591" t="n">
        <v>97.11</v>
      </c>
      <c r="O1591" t="n">
        <v>37.40831295843521</v>
      </c>
    </row>
    <row r="1592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N1592" t="n">
        <v>0</v>
      </c>
      <c r="O1592" t="n">
        <v>0</v>
      </c>
    </row>
    <row r="1593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N1593" t="n">
        <v>100</v>
      </c>
      <c r="O1593" t="n">
        <v>30.47034764826176</v>
      </c>
    </row>
    <row r="1594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N1594" t="n">
        <v>100</v>
      </c>
      <c r="O1594" t="n">
        <v>32.37113402061856</v>
      </c>
    </row>
    <row r="1595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0</v>
      </c>
      <c r="E1595" t="n">
        <v>0</v>
      </c>
      <c r="F1595" t="n">
        <v>0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N1595" t="n">
        <v>98.31999999999999</v>
      </c>
      <c r="O1595" t="n">
        <v>32.31850117096019</v>
      </c>
    </row>
    <row r="1596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N1596" t="n">
        <v>96.43000000000001</v>
      </c>
      <c r="O1596" t="n">
        <v>27.01525054466231</v>
      </c>
    </row>
    <row r="1597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N1597" t="n">
        <v>98.89</v>
      </c>
      <c r="O1597" t="n">
        <v>28.02197802197802</v>
      </c>
    </row>
    <row r="1598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N1598" t="n">
        <v>100</v>
      </c>
      <c r="O1598" t="n">
        <v>33.33333333333333</v>
      </c>
    </row>
    <row r="1599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N1599" t="n">
        <v>100</v>
      </c>
      <c r="O1599" t="n">
        <v>27.43362831858407</v>
      </c>
    </row>
    <row r="1600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N1600" t="n">
        <v>98.65000000000001</v>
      </c>
      <c r="O1600" t="n">
        <v>30.97826086956522</v>
      </c>
    </row>
    <row r="160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N1601" t="n">
        <v>100</v>
      </c>
      <c r="O1601" t="n">
        <v>12</v>
      </c>
    </row>
    <row r="1602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N1602" t="n">
        <v>0</v>
      </c>
      <c r="O1602" t="n">
        <v>0</v>
      </c>
    </row>
    <row r="1603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N1603" t="n">
        <v>97.56</v>
      </c>
      <c r="O1603" t="n">
        <v>31.06796116504854</v>
      </c>
    </row>
    <row r="1604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N1604" t="n">
        <v>0</v>
      </c>
      <c r="O1604" t="n">
        <v>0</v>
      </c>
    </row>
    <row r="1605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N1605" t="n">
        <v>0</v>
      </c>
      <c r="O1605" t="n">
        <v>0</v>
      </c>
    </row>
    <row r="1606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N1606" t="n">
        <v>0</v>
      </c>
      <c r="O1606" t="n">
        <v>0</v>
      </c>
    </row>
    <row r="1607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N1607" t="n">
        <v>100</v>
      </c>
      <c r="O1607" t="n">
        <v>53.84615384615385</v>
      </c>
    </row>
    <row r="1608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N1608" t="n">
        <v>100</v>
      </c>
      <c r="O1608" t="n">
        <v>44.05594405594406</v>
      </c>
    </row>
    <row r="1609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N1609" t="n">
        <v>100</v>
      </c>
      <c r="O1609" t="n">
        <v>31.87250996015936</v>
      </c>
    </row>
    <row r="1610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N1610" t="n">
        <v>98.41</v>
      </c>
      <c r="O1610" t="n">
        <v>29.22465208747515</v>
      </c>
    </row>
    <row r="161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N1611" t="n">
        <v>96.81</v>
      </c>
      <c r="O1611" t="n">
        <v>27.98053527980535</v>
      </c>
    </row>
    <row r="1612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N1612" t="n">
        <v>98.73</v>
      </c>
      <c r="O1612" t="n">
        <v>35.75638506876228</v>
      </c>
    </row>
    <row r="1613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N1613" t="n">
        <v>98.31999999999999</v>
      </c>
      <c r="O1613" t="n">
        <v>26.76348547717842</v>
      </c>
    </row>
    <row r="1614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N1614" t="n">
        <v>99.19</v>
      </c>
      <c r="O1614" t="n">
        <v>27.63713080168776</v>
      </c>
    </row>
    <row r="1615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N1615" t="n">
        <v>100</v>
      </c>
      <c r="O1615" t="n">
        <v>39.56834532374101</v>
      </c>
    </row>
    <row r="1616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N1616" t="n">
        <v>98.54000000000001</v>
      </c>
      <c r="O1616" t="n">
        <v>28.54477611940299</v>
      </c>
    </row>
    <row r="1617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N1617" t="n">
        <v>100</v>
      </c>
      <c r="O1617" t="n">
        <v>34.36692506459949</v>
      </c>
    </row>
    <row r="1618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N1618" t="n">
        <v>0</v>
      </c>
      <c r="O1618" t="n">
        <v>0</v>
      </c>
    </row>
    <row r="1619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N1619" t="n">
        <v>100</v>
      </c>
      <c r="O1619" t="n">
        <v>29.51807228915663</v>
      </c>
    </row>
    <row r="1620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N1620" t="n">
        <v>97.45</v>
      </c>
      <c r="O1620" t="n">
        <v>41.421143847487</v>
      </c>
    </row>
    <row r="162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0</v>
      </c>
      <c r="E1621" t="n">
        <v>0</v>
      </c>
      <c r="F1621" t="n">
        <v>0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N1621" t="n">
        <v>96.58</v>
      </c>
      <c r="O1621" t="n">
        <v>30.39647577092511</v>
      </c>
    </row>
    <row r="1622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N1622" t="n">
        <v>100</v>
      </c>
      <c r="O1622" t="n">
        <v>27.44282744282744</v>
      </c>
    </row>
    <row r="1623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0</v>
      </c>
      <c r="E1623" t="n">
        <v>0</v>
      </c>
      <c r="F1623" t="n">
        <v>0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N1623" t="n">
        <v>99.48999999999999</v>
      </c>
      <c r="O1623" t="n">
        <v>40.2</v>
      </c>
    </row>
    <row r="1624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N1624" t="n">
        <v>100</v>
      </c>
      <c r="O1624" t="n">
        <v>25</v>
      </c>
    </row>
    <row r="1625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N1625" t="n">
        <v>100</v>
      </c>
      <c r="O1625" t="n">
        <v>34.15094339622641</v>
      </c>
    </row>
    <row r="1626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N1626" t="n">
        <v>100</v>
      </c>
      <c r="O1626" t="n">
        <v>32.7313769751693</v>
      </c>
    </row>
    <row r="1627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N1627" t="n">
        <v>99.31</v>
      </c>
      <c r="O1627" t="n">
        <v>30.96234309623431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N1629" t="n">
        <v>100</v>
      </c>
      <c r="O1629" t="n">
        <v>27.67676767676768</v>
      </c>
    </row>
    <row r="1630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N1630" t="n">
        <v>100</v>
      </c>
      <c r="O1630" t="n">
        <v>31.17723156532988</v>
      </c>
    </row>
    <row r="163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N1631" t="n">
        <v>100</v>
      </c>
      <c r="O1631" t="n">
        <v>27.60942760942761</v>
      </c>
    </row>
    <row r="1632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N1632" t="n">
        <v>96.40000000000001</v>
      </c>
      <c r="O1632" t="n">
        <v>28.76404494382023</v>
      </c>
    </row>
    <row r="1633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N1633" t="n">
        <v>100</v>
      </c>
      <c r="O1633" t="n">
        <v>33.98058252427185</v>
      </c>
    </row>
    <row r="1634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N1634" t="n">
        <v>97.56</v>
      </c>
      <c r="O1634" t="n">
        <v>32.51533742331289</v>
      </c>
    </row>
    <row r="1635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N1635" t="n">
        <v>97.11</v>
      </c>
      <c r="O1635" t="n">
        <v>37.40831295843521</v>
      </c>
    </row>
    <row r="1636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N1636" t="n">
        <v>0</v>
      </c>
      <c r="O1636" t="n">
        <v>0</v>
      </c>
    </row>
    <row r="1637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N1637" t="n">
        <v>100</v>
      </c>
      <c r="O1637" t="n">
        <v>30.47034764826176</v>
      </c>
    </row>
    <row r="1638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N1638" t="n">
        <v>100</v>
      </c>
      <c r="O1638" t="n">
        <v>32.37113402061856</v>
      </c>
    </row>
    <row r="1639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0</v>
      </c>
      <c r="E1639" t="n">
        <v>0</v>
      </c>
      <c r="F1639" t="n">
        <v>0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N1639" t="n">
        <v>98.31999999999999</v>
      </c>
      <c r="O1639" t="n">
        <v>32.31850117096019</v>
      </c>
    </row>
    <row r="1640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N1640" t="n">
        <v>96.43000000000001</v>
      </c>
      <c r="O1640" t="n">
        <v>27.01525054466231</v>
      </c>
    </row>
    <row r="164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N1641" t="n">
        <v>98.89</v>
      </c>
      <c r="O1641" t="n">
        <v>28.02197802197802</v>
      </c>
    </row>
    <row r="1642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N1642" t="n">
        <v>100</v>
      </c>
      <c r="O1642" t="n">
        <v>33.33333333333333</v>
      </c>
    </row>
    <row r="1643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N1643" t="n">
        <v>100</v>
      </c>
      <c r="O1643" t="n">
        <v>27.43362831858407</v>
      </c>
    </row>
    <row r="1644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N1644" t="n">
        <v>98.65000000000001</v>
      </c>
      <c r="O1644" t="n">
        <v>30.97826086956522</v>
      </c>
    </row>
    <row r="1645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N1645" t="n">
        <v>100</v>
      </c>
      <c r="O1645" t="n">
        <v>12</v>
      </c>
    </row>
    <row r="1646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N1646" t="n">
        <v>0</v>
      </c>
      <c r="O1646" t="n">
        <v>0</v>
      </c>
    </row>
    <row r="1647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N1647" t="n">
        <v>97.56</v>
      </c>
      <c r="O1647" t="n">
        <v>31.06796116504854</v>
      </c>
    </row>
    <row r="1648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N1648" t="n">
        <v>0</v>
      </c>
      <c r="O1648" t="n">
        <v>0</v>
      </c>
    </row>
    <row r="1649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N1649" t="n">
        <v>0</v>
      </c>
      <c r="O1649" t="n">
        <v>0</v>
      </c>
    </row>
    <row r="1650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N1650" t="n">
        <v>0</v>
      </c>
      <c r="O1650" t="n">
        <v>0</v>
      </c>
    </row>
    <row r="165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N1651" t="n">
        <v>100</v>
      </c>
      <c r="O1651" t="n">
        <v>53.84615384615385</v>
      </c>
    </row>
    <row r="1652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N1652" t="n">
        <v>100</v>
      </c>
      <c r="O1652" t="n">
        <v>44.05594405594406</v>
      </c>
    </row>
    <row r="1653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N1653" t="n">
        <v>100</v>
      </c>
      <c r="O1653" t="n">
        <v>31.87250996015936</v>
      </c>
    </row>
    <row r="1654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N1654" t="n">
        <v>98.41</v>
      </c>
      <c r="O1654" t="n">
        <v>29.22465208747515</v>
      </c>
    </row>
    <row r="1655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N1655" t="n">
        <v>96.81</v>
      </c>
      <c r="O1655" t="n">
        <v>27.98053527980535</v>
      </c>
    </row>
    <row r="1656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N1656" t="n">
        <v>98.73</v>
      </c>
      <c r="O1656" t="n">
        <v>35.75638506876228</v>
      </c>
    </row>
    <row r="1657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N1657" t="n">
        <v>98.31999999999999</v>
      </c>
      <c r="O1657" t="n">
        <v>26.76348547717842</v>
      </c>
    </row>
    <row r="1658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N1658" t="n">
        <v>99.19</v>
      </c>
      <c r="O1658" t="n">
        <v>27.63713080168776</v>
      </c>
    </row>
    <row r="1659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N1659" t="n">
        <v>100</v>
      </c>
      <c r="O1659" t="n">
        <v>39.56834532374101</v>
      </c>
    </row>
    <row r="1660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N1660" t="n">
        <v>98.54000000000001</v>
      </c>
      <c r="O1660" t="n">
        <v>28.54477611940299</v>
      </c>
    </row>
    <row r="166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N1661" t="n">
        <v>100</v>
      </c>
      <c r="O1661" t="n">
        <v>34.36692506459949</v>
      </c>
    </row>
    <row r="1662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N1662" t="n">
        <v>0</v>
      </c>
      <c r="O1662" t="n">
        <v>0</v>
      </c>
    </row>
    <row r="1663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N1663" t="n">
        <v>100</v>
      </c>
      <c r="O1663" t="n">
        <v>29.51807228915663</v>
      </c>
    </row>
    <row r="1664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N1664" t="n">
        <v>97.45</v>
      </c>
      <c r="O1664" t="n">
        <v>41.421143847487</v>
      </c>
    </row>
    <row r="1665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0</v>
      </c>
      <c r="E1665" t="n">
        <v>0</v>
      </c>
      <c r="F1665" t="n">
        <v>0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N1665" t="n">
        <v>96.58</v>
      </c>
      <c r="O1665" t="n">
        <v>30.39647577092511</v>
      </c>
    </row>
    <row r="1666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N1666" t="n">
        <v>100</v>
      </c>
      <c r="O1666" t="n">
        <v>27.44282744282744</v>
      </c>
    </row>
    <row r="1667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0</v>
      </c>
      <c r="E1667" t="n">
        <v>0</v>
      </c>
      <c r="F1667" t="n">
        <v>0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N1667" t="n">
        <v>99.48999999999999</v>
      </c>
      <c r="O1667" t="n">
        <v>40.2</v>
      </c>
    </row>
    <row r="1668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N1668" t="n">
        <v>100</v>
      </c>
      <c r="O1668" t="n">
        <v>25</v>
      </c>
    </row>
    <row r="1669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N1669" t="n">
        <v>100</v>
      </c>
      <c r="O1669" t="n">
        <v>34.15094339622641</v>
      </c>
    </row>
    <row r="1670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N1670" t="n">
        <v>100</v>
      </c>
      <c r="O1670" t="n">
        <v>32.7313769751693</v>
      </c>
    </row>
    <row r="167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N1673" t="n">
        <v>100</v>
      </c>
      <c r="O1673" t="n">
        <v>27.67676767676768</v>
      </c>
    </row>
    <row r="1674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N1674" t="n">
        <v>100</v>
      </c>
      <c r="O1674" t="n">
        <v>31.17723156532988</v>
      </c>
    </row>
    <row r="1675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N1675" t="n">
        <v>100</v>
      </c>
      <c r="O1675" t="n">
        <v>27.60942760942761</v>
      </c>
    </row>
    <row r="1676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N1676" t="n">
        <v>96.40000000000001</v>
      </c>
      <c r="O1676" t="n">
        <v>28.76404494382023</v>
      </c>
    </row>
    <row r="1677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N1677" t="n">
        <v>100</v>
      </c>
      <c r="O1677" t="n">
        <v>33.98058252427185</v>
      </c>
    </row>
    <row r="1678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N1678" t="n">
        <v>97.56</v>
      </c>
      <c r="O1678" t="n">
        <v>32.51533742331289</v>
      </c>
    </row>
    <row r="1679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N1679" t="n">
        <v>97.11</v>
      </c>
      <c r="O1679" t="n">
        <v>37.40831295843521</v>
      </c>
    </row>
    <row r="1680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N1680" t="n">
        <v>0</v>
      </c>
      <c r="O1680" t="n">
        <v>0</v>
      </c>
    </row>
    <row r="168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N1681" t="n">
        <v>100</v>
      </c>
      <c r="O1681" t="n">
        <v>30.47034764826176</v>
      </c>
    </row>
    <row r="1682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N1682" t="n">
        <v>100</v>
      </c>
      <c r="O1682" t="n">
        <v>32.37113402061856</v>
      </c>
    </row>
    <row r="1683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0</v>
      </c>
      <c r="E1683" t="n">
        <v>0</v>
      </c>
      <c r="F1683" t="n">
        <v>0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N1683" t="n">
        <v>98.31999999999999</v>
      </c>
      <c r="O1683" t="n">
        <v>32.31850117096019</v>
      </c>
    </row>
    <row r="1684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N1684" t="n">
        <v>96.43000000000001</v>
      </c>
      <c r="O1684" t="n">
        <v>27.01525054466231</v>
      </c>
    </row>
    <row r="1685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N1685" t="n">
        <v>98.89</v>
      </c>
      <c r="O1685" t="n">
        <v>28.02197802197802</v>
      </c>
    </row>
    <row r="1686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N1686" t="n">
        <v>100</v>
      </c>
      <c r="O1686" t="n">
        <v>33.33333333333333</v>
      </c>
    </row>
    <row r="1687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N1687" t="n">
        <v>100</v>
      </c>
      <c r="O1687" t="n">
        <v>27.43362831858407</v>
      </c>
    </row>
    <row r="1688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N1688" t="n">
        <v>98.65000000000001</v>
      </c>
      <c r="O1688" t="n">
        <v>30.97826086956522</v>
      </c>
    </row>
    <row r="1689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N1689" t="n">
        <v>100</v>
      </c>
      <c r="O1689" t="n">
        <v>12</v>
      </c>
    </row>
    <row r="1690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N1690" t="n">
        <v>0</v>
      </c>
      <c r="O1690" t="n">
        <v>0</v>
      </c>
    </row>
    <row r="169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N1691" t="n">
        <v>97.56</v>
      </c>
      <c r="O1691" t="n">
        <v>31.06796116504854</v>
      </c>
    </row>
    <row r="1692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N1692" t="n">
        <v>0</v>
      </c>
      <c r="O1692" t="n">
        <v>0</v>
      </c>
    </row>
    <row r="1693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N1693" t="n">
        <v>0</v>
      </c>
      <c r="O1693" t="n">
        <v>0</v>
      </c>
    </row>
    <row r="1694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N1694" t="n">
        <v>0</v>
      </c>
      <c r="O1694" t="n">
        <v>0</v>
      </c>
    </row>
    <row r="1695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N1695" t="n">
        <v>100</v>
      </c>
      <c r="O1695" t="n">
        <v>53.84615384615385</v>
      </c>
    </row>
    <row r="1696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N1696" t="n">
        <v>100</v>
      </c>
      <c r="O1696" t="n">
        <v>44.05594405594406</v>
      </c>
    </row>
    <row r="1697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N1697" t="n">
        <v>100</v>
      </c>
      <c r="O1697" t="n">
        <v>31.87250996015936</v>
      </c>
    </row>
    <row r="1698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N1698" t="n">
        <v>98.41</v>
      </c>
      <c r="O1698" t="n">
        <v>29.22465208747515</v>
      </c>
    </row>
    <row r="1699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N1699" t="n">
        <v>98.31999999999999</v>
      </c>
      <c r="O1699" t="n">
        <v>30.3030303030303</v>
      </c>
    </row>
    <row r="1700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N1700" t="n">
        <v>98.68000000000001</v>
      </c>
      <c r="O1700" t="n">
        <v>26.21951219512195</v>
      </c>
    </row>
    <row r="170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N1701" t="n">
        <v>100</v>
      </c>
      <c r="O1701" t="n">
        <v>31.74224343675418</v>
      </c>
    </row>
    <row r="1702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N1702" t="n">
        <v>98.25</v>
      </c>
      <c r="O1702" t="n">
        <v>25.83518930957684</v>
      </c>
    </row>
    <row r="1703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N1703" t="n">
        <v>97.5</v>
      </c>
      <c r="O1703" t="n">
        <v>30.07518796992481</v>
      </c>
    </row>
    <row r="1704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N1704" t="n">
        <v>100</v>
      </c>
      <c r="O1704" t="n">
        <v>29.71311475409836</v>
      </c>
    </row>
    <row r="1705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N1705" t="n">
        <v>99.22</v>
      </c>
      <c r="O1705" t="n">
        <v>35.25641025641026</v>
      </c>
    </row>
    <row r="1706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N1706" t="n">
        <v>0</v>
      </c>
      <c r="O1706" t="n">
        <v>0</v>
      </c>
    </row>
    <row r="1707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N1707" t="n">
        <v>98.75</v>
      </c>
      <c r="O1707" t="n">
        <v>24.32432432432433</v>
      </c>
    </row>
    <row r="1708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N1708" t="n">
        <v>93.48</v>
      </c>
      <c r="O1708" t="n">
        <v>31.33462282398452</v>
      </c>
    </row>
    <row r="1709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0</v>
      </c>
      <c r="E1709" t="n">
        <v>0</v>
      </c>
      <c r="F1709" t="n">
        <v>0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N1709" t="n">
        <v>99.16</v>
      </c>
      <c r="O1709" t="n">
        <v>26.13908872901678</v>
      </c>
    </row>
    <row r="1710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N1710" t="n">
        <v>100</v>
      </c>
      <c r="O1710" t="n">
        <v>31.08974358974359</v>
      </c>
    </row>
    <row r="171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0</v>
      </c>
      <c r="E1711" t="n">
        <v>0</v>
      </c>
      <c r="F1711" t="n">
        <v>0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N1711" t="n">
        <v>98.11</v>
      </c>
      <c r="O1711" t="n">
        <v>33.03370786516854</v>
      </c>
    </row>
    <row r="1712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N1712" t="n">
        <v>78.95</v>
      </c>
      <c r="O1712" t="n">
        <v>38.98305084745763</v>
      </c>
    </row>
    <row r="1713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N1713" t="n">
        <v>98.45</v>
      </c>
      <c r="O1713" t="n">
        <v>29.2817679558011</v>
      </c>
    </row>
    <row r="1714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N1714" t="n">
        <v>97.84</v>
      </c>
      <c r="O1714" t="n">
        <v>26.28205128205128</v>
      </c>
    </row>
    <row r="1715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N1715" t="n">
        <v>98.5</v>
      </c>
      <c r="O1715" t="n">
        <v>23.97769516728625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N1717" t="n">
        <v>98.53</v>
      </c>
      <c r="O1717" t="n">
        <v>31.57894736842105</v>
      </c>
    </row>
    <row r="1718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N1718" t="n">
        <v>100</v>
      </c>
      <c r="O1718" t="n">
        <v>25.72214580467676</v>
      </c>
    </row>
    <row r="1719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N1719" t="n">
        <v>94.64</v>
      </c>
      <c r="O1719" t="n">
        <v>27.52941176470588</v>
      </c>
    </row>
    <row r="1720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N1720" t="n">
        <v>99.06999999999999</v>
      </c>
      <c r="O1720" t="n">
        <v>26.3768115942029</v>
      </c>
    </row>
    <row r="172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N1721" t="n">
        <v>100</v>
      </c>
      <c r="O1721" t="n">
        <v>0</v>
      </c>
    </row>
    <row r="1722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N1722" t="n">
        <v>98.48</v>
      </c>
      <c r="O1722" t="n">
        <v>27.85388127853881</v>
      </c>
    </row>
    <row r="1723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N1723" t="n">
        <v>95.15000000000001</v>
      </c>
      <c r="O1723" t="n">
        <v>34.13173652694611</v>
      </c>
    </row>
    <row r="1724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N1724" t="n">
        <v>0</v>
      </c>
      <c r="O1724" t="n">
        <v>0</v>
      </c>
    </row>
    <row r="1725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N1725" t="n">
        <v>99.26000000000001</v>
      </c>
      <c r="O1725" t="n">
        <v>30.84832904884319</v>
      </c>
    </row>
    <row r="1726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N1726" t="n">
        <v>97.48</v>
      </c>
      <c r="O1726" t="n">
        <v>27.76470588235294</v>
      </c>
    </row>
    <row r="1727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0</v>
      </c>
      <c r="E1727" t="n">
        <v>0</v>
      </c>
      <c r="F1727" t="n">
        <v>0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N1727" t="n">
        <v>99.34</v>
      </c>
      <c r="O1727" t="n">
        <v>30.04291845493562</v>
      </c>
    </row>
    <row r="1728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N1728" t="n">
        <v>96.3</v>
      </c>
      <c r="O1728" t="n">
        <v>24.29378531073446</v>
      </c>
    </row>
    <row r="1729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N1729" t="n">
        <v>100</v>
      </c>
      <c r="O1729" t="n">
        <v>26.54320987654321</v>
      </c>
    </row>
    <row r="1730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N1730" t="n">
        <v>100</v>
      </c>
      <c r="O1730" t="n">
        <v>35.48387096774194</v>
      </c>
    </row>
    <row r="173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N1731" t="n">
        <v>99.27</v>
      </c>
      <c r="O1731" t="n">
        <v>31.16370808678501</v>
      </c>
    </row>
    <row r="1732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N1732" t="n">
        <v>94.16</v>
      </c>
      <c r="O1732" t="n">
        <v>27.03862660944206</v>
      </c>
    </row>
    <row r="1733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N1733" t="n">
        <v>93.75</v>
      </c>
      <c r="O1733" t="n">
        <v>19.31818181818182</v>
      </c>
    </row>
    <row r="1734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N1734" t="n">
        <v>0</v>
      </c>
      <c r="O1734" t="n">
        <v>0</v>
      </c>
    </row>
    <row r="1735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N1735" t="n">
        <v>97.92</v>
      </c>
      <c r="O1735" t="n">
        <v>32.87671232876712</v>
      </c>
    </row>
    <row r="1736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N1736" t="n">
        <v>0</v>
      </c>
      <c r="O1736" t="n">
        <v>0</v>
      </c>
    </row>
    <row r="1737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N1737" t="n">
        <v>0</v>
      </c>
      <c r="O1737" t="n">
        <v>0</v>
      </c>
    </row>
    <row r="1738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N1738" t="n">
        <v>0</v>
      </c>
      <c r="O1738" t="n">
        <v>0</v>
      </c>
    </row>
    <row r="1739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N1739" t="n">
        <v>98.51000000000001</v>
      </c>
      <c r="O1739" t="n">
        <v>29.71014492753623</v>
      </c>
    </row>
    <row r="1740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N1740" t="n">
        <v>98.81</v>
      </c>
      <c r="O1740" t="n">
        <v>30.71297989031079</v>
      </c>
    </row>
    <row r="174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N1741" t="n">
        <v>98.48</v>
      </c>
      <c r="O1741" t="n">
        <v>29.35323383084577</v>
      </c>
    </row>
    <row r="1742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N1742" t="n">
        <v>98.56</v>
      </c>
      <c r="O1742" t="n">
        <v>29.37365010799136</v>
      </c>
    </row>
    <row r="1743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0</v>
      </c>
      <c r="E1753" t="n">
        <v>0</v>
      </c>
      <c r="F1753" t="n">
        <v>0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0</v>
      </c>
      <c r="E1755" t="n">
        <v>0</v>
      </c>
      <c r="F1755" t="n">
        <v>0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0</v>
      </c>
      <c r="E1771" t="n">
        <v>0</v>
      </c>
      <c r="F1771" t="n">
        <v>0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0</v>
      </c>
      <c r="E1797" t="n">
        <v>0</v>
      </c>
      <c r="F1797" t="n">
        <v>0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0</v>
      </c>
      <c r="E1799" t="n">
        <v>0</v>
      </c>
      <c r="F1799" t="n">
        <v>0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0</v>
      </c>
      <c r="E1815" t="n">
        <v>0</v>
      </c>
      <c r="F1815" t="n">
        <v>0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0</v>
      </c>
      <c r="E1841" t="n">
        <v>0</v>
      </c>
      <c r="F1841" t="n">
        <v>0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0</v>
      </c>
      <c r="E1843" t="n">
        <v>0</v>
      </c>
      <c r="F1843" t="n">
        <v>0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0</v>
      </c>
      <c r="E1859" t="n">
        <v>0</v>
      </c>
      <c r="F1859" t="n">
        <v>0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0</v>
      </c>
      <c r="E1885" t="n">
        <v>0</v>
      </c>
      <c r="F1885" t="n">
        <v>0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0</v>
      </c>
      <c r="E1887" t="n">
        <v>0</v>
      </c>
      <c r="F1887" t="n">
        <v>0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0</v>
      </c>
      <c r="E1903" t="n">
        <v>0</v>
      </c>
      <c r="F1903" t="n">
        <v>0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N1919" t="n">
        <v>98.31999999999999</v>
      </c>
      <c r="O1919" t="n">
        <v>30.3030303030303</v>
      </c>
    </row>
    <row r="1920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N1920" t="n">
        <v>98.68000000000001</v>
      </c>
      <c r="O1920" t="n">
        <v>26.21951219512195</v>
      </c>
    </row>
    <row r="192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N1921" t="n">
        <v>100</v>
      </c>
      <c r="O1921" t="n">
        <v>31.74224343675418</v>
      </c>
    </row>
    <row r="1922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N1922" t="n">
        <v>98.25</v>
      </c>
      <c r="O1922" t="n">
        <v>25.83518930957684</v>
      </c>
    </row>
    <row r="1923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N1923" t="n">
        <v>97.5</v>
      </c>
      <c r="O1923" t="n">
        <v>30.07518796992481</v>
      </c>
    </row>
    <row r="1924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N1924" t="n">
        <v>100</v>
      </c>
      <c r="O1924" t="n">
        <v>29.71311475409836</v>
      </c>
    </row>
    <row r="1925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N1925" t="n">
        <v>99.22</v>
      </c>
      <c r="O1925" t="n">
        <v>35.25641025641026</v>
      </c>
    </row>
    <row r="1926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N1926" t="n">
        <v>0</v>
      </c>
      <c r="O1926" t="n">
        <v>0</v>
      </c>
    </row>
    <row r="1927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N1927" t="n">
        <v>98.75</v>
      </c>
      <c r="O1927" t="n">
        <v>24.32432432432433</v>
      </c>
    </row>
    <row r="1928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N1928" t="n">
        <v>93.48</v>
      </c>
      <c r="O1928" t="n">
        <v>31.33462282398452</v>
      </c>
    </row>
    <row r="1929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N1929" t="n">
        <v>99.16</v>
      </c>
      <c r="O1929" t="n">
        <v>26.13908872901678</v>
      </c>
    </row>
    <row r="1930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N1930" t="n">
        <v>100</v>
      </c>
      <c r="O1930" t="n">
        <v>31.08974358974359</v>
      </c>
    </row>
    <row r="193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0</v>
      </c>
      <c r="E1931" t="n">
        <v>0</v>
      </c>
      <c r="F1931" t="n">
        <v>0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N1931" t="n">
        <v>98.11</v>
      </c>
      <c r="O1931" t="n">
        <v>33.03370786516854</v>
      </c>
    </row>
    <row r="1932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N1932" t="n">
        <v>78.95</v>
      </c>
      <c r="O1932" t="n">
        <v>38.98305084745763</v>
      </c>
    </row>
    <row r="1933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N1933" t="n">
        <v>98.45</v>
      </c>
      <c r="O1933" t="n">
        <v>29.2817679558011</v>
      </c>
    </row>
    <row r="1934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N1934" t="n">
        <v>97.84</v>
      </c>
      <c r="O1934" t="n">
        <v>26.28205128205128</v>
      </c>
    </row>
    <row r="1935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N1935" t="n">
        <v>98.5</v>
      </c>
      <c r="O1935" t="n">
        <v>23.97769516728625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N1937" t="n">
        <v>98.53</v>
      </c>
      <c r="O1937" t="n">
        <v>31.57894736842105</v>
      </c>
    </row>
    <row r="1938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N1938" t="n">
        <v>100</v>
      </c>
      <c r="O1938" t="n">
        <v>25.72214580467676</v>
      </c>
    </row>
    <row r="1939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N1939" t="n">
        <v>94.64</v>
      </c>
      <c r="O1939" t="n">
        <v>27.52941176470588</v>
      </c>
    </row>
    <row r="1940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N1940" t="n">
        <v>99.06999999999999</v>
      </c>
      <c r="O1940" t="n">
        <v>26.3768115942029</v>
      </c>
    </row>
    <row r="194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N1941" t="n">
        <v>100</v>
      </c>
      <c r="O1941" t="n">
        <v>0</v>
      </c>
    </row>
    <row r="1942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N1942" t="n">
        <v>98.48</v>
      </c>
      <c r="O1942" t="n">
        <v>27.85388127853881</v>
      </c>
    </row>
    <row r="1943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N1943" t="n">
        <v>95.15000000000001</v>
      </c>
      <c r="O1943" t="n">
        <v>34.13173652694611</v>
      </c>
    </row>
    <row r="1944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N1944" t="n">
        <v>0</v>
      </c>
      <c r="O1944" t="n">
        <v>0</v>
      </c>
    </row>
    <row r="1945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N1945" t="n">
        <v>99.26000000000001</v>
      </c>
      <c r="O1945" t="n">
        <v>30.84832904884319</v>
      </c>
    </row>
    <row r="1946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N1946" t="n">
        <v>97.48</v>
      </c>
      <c r="O1946" t="n">
        <v>27.76470588235294</v>
      </c>
    </row>
    <row r="1947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0</v>
      </c>
      <c r="E1947" t="n">
        <v>0</v>
      </c>
      <c r="F1947" t="n">
        <v>0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N1947" t="n">
        <v>99.34</v>
      </c>
      <c r="O1947" t="n">
        <v>30.04291845493562</v>
      </c>
    </row>
    <row r="1948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N1948" t="n">
        <v>96.3</v>
      </c>
      <c r="O1948" t="n">
        <v>24.29378531073446</v>
      </c>
    </row>
    <row r="1949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N1949" t="n">
        <v>100</v>
      </c>
      <c r="O1949" t="n">
        <v>26.54320987654321</v>
      </c>
    </row>
    <row r="1950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N1950" t="n">
        <v>100</v>
      </c>
      <c r="O1950" t="n">
        <v>35.48387096774194</v>
      </c>
    </row>
    <row r="195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N1951" t="n">
        <v>99.27</v>
      </c>
      <c r="O1951" t="n">
        <v>31.16370808678501</v>
      </c>
    </row>
    <row r="1952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N1952" t="n">
        <v>94.16</v>
      </c>
      <c r="O1952" t="n">
        <v>27.03862660944206</v>
      </c>
    </row>
    <row r="1953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N1953" t="n">
        <v>93.75</v>
      </c>
      <c r="O1953" t="n">
        <v>19.31818181818182</v>
      </c>
    </row>
    <row r="1954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N1954" t="n">
        <v>0</v>
      </c>
      <c r="O1954" t="n">
        <v>0</v>
      </c>
    </row>
    <row r="1955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N1955" t="n">
        <v>97.92</v>
      </c>
      <c r="O1955" t="n">
        <v>32.87671232876712</v>
      </c>
    </row>
    <row r="1956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N1956" t="n">
        <v>0</v>
      </c>
      <c r="O1956" t="n">
        <v>0</v>
      </c>
    </row>
    <row r="1957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N1957" t="n">
        <v>0</v>
      </c>
      <c r="O1957" t="n">
        <v>0</v>
      </c>
    </row>
    <row r="1958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N1958" t="n">
        <v>0</v>
      </c>
      <c r="O1958" t="n">
        <v>0</v>
      </c>
    </row>
    <row r="1959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N1959" t="n">
        <v>98.51000000000001</v>
      </c>
      <c r="O1959" t="n">
        <v>29.71014492753623</v>
      </c>
    </row>
    <row r="1960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N1960" t="n">
        <v>98.81</v>
      </c>
      <c r="O1960" t="n">
        <v>30.71297989031079</v>
      </c>
    </row>
    <row r="196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N1961" t="n">
        <v>98.48</v>
      </c>
      <c r="O1961" t="n">
        <v>29.35323383084577</v>
      </c>
    </row>
    <row r="1962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N1962" t="n">
        <v>98.56</v>
      </c>
      <c r="O1962" t="n">
        <v>29.37365010799136</v>
      </c>
    </row>
    <row r="1963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0</v>
      </c>
      <c r="E1973" t="n">
        <v>0</v>
      </c>
      <c r="F1973" t="n">
        <v>0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0</v>
      </c>
      <c r="E1975" t="n">
        <v>0</v>
      </c>
      <c r="F1975" t="n">
        <v>0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0</v>
      </c>
      <c r="E1991" t="n">
        <v>0</v>
      </c>
      <c r="F1991" t="n">
        <v>0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N2007" t="n">
        <v>98.31999999999999</v>
      </c>
      <c r="O2007" t="n">
        <v>30.3030303030303</v>
      </c>
    </row>
    <row r="2008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N2008" t="n">
        <v>98.68000000000001</v>
      </c>
      <c r="O2008" t="n">
        <v>26.21951219512195</v>
      </c>
    </row>
    <row r="2009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N2009" t="n">
        <v>100</v>
      </c>
      <c r="O2009" t="n">
        <v>31.74224343675418</v>
      </c>
    </row>
    <row r="2010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N2010" t="n">
        <v>98.25</v>
      </c>
      <c r="O2010" t="n">
        <v>25.83518930957684</v>
      </c>
    </row>
    <row r="201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N2011" t="n">
        <v>97.5</v>
      </c>
      <c r="O2011" t="n">
        <v>30.07518796992481</v>
      </c>
    </row>
    <row r="2012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N2012" t="n">
        <v>100</v>
      </c>
      <c r="O2012" t="n">
        <v>29.71311475409836</v>
      </c>
    </row>
    <row r="2013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N2013" t="n">
        <v>99.22</v>
      </c>
      <c r="O2013" t="n">
        <v>35.25641025641026</v>
      </c>
    </row>
    <row r="2014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N2014" t="n">
        <v>0</v>
      </c>
      <c r="O2014" t="n">
        <v>0</v>
      </c>
    </row>
    <row r="2015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N2015" t="n">
        <v>98.75</v>
      </c>
      <c r="O2015" t="n">
        <v>24.32432432432433</v>
      </c>
    </row>
    <row r="2016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N2016" t="n">
        <v>93.48</v>
      </c>
      <c r="O2016" t="n">
        <v>31.33462282398452</v>
      </c>
    </row>
    <row r="2017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0</v>
      </c>
      <c r="E2017" t="n">
        <v>0</v>
      </c>
      <c r="F2017" t="n">
        <v>0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N2017" t="n">
        <v>99.16</v>
      </c>
      <c r="O2017" t="n">
        <v>26.13908872901678</v>
      </c>
    </row>
    <row r="2018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N2018" t="n">
        <v>100</v>
      </c>
      <c r="O2018" t="n">
        <v>31.08974358974359</v>
      </c>
    </row>
    <row r="2019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0</v>
      </c>
      <c r="E2019" t="n">
        <v>0</v>
      </c>
      <c r="F2019" t="n">
        <v>0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N2019" t="n">
        <v>98.11</v>
      </c>
      <c r="O2019" t="n">
        <v>33.03370786516854</v>
      </c>
    </row>
    <row r="2020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N2020" t="n">
        <v>78.95</v>
      </c>
      <c r="O2020" t="n">
        <v>38.98305084745763</v>
      </c>
    </row>
    <row r="202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N2021" t="n">
        <v>98.45</v>
      </c>
      <c r="O2021" t="n">
        <v>29.2817679558011</v>
      </c>
    </row>
    <row r="2022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N2022" t="n">
        <v>97.84</v>
      </c>
      <c r="O2022" t="n">
        <v>26.28205128205128</v>
      </c>
    </row>
    <row r="2023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N2023" t="n">
        <v>98.5</v>
      </c>
      <c r="O2023" t="n">
        <v>23.97769516728625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N2025" t="n">
        <v>98.53</v>
      </c>
      <c r="O2025" t="n">
        <v>31.57894736842105</v>
      </c>
    </row>
    <row r="2026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N2026" t="n">
        <v>100</v>
      </c>
      <c r="O2026" t="n">
        <v>25.72214580467676</v>
      </c>
    </row>
    <row r="2027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N2027" t="n">
        <v>94.64</v>
      </c>
      <c r="O2027" t="n">
        <v>27.52941176470588</v>
      </c>
    </row>
    <row r="2028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N2028" t="n">
        <v>99.06999999999999</v>
      </c>
      <c r="O2028" t="n">
        <v>26.3768115942029</v>
      </c>
    </row>
    <row r="2029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N2029" t="n">
        <v>100</v>
      </c>
      <c r="O2029" t="n">
        <v>0</v>
      </c>
    </row>
    <row r="2030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N2030" t="n">
        <v>98.48</v>
      </c>
      <c r="O2030" t="n">
        <v>27.85388127853881</v>
      </c>
    </row>
    <row r="203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N2031" t="n">
        <v>95.15000000000001</v>
      </c>
      <c r="O2031" t="n">
        <v>34.13173652694611</v>
      </c>
    </row>
    <row r="2032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N2032" t="n">
        <v>0</v>
      </c>
      <c r="O2032" t="n">
        <v>0</v>
      </c>
    </row>
    <row r="2033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N2033" t="n">
        <v>99.26000000000001</v>
      </c>
      <c r="O2033" t="n">
        <v>30.84832904884319</v>
      </c>
    </row>
    <row r="2034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N2034" t="n">
        <v>97.48</v>
      </c>
      <c r="O2034" t="n">
        <v>27.76470588235294</v>
      </c>
    </row>
    <row r="2035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0</v>
      </c>
      <c r="E2035" t="n">
        <v>0</v>
      </c>
      <c r="F2035" t="n">
        <v>0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N2035" t="n">
        <v>99.34</v>
      </c>
      <c r="O2035" t="n">
        <v>30.04291845493562</v>
      </c>
    </row>
    <row r="2036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N2036" t="n">
        <v>96.3</v>
      </c>
      <c r="O2036" t="n">
        <v>24.29378531073446</v>
      </c>
    </row>
    <row r="2037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N2037" t="n">
        <v>100</v>
      </c>
      <c r="O2037" t="n">
        <v>26.54320987654321</v>
      </c>
    </row>
    <row r="2038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N2038" t="n">
        <v>100</v>
      </c>
      <c r="O2038" t="n">
        <v>35.48387096774194</v>
      </c>
    </row>
    <row r="2039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N2039" t="n">
        <v>99.27</v>
      </c>
      <c r="O2039" t="n">
        <v>31.16370808678501</v>
      </c>
    </row>
    <row r="2040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N2040" t="n">
        <v>94.16</v>
      </c>
      <c r="O2040" t="n">
        <v>27.03862660944206</v>
      </c>
    </row>
    <row r="204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N2041" t="n">
        <v>93.75</v>
      </c>
      <c r="O2041" t="n">
        <v>19.31818181818182</v>
      </c>
    </row>
    <row r="2042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N2042" t="n">
        <v>0</v>
      </c>
      <c r="O2042" t="n">
        <v>0</v>
      </c>
    </row>
    <row r="2043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N2043" t="n">
        <v>97.92</v>
      </c>
      <c r="O2043" t="n">
        <v>32.87671232876712</v>
      </c>
    </row>
    <row r="2044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N2044" t="n">
        <v>0</v>
      </c>
      <c r="O2044" t="n">
        <v>0</v>
      </c>
    </row>
    <row r="2045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N2045" t="n">
        <v>0</v>
      </c>
      <c r="O2045" t="n">
        <v>0</v>
      </c>
    </row>
    <row r="2046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N2046" t="n">
        <v>0</v>
      </c>
      <c r="O2046" t="n">
        <v>0</v>
      </c>
    </row>
    <row r="2047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N2047" t="n">
        <v>98.51000000000001</v>
      </c>
      <c r="O2047" t="n">
        <v>29.71014492753623</v>
      </c>
    </row>
    <row r="2048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N2048" t="n">
        <v>98.81</v>
      </c>
      <c r="O2048" t="n">
        <v>30.71297989031079</v>
      </c>
    </row>
    <row r="2049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N2049" t="n">
        <v>98.48</v>
      </c>
      <c r="O2049" t="n">
        <v>29.35323383084577</v>
      </c>
    </row>
    <row r="2050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N2050" t="n">
        <v>98.56</v>
      </c>
      <c r="O2050" t="n">
        <v>29.37365010799136</v>
      </c>
    </row>
    <row r="205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N2051" t="n">
        <v>98.31999999999999</v>
      </c>
      <c r="O2051" t="n">
        <v>30.3030303030303</v>
      </c>
    </row>
    <row r="2052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N2052" t="n">
        <v>98.68000000000001</v>
      </c>
      <c r="O2052" t="n">
        <v>26.21951219512195</v>
      </c>
    </row>
    <row r="2053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N2053" t="n">
        <v>100</v>
      </c>
      <c r="O2053" t="n">
        <v>31.74224343675418</v>
      </c>
    </row>
    <row r="2054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N2054" t="n">
        <v>98.25</v>
      </c>
      <c r="O2054" t="n">
        <v>25.83518930957684</v>
      </c>
    </row>
    <row r="2055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N2055" t="n">
        <v>97.5</v>
      </c>
      <c r="O2055" t="n">
        <v>30.07518796992481</v>
      </c>
    </row>
    <row r="2056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N2056" t="n">
        <v>100</v>
      </c>
      <c r="O2056" t="n">
        <v>29.71311475409836</v>
      </c>
    </row>
    <row r="2057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N2057" t="n">
        <v>99.22</v>
      </c>
      <c r="O2057" t="n">
        <v>35.25641025641026</v>
      </c>
    </row>
    <row r="2058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N2058" t="n">
        <v>0</v>
      </c>
      <c r="O2058" t="n">
        <v>0</v>
      </c>
    </row>
    <row r="2059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N2059" t="n">
        <v>98.75</v>
      </c>
      <c r="O2059" t="n">
        <v>24.32432432432433</v>
      </c>
    </row>
    <row r="2060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N2060" t="n">
        <v>93.48</v>
      </c>
      <c r="O2060" t="n">
        <v>31.33462282398452</v>
      </c>
    </row>
    <row r="206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0</v>
      </c>
      <c r="E2061" t="n">
        <v>0</v>
      </c>
      <c r="F2061" t="n">
        <v>0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N2061" t="n">
        <v>99.16</v>
      </c>
      <c r="O2061" t="n">
        <v>26.13908872901678</v>
      </c>
    </row>
    <row r="2062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N2062" t="n">
        <v>100</v>
      </c>
      <c r="O2062" t="n">
        <v>31.08974358974359</v>
      </c>
    </row>
    <row r="2063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0</v>
      </c>
      <c r="E2063" t="n">
        <v>0</v>
      </c>
      <c r="F2063" t="n">
        <v>0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N2063" t="n">
        <v>98.11</v>
      </c>
      <c r="O2063" t="n">
        <v>33.03370786516854</v>
      </c>
    </row>
    <row r="2064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N2064" t="n">
        <v>78.95</v>
      </c>
      <c r="O2064" t="n">
        <v>38.98305084745763</v>
      </c>
    </row>
    <row r="2065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N2065" t="n">
        <v>98.45</v>
      </c>
      <c r="O2065" t="n">
        <v>29.2817679558011</v>
      </c>
    </row>
    <row r="2066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N2066" t="n">
        <v>97.84</v>
      </c>
      <c r="O2066" t="n">
        <v>26.28205128205128</v>
      </c>
    </row>
    <row r="2067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N2067" t="n">
        <v>98.5</v>
      </c>
      <c r="O2067" t="n">
        <v>23.97769516728625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N2069" t="n">
        <v>98.53</v>
      </c>
      <c r="O2069" t="n">
        <v>31.57894736842105</v>
      </c>
    </row>
    <row r="2070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N2070" t="n">
        <v>100</v>
      </c>
      <c r="O2070" t="n">
        <v>25.72214580467676</v>
      </c>
    </row>
    <row r="207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N2071" t="n">
        <v>94.64</v>
      </c>
      <c r="O2071" t="n">
        <v>27.52941176470588</v>
      </c>
    </row>
    <row r="2072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N2072" t="n">
        <v>99.06999999999999</v>
      </c>
      <c r="O2072" t="n">
        <v>26.3768115942029</v>
      </c>
    </row>
    <row r="2073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N2073" t="n">
        <v>100</v>
      </c>
      <c r="O2073" t="n">
        <v>0</v>
      </c>
    </row>
    <row r="2074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N2074" t="n">
        <v>98.48</v>
      </c>
      <c r="O2074" t="n">
        <v>27.85388127853881</v>
      </c>
    </row>
    <row r="2075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N2075" t="n">
        <v>95.15000000000001</v>
      </c>
      <c r="O2075" t="n">
        <v>34.13173652694611</v>
      </c>
    </row>
    <row r="2076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N2076" t="n">
        <v>0</v>
      </c>
      <c r="O2076" t="n">
        <v>0</v>
      </c>
    </row>
    <row r="2077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N2077" t="n">
        <v>99.26000000000001</v>
      </c>
      <c r="O2077" t="n">
        <v>30.84832904884319</v>
      </c>
    </row>
    <row r="2078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N2078" t="n">
        <v>97.48</v>
      </c>
      <c r="O2078" t="n">
        <v>27.76470588235294</v>
      </c>
    </row>
    <row r="2079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0</v>
      </c>
      <c r="E2079" t="n">
        <v>0</v>
      </c>
      <c r="F2079" t="n">
        <v>0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N2079" t="n">
        <v>99.34</v>
      </c>
      <c r="O2079" t="n">
        <v>30.04291845493562</v>
      </c>
    </row>
    <row r="2080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N2080" t="n">
        <v>96.3</v>
      </c>
      <c r="O2080" t="n">
        <v>24.29378531073446</v>
      </c>
    </row>
    <row r="208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N2081" t="n">
        <v>100</v>
      </c>
      <c r="O2081" t="n">
        <v>26.54320987654321</v>
      </c>
    </row>
    <row r="2082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N2082" t="n">
        <v>100</v>
      </c>
      <c r="O2082" t="n">
        <v>35.48387096774194</v>
      </c>
    </row>
    <row r="2083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N2083" t="n">
        <v>99.27</v>
      </c>
      <c r="O2083" t="n">
        <v>31.16370808678501</v>
      </c>
    </row>
    <row r="2084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N2084" t="n">
        <v>94.16</v>
      </c>
      <c r="O2084" t="n">
        <v>27.03862660944206</v>
      </c>
    </row>
    <row r="2085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N2085" t="n">
        <v>93.75</v>
      </c>
      <c r="O2085" t="n">
        <v>19.31818181818182</v>
      </c>
    </row>
    <row r="2086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N2086" t="n">
        <v>0</v>
      </c>
      <c r="O2086" t="n">
        <v>0</v>
      </c>
    </row>
    <row r="2087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N2087" t="n">
        <v>97.92</v>
      </c>
      <c r="O2087" t="n">
        <v>32.87671232876712</v>
      </c>
    </row>
    <row r="2088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N2088" t="n">
        <v>0</v>
      </c>
      <c r="O2088" t="n">
        <v>0</v>
      </c>
    </row>
    <row r="2089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N2089" t="n">
        <v>0</v>
      </c>
      <c r="O2089" t="n">
        <v>0</v>
      </c>
    </row>
    <row r="2090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N2090" t="n">
        <v>0</v>
      </c>
      <c r="O2090" t="n">
        <v>0</v>
      </c>
    </row>
    <row r="209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N2091" t="n">
        <v>98.51000000000001</v>
      </c>
      <c r="O2091" t="n">
        <v>29.71014492753623</v>
      </c>
    </row>
    <row r="2092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N2092" t="n">
        <v>98.81</v>
      </c>
      <c r="O2092" t="n">
        <v>30.71297989031079</v>
      </c>
    </row>
    <row r="2093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N2093" t="n">
        <v>98.48</v>
      </c>
      <c r="O2093" t="n">
        <v>29.35323383084577</v>
      </c>
    </row>
    <row r="2094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N2094" t="n">
        <v>98.56</v>
      </c>
      <c r="O2094" t="n">
        <v>29.37365010799136</v>
      </c>
    </row>
    <row r="2095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N2095" t="n">
        <v>98.31999999999999</v>
      </c>
      <c r="O2095" t="n">
        <v>30.3030303030303</v>
      </c>
    </row>
    <row r="2096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N2096" t="n">
        <v>98.68000000000001</v>
      </c>
      <c r="O2096" t="n">
        <v>26.21951219512195</v>
      </c>
    </row>
    <row r="2097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N2097" t="n">
        <v>100</v>
      </c>
      <c r="O2097" t="n">
        <v>31.74224343675418</v>
      </c>
    </row>
    <row r="2098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N2098" t="n">
        <v>98.25</v>
      </c>
      <c r="O2098" t="n">
        <v>25.83518930957684</v>
      </c>
    </row>
    <row r="2099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N2099" t="n">
        <v>97.5</v>
      </c>
      <c r="O2099" t="n">
        <v>30.07518796992481</v>
      </c>
    </row>
    <row r="2100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N2100" t="n">
        <v>100</v>
      </c>
      <c r="O2100" t="n">
        <v>29.71311475409836</v>
      </c>
    </row>
    <row r="210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N2101" t="n">
        <v>99.22</v>
      </c>
      <c r="O2101" t="n">
        <v>35.25641025641026</v>
      </c>
    </row>
    <row r="2102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N2102" t="n">
        <v>0</v>
      </c>
      <c r="O2102" t="n">
        <v>0</v>
      </c>
    </row>
    <row r="2103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N2103" t="n">
        <v>98.75</v>
      </c>
      <c r="O2103" t="n">
        <v>24.32432432432433</v>
      </c>
    </row>
    <row r="2104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N2104" t="n">
        <v>93.48</v>
      </c>
      <c r="O2104" t="n">
        <v>31.33462282398452</v>
      </c>
    </row>
    <row r="2105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0</v>
      </c>
      <c r="E2105" t="n">
        <v>0</v>
      </c>
      <c r="F2105" t="n">
        <v>0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N2105" t="n">
        <v>99.16</v>
      </c>
      <c r="O2105" t="n">
        <v>26.13908872901678</v>
      </c>
    </row>
    <row r="2106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N2106" t="n">
        <v>100</v>
      </c>
      <c r="O2106" t="n">
        <v>31.08974358974359</v>
      </c>
    </row>
    <row r="2107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0</v>
      </c>
      <c r="E2107" t="n">
        <v>0</v>
      </c>
      <c r="F2107" t="n">
        <v>0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N2107" t="n">
        <v>98.11</v>
      </c>
      <c r="O2107" t="n">
        <v>33.03370786516854</v>
      </c>
    </row>
    <row r="2108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N2108" t="n">
        <v>78.95</v>
      </c>
      <c r="O2108" t="n">
        <v>38.98305084745763</v>
      </c>
    </row>
    <row r="2109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N2109" t="n">
        <v>98.45</v>
      </c>
      <c r="O2109" t="n">
        <v>29.2817679558011</v>
      </c>
    </row>
    <row r="2110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N2110" t="n">
        <v>97.84</v>
      </c>
      <c r="O2110" t="n">
        <v>26.28205128205128</v>
      </c>
    </row>
    <row r="211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N2111" t="n">
        <v>98.5</v>
      </c>
      <c r="O2111" t="n">
        <v>23.97769516728625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N2113" t="n">
        <v>98.53</v>
      </c>
      <c r="O2113" t="n">
        <v>31.57894736842105</v>
      </c>
    </row>
    <row r="2114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N2114" t="n">
        <v>100</v>
      </c>
      <c r="O2114" t="n">
        <v>25.72214580467676</v>
      </c>
    </row>
    <row r="2115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N2115" t="n">
        <v>94.64</v>
      </c>
      <c r="O2115" t="n">
        <v>27.52941176470588</v>
      </c>
    </row>
    <row r="2116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N2116" t="n">
        <v>99.06999999999999</v>
      </c>
      <c r="O2116" t="n">
        <v>26.3768115942029</v>
      </c>
    </row>
    <row r="2117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N2117" t="n">
        <v>100</v>
      </c>
      <c r="O2117" t="n">
        <v>0</v>
      </c>
    </row>
    <row r="2118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N2118" t="n">
        <v>98.48</v>
      </c>
      <c r="O2118" t="n">
        <v>27.85388127853881</v>
      </c>
    </row>
    <row r="2119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N2119" t="n">
        <v>95.15000000000001</v>
      </c>
      <c r="O2119" t="n">
        <v>34.13173652694611</v>
      </c>
    </row>
    <row r="2120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N2120" t="n">
        <v>0</v>
      </c>
      <c r="O2120" t="n">
        <v>0</v>
      </c>
    </row>
    <row r="212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N2121" t="n">
        <v>99.26000000000001</v>
      </c>
      <c r="O2121" t="n">
        <v>30.84832904884319</v>
      </c>
    </row>
    <row r="2122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N2122" t="n">
        <v>97.48</v>
      </c>
      <c r="O2122" t="n">
        <v>27.76470588235294</v>
      </c>
    </row>
    <row r="2123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0</v>
      </c>
      <c r="E2123" t="n">
        <v>0</v>
      </c>
      <c r="F2123" t="n">
        <v>0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N2123" t="n">
        <v>99.34</v>
      </c>
      <c r="O2123" t="n">
        <v>30.04291845493562</v>
      </c>
    </row>
    <row r="2124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N2124" t="n">
        <v>96.3</v>
      </c>
      <c r="O2124" t="n">
        <v>24.29378531073446</v>
      </c>
    </row>
    <row r="2125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N2125" t="n">
        <v>100</v>
      </c>
      <c r="O2125" t="n">
        <v>26.54320987654321</v>
      </c>
    </row>
    <row r="2126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N2126" t="n">
        <v>100</v>
      </c>
      <c r="O2126" t="n">
        <v>35.48387096774194</v>
      </c>
    </row>
    <row r="2127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N2127" t="n">
        <v>99.27</v>
      </c>
      <c r="O2127" t="n">
        <v>31.16370808678501</v>
      </c>
    </row>
    <row r="2128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N2128" t="n">
        <v>94.16</v>
      </c>
      <c r="O2128" t="n">
        <v>27.03862660944206</v>
      </c>
    </row>
    <row r="2129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N2129" t="n">
        <v>93.75</v>
      </c>
      <c r="O2129" t="n">
        <v>19.31818181818182</v>
      </c>
    </row>
    <row r="2130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N2130" t="n">
        <v>0</v>
      </c>
      <c r="O2130" t="n">
        <v>0</v>
      </c>
    </row>
    <row r="213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N2131" t="n">
        <v>97.92</v>
      </c>
      <c r="O2131" t="n">
        <v>32.87671232876712</v>
      </c>
    </row>
    <row r="2132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N2132" t="n">
        <v>0</v>
      </c>
      <c r="O2132" t="n">
        <v>0</v>
      </c>
    </row>
    <row r="2133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N2133" t="n">
        <v>0</v>
      </c>
      <c r="O2133" t="n">
        <v>0</v>
      </c>
    </row>
    <row r="2134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N2134" t="n">
        <v>0</v>
      </c>
      <c r="O2134" t="n">
        <v>0</v>
      </c>
    </row>
    <row r="2135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N2135" t="n">
        <v>98.51000000000001</v>
      </c>
      <c r="O2135" t="n">
        <v>29.71014492753623</v>
      </c>
    </row>
    <row r="2136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N2136" t="n">
        <v>98.81</v>
      </c>
      <c r="O2136" t="n">
        <v>30.71297989031079</v>
      </c>
    </row>
    <row r="2137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N2137" t="n">
        <v>98.48</v>
      </c>
      <c r="O2137" t="n">
        <v>29.35323383084577</v>
      </c>
    </row>
    <row r="2138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N2138" t="n">
        <v>98.56</v>
      </c>
      <c r="O2138" t="n">
        <v>29.37365010799136</v>
      </c>
    </row>
    <row r="2139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N2139" t="n">
        <v>98.31999999999999</v>
      </c>
      <c r="O2139" t="n">
        <v>30.3030303030303</v>
      </c>
    </row>
    <row r="2140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N2140" t="n">
        <v>98.68000000000001</v>
      </c>
      <c r="O2140" t="n">
        <v>26.21951219512195</v>
      </c>
    </row>
    <row r="214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N2141" t="n">
        <v>100</v>
      </c>
      <c r="O2141" t="n">
        <v>31.74224343675418</v>
      </c>
    </row>
    <row r="2142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N2142" t="n">
        <v>98.25</v>
      </c>
      <c r="O2142" t="n">
        <v>25.83518930957684</v>
      </c>
    </row>
    <row r="2143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N2143" t="n">
        <v>97.5</v>
      </c>
      <c r="O2143" t="n">
        <v>30.07518796992481</v>
      </c>
    </row>
    <row r="2144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N2144" t="n">
        <v>100</v>
      </c>
      <c r="O2144" t="n">
        <v>29.71311475409836</v>
      </c>
    </row>
    <row r="2145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N2145" t="n">
        <v>99.22</v>
      </c>
      <c r="O2145" t="n">
        <v>35.25641025641026</v>
      </c>
    </row>
    <row r="2146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N2146" t="n">
        <v>0</v>
      </c>
      <c r="O2146" t="n">
        <v>0</v>
      </c>
    </row>
    <row r="2147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N2147" t="n">
        <v>98.75</v>
      </c>
      <c r="O2147" t="n">
        <v>24.32432432432433</v>
      </c>
    </row>
    <row r="2148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N2148" t="n">
        <v>93.48</v>
      </c>
      <c r="O2148" t="n">
        <v>31.33462282398452</v>
      </c>
    </row>
    <row r="2149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0</v>
      </c>
      <c r="E2149" t="n">
        <v>0</v>
      </c>
      <c r="F2149" t="n">
        <v>0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N2149" t="n">
        <v>99.16</v>
      </c>
      <c r="O2149" t="n">
        <v>26.13908872901678</v>
      </c>
    </row>
    <row r="2150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N2150" t="n">
        <v>100</v>
      </c>
      <c r="O2150" t="n">
        <v>31.08974358974359</v>
      </c>
    </row>
    <row r="215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0</v>
      </c>
      <c r="E2151" t="n">
        <v>0</v>
      </c>
      <c r="F2151" t="n">
        <v>0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N2151" t="n">
        <v>98.11</v>
      </c>
      <c r="O2151" t="n">
        <v>33.03370786516854</v>
      </c>
    </row>
    <row r="2152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N2152" t="n">
        <v>78.95</v>
      </c>
      <c r="O2152" t="n">
        <v>38.98305084745763</v>
      </c>
    </row>
    <row r="2153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N2153" t="n">
        <v>98.45</v>
      </c>
      <c r="O2153" t="n">
        <v>29.2817679558011</v>
      </c>
    </row>
    <row r="2154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N2154" t="n">
        <v>97.84</v>
      </c>
      <c r="O2154" t="n">
        <v>26.28205128205128</v>
      </c>
    </row>
    <row r="2155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N2155" t="n">
        <v>98.5</v>
      </c>
      <c r="O2155" t="n">
        <v>23.97769516728625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N2157" t="n">
        <v>98.53</v>
      </c>
      <c r="O2157" t="n">
        <v>31.57894736842105</v>
      </c>
    </row>
    <row r="2158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N2158" t="n">
        <v>100</v>
      </c>
      <c r="O2158" t="n">
        <v>25.72214580467676</v>
      </c>
    </row>
    <row r="2159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N2159" t="n">
        <v>94.64</v>
      </c>
      <c r="O2159" t="n">
        <v>27.52941176470588</v>
      </c>
    </row>
    <row r="2160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N2160" t="n">
        <v>99.06999999999999</v>
      </c>
      <c r="O2160" t="n">
        <v>26.3768115942029</v>
      </c>
    </row>
    <row r="216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N2161" t="n">
        <v>100</v>
      </c>
      <c r="O2161" t="n">
        <v>0</v>
      </c>
    </row>
    <row r="2162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N2162" t="n">
        <v>98.48</v>
      </c>
      <c r="O2162" t="n">
        <v>27.85388127853881</v>
      </c>
    </row>
    <row r="2163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N2163" t="n">
        <v>95.15000000000001</v>
      </c>
      <c r="O2163" t="n">
        <v>34.13173652694611</v>
      </c>
    </row>
    <row r="2164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N2164" t="n">
        <v>0</v>
      </c>
      <c r="O2164" t="n">
        <v>0</v>
      </c>
    </row>
    <row r="2165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N2165" t="n">
        <v>99.26000000000001</v>
      </c>
      <c r="O2165" t="n">
        <v>30.84832904884319</v>
      </c>
    </row>
    <row r="2166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N2166" t="n">
        <v>97.48</v>
      </c>
      <c r="O2166" t="n">
        <v>27.76470588235294</v>
      </c>
    </row>
    <row r="2167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0</v>
      </c>
      <c r="E2167" t="n">
        <v>0</v>
      </c>
      <c r="F2167" t="n">
        <v>0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N2167" t="n">
        <v>99.34</v>
      </c>
      <c r="O2167" t="n">
        <v>30.04291845493562</v>
      </c>
    </row>
    <row r="2168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N2168" t="n">
        <v>96.3</v>
      </c>
      <c r="O2168" t="n">
        <v>24.29378531073446</v>
      </c>
    </row>
    <row r="2169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N2169" t="n">
        <v>100</v>
      </c>
      <c r="O2169" t="n">
        <v>26.54320987654321</v>
      </c>
    </row>
    <row r="2170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N2170" t="n">
        <v>100</v>
      </c>
      <c r="O2170" t="n">
        <v>35.48387096774194</v>
      </c>
    </row>
    <row r="217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N2171" t="n">
        <v>99.27</v>
      </c>
      <c r="O2171" t="n">
        <v>31.16370808678501</v>
      </c>
    </row>
    <row r="2172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N2172" t="n">
        <v>94.16</v>
      </c>
      <c r="O2172" t="n">
        <v>27.03862660944206</v>
      </c>
    </row>
    <row r="2173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N2173" t="n">
        <v>93.75</v>
      </c>
      <c r="O2173" t="n">
        <v>19.31818181818182</v>
      </c>
    </row>
    <row r="2174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N2174" t="n">
        <v>0</v>
      </c>
      <c r="O2174" t="n">
        <v>0</v>
      </c>
    </row>
    <row r="2175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N2175" t="n">
        <v>97.92</v>
      </c>
      <c r="O2175" t="n">
        <v>32.87671232876712</v>
      </c>
    </row>
    <row r="2176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N2176" t="n">
        <v>0</v>
      </c>
      <c r="O2176" t="n">
        <v>0</v>
      </c>
    </row>
    <row r="2177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N2177" t="n">
        <v>0</v>
      </c>
      <c r="O2177" t="n">
        <v>0</v>
      </c>
    </row>
    <row r="2178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N2178" t="n">
        <v>0</v>
      </c>
      <c r="O2178" t="n">
        <v>0</v>
      </c>
    </row>
    <row r="2179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N2179" t="n">
        <v>98.51000000000001</v>
      </c>
      <c r="O2179" t="n">
        <v>29.71014492753623</v>
      </c>
    </row>
    <row r="2180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N2180" t="n">
        <v>98.81</v>
      </c>
      <c r="O2180" t="n">
        <v>30.71297989031079</v>
      </c>
    </row>
    <row r="218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N2181" t="n">
        <v>98.48</v>
      </c>
      <c r="O2181" t="n">
        <v>29.35323383084577</v>
      </c>
    </row>
    <row r="2182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N2182" t="n">
        <v>98.56</v>
      </c>
      <c r="O2182" t="n">
        <v>29.37365010799136</v>
      </c>
    </row>
    <row r="2183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N2183" t="n">
        <v>98.31999999999999</v>
      </c>
      <c r="O2183" t="n">
        <v>30.3030303030303</v>
      </c>
    </row>
    <row r="2184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N2184" t="n">
        <v>98.68000000000001</v>
      </c>
      <c r="O2184" t="n">
        <v>26.21951219512195</v>
      </c>
    </row>
    <row r="2185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N2185" t="n">
        <v>100</v>
      </c>
      <c r="O2185" t="n">
        <v>31.74224343675418</v>
      </c>
    </row>
    <row r="2186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N2186" t="n">
        <v>98.25</v>
      </c>
      <c r="O2186" t="n">
        <v>25.83518930957684</v>
      </c>
    </row>
    <row r="2187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N2187" t="n">
        <v>97.5</v>
      </c>
      <c r="O2187" t="n">
        <v>30.07518796992481</v>
      </c>
    </row>
    <row r="2188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N2188" t="n">
        <v>100</v>
      </c>
      <c r="O2188" t="n">
        <v>29.71311475409836</v>
      </c>
    </row>
    <row r="2189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N2189" t="n">
        <v>99.22</v>
      </c>
      <c r="O2189" t="n">
        <v>35.25641025641026</v>
      </c>
    </row>
    <row r="2190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N2190" t="n">
        <v>0</v>
      </c>
      <c r="O2190" t="n">
        <v>0</v>
      </c>
    </row>
    <row r="219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N2191" t="n">
        <v>98.75</v>
      </c>
      <c r="O2191" t="n">
        <v>24.32432432432433</v>
      </c>
    </row>
    <row r="2192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N2192" t="n">
        <v>93.48</v>
      </c>
      <c r="O2192" t="n">
        <v>31.33462282398452</v>
      </c>
    </row>
    <row r="2193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N2193" t="n">
        <v>99.16</v>
      </c>
      <c r="O2193" t="n">
        <v>26.13908872901678</v>
      </c>
    </row>
    <row r="2194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N2194" t="n">
        <v>100</v>
      </c>
      <c r="O2194" t="n">
        <v>31.08974358974359</v>
      </c>
    </row>
    <row r="2195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N2195" t="n">
        <v>98.11</v>
      </c>
      <c r="O2195" t="n">
        <v>33.03370786516854</v>
      </c>
    </row>
    <row r="2196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N2196" t="n">
        <v>78.95</v>
      </c>
      <c r="O2196" t="n">
        <v>38.98305084745763</v>
      </c>
    </row>
    <row r="2197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N2197" t="n">
        <v>98.45</v>
      </c>
      <c r="O2197" t="n">
        <v>29.2817679558011</v>
      </c>
    </row>
    <row r="2198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N2198" t="n">
        <v>97.84</v>
      </c>
      <c r="O2198" t="n">
        <v>26.28205128205128</v>
      </c>
    </row>
    <row r="2199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N2199" t="n">
        <v>98.5</v>
      </c>
      <c r="O2199" t="n">
        <v>23.97769516728625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N2201" t="n">
        <v>98.53</v>
      </c>
      <c r="O2201" t="n">
        <v>31.57894736842105</v>
      </c>
    </row>
    <row r="2202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N2202" t="n">
        <v>100</v>
      </c>
      <c r="O2202" t="n">
        <v>25.72214580467676</v>
      </c>
    </row>
    <row r="2203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N2203" t="n">
        <v>94.64</v>
      </c>
      <c r="O2203" t="n">
        <v>27.52941176470588</v>
      </c>
    </row>
    <row r="2204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N2204" t="n">
        <v>99.06999999999999</v>
      </c>
      <c r="O2204" t="n">
        <v>26.3768115942029</v>
      </c>
    </row>
    <row r="2205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N2205" t="n">
        <v>100</v>
      </c>
      <c r="O2205" t="n">
        <v>0</v>
      </c>
    </row>
    <row r="2206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N2206" t="n">
        <v>98.48</v>
      </c>
      <c r="O2206" t="n">
        <v>27.85388127853881</v>
      </c>
    </row>
    <row r="2207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N2207" t="n">
        <v>95.15000000000001</v>
      </c>
      <c r="O2207" t="n">
        <v>34.13173652694611</v>
      </c>
    </row>
    <row r="2208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N2208" t="n">
        <v>0</v>
      </c>
      <c r="O2208" t="n">
        <v>0</v>
      </c>
    </row>
    <row r="2209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N2209" t="n">
        <v>99.26000000000001</v>
      </c>
      <c r="O2209" t="n">
        <v>30.84832904884319</v>
      </c>
    </row>
    <row r="2210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N2210" t="n">
        <v>97.48</v>
      </c>
      <c r="O2210" t="n">
        <v>27.76470588235294</v>
      </c>
    </row>
    <row r="221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N2211" t="n">
        <v>99.34</v>
      </c>
      <c r="O2211" t="n">
        <v>30.04291845493562</v>
      </c>
    </row>
    <row r="2212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N2212" t="n">
        <v>96.3</v>
      </c>
      <c r="O2212" t="n">
        <v>24.29378531073446</v>
      </c>
    </row>
    <row r="2213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N2213" t="n">
        <v>100</v>
      </c>
      <c r="O2213" t="n">
        <v>26.54320987654321</v>
      </c>
    </row>
    <row r="2214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N2214" t="n">
        <v>100</v>
      </c>
      <c r="O2214" t="n">
        <v>35.48387096774194</v>
      </c>
    </row>
    <row r="2215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N2215" t="n">
        <v>99.27</v>
      </c>
      <c r="O2215" t="n">
        <v>31.16370808678501</v>
      </c>
    </row>
    <row r="2216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N2216" t="n">
        <v>94.16</v>
      </c>
      <c r="O2216" t="n">
        <v>27.03862660944206</v>
      </c>
    </row>
    <row r="2217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N2217" t="n">
        <v>93.75</v>
      </c>
      <c r="O2217" t="n">
        <v>19.31818181818182</v>
      </c>
    </row>
    <row r="2218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N2218" t="n">
        <v>0</v>
      </c>
      <c r="O2218" t="n">
        <v>0</v>
      </c>
    </row>
    <row r="2219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N2219" t="n">
        <v>97.92</v>
      </c>
      <c r="O2219" t="n">
        <v>32.87671232876712</v>
      </c>
    </row>
    <row r="2220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N2220" t="n">
        <v>0</v>
      </c>
      <c r="O2220" t="n">
        <v>0</v>
      </c>
    </row>
    <row r="222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N2221" t="n">
        <v>0</v>
      </c>
      <c r="O2221" t="n">
        <v>0</v>
      </c>
    </row>
    <row r="2222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N2222" t="n">
        <v>0</v>
      </c>
      <c r="O2222" t="n">
        <v>0</v>
      </c>
    </row>
    <row r="2223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N2223" t="n">
        <v>98.51000000000001</v>
      </c>
      <c r="O2223" t="n">
        <v>29.71014492753623</v>
      </c>
    </row>
    <row r="2224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N2224" t="n">
        <v>98.81</v>
      </c>
      <c r="O2224" t="n">
        <v>30.71297989031079</v>
      </c>
    </row>
    <row r="2225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N2225" t="n">
        <v>98.48</v>
      </c>
      <c r="O2225" t="n">
        <v>29.35323383084577</v>
      </c>
    </row>
    <row r="2226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N2226" t="n">
        <v>98.56</v>
      </c>
      <c r="O2226" t="n">
        <v>29.37365010799136</v>
      </c>
    </row>
    <row r="2227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N2227" t="n">
        <v>98.31999999999999</v>
      </c>
      <c r="O2227" t="n">
        <v>30.3030303030303</v>
      </c>
    </row>
    <row r="2228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N2228" t="n">
        <v>98.68000000000001</v>
      </c>
      <c r="O2228" t="n">
        <v>26.21951219512195</v>
      </c>
    </row>
    <row r="2229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N2229" t="n">
        <v>100</v>
      </c>
      <c r="O2229" t="n">
        <v>31.74224343675418</v>
      </c>
    </row>
    <row r="2230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N2230" t="n">
        <v>98.25</v>
      </c>
      <c r="O2230" t="n">
        <v>25.83518930957684</v>
      </c>
    </row>
    <row r="223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N2231" t="n">
        <v>97.5</v>
      </c>
      <c r="O2231" t="n">
        <v>30.07518796992481</v>
      </c>
    </row>
    <row r="2232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N2232" t="n">
        <v>100</v>
      </c>
      <c r="O2232" t="n">
        <v>29.71311475409836</v>
      </c>
    </row>
    <row r="2233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N2233" t="n">
        <v>99.22</v>
      </c>
      <c r="O2233" t="n">
        <v>35.25641025641026</v>
      </c>
    </row>
    <row r="2234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N2234" t="n">
        <v>0</v>
      </c>
      <c r="O2234" t="n">
        <v>0</v>
      </c>
    </row>
    <row r="2235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N2235" t="n">
        <v>98.75</v>
      </c>
      <c r="O2235" t="n">
        <v>24.32432432432433</v>
      </c>
    </row>
    <row r="2236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N2236" t="n">
        <v>93.48</v>
      </c>
      <c r="O2236" t="n">
        <v>31.33462282398452</v>
      </c>
    </row>
    <row r="2237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0</v>
      </c>
      <c r="E2237" t="n">
        <v>0</v>
      </c>
      <c r="F2237" t="n">
        <v>0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N2237" t="n">
        <v>99.16</v>
      </c>
      <c r="O2237" t="n">
        <v>26.13908872901678</v>
      </c>
    </row>
    <row r="2238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N2238" t="n">
        <v>100</v>
      </c>
      <c r="O2238" t="n">
        <v>31.08974358974359</v>
      </c>
    </row>
    <row r="2239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0</v>
      </c>
      <c r="E2239" t="n">
        <v>0</v>
      </c>
      <c r="F2239" t="n">
        <v>0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N2239" t="n">
        <v>98.11</v>
      </c>
      <c r="O2239" t="n">
        <v>33.03370786516854</v>
      </c>
    </row>
    <row r="2240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N2240" t="n">
        <v>78.95</v>
      </c>
      <c r="O2240" t="n">
        <v>38.98305084745763</v>
      </c>
    </row>
    <row r="224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N2241" t="n">
        <v>98.45</v>
      </c>
      <c r="O2241" t="n">
        <v>29.2817679558011</v>
      </c>
    </row>
    <row r="2242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N2242" t="n">
        <v>97.84</v>
      </c>
      <c r="O2242" t="n">
        <v>26.28205128205128</v>
      </c>
    </row>
    <row r="2243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N2243" t="n">
        <v>98.5</v>
      </c>
      <c r="O2243" t="n">
        <v>23.97769516728625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N2245" t="n">
        <v>98.53</v>
      </c>
      <c r="O2245" t="n">
        <v>31.57894736842105</v>
      </c>
    </row>
    <row r="2246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N2246" t="n">
        <v>100</v>
      </c>
      <c r="O2246" t="n">
        <v>25.72214580467676</v>
      </c>
    </row>
    <row r="2247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N2247" t="n">
        <v>94.64</v>
      </c>
      <c r="O2247" t="n">
        <v>27.52941176470588</v>
      </c>
    </row>
    <row r="2248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N2248" t="n">
        <v>99.06999999999999</v>
      </c>
      <c r="O2248" t="n">
        <v>26.3768115942029</v>
      </c>
    </row>
    <row r="2249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N2249" t="n">
        <v>100</v>
      </c>
      <c r="O2249" t="n">
        <v>0</v>
      </c>
    </row>
    <row r="2250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N2250" t="n">
        <v>98.48</v>
      </c>
      <c r="O2250" t="n">
        <v>27.85388127853881</v>
      </c>
    </row>
    <row r="225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N2251" t="n">
        <v>95.15000000000001</v>
      </c>
      <c r="O2251" t="n">
        <v>34.13173652694611</v>
      </c>
    </row>
    <row r="2252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N2252" t="n">
        <v>0</v>
      </c>
      <c r="O2252" t="n">
        <v>0</v>
      </c>
    </row>
    <row r="2253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N2253" t="n">
        <v>99.26000000000001</v>
      </c>
      <c r="O2253" t="n">
        <v>30.84832904884319</v>
      </c>
    </row>
    <row r="2254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N2254" t="n">
        <v>97.48</v>
      </c>
      <c r="O2254" t="n">
        <v>27.76470588235294</v>
      </c>
    </row>
    <row r="2255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0</v>
      </c>
      <c r="E2255" t="n">
        <v>0</v>
      </c>
      <c r="F2255" t="n">
        <v>0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N2255" t="n">
        <v>99.34</v>
      </c>
      <c r="O2255" t="n">
        <v>30.04291845493562</v>
      </c>
    </row>
    <row r="2256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N2256" t="n">
        <v>96.3</v>
      </c>
      <c r="O2256" t="n">
        <v>24.29378531073446</v>
      </c>
    </row>
    <row r="2257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N2257" t="n">
        <v>100</v>
      </c>
      <c r="O2257" t="n">
        <v>26.54320987654321</v>
      </c>
    </row>
    <row r="2258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N2258" t="n">
        <v>100</v>
      </c>
      <c r="O2258" t="n">
        <v>35.48387096774194</v>
      </c>
    </row>
    <row r="2259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N2259" t="n">
        <v>99.27</v>
      </c>
      <c r="O2259" t="n">
        <v>31.16370808678501</v>
      </c>
    </row>
    <row r="2260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N2260" t="n">
        <v>94.16</v>
      </c>
      <c r="O2260" t="n">
        <v>27.03862660944206</v>
      </c>
    </row>
    <row r="226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N2261" t="n">
        <v>93.75</v>
      </c>
      <c r="O2261" t="n">
        <v>19.31818181818182</v>
      </c>
    </row>
    <row r="2262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N2262" t="n">
        <v>0</v>
      </c>
      <c r="O2262" t="n">
        <v>0</v>
      </c>
    </row>
    <row r="2263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N2263" t="n">
        <v>97.92</v>
      </c>
      <c r="O2263" t="n">
        <v>32.87671232876712</v>
      </c>
    </row>
    <row r="2264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N2264" t="n">
        <v>0</v>
      </c>
      <c r="O2264" t="n">
        <v>0</v>
      </c>
    </row>
    <row r="2265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N2265" t="n">
        <v>0</v>
      </c>
      <c r="O2265" t="n">
        <v>0</v>
      </c>
    </row>
    <row r="2266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N2266" t="n">
        <v>0</v>
      </c>
      <c r="O2266" t="n">
        <v>0</v>
      </c>
    </row>
    <row r="2267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N2267" t="n">
        <v>98.51000000000001</v>
      </c>
      <c r="O2267" t="n">
        <v>29.71014492753623</v>
      </c>
    </row>
    <row r="2268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N2268" t="n">
        <v>98.81</v>
      </c>
      <c r="O2268" t="n">
        <v>30.71297989031079</v>
      </c>
    </row>
    <row r="2269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N2269" t="n">
        <v>98.48</v>
      </c>
      <c r="O2269" t="n">
        <v>29.35323383084577</v>
      </c>
    </row>
    <row r="2270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N2270" t="n">
        <v>98.56</v>
      </c>
      <c r="O2270" t="n">
        <v>29.37365010799136</v>
      </c>
    </row>
    <row r="227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N2271" t="n">
        <v>98.31999999999999</v>
      </c>
      <c r="O2271" t="n">
        <v>30.3030303030303</v>
      </c>
    </row>
    <row r="2272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N2272" t="n">
        <v>98.68000000000001</v>
      </c>
      <c r="O2272" t="n">
        <v>26.21951219512195</v>
      </c>
    </row>
    <row r="2273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N2273" t="n">
        <v>100</v>
      </c>
      <c r="O2273" t="n">
        <v>31.74224343675418</v>
      </c>
    </row>
    <row r="2274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N2274" t="n">
        <v>98.25</v>
      </c>
      <c r="O2274" t="n">
        <v>25.83518930957684</v>
      </c>
    </row>
    <row r="2275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N2275" t="n">
        <v>97.5</v>
      </c>
      <c r="O2275" t="n">
        <v>30.07518796992481</v>
      </c>
    </row>
    <row r="2276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N2276" t="n">
        <v>100</v>
      </c>
      <c r="O2276" t="n">
        <v>29.71311475409836</v>
      </c>
    </row>
    <row r="2277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N2277" t="n">
        <v>99.22</v>
      </c>
      <c r="O2277" t="n">
        <v>35.25641025641026</v>
      </c>
    </row>
    <row r="2278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N2278" t="n">
        <v>0</v>
      </c>
      <c r="O2278" t="n">
        <v>0</v>
      </c>
    </row>
    <row r="2279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N2279" t="n">
        <v>98.75</v>
      </c>
      <c r="O2279" t="n">
        <v>24.32432432432433</v>
      </c>
    </row>
    <row r="2280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N2280" t="n">
        <v>93.48</v>
      </c>
      <c r="O2280" t="n">
        <v>31.33462282398452</v>
      </c>
    </row>
    <row r="228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0</v>
      </c>
      <c r="E2281" t="n">
        <v>0</v>
      </c>
      <c r="F2281" t="n">
        <v>0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N2281" t="n">
        <v>99.16</v>
      </c>
      <c r="O2281" t="n">
        <v>26.13908872901678</v>
      </c>
    </row>
    <row r="2282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N2282" t="n">
        <v>100</v>
      </c>
      <c r="O2282" t="n">
        <v>31.08974358974359</v>
      </c>
    </row>
    <row r="2283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0</v>
      </c>
      <c r="E2283" t="n">
        <v>0</v>
      </c>
      <c r="F2283" t="n">
        <v>0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N2283" t="n">
        <v>98.11</v>
      </c>
      <c r="O2283" t="n">
        <v>33.03370786516854</v>
      </c>
    </row>
    <row r="2284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N2284" t="n">
        <v>78.95</v>
      </c>
      <c r="O2284" t="n">
        <v>38.98305084745763</v>
      </c>
    </row>
    <row r="2285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N2285" t="n">
        <v>98.45</v>
      </c>
      <c r="O2285" t="n">
        <v>29.2817679558011</v>
      </c>
    </row>
    <row r="2286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N2286" t="n">
        <v>97.84</v>
      </c>
      <c r="O2286" t="n">
        <v>26.28205128205128</v>
      </c>
    </row>
    <row r="2287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N2287" t="n">
        <v>98.5</v>
      </c>
      <c r="O2287" t="n">
        <v>23.97769516728625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N2289" t="n">
        <v>98.53</v>
      </c>
      <c r="O2289" t="n">
        <v>31.57894736842105</v>
      </c>
    </row>
    <row r="2290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N2290" t="n">
        <v>100</v>
      </c>
      <c r="O2290" t="n">
        <v>25.72214580467676</v>
      </c>
    </row>
    <row r="229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N2291" t="n">
        <v>94.64</v>
      </c>
      <c r="O2291" t="n">
        <v>27.52941176470588</v>
      </c>
    </row>
    <row r="2292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N2292" t="n">
        <v>99.06999999999999</v>
      </c>
      <c r="O2292" t="n">
        <v>26.3768115942029</v>
      </c>
    </row>
    <row r="2293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N2293" t="n">
        <v>100</v>
      </c>
      <c r="O2293" t="n">
        <v>0</v>
      </c>
    </row>
    <row r="2294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N2294" t="n">
        <v>98.48</v>
      </c>
      <c r="O2294" t="n">
        <v>27.85388127853881</v>
      </c>
    </row>
    <row r="2295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N2295" t="n">
        <v>95.15000000000001</v>
      </c>
      <c r="O2295" t="n">
        <v>34.13173652694611</v>
      </c>
    </row>
    <row r="2296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N2296" t="n">
        <v>0</v>
      </c>
      <c r="O2296" t="n">
        <v>0</v>
      </c>
    </row>
    <row r="2297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N2297" t="n">
        <v>99.26000000000001</v>
      </c>
      <c r="O2297" t="n">
        <v>30.84832904884319</v>
      </c>
    </row>
    <row r="2298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N2298" t="n">
        <v>97.48</v>
      </c>
      <c r="O2298" t="n">
        <v>27.76470588235294</v>
      </c>
    </row>
    <row r="2299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0</v>
      </c>
      <c r="E2299" t="n">
        <v>0</v>
      </c>
      <c r="F2299" t="n">
        <v>0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N2299" t="n">
        <v>99.34</v>
      </c>
      <c r="O2299" t="n">
        <v>30.04291845493562</v>
      </c>
    </row>
    <row r="2300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N2300" t="n">
        <v>96.3</v>
      </c>
      <c r="O2300" t="n">
        <v>24.29378531073446</v>
      </c>
    </row>
    <row r="230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N2301" t="n">
        <v>100</v>
      </c>
      <c r="O2301" t="n">
        <v>26.54320987654321</v>
      </c>
    </row>
    <row r="2302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N2302" t="n">
        <v>100</v>
      </c>
      <c r="O2302" t="n">
        <v>35.48387096774194</v>
      </c>
    </row>
    <row r="2303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N2303" t="n">
        <v>99.27</v>
      </c>
      <c r="O2303" t="n">
        <v>31.16370808678501</v>
      </c>
    </row>
    <row r="2304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N2304" t="n">
        <v>94.16</v>
      </c>
      <c r="O2304" t="n">
        <v>27.03862660944206</v>
      </c>
    </row>
    <row r="2305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N2305" t="n">
        <v>93.75</v>
      </c>
      <c r="O2305" t="n">
        <v>19.31818181818182</v>
      </c>
    </row>
    <row r="2306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N2306" t="n">
        <v>0</v>
      </c>
      <c r="O2306" t="n">
        <v>0</v>
      </c>
    </row>
    <row r="2307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N2307" t="n">
        <v>97.92</v>
      </c>
      <c r="O2307" t="n">
        <v>32.87671232876712</v>
      </c>
    </row>
    <row r="2308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N2308" t="n">
        <v>0</v>
      </c>
      <c r="O2308" t="n">
        <v>0</v>
      </c>
    </row>
    <row r="2309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N2309" t="n">
        <v>0</v>
      </c>
      <c r="O2309" t="n">
        <v>0</v>
      </c>
    </row>
    <row r="2310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N2310" t="n">
        <v>0</v>
      </c>
      <c r="O2310" t="n">
        <v>0</v>
      </c>
    </row>
    <row r="231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N2311" t="n">
        <v>98.51000000000001</v>
      </c>
      <c r="O2311" t="n">
        <v>29.71014492753623</v>
      </c>
    </row>
    <row r="2312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N2312" t="n">
        <v>98.81</v>
      </c>
      <c r="O2312" t="n">
        <v>30.71297989031079</v>
      </c>
    </row>
    <row r="2313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N2313" t="n">
        <v>98.48</v>
      </c>
      <c r="O2313" t="n">
        <v>29.35323383084577</v>
      </c>
    </row>
    <row r="2314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N2314" t="n">
        <v>98.56</v>
      </c>
      <c r="O2314" t="n">
        <v>29.37365010799136</v>
      </c>
    </row>
    <row r="2315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0</v>
      </c>
      <c r="E2325" t="n">
        <v>0</v>
      </c>
      <c r="F2325" t="n">
        <v>0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0</v>
      </c>
      <c r="E2327" t="n">
        <v>0</v>
      </c>
      <c r="F2327" t="n">
        <v>0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0</v>
      </c>
      <c r="E2343" t="n">
        <v>0</v>
      </c>
      <c r="F2343" t="n">
        <v>0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0</v>
      </c>
      <c r="E2371" t="n">
        <v>0</v>
      </c>
      <c r="F2371" t="n">
        <v>0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0</v>
      </c>
      <c r="E2387" t="n">
        <v>0</v>
      </c>
      <c r="F2387" t="n">
        <v>0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0</v>
      </c>
      <c r="E2415" t="n">
        <v>0</v>
      </c>
      <c r="F2415" t="n">
        <v>0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0</v>
      </c>
      <c r="E2431" t="n">
        <v>0</v>
      </c>
      <c r="F2431" t="n">
        <v>0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0</v>
      </c>
      <c r="E2457" t="n">
        <v>0</v>
      </c>
      <c r="F2457" t="n">
        <v>0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0</v>
      </c>
      <c r="E2459" t="n">
        <v>0</v>
      </c>
      <c r="F2459" t="n">
        <v>0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0</v>
      </c>
      <c r="E2475" t="n">
        <v>0</v>
      </c>
      <c r="F2475" t="n">
        <v>0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0</v>
      </c>
      <c r="E2501" t="n">
        <v>0</v>
      </c>
      <c r="F2501" t="n">
        <v>0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0</v>
      </c>
      <c r="E2503" t="n">
        <v>0</v>
      </c>
      <c r="F2503" t="n">
        <v>0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0</v>
      </c>
      <c r="E2519" t="n">
        <v>0</v>
      </c>
      <c r="F2519" t="n">
        <v>0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0</v>
      </c>
      <c r="E2545" t="n">
        <v>0</v>
      </c>
      <c r="F2545" t="n">
        <v>0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0</v>
      </c>
      <c r="E2547" t="n">
        <v>0</v>
      </c>
      <c r="F2547" t="n">
        <v>0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0</v>
      </c>
      <c r="E2563" t="n">
        <v>0</v>
      </c>
      <c r="F2563" t="n">
        <v>0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0</v>
      </c>
      <c r="E2591" t="n">
        <v>0</v>
      </c>
      <c r="F2591" t="n">
        <v>0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0</v>
      </c>
      <c r="E2607" t="n">
        <v>0</v>
      </c>
      <c r="F2607" t="n">
        <v>0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0</v>
      </c>
      <c r="E2633" t="n">
        <v>0</v>
      </c>
      <c r="F2633" t="n">
        <v>0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0</v>
      </c>
      <c r="E2635" t="n">
        <v>0</v>
      </c>
      <c r="F2635" t="n">
        <v>0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0</v>
      </c>
      <c r="E2651" t="n">
        <v>0</v>
      </c>
      <c r="F2651" t="n">
        <v>0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0</v>
      </c>
      <c r="E2677" t="n">
        <v>0</v>
      </c>
      <c r="F2677" t="n">
        <v>0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0</v>
      </c>
      <c r="E2679" t="n">
        <v>0</v>
      </c>
      <c r="F2679" t="n">
        <v>0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0</v>
      </c>
      <c r="E2695" t="n">
        <v>0</v>
      </c>
      <c r="F2695" t="n">
        <v>0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0</v>
      </c>
      <c r="E2721" t="n">
        <v>0</v>
      </c>
      <c r="F2721" t="n">
        <v>0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0</v>
      </c>
      <c r="E2723" t="n">
        <v>0</v>
      </c>
      <c r="F2723" t="n">
        <v>0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0</v>
      </c>
      <c r="E2739" t="n">
        <v>0</v>
      </c>
      <c r="F2739" t="n">
        <v>0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0</v>
      </c>
      <c r="E2767" t="n">
        <v>0</v>
      </c>
      <c r="F2767" t="n">
        <v>0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0</v>
      </c>
      <c r="E2783" t="n">
        <v>0</v>
      </c>
      <c r="F2783" t="n">
        <v>0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0</v>
      </c>
      <c r="E2809" t="n">
        <v>0</v>
      </c>
      <c r="F2809" t="n">
        <v>0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0</v>
      </c>
      <c r="E2811" t="n">
        <v>0</v>
      </c>
      <c r="F2811" t="n">
        <v>0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0</v>
      </c>
      <c r="E2827" t="n">
        <v>0</v>
      </c>
      <c r="F2827" t="n">
        <v>0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0</v>
      </c>
      <c r="E2853" t="n">
        <v>0</v>
      </c>
      <c r="F2853" t="n">
        <v>0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0</v>
      </c>
      <c r="E2855" t="n">
        <v>0</v>
      </c>
      <c r="F2855" t="n">
        <v>0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0</v>
      </c>
      <c r="E2871" t="n">
        <v>0</v>
      </c>
      <c r="F2871" t="n">
        <v>0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0</v>
      </c>
      <c r="E2899" t="n">
        <v>0</v>
      </c>
      <c r="F2899" t="n">
        <v>0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0</v>
      </c>
      <c r="E2915" t="n">
        <v>0</v>
      </c>
      <c r="F2915" t="n">
        <v>0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0</v>
      </c>
      <c r="E2943" t="n">
        <v>0</v>
      </c>
      <c r="F2943" t="n">
        <v>0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0</v>
      </c>
      <c r="E2959" t="n">
        <v>0</v>
      </c>
      <c r="F2959" t="n">
        <v>0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0</v>
      </c>
      <c r="E2987" t="n">
        <v>0</v>
      </c>
      <c r="F2987" t="n">
        <v>0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0</v>
      </c>
      <c r="E3003" t="n">
        <v>0</v>
      </c>
      <c r="F3003" t="n">
        <v>0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0</v>
      </c>
      <c r="E3029" t="n">
        <v>0</v>
      </c>
      <c r="F3029" t="n">
        <v>0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0</v>
      </c>
      <c r="E3075" t="n">
        <v>0</v>
      </c>
      <c r="F3075" t="n">
        <v>0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0</v>
      </c>
      <c r="E3119" t="n">
        <v>0</v>
      </c>
      <c r="F3119" t="n">
        <v>0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0</v>
      </c>
      <c r="E3207" t="n">
        <v>0</v>
      </c>
      <c r="F3207" t="n">
        <v>0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1" t="n">
        <v>46140</v>
      </c>
      <c r="B3300" t="inlineStr">
        <is>
          <t>Gabriel Gomes de Andrade</t>
        </is>
      </c>
      <c r="C3300" t="inlineStr">
        <is>
          <t>Técnico I</t>
        </is>
      </c>
      <c r="D3300" t="n">
        <v>9</v>
      </c>
      <c r="E3300" t="n">
        <v>5</v>
      </c>
      <c r="F3300" t="n">
        <v>10.29</v>
      </c>
      <c r="G3300" t="n">
        <v>0</v>
      </c>
      <c r="H3300" t="n">
        <v>0</v>
      </c>
      <c r="I3300" s="3">
        <f>E3300+G3300+H3300</f>
        <v/>
      </c>
      <c r="J3300" s="3">
        <f>ROUND(MIN(IF(C3300="Técnico III",35,IF(C3300="Técnico II",28,IF(C3300="Técnico I",23,IF(C3300="JR",20,IF(C3300="Estágio",10,0))))),IF(C3300="Técnico III",SUMIFS($D:$D,$A:$A,$A3300,$B:$B,"&lt;&gt;Patrícia Karla de Sousa Araújo",$B:$B,"&lt;&gt;Lorena Dias de Araujo",$B:$B,"&lt;&gt;Lucas Luiz Romero")*(35/1083),IF(C3300="Técnico II",SUMIFS($D:$D,$A:$A,$A3300,$B:$B,"&lt;&gt;Patrícia Karla de Sousa Araújo",$B:$B,"&lt;&gt;Lorena Dias de Araujo",$B:$B,"&lt;&gt;Lucas Luiz Romero")*(28/1083),IF(C3300="Técnico I",SUMIFS($D:$D,$A:$A,$A3300,$B:$B,"&lt;&gt;Patrícia Karla de Sousa Araújo",$B:$B,"&lt;&gt;Lorena Dias de Araujo",$B:$B,"&lt;&gt;Lucas Luiz Romero")*(23/1083),IF(C3300="JR",SUMIFS($D:$D,$A:$A,$A3300,$B:$B,"&lt;&gt;Patrícia Karla de Sousa Araújo",$B:$B,"&lt;&gt;Lorena Dias de Araujo",$B:$B,"&lt;&gt;Lucas Luiz Romero")*(20/1083),IF(C3300="Estágio",SUMIFS($D:$D,$A:$A,$A3300,$B:$B,"&lt;&gt;Patrícia Karla de Sousa Araújo",$B:$B,"&lt;&gt;Lorena Dias de Araujo",$B:$B,"&lt;&gt;Lucas Luiz Romero")*(10/1083),0)))))),0)</f>
        <v/>
      </c>
      <c r="K3300" s="3">
        <f>I3300-J3300</f>
        <v/>
      </c>
      <c r="L3300" s="3">
        <f>IF(K3300&lt;-5,"CRÍTICO",IF(K3300&lt;0,"ATENÇÃO",IF(K3300&lt;=5,"OPORTUNO","MUITO BOM")))</f>
        <v/>
      </c>
      <c r="N3300" t="n">
        <v>99.28</v>
      </c>
      <c r="O3300" t="n">
        <v>27.68924302788844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1" t="n">
        <v>46141</v>
      </c>
      <c r="B3344" t="inlineStr">
        <is>
          <t>Gabriel Gomes de Andrade</t>
        </is>
      </c>
      <c r="C3344" t="inlineStr">
        <is>
          <t>Técnico I</t>
        </is>
      </c>
      <c r="D3344" t="n">
        <v>0</v>
      </c>
      <c r="E3344" t="n">
        <v>0</v>
      </c>
      <c r="F3344" t="n">
        <v>0</v>
      </c>
      <c r="G3344" t="n">
        <v>0</v>
      </c>
      <c r="H3344" t="n">
        <v>0</v>
      </c>
      <c r="I3344" s="3" t="n">
        <v>0</v>
      </c>
      <c r="J3344" s="3" t="n">
        <v>0</v>
      </c>
      <c r="K3344" s="3" t="n">
        <v>0</v>
      </c>
      <c r="L3344" s="3">
        <f>IF(K3344&lt;-5,"CRÍTICO",IF(K3344&lt;0,"ATENÇÃO",IF(K3344&lt;=5,"OPORTUNO","MUITO BOM")))</f>
        <v/>
      </c>
      <c r="N3344" t="n">
        <v>99.28</v>
      </c>
      <c r="O3344" t="n">
        <v>27.68924302788844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1" t="n">
        <v>46142</v>
      </c>
      <c r="B3388" t="inlineStr">
        <is>
          <t>Gabriel Gomes de Andrade</t>
        </is>
      </c>
      <c r="C3388" t="inlineStr">
        <is>
          <t>Técnico I</t>
        </is>
      </c>
      <c r="D3388" t="n">
        <v>3</v>
      </c>
      <c r="E3388" t="n">
        <v>3</v>
      </c>
      <c r="F3388" t="n">
        <v>15.05</v>
      </c>
      <c r="G3388" t="n">
        <v>0</v>
      </c>
      <c r="H3388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N3388" t="n">
        <v>99.28</v>
      </c>
      <c r="O3388" t="n">
        <v>27.68924302788844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5" t="n">
        <v>46146</v>
      </c>
      <c r="B3432" s="6" t="inlineStr">
        <is>
          <t>Gabriel Gomes de Andrade</t>
        </is>
      </c>
      <c r="C3432" s="3" t="inlineStr">
        <is>
          <t>Técnico I</t>
        </is>
      </c>
      <c r="D3432" s="3" t="n">
        <v>24</v>
      </c>
      <c r="E3432" s="3" t="n">
        <v>20</v>
      </c>
      <c r="F3432" s="3" t="n">
        <v>21.45</v>
      </c>
      <c r="G3432" s="3" t="n">
        <v>7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9" t="n">
        <v>22</v>
      </c>
      <c r="N3432" s="9" t="n">
        <v>98.8</v>
      </c>
      <c r="O3432" s="9" t="n">
        <v>15.41353383458646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5" t="n">
        <v>46147</v>
      </c>
      <c r="B3476" s="6" t="inlineStr">
        <is>
          <t>Gabriel Gomes de Andrade</t>
        </is>
      </c>
      <c r="C3476" s="3" t="inlineStr">
        <is>
          <t>Técnico I</t>
        </is>
      </c>
      <c r="D3476" s="3" t="n">
        <v>13</v>
      </c>
      <c r="E3476" s="3" t="n">
        <v>12</v>
      </c>
      <c r="F3476" s="3" t="n">
        <v>17.15</v>
      </c>
      <c r="G3476" s="3" t="n">
        <v>9</v>
      </c>
      <c r="H3476" s="3" t="n">
        <v>0</v>
      </c>
      <c r="I3476" s="3">
        <f>E3476+G3476+H3476</f>
        <v/>
      </c>
      <c r="J3476" s="3">
        <f>ROUND(MIN(IF(C3476="Técnico III",35,IF(C3476="Técnico II",28,IF(C3476="Técnico I",23,IF(C3476="JR",20,IF(C3476="Estágio",10,0))))),IF(C3476="Técnico III",SUMIFS($D:$D,$A:$A,$A3476,$B:$B,"&lt;&gt;Patrícia Karla de Sousa Araújo",$B:$B,"&lt;&gt;Lorena Dias de Araujo",$B:$B,"&lt;&gt;Lucas Luiz Romero")*(35/1083),IF(C3476="Técnico II",SUMIFS($D:$D,$A:$A,$A3476,$B:$B,"&lt;&gt;Patrícia Karla de Sousa Araújo",$B:$B,"&lt;&gt;Lorena Dias de Araujo",$B:$B,"&lt;&gt;Lucas Luiz Romero")*(28/1083),IF(C3476="Técnico I",SUMIFS($D:$D,$A:$A,$A3476,$B:$B,"&lt;&gt;Patrícia Karla de Sousa Araújo",$B:$B,"&lt;&gt;Lorena Dias de Araujo",$B:$B,"&lt;&gt;Lucas Luiz Romero")*(23/1083),IF(C3476="JR",SUMIFS($D:$D,$A:$A,$A3476,$B:$B,"&lt;&gt;Patrícia Karla de Sousa Araújo",$B:$B,"&lt;&gt;Lorena Dias de Araujo",$B:$B,"&lt;&gt;Lucas Luiz Romero")*(20/1083),IF(C3476="Estágio",SUMIFS($D:$D,$A:$A,$A3476,$B:$B,"&lt;&gt;Patrícia Karla de Sousa Araújo",$B:$B,"&lt;&gt;Lorena Dias de Araujo",$B:$B,"&lt;&gt;Lucas Luiz Romero")*(10/1083),0)))))),0)</f>
        <v/>
      </c>
      <c r="K3476" s="3">
        <f>I3476-J3476</f>
        <v/>
      </c>
      <c r="L3476" s="3">
        <f>IF(K3476&lt;-5,"CRÍTICO",IF(K3476&lt;0,"ATENÇÃO",IF(K3476&lt;=5,"OPORTUNO","MUITO BOM")))</f>
        <v/>
      </c>
      <c r="M3476" s="3" t="n">
        <v>12</v>
      </c>
      <c r="N3476" s="3" t="n">
        <v>98.8</v>
      </c>
      <c r="O3476" s="3" t="n">
        <v>15.41353383458646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5" t="n">
        <v>46148</v>
      </c>
      <c r="B3520" s="6" t="inlineStr">
        <is>
          <t>Gabriel Gomes de Andrade</t>
        </is>
      </c>
      <c r="C3520" s="3" t="inlineStr">
        <is>
          <t>Técnico I</t>
        </is>
      </c>
      <c r="D3520" s="3" t="n">
        <v>23</v>
      </c>
      <c r="E3520" s="3" t="n">
        <v>22</v>
      </c>
      <c r="F3520" t="n">
        <v>20.21</v>
      </c>
      <c r="G3520" s="3" t="n">
        <v>9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24</v>
      </c>
      <c r="N3520" s="3" t="n">
        <v>98.8</v>
      </c>
      <c r="O3520" s="3" t="n">
        <v>15.41353383458646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5" t="n">
        <v>46149</v>
      </c>
      <c r="B3564" s="6" t="inlineStr">
        <is>
          <t>Gabriel Gomes de Andrade</t>
        </is>
      </c>
      <c r="C3564" s="3" t="inlineStr">
        <is>
          <t>Técnico I</t>
        </is>
      </c>
      <c r="D3564" s="3" t="n">
        <v>26</v>
      </c>
      <c r="E3564" s="3" t="n">
        <v>26</v>
      </c>
      <c r="F3564" t="n">
        <v>18.46</v>
      </c>
      <c r="G3564" s="3" t="n">
        <v>2</v>
      </c>
      <c r="H3564" s="3" t="n">
        <v>0</v>
      </c>
      <c r="I3564" s="3">
        <f>E3564+G3564+H3564</f>
        <v/>
      </c>
      <c r="J3564" s="3">
        <f>ROUND(MIN(IF(C3564="Técnico III",35,IF(C3564="Técnico II",28,IF(C3564="Técnico I",23,IF(C3564="JR",20,IF(C3564="Estágio",10,0))))),IF(C3564="Técnico III",SUMIFS($D:$D,$A:$A,$A3564,$B:$B,"&lt;&gt;Patrícia Karla de Sousa Araújo",$B:$B,"&lt;&gt;Lorena Dias de Araujo",$B:$B,"&lt;&gt;Lucas Luiz Romero")*(35/1083),IF(C3564="Técnico II",SUMIFS($D:$D,$A:$A,$A3564,$B:$B,"&lt;&gt;Patrícia Karla de Sousa Araújo",$B:$B,"&lt;&gt;Lorena Dias de Araujo",$B:$B,"&lt;&gt;Lucas Luiz Romero")*(28/1083),IF(C3564="Técnico I",SUMIFS($D:$D,$A:$A,$A3564,$B:$B,"&lt;&gt;Patrícia Karla de Sousa Araújo",$B:$B,"&lt;&gt;Lorena Dias de Araujo",$B:$B,"&lt;&gt;Lucas Luiz Romero")*(23/1083),IF(C3564="JR",SUMIFS($D:$D,$A:$A,$A3564,$B:$B,"&lt;&gt;Patrícia Karla de Sousa Araújo",$B:$B,"&lt;&gt;Lorena Dias de Araujo",$B:$B,"&lt;&gt;Lucas Luiz Romero")*(20/1083),IF(C3564="Estágio",SUMIFS($D:$D,$A:$A,$A3564,$B:$B,"&lt;&gt;Patrícia Karla de Sousa Araújo",$B:$B,"&lt;&gt;Lorena Dias de Araujo",$B:$B,"&lt;&gt;Lucas Luiz Romero")*(10/1083),0)))))),0)</f>
        <v/>
      </c>
      <c r="K3564" s="3">
        <f>I3564-J3564</f>
        <v/>
      </c>
      <c r="L3564" s="3">
        <f>IF(K3564&lt;-5,"CRÍTICO",IF(K3564&lt;0,"ATENÇÃO",IF(K3564&lt;=5,"OPORTUNO","MUITO BOM")))</f>
        <v/>
      </c>
      <c r="M3564" s="3" t="n">
        <v>24</v>
      </c>
      <c r="N3564" s="3" t="n">
        <v>98.8</v>
      </c>
      <c r="O3564" s="3" t="n">
        <v>15.41353383458646</v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5" t="n">
        <v>46150</v>
      </c>
      <c r="B3608" s="6" t="inlineStr">
        <is>
          <t>Gabriel Alves</t>
        </is>
      </c>
      <c r="C3608" s="3" t="inlineStr">
        <is>
          <t>Estágio</t>
        </is>
      </c>
      <c r="D3608" s="3" t="n">
        <v>46</v>
      </c>
      <c r="E3608" s="3" t="n">
        <v>42</v>
      </c>
      <c r="F3608" t="n">
        <v>5.38</v>
      </c>
      <c r="G3608" s="3" t="n">
        <v>0</v>
      </c>
      <c r="H3608" s="3" t="n">
        <v>0</v>
      </c>
      <c r="I3608" s="3">
        <f>E3608+G3608+H3608</f>
        <v/>
      </c>
      <c r="J3608" s="3">
        <f>ROUND(MIN(IF(C3608="Técnico III",35,IF(C3608="Técnico II",28,IF(C3608="Técnico I",23,IF(C3608="JR",20,IF(C3608="Estágio",10,0))))),IF(C3608="Técnico III",SUMIFS($D:$D,$A:$A,$A3608,$B:$B,"&lt;&gt;Patrícia Karla de Sousa Araújo",$B:$B,"&lt;&gt;Lorena Dias de Araujo",$B:$B,"&lt;&gt;Lucas Luiz Romero")*(35/1083),IF(C3608="Técnico II",SUMIFS($D:$D,$A:$A,$A3608,$B:$B,"&lt;&gt;Patrícia Karla de Sousa Araújo",$B:$B,"&lt;&gt;Lorena Dias de Araujo",$B:$B,"&lt;&gt;Lucas Luiz Romero")*(28/1083),IF(C3608="Técnico I",SUMIFS($D:$D,$A:$A,$A3608,$B:$B,"&lt;&gt;Patrícia Karla de Sousa Araújo",$B:$B,"&lt;&gt;Lorena Dias de Araujo",$B:$B,"&lt;&gt;Lucas Luiz Romero")*(23/1083),IF(C3608="JR",SUMIFS($D:$D,$A:$A,$A3608,$B:$B,"&lt;&gt;Patrícia Karla de Sousa Araújo",$B:$B,"&lt;&gt;Lorena Dias de Araujo",$B:$B,"&lt;&gt;Lucas Luiz Romero")*(20/1083),IF(C3608="Estágio",SUMIFS($D:$D,$A:$A,$A3608,$B:$B,"&lt;&gt;Patrícia Karla de Sousa Araújo",$B:$B,"&lt;&gt;Lorena Dias de Araujo",$B:$B,"&lt;&gt;Lucas Luiz Romero")*(10/1083),0)))))),0)</f>
        <v/>
      </c>
      <c r="K3608" s="3">
        <f>I3608-J3608</f>
        <v/>
      </c>
      <c r="L3608" s="3">
        <f>IF(K3608&lt;-5,"CRÍTICO",IF(K3608&lt;0,"ATENÇÃO",IF(K3608&lt;=5,"OPORTUNO","MUITO BOM")))</f>
        <v/>
      </c>
      <c r="M3608" t="n">
        <v>0</v>
      </c>
      <c r="N3608" t="n">
        <v>100</v>
      </c>
      <c r="O3608" t="n">
        <v>14.28571428571428</v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5" t="n">
        <v>46150</v>
      </c>
      <c r="B3652" s="6" t="inlineStr">
        <is>
          <t>Gabriel Gomes de Andrade</t>
        </is>
      </c>
      <c r="C3652" s="3" t="inlineStr">
        <is>
          <t>Técnico I</t>
        </is>
      </c>
      <c r="D3652" s="3" t="n">
        <v>0</v>
      </c>
      <c r="E3652" s="3" t="n">
        <v>0</v>
      </c>
      <c r="F3652" s="3" t="n">
        <v>0</v>
      </c>
      <c r="G3652" s="3" t="n">
        <v>0</v>
      </c>
      <c r="H3652" s="3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  <c r="M3652" s="9" t="n">
        <v>0</v>
      </c>
      <c r="N3652" s="9" t="n">
        <v>98.8</v>
      </c>
      <c r="O3652" s="9" t="n">
        <v>15.41353383458646</v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5" t="n">
        <v>46153</v>
      </c>
      <c r="B3696" s="6" t="inlineStr">
        <is>
          <t>Gabriel Gomes de Andrade</t>
        </is>
      </c>
      <c r="C3696" s="3" t="inlineStr">
        <is>
          <t>Técnico I</t>
        </is>
      </c>
      <c r="D3696" s="3" t="n">
        <v>25</v>
      </c>
      <c r="E3696" s="3" t="n">
        <v>22</v>
      </c>
      <c r="F3696" t="n">
        <v>17.3</v>
      </c>
      <c r="G3696" s="3" t="n">
        <v>5</v>
      </c>
      <c r="H3696" s="3" t="n">
        <v>0</v>
      </c>
      <c r="I3696" s="3">
        <f>E3696+G3696+H3696</f>
        <v/>
      </c>
      <c r="J3696" s="3">
        <f>ROUND(MIN(IF(C3696="Técnico III",35,IF(C3696="Técnico II",28,IF(C3696="Técnico I",23,IF(C3696="JR",20,IF(C3696="Estágio",10,0))))),IF(C3696="Técnico III",SUMIFS($D:$D,$A:$A,$A3696,$B:$B,"&lt;&gt;Patrícia Karla de Sousa Araújo",$B:$B,"&lt;&gt;Lorena Dias de Araujo",$B:$B,"&lt;&gt;Lucas Luiz Romero")*(35/1083),IF(C3696="Técnico II",SUMIFS($D:$D,$A:$A,$A3696,$B:$B,"&lt;&gt;Patrícia Karla de Sousa Araújo",$B:$B,"&lt;&gt;Lorena Dias de Araujo",$B:$B,"&lt;&gt;Lucas Luiz Romero")*(28/1083),IF(C3696="Técnico I",SUMIFS($D:$D,$A:$A,$A3696,$B:$B,"&lt;&gt;Patrícia Karla de Sousa Araújo",$B:$B,"&lt;&gt;Lorena Dias de Araujo",$B:$B,"&lt;&gt;Lucas Luiz Romero")*(23/1083),IF(C3696="JR",SUMIFS($D:$D,$A:$A,$A3696,$B:$B,"&lt;&gt;Patrícia Karla de Sousa Araújo",$B:$B,"&lt;&gt;Lorena Dias de Araujo",$B:$B,"&lt;&gt;Lucas Luiz Romero")*(20/1083),IF(C3696="Estágio",SUMIFS($D:$D,$A:$A,$A3696,$B:$B,"&lt;&gt;Patrícia Karla de Sousa Araújo",$B:$B,"&lt;&gt;Lorena Dias de Araujo",$B:$B,"&lt;&gt;Lucas Luiz Romero")*(10/1083),0)))))),0)</f>
        <v/>
      </c>
      <c r="K3696" s="3">
        <f>I3696-J3696</f>
        <v/>
      </c>
      <c r="L3696" s="3">
        <f>IF(K3696&lt;-5,"CRÍTICO",IF(K3696&lt;0,"ATENÇÃO",IF(K3696&lt;=5,"OPORTUNO","MUITO BOM")))</f>
        <v/>
      </c>
      <c r="M3696" t="n">
        <v>23</v>
      </c>
      <c r="N3696" t="n">
        <v>98.8</v>
      </c>
      <c r="O3696" t="n">
        <v>15.41353383458646</v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5" t="n">
        <v>46154</v>
      </c>
      <c r="B3740" s="6" t="inlineStr">
        <is>
          <t>Gabriel Gomes de Andrade</t>
        </is>
      </c>
      <c r="C3740" s="3" t="inlineStr">
        <is>
          <t>Técnico I</t>
        </is>
      </c>
      <c r="D3740" s="3" t="n">
        <v>17</v>
      </c>
      <c r="E3740" s="3" t="n">
        <v>17</v>
      </c>
      <c r="F3740" t="n">
        <v>17.17</v>
      </c>
      <c r="H3740" s="3" t="n">
        <v>7</v>
      </c>
      <c r="I3740" s="3">
        <f>E3740+G3740+H3740</f>
        <v/>
      </c>
      <c r="J3740" s="3">
        <f>ROUND(MIN(IF(C3740="Técnico III",35,IF(C3740="Técnico II",28,IF(C3740="Técnico I",23,IF(C3740="JR",20,IF(C3740="Estágio",10,0))))),IF(C3740="Técnico III",SUMIFS($D:$D,$A:$A,$A3740,$B:$B,"&lt;&gt;Patrícia Karla de Sousa Araújo",$B:$B,"&lt;&gt;Lorena Dias de Araujo",$B:$B,"&lt;&gt;Lucas Luiz Romero")*(35/1083),IF(C3740="Técnico II",SUMIFS($D:$D,$A:$A,$A3740,$B:$B,"&lt;&gt;Patrícia Karla de Sousa Araújo",$B:$B,"&lt;&gt;Lorena Dias de Araujo",$B:$B,"&lt;&gt;Lucas Luiz Romero")*(28/1083),IF(C3740="Técnico I",SUMIFS($D:$D,$A:$A,$A3740,$B:$B,"&lt;&gt;Patrícia Karla de Sousa Araújo",$B:$B,"&lt;&gt;Lorena Dias de Araujo",$B:$B,"&lt;&gt;Lucas Luiz Romero")*(23/1083),IF(C3740="JR",SUMIFS($D:$D,$A:$A,$A3740,$B:$B,"&lt;&gt;Patrícia Karla de Sousa Araújo",$B:$B,"&lt;&gt;Lorena Dias de Araujo",$B:$B,"&lt;&gt;Lucas Luiz Romero")*(20/1083),IF(C3740="Estágio",SUMIFS($D:$D,$A:$A,$A3740,$B:$B,"&lt;&gt;Patrícia Karla de Sousa Araújo",$B:$B,"&lt;&gt;Lorena Dias de Araujo",$B:$B,"&lt;&gt;Lucas Luiz Romero")*(10/1083),0)))))),0)</f>
        <v/>
      </c>
      <c r="K3740" s="3">
        <f>I3740-J3740</f>
        <v/>
      </c>
      <c r="L3740" s="3">
        <f>IF(K3740&lt;-5,"CRÍTICO",IF(K3740&lt;0,"ATENÇÃO",IF(K3740&lt;=5,"OPORTUNO","MUITO BOM")))</f>
        <v/>
      </c>
      <c r="M3740" t="n">
        <v>24</v>
      </c>
      <c r="N3740" t="n">
        <v>98.8</v>
      </c>
      <c r="O3740" t="n">
        <v>15.41353383458646</v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5" t="n">
        <v>46155</v>
      </c>
      <c r="B3784" s="6" t="inlineStr">
        <is>
          <t>Gabriel Gomes de Andrade</t>
        </is>
      </c>
      <c r="C3784" s="3" t="inlineStr">
        <is>
          <t>Técnico I</t>
        </is>
      </c>
      <c r="D3784" s="3" t="n">
        <v>20</v>
      </c>
      <c r="E3784" s="3" t="n">
        <v>16</v>
      </c>
      <c r="F3784" t="n">
        <v>23.26</v>
      </c>
      <c r="G3784" s="3" t="n">
        <v>11</v>
      </c>
      <c r="H3784" s="3" t="n">
        <v>7</v>
      </c>
      <c r="I3784" s="3">
        <f>E3784+G3784+H3784</f>
        <v/>
      </c>
      <c r="J3784" s="3">
        <f>ROUND(MIN(IF(C3784="Técnico III",35,IF(C3784="Técnico II",28,IF(C3784="Técnico I",23,IF(C3784="JR",20,IF(C3784="Estágio",10,0))))),IF(C3784="Técnico III",SUMIFS($D:$D,$A:$A,$A3784,$B:$B,"&lt;&gt;Patrícia Karla de Sousa Araújo",$B:$B,"&lt;&gt;Lorena Dias de Araujo",$B:$B,"&lt;&gt;Lucas Luiz Romero")*(35/1083),IF(C3784="Técnico II",SUMIFS($D:$D,$A:$A,$A3784,$B:$B,"&lt;&gt;Patrícia Karla de Sousa Araújo",$B:$B,"&lt;&gt;Lorena Dias de Araujo",$B:$B,"&lt;&gt;Lucas Luiz Romero")*(28/1083),IF(C3784="Técnico I",SUMIFS($D:$D,$A:$A,$A3784,$B:$B,"&lt;&gt;Patrícia Karla de Sousa Araújo",$B:$B,"&lt;&gt;Lorena Dias de Araujo",$B:$B,"&lt;&gt;Lucas Luiz Romero")*(23/1083),IF(C3784="JR",SUMIFS($D:$D,$A:$A,$A3784,$B:$B,"&lt;&gt;Patrícia Karla de Sousa Araújo",$B:$B,"&lt;&gt;Lorena Dias de Araujo",$B:$B,"&lt;&gt;Lucas Luiz Romero")*(20/1083),IF(C3784="Estágio",SUMIFS($D:$D,$A:$A,$A3784,$B:$B,"&lt;&gt;Patrícia Karla de Sousa Araújo",$B:$B,"&lt;&gt;Lorena Dias de Araujo",$B:$B,"&lt;&gt;Lucas Luiz Romero")*(10/1083),0)))))),0)</f>
        <v/>
      </c>
      <c r="K3784" s="3">
        <f>I3784-J3784</f>
        <v/>
      </c>
      <c r="L3784" s="3">
        <f>IF(K3784&lt;-5,"CRÍTICO",IF(K3784&lt;0,"ATENÇÃO",IF(K3784&lt;=5,"OPORTUNO","MUITO BOM")))</f>
        <v/>
      </c>
      <c r="M3784" t="n">
        <v>18</v>
      </c>
      <c r="N3784" t="n">
        <v>98.8</v>
      </c>
      <c r="O3784" t="n">
        <v>15.41353383458646</v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5" t="n">
        <v>46156</v>
      </c>
      <c r="B3828" s="6" t="inlineStr">
        <is>
          <t>Gabriel Gomes de Andrade</t>
        </is>
      </c>
      <c r="C3828" s="3" t="inlineStr">
        <is>
          <t>Técnico I</t>
        </is>
      </c>
      <c r="D3828" s="3" t="n">
        <v>19</v>
      </c>
      <c r="E3828" s="3" t="n">
        <v>18</v>
      </c>
      <c r="F3828" t="n">
        <v>22.29</v>
      </c>
      <c r="G3828" s="3" t="n">
        <v>0</v>
      </c>
      <c r="H3828" s="3" t="n">
        <v>5</v>
      </c>
      <c r="I3828" s="3">
        <f>E3828+G3828+H3828</f>
        <v/>
      </c>
      <c r="J3828" s="3">
        <f>ROUND(MIN(IF(C3828="Técnico III",35,IF(C3828="Técnico II",28,IF(C3828="Técnico I",23,IF(C3828="JR",20,IF(C3828="Estágio",10,0))))),IF(C3828="Técnico III",SUMIFS($D:$D,$A:$A,$A3828,$B:$B,"&lt;&gt;Patrícia Karla de Sousa Araújo",$B:$B,"&lt;&gt;Lorena Dias de Araujo",$B:$B,"&lt;&gt;Lucas Luiz Romero")*(35/1083),IF(C3828="Técnico II",SUMIFS($D:$D,$A:$A,$A3828,$B:$B,"&lt;&gt;Patrícia Karla de Sousa Araújo",$B:$B,"&lt;&gt;Lorena Dias de Araujo",$B:$B,"&lt;&gt;Lucas Luiz Romero")*(28/1083),IF(C3828="Técnico I",SUMIFS($D:$D,$A:$A,$A3828,$B:$B,"&lt;&gt;Patrícia Karla de Sousa Araújo",$B:$B,"&lt;&gt;Lorena Dias de Araujo",$B:$B,"&lt;&gt;Lucas Luiz Romero")*(23/1083),IF(C3828="JR",SUMIFS($D:$D,$A:$A,$A3828,$B:$B,"&lt;&gt;Patrícia Karla de Sousa Araújo",$B:$B,"&lt;&gt;Lorena Dias de Araujo",$B:$B,"&lt;&gt;Lucas Luiz Romero")*(20/1083),IF(C3828="Estágio",SUMIFS($D:$D,$A:$A,$A3828,$B:$B,"&lt;&gt;Patrícia Karla de Sousa Araújo",$B:$B,"&lt;&gt;Lorena Dias de Araujo",$B:$B,"&lt;&gt;Lucas Luiz Romero")*(10/1083),0)))))),0)</f>
        <v/>
      </c>
      <c r="K3828" s="3">
        <f>I3828-J3828</f>
        <v/>
      </c>
      <c r="L3828" s="3">
        <f>IF(K3828&lt;-5,"CRÍTICO",IF(K3828&lt;0,"ATENÇÃO",IF(K3828&lt;=5,"OPORTUNO","MUITO BOM")))</f>
        <v/>
      </c>
      <c r="M3828" t="n">
        <v>23</v>
      </c>
      <c r="N3828" t="n">
        <v>98.8</v>
      </c>
      <c r="O3828" t="n">
        <v>15.41353383458646</v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5" t="n">
        <v>46157</v>
      </c>
      <c r="B3872" s="6" t="inlineStr">
        <is>
          <t>Gabriel Gomes de Andrade</t>
        </is>
      </c>
      <c r="C3872" s="3" t="inlineStr">
        <is>
          <t>Técnico I</t>
        </is>
      </c>
      <c r="D3872" s="3" t="n">
        <v>19</v>
      </c>
      <c r="E3872" s="3" t="n">
        <v>16</v>
      </c>
      <c r="F3872" t="n">
        <v>16.56</v>
      </c>
      <c r="G3872" s="3" t="n">
        <v>6</v>
      </c>
      <c r="H3872" s="3" t="n">
        <v>1</v>
      </c>
      <c r="I3872" s="3">
        <f>E3872+G3872+H3872</f>
        <v/>
      </c>
      <c r="J3872" s="3">
        <f>ROUND(MIN(IF(C3872="Técnico III",35,IF(C3872="Técnico II",28,IF(C3872="Técnico I",23,IF(C3872="JR",20,IF(C3872="Estágio",10,0))))),IF(C3872="Técnico III",SUMIFS($D:$D,$A:$A,$A3872,$B:$B,"&lt;&gt;Patrícia Karla de Sousa Araújo",$B:$B,"&lt;&gt;Lorena Dias de Araujo",$B:$B,"&lt;&gt;Lucas Luiz Romero")*(35/1083),IF(C3872="Técnico II",SUMIFS($D:$D,$A:$A,$A3872,$B:$B,"&lt;&gt;Patrícia Karla de Sousa Araújo",$B:$B,"&lt;&gt;Lorena Dias de Araujo",$B:$B,"&lt;&gt;Lucas Luiz Romero")*(28/1083),IF(C3872="Técnico I",SUMIFS($D:$D,$A:$A,$A3872,$B:$B,"&lt;&gt;Patrícia Karla de Sousa Araújo",$B:$B,"&lt;&gt;Lorena Dias de Araujo",$B:$B,"&lt;&gt;Lucas Luiz Romero")*(23/1083),IF(C3872="JR",SUMIFS($D:$D,$A:$A,$A3872,$B:$B,"&lt;&gt;Patrícia Karla de Sousa Araújo",$B:$B,"&lt;&gt;Lorena Dias de Araujo",$B:$B,"&lt;&gt;Lucas Luiz Romero")*(20/1083),IF(C3872="Estágio",SUMIFS($D:$D,$A:$A,$A3872,$B:$B,"&lt;&gt;Patrícia Karla de Sousa Araújo",$B:$B,"&lt;&gt;Lorena Dias de Araujo",$B:$B,"&lt;&gt;Lucas Luiz Romero")*(10/1083),0)))))),0)</f>
        <v/>
      </c>
      <c r="K3872" s="3">
        <f>I3872-J3872</f>
        <v/>
      </c>
      <c r="L3872" s="3">
        <f>IF(K3872&lt;-5,"CRÍTICO",IF(K3872&lt;0,"ATENÇÃO",IF(K3872&lt;=5,"OPORTUNO","MUITO BOM")))</f>
        <v/>
      </c>
      <c r="M3872" t="n">
        <v>15</v>
      </c>
      <c r="N3872" t="n">
        <v>98.8</v>
      </c>
      <c r="O3872" t="n">
        <v>15.41353383458646</v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5" t="n">
        <v>46157</v>
      </c>
      <c r="B3916" s="6" t="inlineStr">
        <is>
          <t>Gabriel Alves</t>
        </is>
      </c>
      <c r="C3916" s="3" t="inlineStr">
        <is>
          <t>Estágio</t>
        </is>
      </c>
      <c r="D3916" s="3" t="n">
        <v>4</v>
      </c>
      <c r="E3916" s="3" t="n">
        <v>4</v>
      </c>
      <c r="F3916" t="n">
        <v>55.52</v>
      </c>
      <c r="G3916" s="3" t="n">
        <v>0</v>
      </c>
      <c r="H3916" s="3" t="n">
        <v>0</v>
      </c>
      <c r="I3916" s="3">
        <f>E3916+G3916+H3916</f>
        <v/>
      </c>
      <c r="J3916" s="3">
        <f>ROUND(MIN(IF(C3916="Técnico III",35,IF(C3916="Técnico II",28,IF(C3916="Técnico I",23,IF(C3916="JR",20,IF(C3916="Estágio",10,0))))),IF(C3916="Técnico III",SUMIFS($D:$D,$A:$A,$A3916,$B:$B,"&lt;&gt;Patrícia Karla de Sousa Araújo",$B:$B,"&lt;&gt;Lorena Dias de Araujo",$B:$B,"&lt;&gt;Lucas Luiz Romero")*(35/1083),IF(C3916="Técnico II",SUMIFS($D:$D,$A:$A,$A3916,$B:$B,"&lt;&gt;Patrícia Karla de Sousa Araújo",$B:$B,"&lt;&gt;Lorena Dias de Araujo",$B:$B,"&lt;&gt;Lucas Luiz Romero")*(28/1083),IF(C3916="Técnico I",SUMIFS($D:$D,$A:$A,$A3916,$B:$B,"&lt;&gt;Patrícia Karla de Sousa Araújo",$B:$B,"&lt;&gt;Lorena Dias de Araujo",$B:$B,"&lt;&gt;Lucas Luiz Romero")*(23/1083),IF(C3916="JR",SUMIFS($D:$D,$A:$A,$A3916,$B:$B,"&lt;&gt;Patrícia Karla de Sousa Araújo",$B:$B,"&lt;&gt;Lorena Dias de Araujo",$B:$B,"&lt;&gt;Lucas Luiz Romero")*(20/1083),IF(C3916="Estágio",SUMIFS($D:$D,$A:$A,$A3916,$B:$B,"&lt;&gt;Patrícia Karla de Sousa Araújo",$B:$B,"&lt;&gt;Lorena Dias de Araujo",$B:$B,"&lt;&gt;Lucas Luiz Romero")*(10/1083),0)))))),0)</f>
        <v/>
      </c>
      <c r="K3916" s="3">
        <f>I3916-J3916</f>
        <v/>
      </c>
      <c r="L3916" s="3">
        <f>IF(K3916&lt;-5,"CRÍTICO",IF(K3916&lt;0,"ATENÇÃO",IF(K3916&lt;=5,"OPORTUNO","MUITO BOM")))</f>
        <v/>
      </c>
      <c r="M3916" t="n">
        <v>3</v>
      </c>
      <c r="N3916" t="n">
        <v>100</v>
      </c>
      <c r="O3916" t="n">
        <v>14.28571428571428</v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5" t="n">
        <v>46160</v>
      </c>
      <c r="B3960" s="6" t="inlineStr">
        <is>
          <t>Gabriel Gomes de Andrade</t>
        </is>
      </c>
      <c r="C3960" s="3" t="inlineStr">
        <is>
          <t>Técnico I</t>
        </is>
      </c>
      <c r="D3960" s="3" t="n">
        <v>21</v>
      </c>
      <c r="E3960" s="3" t="n">
        <v>18</v>
      </c>
      <c r="F3960" t="n">
        <v>20.22</v>
      </c>
      <c r="G3960" s="3" t="n">
        <v>6</v>
      </c>
      <c r="H3960" s="3" t="n">
        <v>1</v>
      </c>
      <c r="I3960" s="3">
        <f>E3960+G3960+H3960</f>
        <v/>
      </c>
      <c r="J3960" s="3">
        <f>ROUND(MIN(IF(C3960="Técnico III",35,IF(C3960="Técnico II",28,IF(C3960="Técnico I",23,IF(C3960="JR",20,IF(C3960="Estágio",10,0))))),IF(C3960="Técnico III",SUMIFS($D:$D,$A:$A,$A3960,$B:$B,"&lt;&gt;Patrícia Karla de Sousa Araújo",$B:$B,"&lt;&gt;Lorena Dias de Araujo",$B:$B,"&lt;&gt;Lucas Luiz Romero")*(35/1083),IF(C3960="Técnico II",SUMIFS($D:$D,$A:$A,$A3960,$B:$B,"&lt;&gt;Patrícia Karla de Sousa Araújo",$B:$B,"&lt;&gt;Lorena Dias de Araujo",$B:$B,"&lt;&gt;Lucas Luiz Romero")*(28/1083),IF(C3960="Técnico I",SUMIFS($D:$D,$A:$A,$A3960,$B:$B,"&lt;&gt;Patrícia Karla de Sousa Araújo",$B:$B,"&lt;&gt;Lorena Dias de Araujo",$B:$B,"&lt;&gt;Lucas Luiz Romero")*(23/1083),IF(C3960="JR",SUMIFS($D:$D,$A:$A,$A3960,$B:$B,"&lt;&gt;Patrícia Karla de Sousa Araújo",$B:$B,"&lt;&gt;Lorena Dias de Araujo",$B:$B,"&lt;&gt;Lucas Luiz Romero")*(20/1083),IF(C3960="Estágio",SUMIFS($D:$D,$A:$A,$A3960,$B:$B,"&lt;&gt;Patrícia Karla de Sousa Araújo",$B:$B,"&lt;&gt;Lorena Dias de Araujo",$B:$B,"&lt;&gt;Lucas Luiz Romero")*(10/1083),0)))))),0)</f>
        <v/>
      </c>
      <c r="K3960" s="3">
        <f>I3960-J3960</f>
        <v/>
      </c>
      <c r="L3960" s="3">
        <f>IF(K3960&lt;-5,"CRÍTICO",IF(K3960&lt;0,"ATENÇÃO",IF(K3960&lt;=5,"OPORTUNO","MUITO BOM")))</f>
        <v/>
      </c>
      <c r="M3960" t="n">
        <v>18</v>
      </c>
      <c r="N3960" t="n">
        <v>98.8</v>
      </c>
      <c r="O3960" t="n">
        <v>15.41353383458646</v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5" t="n">
        <v>46160</v>
      </c>
      <c r="B4004" s="6" t="inlineStr">
        <is>
          <t>Gabriel Alves</t>
        </is>
      </c>
      <c r="C4004" s="3" t="inlineStr">
        <is>
          <t>Estágio</t>
        </is>
      </c>
      <c r="D4004" s="3" t="n">
        <v>2</v>
      </c>
      <c r="E4004" s="3" t="n">
        <v>2</v>
      </c>
      <c r="F4004" t="n">
        <v>170.55</v>
      </c>
      <c r="G4004" s="3" t="n">
        <v>0</v>
      </c>
      <c r="H4004" s="3" t="n">
        <v>0</v>
      </c>
      <c r="I4004" s="3">
        <f>E4004+G4004+H4004</f>
        <v/>
      </c>
      <c r="J4004" s="3">
        <f>ROUND(MIN(IF(C4004="Técnico III",35,IF(C4004="Técnico II",28,IF(C4004="Técnico I",23,IF(C4004="JR",20,IF(C4004="Estágio",10,0))))),IF(C4004="Técnico III",SUMIFS($D:$D,$A:$A,$A4004,$B:$B,"&lt;&gt;Patrícia Karla de Sousa Araújo",$B:$B,"&lt;&gt;Lorena Dias de Araujo",$B:$B,"&lt;&gt;Lucas Luiz Romero")*(35/1083),IF(C4004="Técnico II",SUMIFS($D:$D,$A:$A,$A4004,$B:$B,"&lt;&gt;Patrícia Karla de Sousa Araújo",$B:$B,"&lt;&gt;Lorena Dias de Araujo",$B:$B,"&lt;&gt;Lucas Luiz Romero")*(28/1083),IF(C4004="Técnico I",SUMIFS($D:$D,$A:$A,$A4004,$B:$B,"&lt;&gt;Patrícia Karla de Sousa Araújo",$B:$B,"&lt;&gt;Lorena Dias de Araujo",$B:$B,"&lt;&gt;Lucas Luiz Romero")*(23/1083),IF(C4004="JR",SUMIFS($D:$D,$A:$A,$A4004,$B:$B,"&lt;&gt;Patrícia Karla de Sousa Araújo",$B:$B,"&lt;&gt;Lorena Dias de Araujo",$B:$B,"&lt;&gt;Lucas Luiz Romero")*(20/1083),IF(C4004="Estágio",SUMIFS($D:$D,$A:$A,$A4004,$B:$B,"&lt;&gt;Patrícia Karla de Sousa Araújo",$B:$B,"&lt;&gt;Lorena Dias de Araujo",$B:$B,"&lt;&gt;Lucas Luiz Romero")*(10/1083),0)))))),0)</f>
        <v/>
      </c>
      <c r="K4004" s="3">
        <f>I4004-J4004</f>
        <v/>
      </c>
      <c r="L4004" s="3">
        <f>IF(K4004&lt;-5,"CRÍTICO",IF(K4004&lt;0,"ATENÇÃO",IF(K4004&lt;=5,"OPORTUNO","MUITO BOM")))</f>
        <v/>
      </c>
      <c r="M4004" t="n">
        <v>2</v>
      </c>
      <c r="N4004" t="n">
        <v>100</v>
      </c>
      <c r="O4004" t="n">
        <v>14.28571428571428</v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7" t="n">
        <v>46161</v>
      </c>
      <c r="B4048" s="8" t="inlineStr">
        <is>
          <t>Gabriel Alves</t>
        </is>
      </c>
      <c r="C4048" s="9" t="inlineStr">
        <is>
          <t>Estágio</t>
        </is>
      </c>
      <c r="D4048" s="3" t="n">
        <v>4</v>
      </c>
      <c r="E4048" s="3" t="n">
        <v>4</v>
      </c>
      <c r="F4048" t="n">
        <v>56.44</v>
      </c>
      <c r="G4048" s="3" t="n">
        <v>0</v>
      </c>
      <c r="H4048" s="3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M4048" t="n">
        <v>3</v>
      </c>
      <c r="N4048" t="n">
        <v>100</v>
      </c>
      <c r="O4048" t="n">
        <v>14.28571428571428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7" t="n">
        <v>46161</v>
      </c>
      <c r="B4092" s="8" t="inlineStr">
        <is>
          <t>Gabriel Gomes de Andrade</t>
        </is>
      </c>
      <c r="C4092" s="9" t="inlineStr">
        <is>
          <t>Técnico I</t>
        </is>
      </c>
      <c r="D4092" s="3" t="n">
        <v>19</v>
      </c>
      <c r="E4092" s="3" t="n">
        <v>18</v>
      </c>
      <c r="F4092" t="n">
        <v>21.58</v>
      </c>
      <c r="G4092" s="3" t="n">
        <v>3</v>
      </c>
      <c r="H4092" s="3" t="n">
        <v>3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M4092" t="n">
        <v>20</v>
      </c>
      <c r="N4092" t="n">
        <v>98.8</v>
      </c>
      <c r="O4092" t="n">
        <v>15.41353383458646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7" t="n">
        <v>46162</v>
      </c>
      <c r="B4136" s="8" t="inlineStr">
        <is>
          <t>Gabriel Alves</t>
        </is>
      </c>
      <c r="C4136" s="9" t="inlineStr">
        <is>
          <t>Estágio</t>
        </is>
      </c>
      <c r="D4136" s="3" t="n">
        <v>7</v>
      </c>
      <c r="E4136" s="3" t="n">
        <v>7</v>
      </c>
      <c r="F4136" s="3" t="n">
        <v>37.06</v>
      </c>
      <c r="G4136" s="3" t="n">
        <v>0</v>
      </c>
      <c r="H4136" s="3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M4136" s="9" t="n">
        <v>6</v>
      </c>
      <c r="N4136" s="9" t="n">
        <v>100</v>
      </c>
      <c r="O4136" s="9" t="n">
        <v>14.28571428571428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7" t="n">
        <v>46162</v>
      </c>
      <c r="B4180" s="8" t="inlineStr">
        <is>
          <t>Gabriel Gomes de Andrade</t>
        </is>
      </c>
      <c r="C4180" s="9" t="inlineStr">
        <is>
          <t>Técnico I</t>
        </is>
      </c>
      <c r="D4180" s="3" t="n">
        <v>26</v>
      </c>
      <c r="E4180" s="3" t="n">
        <v>20</v>
      </c>
      <c r="F4180" s="3" t="n">
        <v>15.09</v>
      </c>
      <c r="G4180" s="3" t="n">
        <v>5</v>
      </c>
      <c r="H4180" s="3" t="n">
        <v>2</v>
      </c>
      <c r="I4180" s="3">
        <f>E4180+G4180+H4180</f>
        <v/>
      </c>
      <c r="J4180" s="3">
        <f>ROUND(MIN(IF(C4180="Técnico III",35,IF(C4180="Técnico II",28,IF(C4180="Técnico I",23,IF(C4180="JR",20,IF(C4180="Estágio",10,0))))),IF(C4180="Técnico III",SUMIFS($D:$D,$A:$A,$A4180,$B:$B,"&lt;&gt;Patrícia Karla de Sousa Araújo",$B:$B,"&lt;&gt;Lorena Dias de Araujo",$B:$B,"&lt;&gt;Lucas Luiz Romero")*(35/1083),IF(C4180="Técnico II",SUMIFS($D:$D,$A:$A,$A4180,$B:$B,"&lt;&gt;Patrícia Karla de Sousa Araújo",$B:$B,"&lt;&gt;Lorena Dias de Araujo",$B:$B,"&lt;&gt;Lucas Luiz Romero")*(28/1083),IF(C4180="Técnico I",SUMIFS($D:$D,$A:$A,$A4180,$B:$B,"&lt;&gt;Patrícia Karla de Sousa Araújo",$B:$B,"&lt;&gt;Lorena Dias de Araujo",$B:$B,"&lt;&gt;Lucas Luiz Romero")*(23/1083),IF(C4180="JR",SUMIFS($D:$D,$A:$A,$A4180,$B:$B,"&lt;&gt;Patrícia Karla de Sousa Araújo",$B:$B,"&lt;&gt;Lorena Dias de Araujo",$B:$B,"&lt;&gt;Lucas Luiz Romero")*(20/1083),IF(C4180="Estágio",SUMIFS($D:$D,$A:$A,$A4180,$B:$B,"&lt;&gt;Patrícia Karla de Sousa Araújo",$B:$B,"&lt;&gt;Lorena Dias de Araujo",$B:$B,"&lt;&gt;Lucas Luiz Romero")*(10/1083),0)))))),0)</f>
        <v/>
      </c>
      <c r="K4180" s="3">
        <f>I4180-J4180</f>
        <v/>
      </c>
      <c r="L4180" s="3">
        <f>IF(K4180&lt;-5,"CRÍTICO",IF(K4180&lt;0,"ATENÇÃO",IF(K4180&lt;=5,"OPORTUNO","MUITO BOM")))</f>
        <v/>
      </c>
      <c r="M4180" s="9" t="n">
        <v>21</v>
      </c>
      <c r="N4180" s="9" t="n">
        <v>98.8</v>
      </c>
      <c r="O4180" s="9" t="n">
        <v>15.41353383458646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5" t="n">
        <v>46163</v>
      </c>
      <c r="B4224" s="6" t="inlineStr">
        <is>
          <t>Gabriel Alves</t>
        </is>
      </c>
      <c r="C4224" s="3" t="inlineStr">
        <is>
          <t>Estágio</t>
        </is>
      </c>
      <c r="D4224" s="3" t="n">
        <v>0</v>
      </c>
      <c r="E4224" s="3" t="n">
        <v>0</v>
      </c>
      <c r="F4224" s="3" t="n">
        <v>0</v>
      </c>
      <c r="G4224" s="3" t="n">
        <v>0</v>
      </c>
      <c r="H4224" s="3" t="n">
        <v>0</v>
      </c>
      <c r="I4224" s="3" t="n">
        <v>0</v>
      </c>
      <c r="J4224" s="3" t="n">
        <v>0</v>
      </c>
      <c r="K4224" s="3" t="n">
        <v>0</v>
      </c>
      <c r="L4224" s="3">
        <f>IF(K4224&lt;-5,"CRÍTICO",IF(K4224&lt;0,"ATENÇÃO",IF(K4224&lt;=5,"OPORTUNO","MUITO BOM")))</f>
        <v/>
      </c>
      <c r="M4224" s="3" t="n">
        <v>0</v>
      </c>
      <c r="N4224" s="3" t="n">
        <v>100</v>
      </c>
      <c r="O4224" s="3" t="n">
        <v>14.28571428571428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5" t="n">
        <v>46163</v>
      </c>
      <c r="B4268" s="6" t="inlineStr">
        <is>
          <t>Gabriel Gomes de Andrade</t>
        </is>
      </c>
      <c r="C4268" s="3" t="inlineStr">
        <is>
          <t>Técnico I</t>
        </is>
      </c>
      <c r="D4268" s="3" t="n">
        <v>16</v>
      </c>
      <c r="E4268" s="3" t="n">
        <v>15</v>
      </c>
      <c r="F4268" s="3" t="n">
        <v>25.07</v>
      </c>
      <c r="G4268" s="3" t="n">
        <v>3</v>
      </c>
      <c r="H4268" s="3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M4268" s="3" t="n">
        <v>15</v>
      </c>
      <c r="N4268" s="3" t="n">
        <v>98.8</v>
      </c>
      <c r="O4268" s="3" t="n">
        <v>15.41353383458646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0" t="n">
        <v>46164</v>
      </c>
      <c r="B4312" s="6" t="inlineStr">
        <is>
          <t>Gabriel Alves</t>
        </is>
      </c>
      <c r="C4312" s="3" t="inlineStr">
        <is>
          <t>Estágio</t>
        </is>
      </c>
      <c r="D4312" s="3" t="n">
        <v>0</v>
      </c>
      <c r="E4312" s="3" t="n">
        <v>0</v>
      </c>
      <c r="F4312" s="3" t="n">
        <v>0</v>
      </c>
      <c r="G4312" s="3" t="n">
        <v>0</v>
      </c>
      <c r="H4312" s="3" t="n">
        <v>0</v>
      </c>
      <c r="I4312" s="3" t="n">
        <v>0</v>
      </c>
      <c r="J4312" s="3" t="n">
        <v>0</v>
      </c>
      <c r="K4312" s="3" t="n">
        <v>0</v>
      </c>
      <c r="L4312" s="3">
        <f>IF(K4312&lt;-5,"CRÍTICO",IF(K4312&lt;0,"ATENÇÃO",IF(K4312&lt;=5,"OPORTUNO","MUITO BOM")))</f>
        <v/>
      </c>
      <c r="M4312" s="3" t="n">
        <v>0</v>
      </c>
      <c r="N4312" s="3" t="n">
        <v>100</v>
      </c>
      <c r="O4312" s="3" t="n">
        <v>14.28571428571428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Alisson de Freitas Silva</t>
        </is>
      </c>
      <c r="C4339" t="inlineStr">
        <is>
          <t>Técnico II</t>
        </is>
      </c>
      <c r="D4339" t="n">
        <v>53</v>
      </c>
      <c r="E4339" t="n">
        <v>46</v>
      </c>
      <c r="F4339" t="n">
        <v>10.58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100</v>
      </c>
      <c r="O4339" t="n">
        <v>32.76450511945392</v>
      </c>
    </row>
    <row r="4340" hidden="1">
      <c r="A4340" s="11" t="n">
        <v>46140</v>
      </c>
      <c r="B4340" t="inlineStr">
        <is>
          <t>Amanda Moura Ferreira</t>
        </is>
      </c>
      <c r="C4340" t="inlineStr">
        <is>
          <t>Técnico III</t>
        </is>
      </c>
      <c r="D4340" t="n">
        <v>0</v>
      </c>
      <c r="E4340" t="n">
        <v>0</v>
      </c>
      <c r="F4340" t="n">
        <v>0</v>
      </c>
      <c r="G4340" t="n">
        <v>0</v>
      </c>
      <c r="H4340" t="n">
        <v>0</v>
      </c>
      <c r="I4340" s="3" t="n">
        <v>0</v>
      </c>
      <c r="J4340" s="3" t="n">
        <v>0</v>
      </c>
      <c r="K4340" s="3" t="n">
        <v>0</v>
      </c>
      <c r="L4340" s="3">
        <f>IF(K4340&lt;-5,"CRÍTICO",IF(K4340&lt;0,"ATENÇÃO",IF(K4340&lt;=5,"OPORTUNO","MUITO BOM")))</f>
        <v/>
      </c>
      <c r="N4340" t="n">
        <v>98.66</v>
      </c>
      <c r="O4340" t="n">
        <v>35.15625</v>
      </c>
    </row>
    <row r="4341" hidden="1">
      <c r="A4341" s="11" t="n">
        <v>46140</v>
      </c>
      <c r="B4341" t="inlineStr">
        <is>
          <t>Ana Karollyne Souza Faria</t>
        </is>
      </c>
      <c r="C4341" t="inlineStr">
        <is>
          <t>Técnico I</t>
        </is>
      </c>
      <c r="D4341" t="n">
        <v>26</v>
      </c>
      <c r="E4341" t="n">
        <v>24</v>
      </c>
      <c r="F4341" t="n">
        <v>19.19</v>
      </c>
      <c r="G4341" t="n">
        <v>0</v>
      </c>
      <c r="H4341" t="n">
        <v>0</v>
      </c>
      <c r="I4341" s="3">
        <f>E4341+G4341+H4341</f>
        <v/>
      </c>
      <c r="J4341" s="3">
        <f>ROUND(MIN(IF(C4341="Técnico III",35,IF(C4341="Técnico II",28,IF(C4341="Técnico I",23,IF(C4341="JR",20,IF(C4341="Estágio",10,0))))),IF(C4341="Técnico III",SUMIFS($D:$D,$A:$A,$A4341,$B:$B,"&lt;&gt;Patrícia Karla de Sousa Araújo",$B:$B,"&lt;&gt;Lorena Dias de Araujo",$B:$B,"&lt;&gt;Lucas Luiz Romero")*(35/1083),IF(C4341="Técnico II",SUMIFS($D:$D,$A:$A,$A4341,$B:$B,"&lt;&gt;Patrícia Karla de Sousa Araújo",$B:$B,"&lt;&gt;Lorena Dias de Araujo",$B:$B,"&lt;&gt;Lucas Luiz Romero")*(28/1083),IF(C4341="Técnico I",SUMIFS($D:$D,$A:$A,$A4341,$B:$B,"&lt;&gt;Patrícia Karla de Sousa Araújo",$B:$B,"&lt;&gt;Lorena Dias de Araujo",$B:$B,"&lt;&gt;Lucas Luiz Romero")*(23/1083),IF(C4341="JR",SUMIFS($D:$D,$A:$A,$A4341,$B:$B,"&lt;&gt;Patrícia Karla de Sousa Araújo",$B:$B,"&lt;&gt;Lorena Dias de Araujo",$B:$B,"&lt;&gt;Lucas Luiz Romero")*(20/1083),IF(C4341="Estágio",SUMIFS($D:$D,$A:$A,$A4341,$B:$B,"&lt;&gt;Patrícia Karla de Sousa Araújo",$B:$B,"&lt;&gt;Lorena Dias de Araujo",$B:$B,"&lt;&gt;Lucas Luiz Romero")*(10/1083),0)))))),0)</f>
        <v/>
      </c>
      <c r="K4341" s="3">
        <f>I4341-J4341</f>
        <v/>
      </c>
      <c r="L4341" s="3">
        <f>IF(K4341&lt;-5,"CRÍTICO",IF(K4341&lt;0,"ATENÇÃO",IF(K4341&lt;=5,"OPORTUNO","MUITO BOM")))</f>
        <v/>
      </c>
      <c r="N4341" t="n">
        <v>99.31999999999999</v>
      </c>
      <c r="O4341" t="n">
        <v>30.45186640471513</v>
      </c>
    </row>
    <row r="4342" hidden="1">
      <c r="A4342" s="11" t="n">
        <v>46140</v>
      </c>
      <c r="B4342" t="inlineStr">
        <is>
          <t>Ana Paula Da Luz Silva Aleixo</t>
        </is>
      </c>
      <c r="C4342" t="inlineStr">
        <is>
          <t>Técnico III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100</v>
      </c>
      <c r="O4342" t="n">
        <v>27.80373831775701</v>
      </c>
    </row>
    <row r="4343" hidden="1">
      <c r="A4343" s="11" t="n">
        <v>46140</v>
      </c>
      <c r="B4343" t="inlineStr">
        <is>
          <t>Anna Luiza Rezende Tavares</t>
        </is>
      </c>
      <c r="C4343" t="inlineStr">
        <is>
          <t>Estágio</t>
        </is>
      </c>
      <c r="D4343" t="n">
        <v>27</v>
      </c>
      <c r="E4343" t="n">
        <v>27</v>
      </c>
      <c r="F4343" t="n">
        <v>20.5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96.73999999999999</v>
      </c>
      <c r="O4343" t="n">
        <v>28.43137254901961</v>
      </c>
    </row>
    <row r="4344" hidden="1">
      <c r="A4344" s="11" t="n">
        <v>46140</v>
      </c>
      <c r="B4344" t="inlineStr">
        <is>
          <t>Brenda de Menezes Silva</t>
        </is>
      </c>
      <c r="C4344" t="inlineStr">
        <is>
          <t>Técnico II</t>
        </is>
      </c>
      <c r="D4344" t="n">
        <v>34</v>
      </c>
      <c r="E4344" t="n">
        <v>34</v>
      </c>
      <c r="F4344" t="n">
        <v>13.45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46140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25.57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46140</v>
      </c>
      <c r="B4346" t="inlineStr">
        <is>
          <t>Claudio de Sousa Velasco Filho</t>
        </is>
      </c>
      <c r="C4346" t="inlineStr">
        <is>
          <t>Estágio</t>
        </is>
      </c>
      <c r="D4346" t="n">
        <v>10</v>
      </c>
      <c r="E4346" t="n">
        <v>9</v>
      </c>
      <c r="F4346" t="n">
        <v>13.36</v>
      </c>
      <c r="G4346" t="n">
        <v>0</v>
      </c>
      <c r="H4346" t="n">
        <v>0</v>
      </c>
      <c r="I4346" s="3">
        <f>E4346+G4346+H4346</f>
        <v/>
      </c>
      <c r="J4346" s="3">
        <f>ROUND(MIN(IF(C4346="Técnico III",35,IF(C4346="Técnico II",28,IF(C4346="Técnico I",23,IF(C4346="JR",20,IF(C4346="Estágio",10,0))))),IF(C4346="Técnico III",SUMIFS($D:$D,$A:$A,$A4346,$B:$B,"&lt;&gt;Patrícia Karla de Sousa Araújo",$B:$B,"&lt;&gt;Lorena Dias de Araujo",$B:$B,"&lt;&gt;Lucas Luiz Romero")*(35/1083),IF(C4346="Técnico II",SUMIFS($D:$D,$A:$A,$A4346,$B:$B,"&lt;&gt;Patrícia Karla de Sousa Araújo",$B:$B,"&lt;&gt;Lorena Dias de Araujo",$B:$B,"&lt;&gt;Lucas Luiz Romero")*(28/1083),IF(C4346="Técnico I",SUMIFS($D:$D,$A:$A,$A4346,$B:$B,"&lt;&gt;Patrícia Karla de Sousa Araújo",$B:$B,"&lt;&gt;Lorena Dias de Araujo",$B:$B,"&lt;&gt;Lucas Luiz Romero")*(23/1083),IF(C4346="JR",SUMIFS($D:$D,$A:$A,$A4346,$B:$B,"&lt;&gt;Patrícia Karla de Sousa Araújo",$B:$B,"&lt;&gt;Lorena Dias de Araujo",$B:$B,"&lt;&gt;Lucas Luiz Romero")*(20/1083),IF(C4346="Estágio",SUMIFS($D:$D,$A:$A,$A4346,$B:$B,"&lt;&gt;Patrícia Karla de Sousa Araújo",$B:$B,"&lt;&gt;Lorena Dias de Araujo",$B:$B,"&lt;&gt;Lucas Luiz Romero")*(10/1083),0)))))),0)</f>
        <v/>
      </c>
      <c r="K4346" s="3">
        <f>I4346-J4346</f>
        <v/>
      </c>
      <c r="L4346" s="3">
        <f>IF(K4346&lt;-5,"CRÍTICO",IF(K4346&lt;0,"ATENÇÃO",IF(K4346&lt;=5,"OPORTUNO","MUITO BOM")))</f>
        <v/>
      </c>
      <c r="N4346" t="n">
        <v>100</v>
      </c>
      <c r="O4346" t="n">
        <v>23.13432835820895</v>
      </c>
    </row>
    <row r="4347" hidden="1">
      <c r="A4347" s="11" t="n">
        <v>46140</v>
      </c>
      <c r="B4347" t="inlineStr">
        <is>
          <t>Clessiane Pereira dos Santos</t>
        </is>
      </c>
      <c r="C4347" t="inlineStr">
        <is>
          <t>Técnico I</t>
        </is>
      </c>
      <c r="D4347" t="n">
        <v>27</v>
      </c>
      <c r="E4347" t="n">
        <v>26</v>
      </c>
      <c r="F4347" t="n">
        <v>15.4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96.3</v>
      </c>
      <c r="O4347" t="n">
        <v>31.98090692124105</v>
      </c>
    </row>
    <row r="4348" hidden="1">
      <c r="A4348" s="11" t="n">
        <v>46140</v>
      </c>
      <c r="B4348" t="inlineStr">
        <is>
          <t>Cristiane Ramos da Silva Rocha</t>
        </is>
      </c>
      <c r="C4348" t="inlineStr">
        <is>
          <t>Técnico III</t>
        </is>
      </c>
      <c r="D4348" t="n">
        <v>28</v>
      </c>
      <c r="E4348" t="n">
        <v>24</v>
      </c>
      <c r="F4348" t="n">
        <v>15.03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93.75</v>
      </c>
      <c r="O4348" t="n">
        <v>26.62835249042146</v>
      </c>
    </row>
    <row r="4349" hidden="1">
      <c r="A4349" s="11" t="n">
        <v>46140</v>
      </c>
      <c r="B4349" t="inlineStr">
        <is>
          <t>Damyllis Lorraine de Oliveira Gonçalves</t>
        </is>
      </c>
      <c r="C4349" t="inlineStr">
        <is>
          <t>Técnico II</t>
        </is>
      </c>
      <c r="D4349" t="n">
        <v>0</v>
      </c>
      <c r="E4349" t="n">
        <v>0</v>
      </c>
      <c r="F4349" t="n">
        <v>0</v>
      </c>
      <c r="G4349" t="n">
        <v>0</v>
      </c>
      <c r="H4349" t="n">
        <v>0</v>
      </c>
      <c r="I4349" s="3" t="n">
        <v>0</v>
      </c>
      <c r="J4349" s="3" t="n">
        <v>0</v>
      </c>
      <c r="K4349" s="3" t="n">
        <v>0</v>
      </c>
      <c r="L4349" s="3">
        <f>IF(K4349&lt;-5,"CRÍTICO",IF(K4349&lt;0,"ATENÇÃO",IF(K4349&lt;=5,"OPORTUNO","MUITO BOM")))</f>
        <v/>
      </c>
      <c r="N4349" t="n">
        <v>97.86</v>
      </c>
      <c r="O4349" t="n">
        <v>31.01851851851852</v>
      </c>
    </row>
    <row r="4350" hidden="1">
      <c r="A4350" s="11" t="n">
        <v>46140</v>
      </c>
      <c r="B4350" t="inlineStr">
        <is>
          <t>Daniel Gomes da Silva</t>
        </is>
      </c>
      <c r="C4350" t="inlineStr">
        <is>
          <t>Técnico I</t>
        </is>
      </c>
      <c r="D4350" t="n">
        <v>17</v>
      </c>
      <c r="E4350" t="n">
        <v>17</v>
      </c>
      <c r="F4350" t="n">
        <v>17.23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100</v>
      </c>
      <c r="O4350" t="n">
        <v>36.23188405797102</v>
      </c>
    </row>
    <row r="4351" hidden="1">
      <c r="A4351" s="11" t="n">
        <v>46140</v>
      </c>
      <c r="B4351" t="inlineStr">
        <is>
          <t>Davylla Rodrigues Freitas Silva</t>
        </is>
      </c>
      <c r="C4351" t="inlineStr">
        <is>
          <t>Técnico III</t>
        </is>
      </c>
      <c r="D4351" t="n">
        <v>0</v>
      </c>
      <c r="E4351" t="n">
        <v>0</v>
      </c>
      <c r="F4351" t="n">
        <v>0</v>
      </c>
      <c r="G4351" t="n">
        <v>0</v>
      </c>
      <c r="H4351" t="n">
        <v>0</v>
      </c>
      <c r="I4351" s="3" t="n">
        <v>0</v>
      </c>
      <c r="J4351" s="3" t="n">
        <v>0</v>
      </c>
      <c r="K4351" s="3" t="n">
        <v>0</v>
      </c>
      <c r="L4351" s="3">
        <f>IF(K4351&lt;-5,"CRÍTICO",IF(K4351&lt;0,"ATENÇÃO",IF(K4351&lt;=5,"OPORTUNO","MUITO BOM")))</f>
        <v/>
      </c>
      <c r="N4351" t="n">
        <v>100</v>
      </c>
      <c r="O4351" t="n">
        <v>38.26923076923077</v>
      </c>
    </row>
    <row r="4352" hidden="1">
      <c r="A4352" s="11" t="n">
        <v>46140</v>
      </c>
      <c r="B4352" t="inlineStr">
        <is>
          <t>Emilly Caylane Costa</t>
        </is>
      </c>
      <c r="C4352" t="inlineStr">
        <is>
          <t>Estágio</t>
        </is>
      </c>
      <c r="D4352" t="n">
        <v>8</v>
      </c>
      <c r="E4352" t="n">
        <v>6</v>
      </c>
      <c r="F4352" t="n">
        <v>39.18</v>
      </c>
      <c r="G4352" t="n">
        <v>0</v>
      </c>
      <c r="H4352" t="n">
        <v>0</v>
      </c>
      <c r="I4352" s="3">
        <f>E4352+G4352+H4352</f>
        <v/>
      </c>
      <c r="J4352" s="3">
        <f>ROUND(MIN(IF(C4352="Técnico III",35,IF(C4352="Técnico II",28,IF(C4352="Técnico I",23,IF(C4352="JR",20,IF(C4352="Estágio",10,0))))),IF(C4352="Técnico III",SUMIFS($D:$D,$A:$A,$A4352,$B:$B,"&lt;&gt;Patrícia Karla de Sousa Araújo",$B:$B,"&lt;&gt;Lorena Dias de Araujo",$B:$B,"&lt;&gt;Lucas Luiz Romero")*(35/1083),IF(C4352="Técnico II",SUMIFS($D:$D,$A:$A,$A4352,$B:$B,"&lt;&gt;Patrícia Karla de Sousa Araújo",$B:$B,"&lt;&gt;Lorena Dias de Araujo",$B:$B,"&lt;&gt;Lucas Luiz Romero")*(28/1083),IF(C4352="Técnico I",SUMIFS($D:$D,$A:$A,$A4352,$B:$B,"&lt;&gt;Patrícia Karla de Sousa Araújo",$B:$B,"&lt;&gt;Lorena Dias de Araujo",$B:$B,"&lt;&gt;Lucas Luiz Romero")*(23/1083),IF(C4352="JR",SUMIFS($D:$D,$A:$A,$A4352,$B:$B,"&lt;&gt;Patrícia Karla de Sousa Araújo",$B:$B,"&lt;&gt;Lorena Dias de Araujo",$B:$B,"&lt;&gt;Lucas Luiz Romero")*(20/1083),IF(C4352="Estágio",SUMIFS($D:$D,$A:$A,$A4352,$B:$B,"&lt;&gt;Patrícia Karla de Sousa Araújo",$B:$B,"&lt;&gt;Lorena Dias de Araujo",$B:$B,"&lt;&gt;Lucas Luiz Romero")*(10/1083),0)))))),0)</f>
        <v/>
      </c>
      <c r="K4352" s="3">
        <f>I4352-J4352</f>
        <v/>
      </c>
      <c r="L4352" s="3">
        <f>IF(K4352&lt;-5,"CRÍTICO",IF(K4352&lt;0,"ATENÇÃO",IF(K4352&lt;=5,"OPORTUNO","MUITO BOM")))</f>
        <v/>
      </c>
      <c r="N4352" t="n">
        <v>100</v>
      </c>
      <c r="O4352" t="n">
        <v>27.36842105263158</v>
      </c>
    </row>
    <row r="4353" hidden="1">
      <c r="A4353" s="11" t="n">
        <v>46140</v>
      </c>
      <c r="B4353" t="inlineStr">
        <is>
          <t>Emilly Kamilly Medeiros Miranda</t>
        </is>
      </c>
      <c r="C4353" t="inlineStr">
        <is>
          <t>Técnico II</t>
        </is>
      </c>
      <c r="D4353" t="n">
        <v>27</v>
      </c>
      <c r="E4353" t="n">
        <v>27</v>
      </c>
      <c r="F4353" t="n">
        <v>18.35</v>
      </c>
      <c r="G4353" t="n">
        <v>0</v>
      </c>
      <c r="H4353" t="n">
        <v>0</v>
      </c>
      <c r="I4353" s="3">
        <f>E4353+G4353+H4353</f>
        <v/>
      </c>
      <c r="J4353" s="3">
        <f>ROUND(MIN(IF(C4353="Técnico III",35,IF(C4353="Técnico II",28,IF(C4353="Técnico I",23,IF(C4353="JR",20,IF(C4353="Estágio",10,0))))),IF(C4353="Técnico III",SUMIFS($D:$D,$A:$A,$A4353,$B:$B,"&lt;&gt;Patrícia Karla de Sousa Araújo",$B:$B,"&lt;&gt;Lorena Dias de Araujo",$B:$B,"&lt;&gt;Lucas Luiz Romero")*(35/1083),IF(C4353="Técnico II",SUMIFS($D:$D,$A:$A,$A4353,$B:$B,"&lt;&gt;Patrícia Karla de Sousa Araújo",$B:$B,"&lt;&gt;Lorena Dias de Araujo",$B:$B,"&lt;&gt;Lucas Luiz Romero")*(28/1083),IF(C4353="Técnico I",SUMIFS($D:$D,$A:$A,$A4353,$B:$B,"&lt;&gt;Patrícia Karla de Sousa Araújo",$B:$B,"&lt;&gt;Lorena Dias de Araujo",$B:$B,"&lt;&gt;Lucas Luiz Romero")*(23/1083),IF(C4353="JR",SUMIFS($D:$D,$A:$A,$A4353,$B:$B,"&lt;&gt;Patrícia Karla de Sousa Araújo",$B:$B,"&lt;&gt;Lorena Dias de Araujo",$B:$B,"&lt;&gt;Lucas Luiz Romero")*(20/1083),IF(C4353="Estágio",SUMIFS($D:$D,$A:$A,$A4353,$B:$B,"&lt;&gt;Patrícia Karla de Sousa Araújo",$B:$B,"&lt;&gt;Lorena Dias de Araujo",$B:$B,"&lt;&gt;Lucas Luiz Romero")*(10/1083),0)))))),0)</f>
        <v/>
      </c>
      <c r="K4353" s="3">
        <f>I4353-J4353</f>
        <v/>
      </c>
      <c r="L4353" s="3">
        <f>IF(K4353&lt;-5,"CRÍTICO",IF(K4353&lt;0,"ATENÇÃO",IF(K4353&lt;=5,"OPORTUNO","MUITO BOM")))</f>
        <v/>
      </c>
      <c r="N4353" t="n">
        <v>97.83</v>
      </c>
      <c r="O4353" t="n">
        <v>28.13186813186813</v>
      </c>
    </row>
    <row r="4354" hidden="1">
      <c r="A4354" s="11" t="n">
        <v>46140</v>
      </c>
      <c r="B4354" t="inlineStr">
        <is>
          <t>Francielson de Oliveira</t>
        </is>
      </c>
      <c r="C4354" t="inlineStr">
        <is>
          <t>Técnico III</t>
        </is>
      </c>
      <c r="D4354" t="n">
        <v>32</v>
      </c>
      <c r="E4354" t="n">
        <v>31</v>
      </c>
      <c r="F4354" t="n">
        <v>18.49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99.26000000000001</v>
      </c>
      <c r="O4354" t="n">
        <v>29.57198443579767</v>
      </c>
    </row>
    <row r="4355" hidden="1">
      <c r="A4355" s="11" t="n">
        <v>46140</v>
      </c>
      <c r="B4355" t="inlineStr">
        <is>
          <t>Francilene Ferreira de Jesus</t>
        </is>
      </c>
      <c r="C4355" t="inlineStr">
        <is>
          <t>Técnico II</t>
        </is>
      </c>
      <c r="D4355" t="n">
        <v>29</v>
      </c>
      <c r="E4355" t="n">
        <v>25</v>
      </c>
      <c r="F4355" t="n">
        <v>20.23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99.19</v>
      </c>
      <c r="O4355" t="n">
        <v>29.46236559139785</v>
      </c>
    </row>
    <row r="4356" hidden="1">
      <c r="A4356" s="10" t="n">
        <v>46164</v>
      </c>
      <c r="B4356" s="6" t="inlineStr">
        <is>
          <t>Gabriel Gomes de Andrade</t>
        </is>
      </c>
      <c r="C4356" s="3" t="inlineStr">
        <is>
          <t>Técnico I</t>
        </is>
      </c>
      <c r="D4356" s="3" t="n">
        <v>8</v>
      </c>
      <c r="E4356" s="3" t="n">
        <v>7</v>
      </c>
      <c r="F4356" s="3" t="n">
        <v>18.34</v>
      </c>
      <c r="G4356" s="3" t="n">
        <v>0</v>
      </c>
      <c r="H4356" s="3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M4356" s="3" t="n">
        <v>7</v>
      </c>
      <c r="N4356" s="3" t="n">
        <v>98.8</v>
      </c>
      <c r="O4356" s="3" t="n">
        <v>15.41353383458646</v>
      </c>
    </row>
    <row r="4357" hidden="1">
      <c r="A4357" s="11" t="n">
        <v>46140</v>
      </c>
      <c r="B4357" t="inlineStr">
        <is>
          <t>Isabella Borges de Oliveira</t>
        </is>
      </c>
      <c r="C4357" t="inlineStr">
        <is>
          <t>Técnico II</t>
        </is>
      </c>
      <c r="D4357" t="n">
        <v>37</v>
      </c>
      <c r="E4357" t="n">
        <v>36</v>
      </c>
      <c r="F4357" t="n">
        <v>15.51</v>
      </c>
      <c r="G4357" t="n">
        <v>0</v>
      </c>
      <c r="H4357" t="n">
        <v>0</v>
      </c>
      <c r="I4357" s="3">
        <f>E4357+G4357+H4357</f>
        <v/>
      </c>
      <c r="J4357" s="3">
        <f>ROUND(MIN(IF(C4357="Técnico III",35,IF(C4357="Técnico II",28,IF(C4357="Técnico I",23,IF(C4357="JR",20,IF(C4357="Estágio",10,0))))),IF(C4357="Técnico III",SUMIFS($D:$D,$A:$A,$A4357,$B:$B,"&lt;&gt;Patrícia Karla de Sousa Araújo",$B:$B,"&lt;&gt;Lorena Dias de Araujo",$B:$B,"&lt;&gt;Lucas Luiz Romero")*(35/1083),IF(C4357="Técnico II",SUMIFS($D:$D,$A:$A,$A4357,$B:$B,"&lt;&gt;Patrícia Karla de Sousa Araújo",$B:$B,"&lt;&gt;Lorena Dias de Araujo",$B:$B,"&lt;&gt;Lucas Luiz Romero")*(28/1083),IF(C4357="Técnico I",SUMIFS($D:$D,$A:$A,$A4357,$B:$B,"&lt;&gt;Patrícia Karla de Sousa Araújo",$B:$B,"&lt;&gt;Lorena Dias de Araujo",$B:$B,"&lt;&gt;Lucas Luiz Romero")*(23/1083),IF(C4357="JR",SUMIFS($D:$D,$A:$A,$A4357,$B:$B,"&lt;&gt;Patrícia Karla de Sousa Araújo",$B:$B,"&lt;&gt;Lorena Dias de Araujo",$B:$B,"&lt;&gt;Lucas Luiz Romero")*(20/1083),IF(C4357="Estágio",SUMIFS($D:$D,$A:$A,$A4357,$B:$B,"&lt;&gt;Patrícia Karla de Sousa Araújo",$B:$B,"&lt;&gt;Lorena Dias de Araujo",$B:$B,"&lt;&gt;Lucas Luiz Romero")*(10/1083),0)))))),0)</f>
        <v/>
      </c>
      <c r="K4357" s="3">
        <f>I4357-J4357</f>
        <v/>
      </c>
      <c r="L4357" s="3">
        <f>IF(K4357&lt;-5,"CRÍTICO",IF(K4357&lt;0,"ATENÇÃO",IF(K4357&lt;=5,"OPORTUNO","MUITO BOM")))</f>
        <v/>
      </c>
      <c r="N4357" t="n">
        <v>100</v>
      </c>
      <c r="O4357" t="n">
        <v>27.94117647058824</v>
      </c>
    </row>
    <row r="4358" hidden="1">
      <c r="A4358" s="11" t="n">
        <v>46140</v>
      </c>
      <c r="B4358" t="inlineStr">
        <is>
          <t>Janaina Lima dos Reis Urany</t>
        </is>
      </c>
      <c r="C4358" t="inlineStr">
        <is>
          <t>Técnico III</t>
        </is>
      </c>
      <c r="D4358" t="n">
        <v>38</v>
      </c>
      <c r="E4358" t="n">
        <v>35</v>
      </c>
      <c r="F4358" t="n">
        <v>16.57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99.56999999999999</v>
      </c>
      <c r="O4358" t="n">
        <v>29.91329479768786</v>
      </c>
    </row>
    <row r="4359" hidden="1">
      <c r="A4359" s="11" t="n">
        <v>46140</v>
      </c>
      <c r="B4359" t="inlineStr">
        <is>
          <t>Jaqueline Evangelista da Silva Martins</t>
        </is>
      </c>
      <c r="C4359" t="inlineStr">
        <is>
          <t>Técnico III</t>
        </is>
      </c>
      <c r="D4359" t="n">
        <v>28</v>
      </c>
      <c r="E4359" t="n">
        <v>28</v>
      </c>
      <c r="F4359" t="n">
        <v>14.08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95.65000000000001</v>
      </c>
      <c r="O4359" t="n">
        <v>31.08108108108108</v>
      </c>
    </row>
    <row r="4360" hidden="1">
      <c r="A4360" s="11" t="n">
        <v>46140</v>
      </c>
      <c r="B4360" t="inlineStr">
        <is>
          <t>Jessica Faria da Silveira</t>
        </is>
      </c>
      <c r="C4360" t="inlineStr">
        <is>
          <t>Técnico II</t>
        </is>
      </c>
      <c r="D4360" t="n">
        <v>29</v>
      </c>
      <c r="E4360" t="n">
        <v>25</v>
      </c>
      <c r="F4360" t="n">
        <v>17.3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98.81</v>
      </c>
      <c r="O4360" t="n">
        <v>26.25698324022346</v>
      </c>
    </row>
    <row r="4361" hidden="1">
      <c r="A4361" s="11" t="n">
        <v>46140</v>
      </c>
      <c r="B4361" t="inlineStr">
        <is>
          <t>Jéssica Fé Moura</t>
        </is>
      </c>
      <c r="C4361" t="inlineStr">
        <is>
          <t>Técnico III</t>
        </is>
      </c>
      <c r="D4361" t="n">
        <v>0</v>
      </c>
      <c r="E4361" t="n">
        <v>0</v>
      </c>
      <c r="F4361" t="n">
        <v>0</v>
      </c>
      <c r="G4361" t="n">
        <v>0</v>
      </c>
      <c r="H4361" t="n">
        <v>0</v>
      </c>
      <c r="I4361" s="3" t="n">
        <v>0</v>
      </c>
      <c r="J4361" s="3" t="n">
        <v>0</v>
      </c>
      <c r="K4361" s="3" t="n">
        <v>0</v>
      </c>
      <c r="L4361" s="3">
        <f>IF(K4361&lt;-5,"CRÍTICO",IF(K4361&lt;0,"ATENÇÃO",IF(K4361&lt;=5,"OPORTUNO","MUITO BOM")))</f>
        <v/>
      </c>
      <c r="N4361" t="n">
        <v>0</v>
      </c>
      <c r="O4361" t="n">
        <v>0</v>
      </c>
    </row>
    <row r="4362" hidden="1">
      <c r="A4362" s="11" t="n">
        <v>46140</v>
      </c>
      <c r="B4362" t="inlineStr">
        <is>
          <t>Karina Gonçalves Martins</t>
        </is>
      </c>
      <c r="C4362" t="inlineStr">
        <is>
          <t>JR</t>
        </is>
      </c>
      <c r="D4362" t="n">
        <v>27</v>
      </c>
      <c r="E4362" t="n">
        <v>25</v>
      </c>
      <c r="F4362" t="n">
        <v>16.48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97.17</v>
      </c>
      <c r="O4362" t="n">
        <v>28.81844380403458</v>
      </c>
    </row>
    <row r="4363" hidden="1">
      <c r="A4363" s="11" t="n">
        <v>46140</v>
      </c>
      <c r="B4363" t="inlineStr">
        <is>
          <t>Kerollen Cristielly de Jesus Siqueira</t>
        </is>
      </c>
      <c r="C4363" t="inlineStr">
        <is>
          <t>Técnico III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96.81</v>
      </c>
      <c r="O4363" t="n">
        <v>48.01864801864802</v>
      </c>
    </row>
    <row r="4364" hidden="1">
      <c r="A4364" s="11" t="n">
        <v>46140</v>
      </c>
      <c r="B4364" t="inlineStr">
        <is>
          <t>Leandro de Souza Silva</t>
        </is>
      </c>
      <c r="C4364" t="inlineStr">
        <is>
          <t>JR</t>
        </is>
      </c>
      <c r="D4364" t="n">
        <v>17</v>
      </c>
      <c r="E4364" t="n">
        <v>14</v>
      </c>
      <c r="F4364" t="n">
        <v>22.19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98.15000000000001</v>
      </c>
      <c r="O4364" t="n">
        <v>27.1551724137931</v>
      </c>
    </row>
    <row r="4365" hidden="1">
      <c r="A4365" s="11" t="n">
        <v>46140</v>
      </c>
      <c r="B4365" t="inlineStr">
        <is>
          <t>Leandro Oliveira de Sousa</t>
        </is>
      </c>
      <c r="C4365" t="inlineStr">
        <is>
          <t>Técnico III</t>
        </is>
      </c>
      <c r="D4365" t="n">
        <v>29</v>
      </c>
      <c r="E4365" t="n">
        <v>28</v>
      </c>
      <c r="F4365" t="n">
        <v>17.31</v>
      </c>
      <c r="G4365" t="n">
        <v>0</v>
      </c>
      <c r="H4365" t="n">
        <v>0</v>
      </c>
      <c r="I4365" s="3">
        <f>E4365+G4365+H4365</f>
        <v/>
      </c>
      <c r="J4365" s="3">
        <f>ROUND(MIN(IF(C4365="Técnico III",35,IF(C4365="Técnico II",28,IF(C4365="Técnico I",23,IF(C4365="JR",20,IF(C4365="Estágio",10,0))))),IF(C4365="Técnico III",SUMIFS($D:$D,$A:$A,$A4365,$B:$B,"&lt;&gt;Patrícia Karla de Sousa Araújo",$B:$B,"&lt;&gt;Lorena Dias de Araujo",$B:$B,"&lt;&gt;Lucas Luiz Romero")*(35/1083),IF(C4365="Técnico II",SUMIFS($D:$D,$A:$A,$A4365,$B:$B,"&lt;&gt;Patrícia Karla de Sousa Araújo",$B:$B,"&lt;&gt;Lorena Dias de Araujo",$B:$B,"&lt;&gt;Lucas Luiz Romero")*(28/1083),IF(C4365="Técnico I",SUMIFS($D:$D,$A:$A,$A4365,$B:$B,"&lt;&gt;Patrícia Karla de Sousa Araújo",$B:$B,"&lt;&gt;Lorena Dias de Araujo",$B:$B,"&lt;&gt;Lucas Luiz Romero")*(23/1083),IF(C4365="JR",SUMIFS($D:$D,$A:$A,$A4365,$B:$B,"&lt;&gt;Patrícia Karla de Sousa Araújo",$B:$B,"&lt;&gt;Lorena Dias de Araujo",$B:$B,"&lt;&gt;Lucas Luiz Romero")*(20/1083),IF(C4365="Estágio",SUMIFS($D:$D,$A:$A,$A4365,$B:$B,"&lt;&gt;Patrícia Karla de Sousa Araújo",$B:$B,"&lt;&gt;Lorena Dias de Araujo",$B:$B,"&lt;&gt;Lucas Luiz Romero")*(10/1083),0)))))),0)</f>
        <v/>
      </c>
      <c r="K4365" s="3">
        <f>I4365-J4365</f>
        <v/>
      </c>
      <c r="L4365" s="3">
        <f>IF(K4365&lt;-5,"CRÍTICO",IF(K4365&lt;0,"ATENÇÃO",IF(K4365&lt;=5,"OPORTUNO","MUITO BOM")))</f>
        <v/>
      </c>
      <c r="N4365" t="n">
        <v>99.15000000000001</v>
      </c>
      <c r="O4365" t="n">
        <v>27.37068965517241</v>
      </c>
    </row>
    <row r="4366" hidden="1">
      <c r="A4366" s="11" t="n">
        <v>46140</v>
      </c>
      <c r="B4366" t="inlineStr">
        <is>
          <t>Lizandra Gomes Duarte</t>
        </is>
      </c>
      <c r="C4366" t="inlineStr">
        <is>
          <t>Técnico II</t>
        </is>
      </c>
      <c r="D4366" t="n">
        <v>20</v>
      </c>
      <c r="E4366" t="n">
        <v>19</v>
      </c>
      <c r="F4366" t="n">
        <v>21.45</v>
      </c>
      <c r="G4366" t="n">
        <v>0</v>
      </c>
      <c r="H4366" t="n">
        <v>0</v>
      </c>
      <c r="I4366" s="3">
        <f>E4366+G4366+H4366</f>
        <v/>
      </c>
      <c r="J4366" s="3">
        <f>ROUND(MIN(IF(C4366="Técnico III",35,IF(C4366="Técnico II",28,IF(C4366="Técnico I",23,IF(C4366="JR",20,IF(C4366="Estágio",10,0))))),IF(C4366="Técnico III",SUMIFS($D:$D,$A:$A,$A4366,$B:$B,"&lt;&gt;Patrícia Karla de Sousa Araújo",$B:$B,"&lt;&gt;Lorena Dias de Araujo",$B:$B,"&lt;&gt;Lucas Luiz Romero")*(35/1083),IF(C4366="Técnico II",SUMIFS($D:$D,$A:$A,$A4366,$B:$B,"&lt;&gt;Patrícia Karla de Sousa Araújo",$B:$B,"&lt;&gt;Lorena Dias de Araujo",$B:$B,"&lt;&gt;Lucas Luiz Romero")*(28/1083),IF(C4366="Técnico I",SUMIFS($D:$D,$A:$A,$A4366,$B:$B,"&lt;&gt;Patrícia Karla de Sousa Araújo",$B:$B,"&lt;&gt;Lorena Dias de Araujo",$B:$B,"&lt;&gt;Lucas Luiz Romero")*(23/1083),IF(C4366="JR",SUMIFS($D:$D,$A:$A,$A4366,$B:$B,"&lt;&gt;Patrícia Karla de Sousa Araújo",$B:$B,"&lt;&gt;Lorena Dias de Araujo",$B:$B,"&lt;&gt;Lucas Luiz Romero")*(20/1083),IF(C4366="Estágio",SUMIFS($D:$D,$A:$A,$A4366,$B:$B,"&lt;&gt;Patrícia Karla de Sousa Araújo",$B:$B,"&lt;&gt;Lorena Dias de Araujo",$B:$B,"&lt;&gt;Lucas Luiz Romero")*(10/1083),0)))))),0)</f>
        <v/>
      </c>
      <c r="K4366" s="3">
        <f>I4366-J4366</f>
        <v/>
      </c>
      <c r="L4366" s="3">
        <f>IF(K4366&lt;-5,"CRÍTICO",IF(K4366&lt;0,"ATENÇÃO",IF(K4366&lt;=5,"OPORTUNO","MUITO BOM")))</f>
        <v/>
      </c>
      <c r="N4366" t="n">
        <v>99.17</v>
      </c>
      <c r="O4366" t="n">
        <v>29.75206611570248</v>
      </c>
    </row>
    <row r="4367" hidden="1">
      <c r="A4367" s="11" t="n">
        <v>46140</v>
      </c>
      <c r="B4367" t="inlineStr">
        <is>
          <t>Lorena Dias de Araujo</t>
        </is>
      </c>
      <c r="C4367" t="inlineStr">
        <is>
          <t>Técnico II</t>
        </is>
      </c>
      <c r="D4367" t="n">
        <v>0</v>
      </c>
      <c r="E4367" t="n">
        <v>0</v>
      </c>
      <c r="F4367" t="n">
        <v>0</v>
      </c>
      <c r="G4367" t="n">
        <v>0</v>
      </c>
      <c r="H4367" t="n">
        <v>0</v>
      </c>
      <c r="I4367" s="3" t="n">
        <v>0</v>
      </c>
      <c r="J4367" s="3" t="n">
        <v>0</v>
      </c>
      <c r="K4367" s="3" t="n">
        <v>0</v>
      </c>
      <c r="L4367" s="3">
        <f>IF(K4367&lt;-5,"CRÍTICO",IF(K4367&lt;0,"ATENÇÃO",IF(K4367&lt;=5,"OPORTUNO","MUITO BOM")))</f>
        <v/>
      </c>
      <c r="N4367" t="n">
        <v>98.73</v>
      </c>
      <c r="O4367" t="n">
        <v>28.96174863387978</v>
      </c>
    </row>
    <row r="4368" hidden="1">
      <c r="A4368" s="11" t="n">
        <v>46140</v>
      </c>
      <c r="B4368" t="inlineStr">
        <is>
          <t>Lucas Luiz Romero</t>
        </is>
      </c>
      <c r="C4368" t="inlineStr">
        <is>
          <t>Técnico III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s="3" t="n">
        <v>0</v>
      </c>
      <c r="J4368" s="3" t="n">
        <v>0</v>
      </c>
      <c r="K4368" s="3" t="n">
        <v>0</v>
      </c>
      <c r="L4368" s="3">
        <f>IF(K4368&lt;-5,"CRÍTICO",IF(K4368&lt;0,"ATENÇÃO",IF(K4368&lt;=5,"OPORTUNO","MUITO BOM")))</f>
        <v/>
      </c>
      <c r="N4368" t="n">
        <v>88.68000000000001</v>
      </c>
      <c r="O4368" t="n">
        <v>22.03389830508474</v>
      </c>
    </row>
    <row r="4369" hidden="1">
      <c r="A4369" s="11" t="n">
        <v>46140</v>
      </c>
      <c r="B4369" t="inlineStr">
        <is>
          <t>Luiz Fernando de Carvalho Junior</t>
        </is>
      </c>
      <c r="C4369" t="inlineStr">
        <is>
          <t>Técnico I</t>
        </is>
      </c>
      <c r="D4369" t="n">
        <v>20</v>
      </c>
      <c r="E4369" t="n">
        <v>19</v>
      </c>
      <c r="F4369" t="n">
        <v>20.09</v>
      </c>
      <c r="G4369" t="n">
        <v>0</v>
      </c>
      <c r="H4369" t="n">
        <v>0</v>
      </c>
      <c r="I4369" s="3">
        <f>E4369+G4369+H4369</f>
        <v/>
      </c>
      <c r="J4369" s="3">
        <f>ROUND(MIN(IF(C4369="Técnico III",35,IF(C4369="Técnico II",28,IF(C4369="Técnico I",23,IF(C4369="JR",20,IF(C4369="Estágio",10,0))))),IF(C4369="Técnico III",SUMIFS($D:$D,$A:$A,$A4369,$B:$B,"&lt;&gt;Patrícia Karla de Sousa Araújo",$B:$B,"&lt;&gt;Lorena Dias de Araujo",$B:$B,"&lt;&gt;Lucas Luiz Romero")*(35/1083),IF(C4369="Técnico II",SUMIFS($D:$D,$A:$A,$A4369,$B:$B,"&lt;&gt;Patrícia Karla de Sousa Araújo",$B:$B,"&lt;&gt;Lorena Dias de Araujo",$B:$B,"&lt;&gt;Lucas Luiz Romero")*(28/1083),IF(C4369="Técnico I",SUMIFS($D:$D,$A:$A,$A4369,$B:$B,"&lt;&gt;Patrícia Karla de Sousa Araújo",$B:$B,"&lt;&gt;Lorena Dias de Araujo",$B:$B,"&lt;&gt;Lucas Luiz Romero")*(23/1083),IF(C4369="JR",SUMIFS($D:$D,$A:$A,$A4369,$B:$B,"&lt;&gt;Patrícia Karla de Sousa Araújo",$B:$B,"&lt;&gt;Lorena Dias de Araujo",$B:$B,"&lt;&gt;Lucas Luiz Romero")*(20/1083),IF(C4369="Estágio",SUMIFS($D:$D,$A:$A,$A4369,$B:$B,"&lt;&gt;Patrícia Karla de Sousa Araújo",$B:$B,"&lt;&gt;Lorena Dias de Araujo",$B:$B,"&lt;&gt;Lucas Luiz Romero")*(10/1083),0)))))),0)</f>
        <v/>
      </c>
      <c r="K4369" s="3">
        <f>I4369-J4369</f>
        <v/>
      </c>
      <c r="L4369" s="3">
        <f>IF(K4369&lt;-5,"CRÍTICO",IF(K4369&lt;0,"ATENÇÃO",IF(K4369&lt;=5,"OPORTUNO","MUITO BOM")))</f>
        <v/>
      </c>
      <c r="N4369" t="n">
        <v>97.37</v>
      </c>
      <c r="O4369" t="n">
        <v>25.76530612244898</v>
      </c>
    </row>
    <row r="4370" hidden="1">
      <c r="A4370" s="11" t="n">
        <v>46140</v>
      </c>
      <c r="B4370" t="inlineStr">
        <is>
          <t>Maria Eduarda Sousa Costa</t>
        </is>
      </c>
      <c r="C4370" t="inlineStr">
        <is>
          <t>Estágio</t>
        </is>
      </c>
      <c r="D4370" t="n">
        <v>78</v>
      </c>
      <c r="E4370" t="n">
        <v>47</v>
      </c>
      <c r="F4370" t="n">
        <v>5.47</v>
      </c>
      <c r="G4370" t="n">
        <v>0</v>
      </c>
      <c r="H4370" t="n">
        <v>0</v>
      </c>
      <c r="I4370" s="3">
        <f>E4370+G4370+H4370</f>
        <v/>
      </c>
      <c r="J4370" s="3">
        <f>ROUND(MIN(IF(C4370="Técnico III",35,IF(C4370="Técnico II",28,IF(C4370="Técnico I",23,IF(C4370="JR",20,IF(C4370="Estágio",10,0))))),IF(C4370="Técnico III",SUMIFS($D:$D,$A:$A,$A4370,$B:$B,"&lt;&gt;Patrícia Karla de Sousa Araújo",$B:$B,"&lt;&gt;Lorena Dias de Araujo",$B:$B,"&lt;&gt;Lucas Luiz Romero")*(35/1083),IF(C4370="Técnico II",SUMIFS($D:$D,$A:$A,$A4370,$B:$B,"&lt;&gt;Patrícia Karla de Sousa Araújo",$B:$B,"&lt;&gt;Lorena Dias de Araujo",$B:$B,"&lt;&gt;Lucas Luiz Romero")*(28/1083),IF(C4370="Técnico I",SUMIFS($D:$D,$A:$A,$A4370,$B:$B,"&lt;&gt;Patrícia Karla de Sousa Araújo",$B:$B,"&lt;&gt;Lorena Dias de Araujo",$B:$B,"&lt;&gt;Lucas Luiz Romero")*(23/1083),IF(C4370="JR",SUMIFS($D:$D,$A:$A,$A4370,$B:$B,"&lt;&gt;Patrícia Karla de Sousa Araújo",$B:$B,"&lt;&gt;Lorena Dias de Araujo",$B:$B,"&lt;&gt;Lucas Luiz Romero")*(20/1083),IF(C4370="Estágio",SUMIFS($D:$D,$A:$A,$A4370,$B:$B,"&lt;&gt;Patrícia Karla de Sousa Araújo",$B:$B,"&lt;&gt;Lorena Dias de Araujo",$B:$B,"&lt;&gt;Lucas Luiz Romero")*(10/1083),0)))))),0)</f>
        <v/>
      </c>
      <c r="K4370" s="3">
        <f>I4370-J4370</f>
        <v/>
      </c>
      <c r="L4370" s="3">
        <f>IF(K4370&lt;-5,"CRÍTICO",IF(K4370&lt;0,"ATENÇÃO",IF(K4370&lt;=5,"OPORTUNO","MUITO BOM")))</f>
        <v/>
      </c>
      <c r="N4370" t="n">
        <v>100</v>
      </c>
      <c r="O4370" t="n">
        <v>25</v>
      </c>
    </row>
    <row r="4371" hidden="1">
      <c r="A4371" s="11" t="n">
        <v>46140</v>
      </c>
      <c r="B4371" t="inlineStr">
        <is>
          <t>Matheus Farias De Souza</t>
        </is>
      </c>
      <c r="C4371" t="inlineStr">
        <is>
          <t>Técnico III</t>
        </is>
      </c>
      <c r="D4371" t="n">
        <v>35</v>
      </c>
      <c r="E4371" t="n">
        <v>34</v>
      </c>
      <c r="F4371" t="n">
        <v>15.13</v>
      </c>
      <c r="G4371" t="n">
        <v>0</v>
      </c>
      <c r="H4371" t="n">
        <v>0</v>
      </c>
      <c r="I4371" s="3">
        <f>E4371+G4371+H4371</f>
        <v/>
      </c>
      <c r="J4371" s="3">
        <f>ROUND(MIN(IF(C4371="Técnico III",35,IF(C4371="Técnico II",28,IF(C4371="Técnico I",23,IF(C4371="JR",20,IF(C4371="Estágio",10,0))))),IF(C4371="Técnico III",SUMIFS($D:$D,$A:$A,$A4371,$B:$B,"&lt;&gt;Patrícia Karla de Sousa Araújo",$B:$B,"&lt;&gt;Lorena Dias de Araujo",$B:$B,"&lt;&gt;Lucas Luiz Romero")*(35/1083),IF(C4371="Técnico II",SUMIFS($D:$D,$A:$A,$A4371,$B:$B,"&lt;&gt;Patrícia Karla de Sousa Araújo",$B:$B,"&lt;&gt;Lorena Dias de Araujo",$B:$B,"&lt;&gt;Lucas Luiz Romero")*(28/1083),IF(C4371="Técnico I",SUMIFS($D:$D,$A:$A,$A4371,$B:$B,"&lt;&gt;Patrícia Karla de Sousa Araújo",$B:$B,"&lt;&gt;Lorena Dias de Araujo",$B:$B,"&lt;&gt;Lucas Luiz Romero")*(23/1083),IF(C4371="JR",SUMIFS($D:$D,$A:$A,$A4371,$B:$B,"&lt;&gt;Patrícia Karla de Sousa Araújo",$B:$B,"&lt;&gt;Lorena Dias de Araujo",$B:$B,"&lt;&gt;Lucas Luiz Romero")*(20/1083),IF(C4371="Estágio",SUMIFS($D:$D,$A:$A,$A4371,$B:$B,"&lt;&gt;Patrícia Karla de Sousa Araújo",$B:$B,"&lt;&gt;Lorena Dias de Araujo",$B:$B,"&lt;&gt;Lucas Luiz Romero")*(10/1083),0)))))),0)</f>
        <v/>
      </c>
      <c r="K4371" s="3">
        <f>I4371-J4371</f>
        <v/>
      </c>
      <c r="L4371" s="3">
        <f>IF(K4371&lt;-5,"CRÍTICO",IF(K4371&lt;0,"ATENÇÃO",IF(K4371&lt;=5,"OPORTUNO","MUITO BOM")))</f>
        <v/>
      </c>
      <c r="N4371" t="n">
        <v>100</v>
      </c>
      <c r="O4371" t="n">
        <v>23.9870340356564</v>
      </c>
    </row>
    <row r="4372" hidden="1">
      <c r="A4372" s="11" t="n">
        <v>46140</v>
      </c>
      <c r="B4372" t="inlineStr">
        <is>
          <t>Maysa Victoria Dias Moura</t>
        </is>
      </c>
      <c r="C4372" t="inlineStr">
        <is>
          <t>Técnico III</t>
        </is>
      </c>
      <c r="D4372" t="n">
        <v>38</v>
      </c>
      <c r="E4372" t="n">
        <v>32</v>
      </c>
      <c r="F4372" t="n">
        <v>12.32</v>
      </c>
      <c r="G4372" t="n">
        <v>0</v>
      </c>
      <c r="H4372" t="n">
        <v>0</v>
      </c>
      <c r="I4372" s="3">
        <f>E4372+G4372+H4372</f>
        <v/>
      </c>
      <c r="J4372" s="3">
        <f>ROUND(MIN(IF(C4372="Técnico III",35,IF(C4372="Técnico II",28,IF(C4372="Técnico I",23,IF(C4372="JR",20,IF(C4372="Estágio",10,0))))),IF(C4372="Técnico III",SUMIFS($D:$D,$A:$A,$A4372,$B:$B,"&lt;&gt;Patrícia Karla de Sousa Araújo",$B:$B,"&lt;&gt;Lorena Dias de Araujo",$B:$B,"&lt;&gt;Lucas Luiz Romero")*(35/1083),IF(C4372="Técnico II",SUMIFS($D:$D,$A:$A,$A4372,$B:$B,"&lt;&gt;Patrícia Karla de Sousa Araújo",$B:$B,"&lt;&gt;Lorena Dias de Araujo",$B:$B,"&lt;&gt;Lucas Luiz Romero")*(28/1083),IF(C4372="Técnico I",SUMIFS($D:$D,$A:$A,$A4372,$B:$B,"&lt;&gt;Patrícia Karla de Sousa Araújo",$B:$B,"&lt;&gt;Lorena Dias de Araujo",$B:$B,"&lt;&gt;Lucas Luiz Romero")*(23/1083),IF(C4372="JR",SUMIFS($D:$D,$A:$A,$A4372,$B:$B,"&lt;&gt;Patrícia Karla de Sousa Araújo",$B:$B,"&lt;&gt;Lorena Dias de Araujo",$B:$B,"&lt;&gt;Lucas Luiz Romero")*(20/1083),IF(C4372="Estágio",SUMIFS($D:$D,$A:$A,$A4372,$B:$B,"&lt;&gt;Patrícia Karla de Sousa Araújo",$B:$B,"&lt;&gt;Lorena Dias de Araujo",$B:$B,"&lt;&gt;Lucas Luiz Romero")*(10/1083),0)))))),0)</f>
        <v/>
      </c>
      <c r="K4372" s="3">
        <f>I4372-J4372</f>
        <v/>
      </c>
      <c r="L4372" s="3">
        <f>IF(K4372&lt;-5,"CRÍTICO",IF(K4372&lt;0,"ATENÇÃO",IF(K4372&lt;=5,"OPORTUNO","MUITO BOM")))</f>
        <v/>
      </c>
      <c r="N4372" t="n">
        <v>95.48999999999999</v>
      </c>
      <c r="O4372" t="n">
        <v>28.16901408450704</v>
      </c>
    </row>
    <row r="4373" hidden="1">
      <c r="A4373" s="11" t="n">
        <v>46140</v>
      </c>
      <c r="B4373" t="inlineStr">
        <is>
          <t>Michelle G Santos</t>
        </is>
      </c>
      <c r="C4373" t="inlineStr">
        <is>
          <t>Estágio</t>
        </is>
      </c>
      <c r="D4373" t="n">
        <v>13</v>
      </c>
      <c r="E4373" t="n">
        <v>13</v>
      </c>
      <c r="F4373" t="n">
        <v>25.28</v>
      </c>
      <c r="G4373" t="n">
        <v>0</v>
      </c>
      <c r="H4373" t="n">
        <v>0</v>
      </c>
      <c r="I4373" s="3">
        <f>E4373+G4373+H4373</f>
        <v/>
      </c>
      <c r="J4373" s="3">
        <f>ROUND(MIN(IF(C4373="Técnico III",35,IF(C4373="Técnico II",28,IF(C4373="Técnico I",23,IF(C4373="JR",20,IF(C4373="Estágio",10,0))))),IF(C4373="Técnico III",SUMIFS($D:$D,$A:$A,$A4373,$B:$B,"&lt;&gt;Patrícia Karla de Sousa Araújo",$B:$B,"&lt;&gt;Lorena Dias de Araujo",$B:$B,"&lt;&gt;Lucas Luiz Romero")*(35/1083),IF(C4373="Técnico II",SUMIFS($D:$D,$A:$A,$A4373,$B:$B,"&lt;&gt;Patrícia Karla de Sousa Araújo",$B:$B,"&lt;&gt;Lorena Dias de Araujo",$B:$B,"&lt;&gt;Lucas Luiz Romero")*(28/1083),IF(C4373="Técnico I",SUMIFS($D:$D,$A:$A,$A4373,$B:$B,"&lt;&gt;Patrícia Karla de Sousa Araújo",$B:$B,"&lt;&gt;Lorena Dias de Araujo",$B:$B,"&lt;&gt;Lucas Luiz Romero")*(23/1083),IF(C4373="JR",SUMIFS($D:$D,$A:$A,$A4373,$B:$B,"&lt;&gt;Patrícia Karla de Sousa Araújo",$B:$B,"&lt;&gt;Lorena Dias de Araujo",$B:$B,"&lt;&gt;Lucas Luiz Romero")*(20/1083),IF(C4373="Estágio",SUMIFS($D:$D,$A:$A,$A4373,$B:$B,"&lt;&gt;Patrícia Karla de Sousa Araújo",$B:$B,"&lt;&gt;Lorena Dias de Araujo",$B:$B,"&lt;&gt;Lucas Luiz Romero")*(10/1083),0)))))),0)</f>
        <v/>
      </c>
      <c r="K4373" s="3">
        <f>I4373-J4373</f>
        <v/>
      </c>
      <c r="L4373" s="3">
        <f>IF(K4373&lt;-5,"CRÍTICO",IF(K4373&lt;0,"ATENÇÃO",IF(K4373&lt;=5,"OPORTUNO","MUITO BOM")))</f>
        <v/>
      </c>
      <c r="N4373" t="n">
        <v>100</v>
      </c>
      <c r="O4373" t="n">
        <v>23.77622377622378</v>
      </c>
    </row>
    <row r="4374" hidden="1">
      <c r="A4374" s="11" t="n">
        <v>46140</v>
      </c>
      <c r="B4374" t="inlineStr">
        <is>
          <t>Milena Sales</t>
        </is>
      </c>
      <c r="C4374" t="inlineStr">
        <is>
          <t>JR</t>
        </is>
      </c>
      <c r="D4374" t="n">
        <v>28</v>
      </c>
      <c r="E4374" t="n">
        <v>18</v>
      </c>
      <c r="F4374" t="n">
        <v>15.03</v>
      </c>
      <c r="G4374" t="n">
        <v>0</v>
      </c>
      <c r="H4374" t="n">
        <v>0</v>
      </c>
      <c r="I4374" s="3">
        <f>E4374+G4374+H4374</f>
        <v/>
      </c>
      <c r="J4374" s="3">
        <f>ROUND(MIN(IF(C4374="Técnico III",35,IF(C4374="Técnico II",28,IF(C4374="Técnico I",23,IF(C4374="JR",20,IF(C4374="Estágio",10,0))))),IF(C4374="Técnico III",SUMIFS($D:$D,$A:$A,$A4374,$B:$B,"&lt;&gt;Patrícia Karla de Sousa Araújo",$B:$B,"&lt;&gt;Lorena Dias de Araujo",$B:$B,"&lt;&gt;Lucas Luiz Romero")*(35/1083),IF(C4374="Técnico II",SUMIFS($D:$D,$A:$A,$A4374,$B:$B,"&lt;&gt;Patrícia Karla de Sousa Araújo",$B:$B,"&lt;&gt;Lorena Dias de Araujo",$B:$B,"&lt;&gt;Lucas Luiz Romero")*(28/1083),IF(C4374="Técnico I",SUMIFS($D:$D,$A:$A,$A4374,$B:$B,"&lt;&gt;Patrícia Karla de Sousa Araújo",$B:$B,"&lt;&gt;Lorena Dias de Araujo",$B:$B,"&lt;&gt;Lucas Luiz Romero")*(23/1083),IF(C4374="JR",SUMIFS($D:$D,$A:$A,$A4374,$B:$B,"&lt;&gt;Patrícia Karla de Sousa Araújo",$B:$B,"&lt;&gt;Lorena Dias de Araujo",$B:$B,"&lt;&gt;Lucas Luiz Romero")*(20/1083),IF(C4374="Estágio",SUMIFS($D:$D,$A:$A,$A4374,$B:$B,"&lt;&gt;Patrícia Karla de Sousa Araújo",$B:$B,"&lt;&gt;Lorena Dias de Araujo",$B:$B,"&lt;&gt;Lucas Luiz Romero")*(10/1083),0)))))),0)</f>
        <v/>
      </c>
      <c r="K4374" s="3">
        <f>I4374-J4374</f>
        <v/>
      </c>
      <c r="L4374" s="3">
        <f>IF(K4374&lt;-5,"CRÍTICO",IF(K4374&lt;0,"ATENÇÃO",IF(K4374&lt;=5,"OPORTUNO","MUITO BOM")))</f>
        <v/>
      </c>
      <c r="N4374" t="n">
        <v>96.15000000000001</v>
      </c>
      <c r="O4374" t="n">
        <v>24.04580152671756</v>
      </c>
    </row>
    <row r="4375" hidden="1">
      <c r="A4375" s="11" t="n">
        <v>46140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s="3" t="n">
        <v>0</v>
      </c>
      <c r="J4375" s="3" t="n">
        <v>0</v>
      </c>
      <c r="K4375" s="3" t="n">
        <v>0</v>
      </c>
      <c r="L4375" s="3">
        <f>IF(K4375&lt;-5,"CRÍTICO",IF(K4375&lt;0,"ATENÇÃO",IF(K4375&lt;=5,"OPORTUNO","MUITO BOM")))</f>
        <v/>
      </c>
      <c r="N4375" t="n">
        <v>99.02</v>
      </c>
      <c r="O4375" t="n">
        <v>34.7972972972973</v>
      </c>
    </row>
    <row r="4376" hidden="1">
      <c r="A4376" s="11" t="n">
        <v>46140</v>
      </c>
      <c r="B4376" t="inlineStr">
        <is>
          <t>Paulo Ricardo Santos</t>
        </is>
      </c>
      <c r="C4376" t="inlineStr">
        <is>
          <t>JR</t>
        </is>
      </c>
      <c r="D4376" t="n">
        <v>23</v>
      </c>
      <c r="E4376" t="n">
        <v>22</v>
      </c>
      <c r="F4376" t="n">
        <v>17.08</v>
      </c>
      <c r="G4376" t="n">
        <v>0</v>
      </c>
      <c r="H4376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IF(K4376&lt;-5,"CRÍTICO",IF(K4376&lt;0,"ATENÇÃO",IF(K4376&lt;=5,"OPORTUNO","MUITO BOM")))</f>
        <v/>
      </c>
      <c r="N4376" t="n">
        <v>98.84</v>
      </c>
      <c r="O4376" t="n">
        <v>31.5018315018315</v>
      </c>
    </row>
    <row r="4377" hidden="1">
      <c r="A4377" s="11" t="n">
        <v>46140</v>
      </c>
      <c r="B4377" t="inlineStr">
        <is>
          <t>Pedro Luiz Mota Sousa</t>
        </is>
      </c>
      <c r="C4377" t="inlineStr">
        <is>
          <t>JR</t>
        </is>
      </c>
      <c r="D4377" t="n">
        <v>19</v>
      </c>
      <c r="E4377" t="n">
        <v>19</v>
      </c>
      <c r="F4377" t="n">
        <v>17.21</v>
      </c>
      <c r="G4377" t="n">
        <v>0</v>
      </c>
      <c r="H4377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IF(K4377&lt;-5,"CRÍTICO",IF(K4377&lt;0,"ATENÇÃO",IF(K4377&lt;=5,"OPORTUNO","MUITO BOM")))</f>
        <v/>
      </c>
      <c r="N4377" t="n">
        <v>100</v>
      </c>
      <c r="O4377" t="n">
        <v>34.66666666666667</v>
      </c>
    </row>
    <row r="4378" hidden="1">
      <c r="A4378" s="11" t="n">
        <v>46140</v>
      </c>
      <c r="B4378" t="inlineStr">
        <is>
          <t>Quirino Diogo Leite Torres</t>
        </is>
      </c>
      <c r="C4378" t="inlineStr">
        <is>
          <t>Estágio</t>
        </is>
      </c>
      <c r="D4378" t="n">
        <v>13</v>
      </c>
      <c r="E4378" t="n">
        <v>13</v>
      </c>
      <c r="F4378" t="n">
        <v>33.2</v>
      </c>
      <c r="G4378" t="n">
        <v>0</v>
      </c>
      <c r="H4378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IF(K4378&lt;-5,"CRÍTICO",IF(K4378&lt;0,"ATENÇÃO",IF(K4378&lt;=5,"OPORTUNO","MUITO BOM")))</f>
        <v/>
      </c>
      <c r="N4378" t="n">
        <v>94.12</v>
      </c>
      <c r="O4378" t="n">
        <v>32.8</v>
      </c>
    </row>
    <row r="4379" hidden="1">
      <c r="A4379" s="11" t="n">
        <v>46140</v>
      </c>
      <c r="B4379" t="inlineStr">
        <is>
          <t>Raane Batista Matos</t>
        </is>
      </c>
      <c r="C4379" t="inlineStr">
        <is>
          <t>Técnico I</t>
        </is>
      </c>
      <c r="D4379" t="n">
        <v>36</v>
      </c>
      <c r="E4379" t="n">
        <v>30</v>
      </c>
      <c r="F4379" t="n">
        <v>13.43</v>
      </c>
      <c r="G4379" t="n">
        <v>0</v>
      </c>
      <c r="H4379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IF(K4379&lt;-5,"CRÍTICO",IF(K4379&lt;0,"ATENÇÃO",IF(K4379&lt;=5,"OPORTUNO","MUITO BOM")))</f>
        <v/>
      </c>
      <c r="N4379" t="n">
        <v>98.31999999999999</v>
      </c>
      <c r="O4379" t="n">
        <v>26.61870503597122</v>
      </c>
    </row>
    <row r="4380" hidden="1">
      <c r="A4380" s="11" t="n">
        <v>46140</v>
      </c>
      <c r="B4380" t="inlineStr">
        <is>
          <t>Rafael Gomes de Morais</t>
        </is>
      </c>
      <c r="C4380" t="inlineStr">
        <is>
          <t>Técnico III</t>
        </is>
      </c>
      <c r="D4380" t="n">
        <v>43</v>
      </c>
      <c r="E4380" t="n">
        <v>39</v>
      </c>
      <c r="F4380" t="n">
        <v>12.1</v>
      </c>
      <c r="G4380" t="n">
        <v>0</v>
      </c>
      <c r="H4380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IF(K4380&lt;-5,"CRÍTICO",IF(K4380&lt;0,"ATENÇÃO",IF(K4380&lt;=5,"OPORTUNO","MUITO BOM")))</f>
        <v/>
      </c>
      <c r="N4380" t="n">
        <v>100</v>
      </c>
      <c r="O4380" t="n">
        <v>31.13553113553114</v>
      </c>
    </row>
    <row r="4381" hidden="1">
      <c r="A4381" s="11" t="n">
        <v>46140</v>
      </c>
      <c r="B4381" t="inlineStr">
        <is>
          <t>Sara Maria Monteiro Lopes</t>
        </is>
      </c>
      <c r="C4381" t="inlineStr">
        <is>
          <t>Técnico I</t>
        </is>
      </c>
      <c r="D4381" t="n">
        <v>25</v>
      </c>
      <c r="E4381" t="n">
        <v>25</v>
      </c>
      <c r="F4381" t="n">
        <v>20.47</v>
      </c>
      <c r="G4381" t="n">
        <v>0</v>
      </c>
      <c r="H4381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IF(K4381&lt;-5,"CRÍTICO",IF(K4381&lt;0,"ATENÇÃO",IF(K4381&lt;=5,"OPORTUNO","MUITO BOM")))</f>
        <v/>
      </c>
      <c r="N4381" t="n">
        <v>100</v>
      </c>
      <c r="O4381" t="n">
        <v>26.02739726027397</v>
      </c>
    </row>
    <row r="4382" hidden="1">
      <c r="A4382" s="11" t="n">
        <v>46140</v>
      </c>
      <c r="B4382" t="inlineStr">
        <is>
          <t>Sarah Steffanie de Lima Borges</t>
        </is>
      </c>
      <c r="C4382" t="inlineStr">
        <is>
          <t>Técnico III</t>
        </is>
      </c>
      <c r="D4382" t="n">
        <v>30</v>
      </c>
      <c r="E4382" t="n">
        <v>28</v>
      </c>
      <c r="F4382" t="n">
        <v>17.33</v>
      </c>
      <c r="G4382" t="n">
        <v>0</v>
      </c>
      <c r="H4382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IF(K4382&lt;-5,"CRÍTICO",IF(K4382&lt;0,"ATENÇÃO",IF(K4382&lt;=5,"OPORTUNO","MUITO BOM")))</f>
        <v/>
      </c>
      <c r="N4382" t="n">
        <v>99.20999999999999</v>
      </c>
      <c r="O4382" t="n">
        <v>24.93702770780856</v>
      </c>
    </row>
    <row r="4383" hidden="1">
      <c r="A4383" s="11" t="n">
        <v>46141</v>
      </c>
      <c r="B4383" t="inlineStr">
        <is>
          <t>Alisson de Freitas Silva</t>
        </is>
      </c>
      <c r="C4383" t="inlineStr">
        <is>
          <t>Técnico II</t>
        </is>
      </c>
      <c r="D4383" t="n">
        <v>43</v>
      </c>
      <c r="E4383" t="n">
        <v>35</v>
      </c>
      <c r="F4383" t="n">
        <v>10.15</v>
      </c>
      <c r="G4383" t="n">
        <v>0</v>
      </c>
      <c r="H438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IF(K4383&lt;-5,"CRÍTICO",IF(K4383&lt;0,"ATENÇÃO",IF(K4383&lt;=5,"OPORTUNO","MUITO BOM")))</f>
        <v/>
      </c>
      <c r="N4383" t="n">
        <v>100</v>
      </c>
      <c r="O4383" t="n">
        <v>32.76450511945392</v>
      </c>
    </row>
    <row r="4384" hidden="1">
      <c r="A4384" s="11" t="n">
        <v>46141</v>
      </c>
      <c r="B4384" t="inlineStr">
        <is>
          <t>Amanda Moura Ferreira</t>
        </is>
      </c>
      <c r="C4384" t="inlineStr">
        <is>
          <t>Técnico III</t>
        </is>
      </c>
      <c r="D4384" t="n">
        <v>0</v>
      </c>
      <c r="E4384" t="n">
        <v>0</v>
      </c>
      <c r="F4384" t="n">
        <v>0</v>
      </c>
      <c r="G4384" t="n">
        <v>0</v>
      </c>
      <c r="H4384" t="n">
        <v>0</v>
      </c>
      <c r="I4384" s="3" t="n">
        <v>0</v>
      </c>
      <c r="J4384" s="3" t="n">
        <v>0</v>
      </c>
      <c r="K4384" s="3" t="n">
        <v>0</v>
      </c>
      <c r="L4384" s="3">
        <f>IF(K4384&lt;-5,"CRÍTICO",IF(K4384&lt;0,"ATENÇÃO",IF(K4384&lt;=5,"OPORTUNO","MUITO BOM")))</f>
        <v/>
      </c>
      <c r="N4384" t="n">
        <v>98.66</v>
      </c>
      <c r="O4384" t="n">
        <v>35.15625</v>
      </c>
    </row>
    <row r="4385" hidden="1">
      <c r="A4385" s="11" t="n">
        <v>46141</v>
      </c>
      <c r="B4385" t="inlineStr">
        <is>
          <t>Ana Karollyne Souza Faria</t>
        </is>
      </c>
      <c r="C4385" t="inlineStr">
        <is>
          <t>Técnico I</t>
        </is>
      </c>
      <c r="D4385" t="n">
        <v>33</v>
      </c>
      <c r="E4385" t="n">
        <v>29</v>
      </c>
      <c r="F4385" t="n">
        <v>20.25</v>
      </c>
      <c r="G4385" t="n">
        <v>0</v>
      </c>
      <c r="H4385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IF(K4385&lt;-5,"CRÍTICO",IF(K4385&lt;0,"ATENÇÃO",IF(K4385&lt;=5,"OPORTUNO","MUITO BOM")))</f>
        <v/>
      </c>
      <c r="N4385" t="n">
        <v>99.31999999999999</v>
      </c>
      <c r="O4385" t="n">
        <v>30.45186640471513</v>
      </c>
    </row>
    <row r="4386" hidden="1">
      <c r="A4386" s="11" t="n">
        <v>46141</v>
      </c>
      <c r="B4386" t="inlineStr">
        <is>
          <t>Ana Paula Da Luz Silva Aleixo</t>
        </is>
      </c>
      <c r="C4386" t="inlineStr">
        <is>
          <t>Técnico III</t>
        </is>
      </c>
      <c r="D4386" t="n">
        <v>0</v>
      </c>
      <c r="E4386" t="n">
        <v>0</v>
      </c>
      <c r="F4386" t="n">
        <v>0</v>
      </c>
      <c r="G4386" t="n">
        <v>0</v>
      </c>
      <c r="H4386" t="n">
        <v>0</v>
      </c>
      <c r="I4386" s="3" t="n">
        <v>0</v>
      </c>
      <c r="J4386" s="3" t="n">
        <v>0</v>
      </c>
      <c r="K4386" s="3" t="n">
        <v>0</v>
      </c>
      <c r="L4386" s="3">
        <f>IF(K4386&lt;-5,"CRÍTICO",IF(K4386&lt;0,"ATENÇÃO",IF(K4386&lt;=5,"OPORTUNO","MUITO BOM")))</f>
        <v/>
      </c>
      <c r="N4386" t="n">
        <v>100</v>
      </c>
      <c r="O4386" t="n">
        <v>27.80373831775701</v>
      </c>
    </row>
    <row r="4387" hidden="1">
      <c r="A4387" s="11" t="n">
        <v>46141</v>
      </c>
      <c r="B4387" t="inlineStr">
        <is>
          <t>Anna Luiza Rezende Tavares</t>
        </is>
      </c>
      <c r="C4387" t="inlineStr">
        <is>
          <t>Estágio</t>
        </is>
      </c>
      <c r="D4387" t="n">
        <v>34</v>
      </c>
      <c r="E4387" t="n">
        <v>31</v>
      </c>
      <c r="F4387" t="n">
        <v>15.45</v>
      </c>
      <c r="G4387" t="n">
        <v>0</v>
      </c>
      <c r="H4387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IF(K4387&lt;-5,"CRÍTICO",IF(K4387&lt;0,"ATENÇÃO",IF(K4387&lt;=5,"OPORTUNO","MUITO BOM")))</f>
        <v/>
      </c>
      <c r="N4387" t="n">
        <v>96.73999999999999</v>
      </c>
      <c r="O4387" t="n">
        <v>28.43137254901961</v>
      </c>
    </row>
    <row r="4388" hidden="1">
      <c r="A4388" s="11" t="n">
        <v>46141</v>
      </c>
      <c r="B4388" t="inlineStr">
        <is>
          <t>Brenda de Menezes Silva</t>
        </is>
      </c>
      <c r="C4388" t="inlineStr">
        <is>
          <t>Técnico II</t>
        </is>
      </c>
      <c r="D4388" t="n">
        <v>38</v>
      </c>
      <c r="E4388" t="n">
        <v>31</v>
      </c>
      <c r="F4388" t="n">
        <v>11.5</v>
      </c>
      <c r="G4388" t="n">
        <v>0</v>
      </c>
      <c r="H4388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IF(K4388&lt;-5,"CRÍTICO",IF(K4388&lt;0,"ATENÇÃO",IF(K4388&lt;=5,"OPORTUNO","MUITO BOM")))</f>
        <v/>
      </c>
      <c r="N4388" t="n">
        <v>98.81999999999999</v>
      </c>
      <c r="O4388" t="n">
        <v>30.74141048824593</v>
      </c>
    </row>
    <row r="4389" hidden="1">
      <c r="A4389" s="11" t="n">
        <v>46141</v>
      </c>
      <c r="B4389" t="inlineStr">
        <is>
          <t>Carlos Mateus Cassimiro Nunes</t>
        </is>
      </c>
      <c r="C4389" t="inlineStr">
        <is>
          <t>Técnico II</t>
        </is>
      </c>
      <c r="D4389" t="n">
        <v>24</v>
      </c>
      <c r="E4389" t="n">
        <v>23</v>
      </c>
      <c r="F4389" t="n">
        <v>25.46</v>
      </c>
      <c r="G4389" t="n">
        <v>0</v>
      </c>
      <c r="H4389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IF(K4389&lt;-5,"CRÍTICO",IF(K4389&lt;0,"ATENÇÃO",IF(K4389&lt;=5,"OPORTUNO","MUITO BOM")))</f>
        <v/>
      </c>
      <c r="N4389" t="n">
        <v>98.2</v>
      </c>
      <c r="O4389" t="n">
        <v>26.89075630252101</v>
      </c>
    </row>
    <row r="4390" hidden="1">
      <c r="A4390" s="11" t="n">
        <v>46141</v>
      </c>
      <c r="B4390" t="inlineStr">
        <is>
          <t>Claudio de Sousa Velasco Filho</t>
        </is>
      </c>
      <c r="C4390" t="inlineStr">
        <is>
          <t>Estágio</t>
        </is>
      </c>
      <c r="D4390" t="n">
        <v>22</v>
      </c>
      <c r="E4390" t="n">
        <v>17</v>
      </c>
      <c r="F4390" t="n">
        <v>10.53</v>
      </c>
      <c r="G4390" t="n">
        <v>0</v>
      </c>
      <c r="H4390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IF(K4390&lt;-5,"CRÍTICO",IF(K4390&lt;0,"ATENÇÃO",IF(K4390&lt;=5,"OPORTUNO","MUITO BOM")))</f>
        <v/>
      </c>
      <c r="N4390" t="n">
        <v>100</v>
      </c>
      <c r="O4390" t="n">
        <v>23.13432835820895</v>
      </c>
    </row>
    <row r="4391" hidden="1">
      <c r="A4391" s="11" t="n">
        <v>46141</v>
      </c>
      <c r="B4391" t="inlineStr">
        <is>
          <t>Clessiane Pereira dos Santos</t>
        </is>
      </c>
      <c r="C4391" t="inlineStr">
        <is>
          <t>Técnico I</t>
        </is>
      </c>
      <c r="D4391" t="n">
        <v>51</v>
      </c>
      <c r="E4391" t="n">
        <v>13</v>
      </c>
      <c r="F4391" t="n">
        <v>3.26</v>
      </c>
      <c r="G4391" t="n">
        <v>0</v>
      </c>
      <c r="H4391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IF(K4391&lt;-5,"CRÍTICO",IF(K4391&lt;0,"ATENÇÃO",IF(K4391&lt;=5,"OPORTUNO","MUITO BOM")))</f>
        <v/>
      </c>
      <c r="N4391" t="n">
        <v>96.3</v>
      </c>
      <c r="O4391" t="n">
        <v>31.98090692124105</v>
      </c>
    </row>
    <row r="4392" hidden="1">
      <c r="A4392" s="11" t="n">
        <v>46141</v>
      </c>
      <c r="B4392" t="inlineStr">
        <is>
          <t>Cristiane Ramos da Silva Rocha</t>
        </is>
      </c>
      <c r="C4392" t="inlineStr">
        <is>
          <t>Técnico III</t>
        </is>
      </c>
      <c r="D4392" t="n">
        <v>42</v>
      </c>
      <c r="E4392" t="n">
        <v>35</v>
      </c>
      <c r="F4392" t="n">
        <v>10.13</v>
      </c>
      <c r="G4392" t="n">
        <v>0</v>
      </c>
      <c r="H4392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IF(K4392&lt;-5,"CRÍTICO",IF(K4392&lt;0,"ATENÇÃO",IF(K4392&lt;=5,"OPORTUNO","MUITO BOM")))</f>
        <v/>
      </c>
      <c r="N4392" t="n">
        <v>93.75</v>
      </c>
      <c r="O4392" t="n">
        <v>26.62835249042146</v>
      </c>
    </row>
    <row r="4393" hidden="1">
      <c r="A4393" s="11" t="n">
        <v>46141</v>
      </c>
      <c r="B4393" t="inlineStr">
        <is>
          <t>Damyllis Lorraine de Oliveira Gonçalves</t>
        </is>
      </c>
      <c r="C4393" t="inlineStr">
        <is>
          <t>Técnico II</t>
        </is>
      </c>
      <c r="D4393" t="n">
        <v>0</v>
      </c>
      <c r="E4393" t="n">
        <v>0</v>
      </c>
      <c r="F4393" t="n">
        <v>0</v>
      </c>
      <c r="G4393" t="n">
        <v>0</v>
      </c>
      <c r="H4393" t="n">
        <v>0</v>
      </c>
      <c r="I4393" s="3" t="n">
        <v>0</v>
      </c>
      <c r="J4393" s="3" t="n">
        <v>0</v>
      </c>
      <c r="K4393" s="3" t="n">
        <v>0</v>
      </c>
      <c r="L4393" s="3">
        <f>IF(K4393&lt;-5,"CRÍTICO",IF(K4393&lt;0,"ATENÇÃO",IF(K4393&lt;=5,"OPORTUNO","MUITO BOM")))</f>
        <v/>
      </c>
      <c r="N4393" t="n">
        <v>97.86</v>
      </c>
      <c r="O4393" t="n">
        <v>31.01851851851852</v>
      </c>
    </row>
    <row r="4394" hidden="1">
      <c r="A4394" s="11" t="n">
        <v>46141</v>
      </c>
      <c r="B4394" t="inlineStr">
        <is>
          <t>Daniel Gomes da Silva</t>
        </is>
      </c>
      <c r="C4394" t="inlineStr">
        <is>
          <t>Técnico I</t>
        </is>
      </c>
      <c r="D4394" t="n">
        <v>29</v>
      </c>
      <c r="E4394" t="n">
        <v>28</v>
      </c>
      <c r="F4394" t="n">
        <v>18.51</v>
      </c>
      <c r="G4394" t="n">
        <v>0</v>
      </c>
      <c r="H4394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IF(K4394&lt;-5,"CRÍTICO",IF(K4394&lt;0,"ATENÇÃO",IF(K4394&lt;=5,"OPORTUNO","MUITO BOM")))</f>
        <v/>
      </c>
      <c r="N4394" t="n">
        <v>100</v>
      </c>
      <c r="O4394" t="n">
        <v>36.23188405797102</v>
      </c>
    </row>
    <row r="4395" hidden="1">
      <c r="A4395" s="11" t="n">
        <v>46141</v>
      </c>
      <c r="B4395" t="inlineStr">
        <is>
          <t>Davylla Rodrigues Freitas Silva</t>
        </is>
      </c>
      <c r="C4395" t="inlineStr">
        <is>
          <t>Técnico III</t>
        </is>
      </c>
      <c r="D4395" t="n">
        <v>0</v>
      </c>
      <c r="E4395" t="n">
        <v>0</v>
      </c>
      <c r="F4395" t="n">
        <v>0</v>
      </c>
      <c r="G4395" t="n">
        <v>0</v>
      </c>
      <c r="H4395" t="n">
        <v>0</v>
      </c>
      <c r="I4395" s="3" t="n">
        <v>0</v>
      </c>
      <c r="J4395" s="3" t="n">
        <v>0</v>
      </c>
      <c r="K4395" s="3" t="n">
        <v>0</v>
      </c>
      <c r="L4395" s="3">
        <f>IF(K4395&lt;-5,"CRÍTICO",IF(K4395&lt;0,"ATENÇÃO",IF(K4395&lt;=5,"OPORTUNO","MUITO BOM")))</f>
        <v/>
      </c>
      <c r="N4395" t="n">
        <v>100</v>
      </c>
      <c r="O4395" t="n">
        <v>38.26923076923077</v>
      </c>
    </row>
    <row r="4396" hidden="1">
      <c r="A4396" s="11" t="n">
        <v>46141</v>
      </c>
      <c r="B4396" t="inlineStr">
        <is>
          <t>Emilly Caylane Costa</t>
        </is>
      </c>
      <c r="C4396" t="inlineStr">
        <is>
          <t>Estágio</t>
        </is>
      </c>
      <c r="D4396" t="n">
        <v>8</v>
      </c>
      <c r="E4396" t="n">
        <v>8</v>
      </c>
      <c r="F4396" t="n">
        <v>43.36</v>
      </c>
      <c r="G4396" t="n">
        <v>0</v>
      </c>
      <c r="H4396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IF(K4396&lt;-5,"CRÍTICO",IF(K4396&lt;0,"ATENÇÃO",IF(K4396&lt;=5,"OPORTUNO","MUITO BOM")))</f>
        <v/>
      </c>
      <c r="N4396" t="n">
        <v>100</v>
      </c>
      <c r="O4396" t="n">
        <v>27.36842105263158</v>
      </c>
    </row>
    <row r="4397" hidden="1">
      <c r="A4397" s="11" t="n">
        <v>46141</v>
      </c>
      <c r="B4397" t="inlineStr">
        <is>
          <t>Emilly Kamilly Medeiros Miranda</t>
        </is>
      </c>
      <c r="C4397" t="inlineStr">
        <is>
          <t>Técnico II</t>
        </is>
      </c>
      <c r="D4397" t="n">
        <v>31</v>
      </c>
      <c r="E4397" t="n">
        <v>28</v>
      </c>
      <c r="F4397" t="n">
        <v>18.26</v>
      </c>
      <c r="G4397" t="n">
        <v>0</v>
      </c>
      <c r="H4397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IF(K4397&lt;-5,"CRÍTICO",IF(K4397&lt;0,"ATENÇÃO",IF(K4397&lt;=5,"OPORTUNO","MUITO BOM")))</f>
        <v/>
      </c>
      <c r="N4397" t="n">
        <v>97.83</v>
      </c>
      <c r="O4397" t="n">
        <v>28.13186813186813</v>
      </c>
    </row>
    <row r="4398" hidden="1">
      <c r="A4398" s="11" t="n">
        <v>46141</v>
      </c>
      <c r="B4398" t="inlineStr">
        <is>
          <t>Francielson de Oliveira</t>
        </is>
      </c>
      <c r="C4398" t="inlineStr">
        <is>
          <t>Técnico III</t>
        </is>
      </c>
      <c r="D4398" t="n">
        <v>31</v>
      </c>
      <c r="E4398" t="n">
        <v>29</v>
      </c>
      <c r="F4398" t="n">
        <v>16.58</v>
      </c>
      <c r="G4398" t="n">
        <v>0</v>
      </c>
      <c r="H4398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IF(K4398&lt;-5,"CRÍTICO",IF(K4398&lt;0,"ATENÇÃO",IF(K4398&lt;=5,"OPORTUNO","MUITO BOM")))</f>
        <v/>
      </c>
      <c r="N4398" t="n">
        <v>99.26000000000001</v>
      </c>
      <c r="O4398" t="n">
        <v>29.57198443579767</v>
      </c>
    </row>
    <row r="4399" hidden="1">
      <c r="A4399" s="11" t="n">
        <v>46141</v>
      </c>
      <c r="B4399" t="inlineStr">
        <is>
          <t>Francilene Ferreira de Jesus</t>
        </is>
      </c>
      <c r="C4399" t="inlineStr">
        <is>
          <t>Técnico II</t>
        </is>
      </c>
      <c r="D4399" t="n">
        <v>36</v>
      </c>
      <c r="E4399" t="n">
        <v>34</v>
      </c>
      <c r="F4399" t="n">
        <v>15.24</v>
      </c>
      <c r="G4399" t="n">
        <v>0</v>
      </c>
      <c r="H4399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IF(K4399&lt;-5,"CRÍTICO",IF(K4399&lt;0,"ATENÇÃO",IF(K4399&lt;=5,"OPORTUNO","MUITO BOM")))</f>
        <v/>
      </c>
      <c r="N4399" t="n">
        <v>99.19</v>
      </c>
      <c r="O4399" t="n">
        <v>29.46236559139785</v>
      </c>
    </row>
    <row r="4400" hidden="1">
      <c r="A4400" s="11" t="n">
        <v>46167</v>
      </c>
      <c r="B4400" t="inlineStr">
        <is>
          <t>Gabriel Alves</t>
        </is>
      </c>
      <c r="C4400" t="inlineStr">
        <is>
          <t>Estágio</t>
        </is>
      </c>
      <c r="D4400" t="n">
        <v>0</v>
      </c>
      <c r="E4400" t="n">
        <v>0</v>
      </c>
      <c r="F4400" t="n">
        <v>0</v>
      </c>
      <c r="G4400" t="n">
        <v>0</v>
      </c>
      <c r="H4400" t="n">
        <v>0</v>
      </c>
      <c r="I4400" s="3" t="n">
        <v>0</v>
      </c>
      <c r="J4400" s="3" t="n">
        <v>0</v>
      </c>
      <c r="K4400" s="3" t="n">
        <v>0</v>
      </c>
      <c r="L4400" s="3">
        <f>IF(K4400&lt;-5,"CRÍTICO",IF(K4400&lt;0,"ATENÇÃO",IF(K4400&lt;=5,"OPORTUNO","MUITO BOM")))</f>
        <v/>
      </c>
    </row>
    <row r="4401" hidden="1">
      <c r="A4401" s="11" t="n">
        <v>46141</v>
      </c>
      <c r="B4401" t="inlineStr">
        <is>
          <t>Isabella Borges de Oliveira</t>
        </is>
      </c>
      <c r="C4401" t="inlineStr">
        <is>
          <t>Técnico II</t>
        </is>
      </c>
      <c r="D4401" t="n">
        <v>29</v>
      </c>
      <c r="E4401" t="n">
        <v>26</v>
      </c>
      <c r="F4401" t="n">
        <v>18.33</v>
      </c>
      <c r="G4401" t="n">
        <v>0</v>
      </c>
      <c r="H4401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IF(K4401&lt;-5,"CRÍTICO",IF(K4401&lt;0,"ATENÇÃO",IF(K4401&lt;=5,"OPORTUNO","MUITO BOM")))</f>
        <v/>
      </c>
      <c r="N4401" t="n">
        <v>100</v>
      </c>
      <c r="O4401" t="n">
        <v>27.94117647058824</v>
      </c>
    </row>
    <row r="4402" hidden="1">
      <c r="A4402" s="11" t="n">
        <v>46141</v>
      </c>
      <c r="B4402" t="inlineStr">
        <is>
          <t>Janaina Lima dos Reis Urany</t>
        </is>
      </c>
      <c r="C4402" t="inlineStr">
        <is>
          <t>Técnico III</t>
        </is>
      </c>
      <c r="D4402" t="n">
        <v>44</v>
      </c>
      <c r="E4402" t="n">
        <v>40</v>
      </c>
      <c r="F4402" t="n">
        <v>12.14</v>
      </c>
      <c r="G4402" t="n">
        <v>0</v>
      </c>
      <c r="H4402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IF(K4402&lt;-5,"CRÍTICO",IF(K4402&lt;0,"ATENÇÃO",IF(K4402&lt;=5,"OPORTUNO","MUITO BOM")))</f>
        <v/>
      </c>
      <c r="N4402" t="n">
        <v>99.56999999999999</v>
      </c>
      <c r="O4402" t="n">
        <v>29.91329479768786</v>
      </c>
    </row>
    <row r="4403" hidden="1">
      <c r="A4403" s="11" t="n">
        <v>46141</v>
      </c>
      <c r="B4403" t="inlineStr">
        <is>
          <t>Jaqueline Evangelista da Silva Martins</t>
        </is>
      </c>
      <c r="C4403" t="inlineStr">
        <is>
          <t>Técnico III</t>
        </is>
      </c>
      <c r="D4403" t="n">
        <v>22</v>
      </c>
      <c r="E4403" t="n">
        <v>20</v>
      </c>
      <c r="F4403" t="n">
        <v>15.05</v>
      </c>
      <c r="G4403" t="n">
        <v>0</v>
      </c>
      <c r="H440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IF(K4403&lt;-5,"CRÍTICO",IF(K4403&lt;0,"ATENÇÃO",IF(K4403&lt;=5,"OPORTUNO","MUITO BOM")))</f>
        <v/>
      </c>
      <c r="N4403" t="n">
        <v>95.65000000000001</v>
      </c>
      <c r="O4403" t="n">
        <v>31.08108108108108</v>
      </c>
    </row>
    <row r="4404" hidden="1">
      <c r="A4404" s="11" t="n">
        <v>46141</v>
      </c>
      <c r="B4404" t="inlineStr">
        <is>
          <t>Jessica Faria da Silveira</t>
        </is>
      </c>
      <c r="C4404" t="inlineStr">
        <is>
          <t>Técnico II</t>
        </is>
      </c>
      <c r="D4404" t="n">
        <v>39</v>
      </c>
      <c r="E4404" t="n">
        <v>28</v>
      </c>
      <c r="F4404" t="n">
        <v>10.24</v>
      </c>
      <c r="G4404" t="n">
        <v>0</v>
      </c>
      <c r="H4404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IF(K4404&lt;-5,"CRÍTICO",IF(K4404&lt;0,"ATENÇÃO",IF(K4404&lt;=5,"OPORTUNO","MUITO BOM")))</f>
        <v/>
      </c>
      <c r="N4404" t="n">
        <v>98.81</v>
      </c>
      <c r="O4404" t="n">
        <v>26.25698324022346</v>
      </c>
    </row>
    <row r="4405" hidden="1">
      <c r="A4405" s="11" t="n">
        <v>46141</v>
      </c>
      <c r="B4405" t="inlineStr">
        <is>
          <t>Jéssica Fé Moura</t>
        </is>
      </c>
      <c r="C4405" t="inlineStr">
        <is>
          <t>Técnico III</t>
        </is>
      </c>
      <c r="D4405" t="n">
        <v>0</v>
      </c>
      <c r="E4405" t="n">
        <v>0</v>
      </c>
      <c r="F4405" t="n">
        <v>0</v>
      </c>
      <c r="G4405" t="n">
        <v>0</v>
      </c>
      <c r="H4405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IF(K4405&lt;-5,"CRÍTICO",IF(K4405&lt;0,"ATENÇÃO",IF(K4405&lt;=5,"OPORTUNO","MUITO BOM")))</f>
        <v/>
      </c>
      <c r="N4405" t="n">
        <v>0</v>
      </c>
      <c r="O4405" t="n">
        <v>0</v>
      </c>
    </row>
    <row r="4406" hidden="1">
      <c r="A4406" s="11" t="n">
        <v>46141</v>
      </c>
      <c r="B4406" t="inlineStr">
        <is>
          <t>Karina Gonçalves Martins</t>
        </is>
      </c>
      <c r="C4406" t="inlineStr">
        <is>
          <t>JR</t>
        </is>
      </c>
      <c r="D4406" t="n">
        <v>24</v>
      </c>
      <c r="E4406" t="n">
        <v>22</v>
      </c>
      <c r="F4406" t="n">
        <v>19.14</v>
      </c>
      <c r="G4406" t="n">
        <v>0</v>
      </c>
      <c r="H4406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IF(K4406&lt;-5,"CRÍTICO",IF(K4406&lt;0,"ATENÇÃO",IF(K4406&lt;=5,"OPORTUNO","MUITO BOM")))</f>
        <v/>
      </c>
      <c r="N4406" t="n">
        <v>97.17</v>
      </c>
      <c r="O4406" t="n">
        <v>28.81844380403458</v>
      </c>
    </row>
    <row r="4407" hidden="1">
      <c r="A4407" s="11" t="n">
        <v>46141</v>
      </c>
      <c r="B4407" t="inlineStr">
        <is>
          <t>Kerollen Cristielly de Jesus Siqueira</t>
        </is>
      </c>
      <c r="C4407" t="inlineStr">
        <is>
          <t>Técnico III</t>
        </is>
      </c>
      <c r="D4407" t="n">
        <v>0</v>
      </c>
      <c r="E4407" t="n">
        <v>0</v>
      </c>
      <c r="F4407" t="n">
        <v>0</v>
      </c>
      <c r="G4407" t="n">
        <v>0</v>
      </c>
      <c r="H4407" t="n">
        <v>0</v>
      </c>
      <c r="I4407" s="3" t="n">
        <v>0</v>
      </c>
      <c r="J4407" s="3" t="n">
        <v>0</v>
      </c>
      <c r="K4407" s="3" t="n">
        <v>0</v>
      </c>
      <c r="L4407" s="3">
        <f>IF(K4407&lt;-5,"CRÍTICO",IF(K4407&lt;0,"ATENÇÃO",IF(K4407&lt;=5,"OPORTUNO","MUITO BOM")))</f>
        <v/>
      </c>
      <c r="N4407" t="n">
        <v>96.81</v>
      </c>
      <c r="O4407" t="n">
        <v>48.01864801864802</v>
      </c>
    </row>
    <row r="4408" hidden="1">
      <c r="A4408" s="11" t="n">
        <v>46141</v>
      </c>
      <c r="B4408" t="inlineStr">
        <is>
          <t>Leandro de Souza Silva</t>
        </is>
      </c>
      <c r="C4408" t="inlineStr">
        <is>
          <t>JR</t>
        </is>
      </c>
      <c r="D4408" t="n">
        <v>16</v>
      </c>
      <c r="E4408" t="n">
        <v>14</v>
      </c>
      <c r="F4408" t="n">
        <v>20.46</v>
      </c>
      <c r="G4408" t="n">
        <v>0</v>
      </c>
      <c r="H4408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IF(K4408&lt;-5,"CRÍTICO",IF(K4408&lt;0,"ATENÇÃO",IF(K4408&lt;=5,"OPORTUNO","MUITO BOM")))</f>
        <v/>
      </c>
      <c r="N4408" t="n">
        <v>98.15000000000001</v>
      </c>
      <c r="O4408" t="n">
        <v>27.1551724137931</v>
      </c>
    </row>
    <row r="4409" hidden="1">
      <c r="A4409" s="11" t="n">
        <v>46141</v>
      </c>
      <c r="B4409" t="inlineStr">
        <is>
          <t>Leandro Oliveira de Sousa</t>
        </is>
      </c>
      <c r="C4409" t="inlineStr">
        <is>
          <t>Técnico III</t>
        </is>
      </c>
      <c r="D4409" t="n">
        <v>32</v>
      </c>
      <c r="E4409" t="n">
        <v>26</v>
      </c>
      <c r="F4409" t="n">
        <v>12.16</v>
      </c>
      <c r="G4409" t="n">
        <v>0</v>
      </c>
      <c r="H4409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IF(K4409&lt;-5,"CRÍTICO",IF(K4409&lt;0,"ATENÇÃO",IF(K4409&lt;=5,"OPORTUNO","MUITO BOM")))</f>
        <v/>
      </c>
      <c r="N4409" t="n">
        <v>99.15000000000001</v>
      </c>
      <c r="O4409" t="n">
        <v>27.37068965517241</v>
      </c>
    </row>
    <row r="4410" hidden="1">
      <c r="A4410" s="11" t="n">
        <v>46141</v>
      </c>
      <c r="B4410" t="inlineStr">
        <is>
          <t>Lizandra Gomes Duarte</t>
        </is>
      </c>
      <c r="C4410" t="inlineStr">
        <is>
          <t>Técnico II</t>
        </is>
      </c>
      <c r="D4410" t="n">
        <v>37</v>
      </c>
      <c r="E4410" t="n">
        <v>35</v>
      </c>
      <c r="F4410" t="n">
        <v>15.55</v>
      </c>
      <c r="G4410" t="n">
        <v>0</v>
      </c>
      <c r="H4410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IF(K4410&lt;-5,"CRÍTICO",IF(K4410&lt;0,"ATENÇÃO",IF(K4410&lt;=5,"OPORTUNO","MUITO BOM")))</f>
        <v/>
      </c>
      <c r="N4410" t="n">
        <v>99.17</v>
      </c>
      <c r="O4410" t="n">
        <v>29.75206611570248</v>
      </c>
    </row>
    <row r="4411" hidden="1">
      <c r="A4411" s="11" t="n">
        <v>46141</v>
      </c>
      <c r="B4411" t="inlineStr">
        <is>
          <t>Lorena Dias de Araujo</t>
        </is>
      </c>
      <c r="C4411" t="inlineStr">
        <is>
          <t>Técnico II</t>
        </is>
      </c>
      <c r="D4411" t="n">
        <v>0</v>
      </c>
      <c r="E4411" t="n">
        <v>0</v>
      </c>
      <c r="F4411" t="n">
        <v>0</v>
      </c>
      <c r="G4411" t="n">
        <v>0</v>
      </c>
      <c r="H4411" t="n">
        <v>0</v>
      </c>
      <c r="I4411" s="3" t="n">
        <v>0</v>
      </c>
      <c r="J4411" s="3" t="n">
        <v>0</v>
      </c>
      <c r="K4411" s="3" t="n">
        <v>0</v>
      </c>
      <c r="L4411" s="3">
        <f>IF(K4411&lt;-5,"CRÍTICO",IF(K4411&lt;0,"ATENÇÃO",IF(K4411&lt;=5,"OPORTUNO","MUITO BOM")))</f>
        <v/>
      </c>
      <c r="N4411" t="n">
        <v>98.73</v>
      </c>
      <c r="O4411" t="n">
        <v>28.96174863387978</v>
      </c>
    </row>
    <row r="4412" hidden="1">
      <c r="A4412" s="11" t="n">
        <v>46141</v>
      </c>
      <c r="B4412" t="inlineStr">
        <is>
          <t>Lucas Luiz Romero</t>
        </is>
      </c>
      <c r="C4412" t="inlineStr">
        <is>
          <t>Técnico III</t>
        </is>
      </c>
      <c r="D4412" t="n">
        <v>0</v>
      </c>
      <c r="E4412" t="n">
        <v>0</v>
      </c>
      <c r="F4412" t="n">
        <v>0</v>
      </c>
      <c r="G4412" t="n">
        <v>0</v>
      </c>
      <c r="H4412" t="n">
        <v>0</v>
      </c>
      <c r="I4412" s="3" t="n">
        <v>0</v>
      </c>
      <c r="J4412" s="3" t="n">
        <v>0</v>
      </c>
      <c r="K4412" s="3" t="n">
        <v>0</v>
      </c>
      <c r="L4412" s="3">
        <f>IF(K4412&lt;-5,"CRÍTICO",IF(K4412&lt;0,"ATENÇÃO",IF(K4412&lt;=5,"OPORTUNO","MUITO BOM")))</f>
        <v/>
      </c>
      <c r="N4412" t="n">
        <v>88.68000000000001</v>
      </c>
      <c r="O4412" t="n">
        <v>22.03389830508474</v>
      </c>
    </row>
    <row r="4413" hidden="1">
      <c r="A4413" s="11" t="n">
        <v>46141</v>
      </c>
      <c r="B4413" t="inlineStr">
        <is>
          <t>Luiz Fernando de Carvalho Junior</t>
        </is>
      </c>
      <c r="C4413" t="inlineStr">
        <is>
          <t>Técnico I</t>
        </is>
      </c>
      <c r="D4413" t="n">
        <v>20</v>
      </c>
      <c r="E4413" t="n">
        <v>18</v>
      </c>
      <c r="F4413" t="n">
        <v>20.37</v>
      </c>
      <c r="G4413" t="n">
        <v>0</v>
      </c>
      <c r="H441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IF(K4413&lt;-5,"CRÍTICO",IF(K4413&lt;0,"ATENÇÃO",IF(K4413&lt;=5,"OPORTUNO","MUITO BOM")))</f>
        <v/>
      </c>
      <c r="N4413" t="n">
        <v>97.37</v>
      </c>
      <c r="O4413" t="n">
        <v>25.76530612244898</v>
      </c>
    </row>
    <row r="4414" hidden="1">
      <c r="A4414" s="11" t="n">
        <v>46141</v>
      </c>
      <c r="B4414" t="inlineStr">
        <is>
          <t>Maria Eduarda Sousa Costa</t>
        </is>
      </c>
      <c r="C4414" t="inlineStr">
        <is>
          <t>Estágio</t>
        </is>
      </c>
      <c r="D4414" t="n">
        <v>69</v>
      </c>
      <c r="E4414" t="n">
        <v>34</v>
      </c>
      <c r="F4414" t="n">
        <v>3.49</v>
      </c>
      <c r="G4414" t="n">
        <v>0</v>
      </c>
      <c r="H4414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IF(K4414&lt;-5,"CRÍTICO",IF(K4414&lt;0,"ATENÇÃO",IF(K4414&lt;=5,"OPORTUNO","MUITO BOM")))</f>
        <v/>
      </c>
      <c r="N4414" t="n">
        <v>100</v>
      </c>
      <c r="O4414" t="n">
        <v>25</v>
      </c>
    </row>
    <row r="4415" hidden="1">
      <c r="A4415" s="11" t="n">
        <v>46141</v>
      </c>
      <c r="B4415" t="inlineStr">
        <is>
          <t>Matheus Farias De Souza</t>
        </is>
      </c>
      <c r="C4415" t="inlineStr">
        <is>
          <t>Técnico III</t>
        </is>
      </c>
      <c r="D4415" t="n">
        <v>26</v>
      </c>
      <c r="E4415" t="n">
        <v>23</v>
      </c>
      <c r="F4415" t="n">
        <v>11.5</v>
      </c>
      <c r="G4415" t="n">
        <v>0</v>
      </c>
      <c r="H4415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IF(K4415&lt;-5,"CRÍTICO",IF(K4415&lt;0,"ATENÇÃO",IF(K4415&lt;=5,"OPORTUNO","MUITO BOM")))</f>
        <v/>
      </c>
      <c r="N4415" t="n">
        <v>100</v>
      </c>
      <c r="O4415" t="n">
        <v>23.9870340356564</v>
      </c>
    </row>
    <row r="4416" hidden="1">
      <c r="A4416" s="11" t="n">
        <v>46141</v>
      </c>
      <c r="B4416" t="inlineStr">
        <is>
          <t>Maysa Victoria Dias Moura</t>
        </is>
      </c>
      <c r="C4416" t="inlineStr">
        <is>
          <t>Técnico III</t>
        </is>
      </c>
      <c r="D4416" t="n">
        <v>32</v>
      </c>
      <c r="E4416" t="n">
        <v>29</v>
      </c>
      <c r="F4416" t="n">
        <v>12.35</v>
      </c>
      <c r="G4416" t="n">
        <v>0</v>
      </c>
      <c r="H4416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IF(K4416&lt;-5,"CRÍTICO",IF(K4416&lt;0,"ATENÇÃO",IF(K4416&lt;=5,"OPORTUNO","MUITO BOM")))</f>
        <v/>
      </c>
      <c r="N4416" t="n">
        <v>95.48999999999999</v>
      </c>
      <c r="O4416" t="n">
        <v>28.16901408450704</v>
      </c>
    </row>
    <row r="4417" hidden="1">
      <c r="A4417" s="11" t="n">
        <v>46141</v>
      </c>
      <c r="B4417" t="inlineStr">
        <is>
          <t>Michelle G Santos</t>
        </is>
      </c>
      <c r="C4417" t="inlineStr">
        <is>
          <t>Estágio</t>
        </is>
      </c>
      <c r="D4417" t="n">
        <v>19</v>
      </c>
      <c r="E4417" t="n">
        <v>15</v>
      </c>
      <c r="F4417" t="n">
        <v>21.55</v>
      </c>
      <c r="G4417" t="n">
        <v>0</v>
      </c>
      <c r="H4417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IF(K4417&lt;-5,"CRÍTICO",IF(K4417&lt;0,"ATENÇÃO",IF(K4417&lt;=5,"OPORTUNO","MUITO BOM")))</f>
        <v/>
      </c>
      <c r="N4417" t="n">
        <v>100</v>
      </c>
      <c r="O4417" t="n">
        <v>23.77622377622378</v>
      </c>
    </row>
    <row r="4418" hidden="1">
      <c r="A4418" s="11" t="n">
        <v>46141</v>
      </c>
      <c r="B4418" t="inlineStr">
        <is>
          <t>Milena Sales</t>
        </is>
      </c>
      <c r="C4418" t="inlineStr">
        <is>
          <t>JR</t>
        </is>
      </c>
      <c r="D4418" t="n">
        <v>0</v>
      </c>
      <c r="E4418" t="n">
        <v>0</v>
      </c>
      <c r="F4418" t="n">
        <v>0</v>
      </c>
      <c r="G4418" t="n">
        <v>0</v>
      </c>
      <c r="H4418" t="n">
        <v>0</v>
      </c>
      <c r="I4418" s="3" t="n">
        <v>0</v>
      </c>
      <c r="J4418" s="3" t="n">
        <v>0</v>
      </c>
      <c r="K4418" s="3" t="n">
        <v>0</v>
      </c>
      <c r="L4418" s="3">
        <f>IF(K4418&lt;-5,"CRÍTICO",IF(K4418&lt;0,"ATENÇÃO",IF(K4418&lt;=5,"OPORTUNO","MUITO BOM")))</f>
        <v/>
      </c>
      <c r="N4418" t="n">
        <v>96.15000000000001</v>
      </c>
      <c r="O4418" t="n">
        <v>24.04580152671756</v>
      </c>
    </row>
    <row r="4419" hidden="1">
      <c r="A4419" s="11" t="n">
        <v>46141</v>
      </c>
      <c r="B4419" t="inlineStr">
        <is>
          <t>Patrícia Karla de Sousa Araújo</t>
        </is>
      </c>
      <c r="C4419" t="inlineStr">
        <is>
          <t>Técnico II</t>
        </is>
      </c>
      <c r="D4419" t="n">
        <v>0</v>
      </c>
      <c r="E4419" t="n">
        <v>0</v>
      </c>
      <c r="F4419" t="n">
        <v>0</v>
      </c>
      <c r="G4419" t="n">
        <v>0</v>
      </c>
      <c r="H4419" t="n">
        <v>0</v>
      </c>
      <c r="I4419" s="3" t="n">
        <v>0</v>
      </c>
      <c r="J4419" s="3" t="n">
        <v>0</v>
      </c>
      <c r="K4419" s="3" t="n">
        <v>0</v>
      </c>
      <c r="L4419" s="3">
        <f>IF(K4419&lt;-5,"CRÍTICO",IF(K4419&lt;0,"ATENÇÃO",IF(K4419&lt;=5,"OPORTUNO","MUITO BOM")))</f>
        <v/>
      </c>
      <c r="N4419" t="n">
        <v>99.02</v>
      </c>
      <c r="O4419" t="n">
        <v>34.7972972972973</v>
      </c>
    </row>
    <row r="4420" hidden="1">
      <c r="A4420" s="11" t="n">
        <v>46141</v>
      </c>
      <c r="B4420" t="inlineStr">
        <is>
          <t>Paulo Ricardo Santos</t>
        </is>
      </c>
      <c r="C4420" t="inlineStr">
        <is>
          <t>JR</t>
        </is>
      </c>
      <c r="D4420" t="n">
        <v>23</v>
      </c>
      <c r="E4420" t="n">
        <v>22</v>
      </c>
      <c r="F4420" t="n">
        <v>17.07</v>
      </c>
      <c r="G4420" t="n">
        <v>0</v>
      </c>
      <c r="H4420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IF(K4420&lt;-5,"CRÍTICO",IF(K4420&lt;0,"ATENÇÃO",IF(K4420&lt;=5,"OPORTUNO","MUITO BOM")))</f>
        <v/>
      </c>
      <c r="N4420" t="n">
        <v>98.84</v>
      </c>
      <c r="O4420" t="n">
        <v>31.5018315018315</v>
      </c>
    </row>
    <row r="4421" hidden="1">
      <c r="A4421" s="11" t="n">
        <v>46141</v>
      </c>
      <c r="B4421" t="inlineStr">
        <is>
          <t>Pedro Luiz Mota Sousa</t>
        </is>
      </c>
      <c r="C4421" t="inlineStr">
        <is>
          <t>JR</t>
        </is>
      </c>
      <c r="D4421" t="n">
        <v>24</v>
      </c>
      <c r="E4421" t="n">
        <v>23</v>
      </c>
      <c r="F4421" t="n">
        <v>17.3</v>
      </c>
      <c r="G4421" t="n">
        <v>0</v>
      </c>
      <c r="H4421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IF(K4421&lt;-5,"CRÍTICO",IF(K4421&lt;0,"ATENÇÃO",IF(K4421&lt;=5,"OPORTUNO","MUITO BOM")))</f>
        <v/>
      </c>
      <c r="N4421" t="n">
        <v>100</v>
      </c>
      <c r="O4421" t="n">
        <v>34.66666666666667</v>
      </c>
    </row>
    <row r="4422" hidden="1">
      <c r="A4422" s="11" t="n">
        <v>46141</v>
      </c>
      <c r="B4422" t="inlineStr">
        <is>
          <t>Quirino Diogo Leite Torres</t>
        </is>
      </c>
      <c r="C4422" t="inlineStr">
        <is>
          <t>Estágio</t>
        </is>
      </c>
      <c r="D4422" t="n">
        <v>19</v>
      </c>
      <c r="E4422" t="n">
        <v>17</v>
      </c>
      <c r="F4422" t="n">
        <v>18.46</v>
      </c>
      <c r="G4422" t="n">
        <v>0</v>
      </c>
      <c r="H4422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IF(K4422&lt;-5,"CRÍTICO",IF(K4422&lt;0,"ATENÇÃO",IF(K4422&lt;=5,"OPORTUNO","MUITO BOM")))</f>
        <v/>
      </c>
      <c r="N4422" t="n">
        <v>94.12</v>
      </c>
      <c r="O4422" t="n">
        <v>32.8</v>
      </c>
    </row>
    <row r="4423" hidden="1">
      <c r="A4423" s="11" t="n">
        <v>46141</v>
      </c>
      <c r="B4423" t="inlineStr">
        <is>
          <t>Raane Batista Matos</t>
        </is>
      </c>
      <c r="C4423" t="inlineStr">
        <is>
          <t>Técnico I</t>
        </is>
      </c>
      <c r="D4423" t="n">
        <v>32</v>
      </c>
      <c r="E4423" t="n">
        <v>28</v>
      </c>
      <c r="F4423" t="n">
        <v>13.21</v>
      </c>
      <c r="G4423" t="n">
        <v>0</v>
      </c>
      <c r="H442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IF(K4423&lt;-5,"CRÍTICO",IF(K4423&lt;0,"ATENÇÃO",IF(K4423&lt;=5,"OPORTUNO","MUITO BOM")))</f>
        <v/>
      </c>
      <c r="N4423" t="n">
        <v>98.31999999999999</v>
      </c>
      <c r="O4423" t="n">
        <v>26.61870503597122</v>
      </c>
    </row>
    <row r="4424" hidden="1">
      <c r="A4424" s="11" t="n">
        <v>46141</v>
      </c>
      <c r="B4424" t="inlineStr">
        <is>
          <t>Rafael Gomes de Morais</t>
        </is>
      </c>
      <c r="C4424" t="inlineStr">
        <is>
          <t>Técnico III</t>
        </is>
      </c>
      <c r="D4424" t="n">
        <v>52</v>
      </c>
      <c r="E4424" t="n">
        <v>48</v>
      </c>
      <c r="F4424" t="n">
        <v>10.56</v>
      </c>
      <c r="G4424" t="n">
        <v>0</v>
      </c>
      <c r="H4424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IF(K4424&lt;-5,"CRÍTICO",IF(K4424&lt;0,"ATENÇÃO",IF(K4424&lt;=5,"OPORTUNO","MUITO BOM")))</f>
        <v/>
      </c>
      <c r="N4424" t="n">
        <v>100</v>
      </c>
      <c r="O4424" t="n">
        <v>31.13553113553114</v>
      </c>
    </row>
    <row r="4425" hidden="1">
      <c r="A4425" s="11" t="n">
        <v>46141</v>
      </c>
      <c r="B4425" t="inlineStr">
        <is>
          <t>Sara Maria Monteiro Lopes</t>
        </is>
      </c>
      <c r="C4425" t="inlineStr">
        <is>
          <t>Técnico I</t>
        </is>
      </c>
      <c r="D4425" t="n">
        <v>15</v>
      </c>
      <c r="E4425" t="n">
        <v>14</v>
      </c>
      <c r="F4425" t="n">
        <v>23.58</v>
      </c>
      <c r="G4425" t="n">
        <v>0</v>
      </c>
      <c r="H4425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IF(K4425&lt;-5,"CRÍTICO",IF(K4425&lt;0,"ATENÇÃO",IF(K4425&lt;=5,"OPORTUNO","MUITO BOM")))</f>
        <v/>
      </c>
      <c r="N4425" t="n">
        <v>100</v>
      </c>
      <c r="O4425" t="n">
        <v>26.02739726027397</v>
      </c>
    </row>
    <row r="4426" hidden="1">
      <c r="A4426" s="11" t="n">
        <v>46141</v>
      </c>
      <c r="B4426" t="inlineStr">
        <is>
          <t>Sarah Steffanie de Lima Borges</t>
        </is>
      </c>
      <c r="C4426" t="inlineStr">
        <is>
          <t>Técnico III</t>
        </is>
      </c>
      <c r="D4426" t="n">
        <v>30</v>
      </c>
      <c r="E4426" t="n">
        <v>30</v>
      </c>
      <c r="F4426" t="n">
        <v>15</v>
      </c>
      <c r="G4426" t="n">
        <v>0</v>
      </c>
      <c r="H4426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IF(K4426&lt;-5,"CRÍTICO",IF(K4426&lt;0,"ATENÇÃO",IF(K4426&lt;=5,"OPORTUNO","MUITO BOM")))</f>
        <v/>
      </c>
      <c r="N4426" t="n">
        <v>99.20999999999999</v>
      </c>
      <c r="O4426" t="n">
        <v>24.93702770780856</v>
      </c>
    </row>
    <row r="4427" hidden="1">
      <c r="A4427" s="11" t="n">
        <v>46142</v>
      </c>
      <c r="B4427" t="inlineStr">
        <is>
          <t>Alisson de Freitas Silva</t>
        </is>
      </c>
      <c r="C4427" t="inlineStr">
        <is>
          <t>Técnico II</t>
        </is>
      </c>
      <c r="D4427" t="n">
        <v>12</v>
      </c>
      <c r="E4427" t="n">
        <v>10</v>
      </c>
      <c r="F4427" t="n">
        <v>9.119999999999999</v>
      </c>
      <c r="G4427" t="n">
        <v>0</v>
      </c>
      <c r="H4427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IF(K4427&lt;-5,"CRÍTICO",IF(K4427&lt;0,"ATENÇÃO",IF(K4427&lt;=5,"OPORTUNO","MUITO BOM")))</f>
        <v/>
      </c>
      <c r="N4427" t="n">
        <v>100</v>
      </c>
      <c r="O4427" t="n">
        <v>32.76450511945392</v>
      </c>
    </row>
    <row r="4428" hidden="1">
      <c r="A4428" s="11" t="n">
        <v>46142</v>
      </c>
      <c r="B4428" t="inlineStr">
        <is>
          <t>Amanda Moura Ferreira</t>
        </is>
      </c>
      <c r="C4428" t="inlineStr">
        <is>
          <t>Técnico III</t>
        </is>
      </c>
      <c r="D4428" t="n">
        <v>0</v>
      </c>
      <c r="E4428" t="n">
        <v>0</v>
      </c>
      <c r="F4428" t="n">
        <v>0</v>
      </c>
      <c r="G4428" t="n">
        <v>0</v>
      </c>
      <c r="H4428" t="n">
        <v>0</v>
      </c>
      <c r="I4428" s="3" t="n">
        <v>0</v>
      </c>
      <c r="J4428" s="3" t="n">
        <v>0</v>
      </c>
      <c r="K4428" s="3" t="n">
        <v>0</v>
      </c>
      <c r="L4428" s="3">
        <f>IF(K4428&lt;-5,"CRÍTICO",IF(K4428&lt;0,"ATENÇÃO",IF(K4428&lt;=5,"OPORTUNO","MUITO BOM")))</f>
        <v/>
      </c>
      <c r="N4428" t="n">
        <v>98.66</v>
      </c>
      <c r="O4428" t="n">
        <v>35.15625</v>
      </c>
    </row>
    <row r="4429" hidden="1">
      <c r="A4429" s="11" t="n">
        <v>46142</v>
      </c>
      <c r="B4429" t="inlineStr">
        <is>
          <t>Ana Karollyne Souza Faria</t>
        </is>
      </c>
      <c r="C4429" t="inlineStr">
        <is>
          <t>Técnico I</t>
        </is>
      </c>
      <c r="D4429" t="n">
        <v>26</v>
      </c>
      <c r="E4429" t="n">
        <v>24</v>
      </c>
      <c r="F4429" t="n">
        <v>18.24</v>
      </c>
      <c r="G4429" t="n">
        <v>0</v>
      </c>
      <c r="H4429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IF(K4429&lt;-5,"CRÍTICO",IF(K4429&lt;0,"ATENÇÃO",IF(K4429&lt;=5,"OPORTUNO","MUITO BOM")))</f>
        <v/>
      </c>
      <c r="N4429" t="n">
        <v>99.31999999999999</v>
      </c>
      <c r="O4429" t="n">
        <v>30.45186640471513</v>
      </c>
    </row>
    <row r="4430" hidden="1">
      <c r="A4430" s="11" t="n">
        <v>46142</v>
      </c>
      <c r="B4430" t="inlineStr">
        <is>
          <t>Ana Paula Da Luz Silva Aleixo</t>
        </is>
      </c>
      <c r="C4430" t="inlineStr">
        <is>
          <t>Técnico III</t>
        </is>
      </c>
      <c r="D4430" t="n">
        <v>33</v>
      </c>
      <c r="E4430" t="n">
        <v>32</v>
      </c>
      <c r="F4430" t="n">
        <v>13.4</v>
      </c>
      <c r="G4430" t="n">
        <v>0</v>
      </c>
      <c r="H4430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IF(K4430&lt;-5,"CRÍTICO",IF(K4430&lt;0,"ATENÇÃO",IF(K4430&lt;=5,"OPORTUNO","MUITO BOM")))</f>
        <v/>
      </c>
      <c r="N4430" t="n">
        <v>100</v>
      </c>
      <c r="O4430" t="n">
        <v>27.80373831775701</v>
      </c>
    </row>
    <row r="4431" hidden="1">
      <c r="A4431" s="11" t="n">
        <v>46142</v>
      </c>
      <c r="B4431" t="inlineStr">
        <is>
          <t>Anna Luiza Rezende Tavares</t>
        </is>
      </c>
      <c r="C4431" t="inlineStr">
        <is>
          <t>Estágio</t>
        </is>
      </c>
      <c r="D4431" t="n">
        <v>34</v>
      </c>
      <c r="E4431" t="n">
        <v>33</v>
      </c>
      <c r="F4431" t="n">
        <v>14.16</v>
      </c>
      <c r="G4431" t="n">
        <v>0</v>
      </c>
      <c r="H4431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IF(K4431&lt;-5,"CRÍTICO",IF(K4431&lt;0,"ATENÇÃO",IF(K4431&lt;=5,"OPORTUNO","MUITO BOM")))</f>
        <v/>
      </c>
      <c r="N4431" t="n">
        <v>96.73999999999999</v>
      </c>
      <c r="O4431" t="n">
        <v>28.43137254901961</v>
      </c>
    </row>
    <row r="4432" hidden="1">
      <c r="A4432" s="11" t="n">
        <v>46142</v>
      </c>
      <c r="B4432" t="inlineStr">
        <is>
          <t>Brenda de Menezes Silva</t>
        </is>
      </c>
      <c r="C4432" t="inlineStr">
        <is>
          <t>Técnico II</t>
        </is>
      </c>
      <c r="D4432" t="n">
        <v>32</v>
      </c>
      <c r="E4432" t="n">
        <v>31</v>
      </c>
      <c r="F4432" t="n">
        <v>13.5</v>
      </c>
      <c r="G4432" t="n">
        <v>0</v>
      </c>
      <c r="H4432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IF(K4432&lt;-5,"CRÍTICO",IF(K4432&lt;0,"ATENÇÃO",IF(K4432&lt;=5,"OPORTUNO","MUITO BOM")))</f>
        <v/>
      </c>
      <c r="N4432" t="n">
        <v>98.81999999999999</v>
      </c>
      <c r="O4432" t="n">
        <v>30.74141048824593</v>
      </c>
    </row>
    <row r="4433" hidden="1">
      <c r="A4433" s="11" t="n">
        <v>46142</v>
      </c>
      <c r="B4433" t="inlineStr">
        <is>
          <t>Carlos Mateus Cassimiro Nunes</t>
        </is>
      </c>
      <c r="C4433" t="inlineStr">
        <is>
          <t>Técnico II</t>
        </is>
      </c>
      <c r="D4433" t="n">
        <v>32</v>
      </c>
      <c r="E4433" t="n">
        <v>30</v>
      </c>
      <c r="F4433" t="n">
        <v>15.09</v>
      </c>
      <c r="G4433" t="n">
        <v>0</v>
      </c>
      <c r="H443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IF(K4433&lt;-5,"CRÍTICO",IF(K4433&lt;0,"ATENÇÃO",IF(K4433&lt;=5,"OPORTUNO","MUITO BOM")))</f>
        <v/>
      </c>
      <c r="N4433" t="n">
        <v>98.2</v>
      </c>
      <c r="O4433" t="n">
        <v>26.89075630252101</v>
      </c>
    </row>
    <row r="4434" hidden="1">
      <c r="A4434" s="11" t="n">
        <v>46142</v>
      </c>
      <c r="B4434" t="inlineStr">
        <is>
          <t>Claudio de Sousa Velasco Filho</t>
        </is>
      </c>
      <c r="C4434" t="inlineStr">
        <is>
          <t>Estágio</t>
        </is>
      </c>
      <c r="D4434" t="n">
        <v>6</v>
      </c>
      <c r="E4434" t="n">
        <v>6</v>
      </c>
      <c r="F4434" t="n">
        <v>28.42</v>
      </c>
      <c r="G4434" t="n">
        <v>0</v>
      </c>
      <c r="H4434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IF(K4434&lt;-5,"CRÍTICO",IF(K4434&lt;0,"ATENÇÃO",IF(K4434&lt;=5,"OPORTUNO","MUITO BOM")))</f>
        <v/>
      </c>
      <c r="N4434" t="n">
        <v>100</v>
      </c>
      <c r="O4434" t="n">
        <v>23.13432835820895</v>
      </c>
    </row>
    <row r="4435" hidden="1">
      <c r="A4435" s="11" t="n">
        <v>46142</v>
      </c>
      <c r="B4435" t="inlineStr">
        <is>
          <t>Clessiane Pereira dos Santos</t>
        </is>
      </c>
      <c r="C4435" t="inlineStr">
        <is>
          <t>Técnico I</t>
        </is>
      </c>
      <c r="D4435" t="n">
        <v>23</v>
      </c>
      <c r="E4435" t="n">
        <v>23</v>
      </c>
      <c r="F4435" t="n">
        <v>25.3</v>
      </c>
      <c r="G4435" t="n">
        <v>0</v>
      </c>
      <c r="H4435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IF(K4435&lt;-5,"CRÍTICO",IF(K4435&lt;0,"ATENÇÃO",IF(K4435&lt;=5,"OPORTUNO","MUITO BOM")))</f>
        <v/>
      </c>
      <c r="N4435" t="n">
        <v>96.3</v>
      </c>
      <c r="O4435" t="n">
        <v>31.98090692124105</v>
      </c>
    </row>
    <row r="4436" hidden="1">
      <c r="A4436" s="11" t="n">
        <v>46142</v>
      </c>
      <c r="B4436" t="inlineStr">
        <is>
          <t>Cristiane Ramos da Silva Rocha</t>
        </is>
      </c>
      <c r="C4436" t="inlineStr">
        <is>
          <t>Técnico III</t>
        </is>
      </c>
      <c r="D4436" t="n">
        <v>39</v>
      </c>
      <c r="E4436" t="n">
        <v>37</v>
      </c>
      <c r="F4436" t="n">
        <v>11.54</v>
      </c>
      <c r="G4436" t="n">
        <v>0</v>
      </c>
      <c r="H4436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IF(K4436&lt;-5,"CRÍTICO",IF(K4436&lt;0,"ATENÇÃO",IF(K4436&lt;=5,"OPORTUNO","MUITO BOM")))</f>
        <v/>
      </c>
      <c r="N4436" t="n">
        <v>93.75</v>
      </c>
      <c r="O4436" t="n">
        <v>26.62835249042146</v>
      </c>
    </row>
    <row r="4437" hidden="1">
      <c r="A4437" s="11" t="n">
        <v>46142</v>
      </c>
      <c r="B4437" t="inlineStr">
        <is>
          <t>Damyllis Lorraine de Oliveira Gonçalves</t>
        </is>
      </c>
      <c r="C4437" t="inlineStr">
        <is>
          <t>Técnico II</t>
        </is>
      </c>
      <c r="D4437" t="n">
        <v>0</v>
      </c>
      <c r="E4437" t="n">
        <v>0</v>
      </c>
      <c r="F4437" t="n">
        <v>0</v>
      </c>
      <c r="G4437" t="n">
        <v>0</v>
      </c>
      <c r="H4437" t="n">
        <v>0</v>
      </c>
      <c r="I4437" s="3" t="n">
        <v>0</v>
      </c>
      <c r="J4437" s="3" t="n">
        <v>0</v>
      </c>
      <c r="K4437" s="3" t="n">
        <v>0</v>
      </c>
      <c r="L4437" s="3">
        <f>IF(K4437&lt;-5,"CRÍTICO",IF(K4437&lt;0,"ATENÇÃO",IF(K4437&lt;=5,"OPORTUNO","MUITO BOM")))</f>
        <v/>
      </c>
      <c r="N4437" t="n">
        <v>97.86</v>
      </c>
      <c r="O4437" t="n">
        <v>31.01851851851852</v>
      </c>
    </row>
    <row r="4438" hidden="1">
      <c r="A4438" s="11" t="n">
        <v>46142</v>
      </c>
      <c r="B4438" t="inlineStr">
        <is>
          <t>Daniel Gomes da Silva</t>
        </is>
      </c>
      <c r="C4438" t="inlineStr">
        <is>
          <t>Técnico I</t>
        </is>
      </c>
      <c r="D4438" t="n">
        <v>23</v>
      </c>
      <c r="E4438" t="n">
        <v>23</v>
      </c>
      <c r="F4438" t="n">
        <v>20.21</v>
      </c>
      <c r="G4438" t="n">
        <v>0</v>
      </c>
      <c r="H4438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IF(K4438&lt;-5,"CRÍTICO",IF(K4438&lt;0,"ATENÇÃO",IF(K4438&lt;=5,"OPORTUNO","MUITO BOM")))</f>
        <v/>
      </c>
      <c r="N4438" t="n">
        <v>100</v>
      </c>
      <c r="O4438" t="n">
        <v>36.23188405797102</v>
      </c>
    </row>
    <row r="4439" hidden="1">
      <c r="A4439" s="11" t="n">
        <v>46142</v>
      </c>
      <c r="B4439" t="inlineStr">
        <is>
          <t>Davylla Rodrigues Freitas Silva</t>
        </is>
      </c>
      <c r="C4439" t="inlineStr">
        <is>
          <t>Técnico III</t>
        </is>
      </c>
      <c r="D4439" t="n">
        <v>0</v>
      </c>
      <c r="E4439" t="n">
        <v>0</v>
      </c>
      <c r="F4439" t="n">
        <v>0</v>
      </c>
      <c r="G4439" t="n">
        <v>0</v>
      </c>
      <c r="H4439" t="n">
        <v>0</v>
      </c>
      <c r="I4439" s="3" t="n">
        <v>0</v>
      </c>
      <c r="J4439" s="3" t="n">
        <v>0</v>
      </c>
      <c r="K4439" s="3" t="n">
        <v>0</v>
      </c>
      <c r="L4439" s="3">
        <f>IF(K4439&lt;-5,"CRÍTICO",IF(K4439&lt;0,"ATENÇÃO",IF(K4439&lt;=5,"OPORTUNO","MUITO BOM")))</f>
        <v/>
      </c>
      <c r="N4439" t="n">
        <v>100</v>
      </c>
      <c r="O4439" t="n">
        <v>38.26923076923077</v>
      </c>
    </row>
    <row r="4440" hidden="1">
      <c r="A4440" s="11" t="n">
        <v>46142</v>
      </c>
      <c r="B4440" t="inlineStr">
        <is>
          <t>Emilly Caylane Costa</t>
        </is>
      </c>
      <c r="C4440" t="inlineStr">
        <is>
          <t>Estágio</t>
        </is>
      </c>
      <c r="D4440" t="n">
        <v>32</v>
      </c>
      <c r="E4440" t="n">
        <v>23</v>
      </c>
      <c r="F4440" t="n">
        <v>4.14</v>
      </c>
      <c r="G4440" t="n">
        <v>0</v>
      </c>
      <c r="H4440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IF(K4440&lt;-5,"CRÍTICO",IF(K4440&lt;0,"ATENÇÃO",IF(K4440&lt;=5,"OPORTUNO","MUITO BOM")))</f>
        <v/>
      </c>
      <c r="N4440" t="n">
        <v>100</v>
      </c>
      <c r="O4440" t="n">
        <v>27.36842105263158</v>
      </c>
    </row>
    <row r="4441" hidden="1">
      <c r="A4441" s="11" t="n">
        <v>46142</v>
      </c>
      <c r="B4441" t="inlineStr">
        <is>
          <t>Emilly Kamilly Medeiros Miranda</t>
        </is>
      </c>
      <c r="C4441" t="inlineStr">
        <is>
          <t>Técnico II</t>
        </is>
      </c>
      <c r="D4441" t="n">
        <v>38</v>
      </c>
      <c r="E4441" t="n">
        <v>38</v>
      </c>
      <c r="F4441" t="n">
        <v>15.02</v>
      </c>
      <c r="G4441" t="n">
        <v>0</v>
      </c>
      <c r="H4441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IF(K4441&lt;-5,"CRÍTICO",IF(K4441&lt;0,"ATENÇÃO",IF(K4441&lt;=5,"OPORTUNO","MUITO BOM")))</f>
        <v/>
      </c>
      <c r="N4441" t="n">
        <v>97.83</v>
      </c>
      <c r="O4441" t="n">
        <v>28.13186813186813</v>
      </c>
    </row>
    <row r="4442" hidden="1">
      <c r="A4442" s="11" t="n">
        <v>46142</v>
      </c>
      <c r="B4442" t="inlineStr">
        <is>
          <t>Francielson de Oliveira</t>
        </is>
      </c>
      <c r="C4442" t="inlineStr">
        <is>
          <t>Técnico III</t>
        </is>
      </c>
      <c r="D4442" t="n">
        <v>29</v>
      </c>
      <c r="E4442" t="n">
        <v>26</v>
      </c>
      <c r="F4442" t="n">
        <v>15.07</v>
      </c>
      <c r="G4442" t="n">
        <v>0</v>
      </c>
      <c r="H4442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IF(K4442&lt;-5,"CRÍTICO",IF(K4442&lt;0,"ATENÇÃO",IF(K4442&lt;=5,"OPORTUNO","MUITO BOM")))</f>
        <v/>
      </c>
      <c r="N4442" t="n">
        <v>99.26000000000001</v>
      </c>
      <c r="O4442" t="n">
        <v>29.57198443579767</v>
      </c>
    </row>
    <row r="4443" hidden="1">
      <c r="A4443" s="11" t="n">
        <v>46142</v>
      </c>
      <c r="B4443" t="inlineStr">
        <is>
          <t>Francilene Ferreira de Jesus</t>
        </is>
      </c>
      <c r="C4443" t="inlineStr">
        <is>
          <t>Técnico II</t>
        </is>
      </c>
      <c r="D4443" t="n">
        <v>42</v>
      </c>
      <c r="E4443" t="n">
        <v>42</v>
      </c>
      <c r="F4443" t="n">
        <v>16.41</v>
      </c>
      <c r="G4443" t="n">
        <v>0</v>
      </c>
      <c r="H444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IF(K4443&lt;-5,"CRÍTICO",IF(K4443&lt;0,"ATENÇÃO",IF(K4443&lt;=5,"OPORTUNO","MUITO BOM")))</f>
        <v/>
      </c>
      <c r="N4443" t="n">
        <v>99.19</v>
      </c>
      <c r="O4443" t="n">
        <v>29.46236559139785</v>
      </c>
    </row>
    <row r="4444" hidden="1">
      <c r="A4444" s="11" t="n">
        <v>46167</v>
      </c>
      <c r="B4444" t="inlineStr">
        <is>
          <t>Gabriel Gomes de Andrade</t>
        </is>
      </c>
      <c r="C4444" t="inlineStr">
        <is>
          <t>Técnico I</t>
        </is>
      </c>
      <c r="D4444" t="n">
        <v>25</v>
      </c>
      <c r="E4444" t="n">
        <v>25</v>
      </c>
      <c r="F4444" t="n">
        <v>12.33</v>
      </c>
      <c r="G4444" t="n">
        <v>0</v>
      </c>
      <c r="H4444" t="n">
        <v>0</v>
      </c>
      <c r="I4444" s="3" t="n">
        <v>0</v>
      </c>
      <c r="J4444" s="3" t="n">
        <v>0</v>
      </c>
      <c r="K4444" s="3" t="n">
        <v>0</v>
      </c>
      <c r="L4444" s="3">
        <f>IF(K4444&lt;-5,"CRÍTICO",IF(K4444&lt;0,"ATENÇÃO",IF(K4444&lt;=5,"OPORTUNO","MUITO BOM")))</f>
        <v/>
      </c>
    </row>
    <row r="4445" hidden="1">
      <c r="A4445" s="11" t="n">
        <v>46142</v>
      </c>
      <c r="B4445" t="inlineStr">
        <is>
          <t>Isabella Borges de Oliveira</t>
        </is>
      </c>
      <c r="C4445" t="inlineStr">
        <is>
          <t>Técnico II</t>
        </is>
      </c>
      <c r="D4445" t="n">
        <v>25</v>
      </c>
      <c r="E4445" t="n">
        <v>25</v>
      </c>
      <c r="F4445" t="n">
        <v>18.5</v>
      </c>
      <c r="G4445" t="n">
        <v>0</v>
      </c>
      <c r="H4445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IF(K4445&lt;-5,"CRÍTICO",IF(K4445&lt;0,"ATENÇÃO",IF(K4445&lt;=5,"OPORTUNO","MUITO BOM")))</f>
        <v/>
      </c>
      <c r="N4445" t="n">
        <v>100</v>
      </c>
      <c r="O4445" t="n">
        <v>27.94117647058824</v>
      </c>
    </row>
    <row r="4446" hidden="1">
      <c r="A4446" s="11" t="n">
        <v>46142</v>
      </c>
      <c r="B4446" t="inlineStr">
        <is>
          <t>Janaina Lima dos Reis Urany</t>
        </is>
      </c>
      <c r="C4446" t="inlineStr">
        <is>
          <t>Técnico III</t>
        </is>
      </c>
      <c r="D4446" t="n">
        <v>47</v>
      </c>
      <c r="E4446" t="n">
        <v>42</v>
      </c>
      <c r="F4446" t="n">
        <v>12.14</v>
      </c>
      <c r="G4446" t="n">
        <v>0</v>
      </c>
      <c r="H4446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IF(K4446&lt;-5,"CRÍTICO",IF(K4446&lt;0,"ATENÇÃO",IF(K4446&lt;=5,"OPORTUNO","MUITO BOM")))</f>
        <v/>
      </c>
      <c r="N4446" t="n">
        <v>99.56999999999999</v>
      </c>
      <c r="O4446" t="n">
        <v>29.91329479768786</v>
      </c>
    </row>
    <row r="4447" hidden="1">
      <c r="A4447" s="11" t="n">
        <v>46142</v>
      </c>
      <c r="B4447" t="inlineStr">
        <is>
          <t>Jaqueline Evangelista da Silva Martins</t>
        </is>
      </c>
      <c r="C4447" t="inlineStr">
        <is>
          <t>Técnico III</t>
        </is>
      </c>
      <c r="D4447" t="n">
        <v>0</v>
      </c>
      <c r="E4447" t="n">
        <v>0</v>
      </c>
      <c r="F4447" t="n">
        <v>0</v>
      </c>
      <c r="G4447" t="n">
        <v>0</v>
      </c>
      <c r="H4447" t="n">
        <v>0</v>
      </c>
      <c r="I4447" s="3" t="n">
        <v>0</v>
      </c>
      <c r="J4447" s="3" t="n">
        <v>0</v>
      </c>
      <c r="K4447" s="3" t="n">
        <v>0</v>
      </c>
      <c r="L4447" s="3">
        <f>IF(K4447&lt;-5,"CRÍTICO",IF(K4447&lt;0,"ATENÇÃO",IF(K4447&lt;=5,"OPORTUNO","MUITO BOM")))</f>
        <v/>
      </c>
      <c r="N4447" t="n">
        <v>95.65000000000001</v>
      </c>
      <c r="O4447" t="n">
        <v>31.08108108108108</v>
      </c>
    </row>
    <row r="4448" hidden="1">
      <c r="A4448" s="11" t="n">
        <v>46142</v>
      </c>
      <c r="B4448" t="inlineStr">
        <is>
          <t>Jessica Faria da Silveira</t>
        </is>
      </c>
      <c r="C4448" t="inlineStr">
        <is>
          <t>Técnico II</t>
        </is>
      </c>
      <c r="D4448" t="n">
        <v>21</v>
      </c>
      <c r="E4448" t="n">
        <v>16</v>
      </c>
      <c r="F4448" t="n">
        <v>11.48</v>
      </c>
      <c r="G4448" t="n">
        <v>0</v>
      </c>
      <c r="H4448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N4448" t="n">
        <v>98.81</v>
      </c>
      <c r="O4448" t="n">
        <v>26.25698324022346</v>
      </c>
    </row>
    <row r="4449" hidden="1">
      <c r="A4449" s="11" t="n">
        <v>46142</v>
      </c>
      <c r="B4449" t="inlineStr">
        <is>
          <t>Jéssica Fé Moura</t>
        </is>
      </c>
      <c r="C4449" t="inlineStr">
        <is>
          <t>Técnico III</t>
        </is>
      </c>
      <c r="D4449" t="n">
        <v>0</v>
      </c>
      <c r="E4449" t="n">
        <v>0</v>
      </c>
      <c r="F4449" t="n">
        <v>0</v>
      </c>
      <c r="G4449" t="n">
        <v>0</v>
      </c>
      <c r="H4449" t="n">
        <v>0</v>
      </c>
      <c r="I4449" s="3" t="n">
        <v>0</v>
      </c>
      <c r="J4449" s="3" t="n">
        <v>0</v>
      </c>
      <c r="K4449" s="3" t="n">
        <v>0</v>
      </c>
      <c r="L4449" s="3">
        <f>IF(K4449&lt;-5,"CRÍTICO",IF(K4449&lt;0,"ATENÇÃO",IF(K4449&lt;=5,"OPORTUNO","MUITO BOM")))</f>
        <v/>
      </c>
      <c r="N4449" t="n">
        <v>0</v>
      </c>
      <c r="O4449" t="n">
        <v>0</v>
      </c>
    </row>
    <row r="4450" hidden="1">
      <c r="A4450" s="11" t="n">
        <v>46142</v>
      </c>
      <c r="B4450" t="inlineStr">
        <is>
          <t>Karina Gonçalves Martins</t>
        </is>
      </c>
      <c r="C4450" t="inlineStr">
        <is>
          <t>JR</t>
        </is>
      </c>
      <c r="D4450" t="n">
        <v>19</v>
      </c>
      <c r="E4450" t="n">
        <v>17</v>
      </c>
      <c r="F4450" t="n">
        <v>19.12</v>
      </c>
      <c r="G4450" t="n">
        <v>0</v>
      </c>
      <c r="H4450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N4450" t="n">
        <v>97.17</v>
      </c>
      <c r="O4450" t="n">
        <v>28.81844380403458</v>
      </c>
    </row>
    <row r="4451" hidden="1">
      <c r="A4451" s="11" t="n">
        <v>46142</v>
      </c>
      <c r="B4451" t="inlineStr">
        <is>
          <t>Kerollen Cristielly de Jesus Siqueira</t>
        </is>
      </c>
      <c r="C4451" t="inlineStr">
        <is>
          <t>Técnico III</t>
        </is>
      </c>
      <c r="D4451" t="n">
        <v>0</v>
      </c>
      <c r="E4451" t="n">
        <v>0</v>
      </c>
      <c r="F4451" t="n">
        <v>0</v>
      </c>
      <c r="G4451" t="n">
        <v>0</v>
      </c>
      <c r="H4451" t="n">
        <v>0</v>
      </c>
      <c r="I4451" s="3" t="n">
        <v>0</v>
      </c>
      <c r="J4451" s="3" t="n">
        <v>0</v>
      </c>
      <c r="K4451" s="3" t="n">
        <v>0</v>
      </c>
      <c r="L4451" s="3">
        <f>IF(K4451&lt;-5,"CRÍTICO",IF(K4451&lt;0,"ATENÇÃO",IF(K4451&lt;=5,"OPORTUNO","MUITO BOM")))</f>
        <v/>
      </c>
      <c r="N4451" t="n">
        <v>96.81</v>
      </c>
      <c r="O4451" t="n">
        <v>48.01864801864802</v>
      </c>
    </row>
    <row r="4452" hidden="1">
      <c r="A4452" s="11" t="n">
        <v>46142</v>
      </c>
      <c r="B4452" t="inlineStr">
        <is>
          <t>Leandro de Souza Silva</t>
        </is>
      </c>
      <c r="C4452" t="inlineStr">
        <is>
          <t>JR</t>
        </is>
      </c>
      <c r="D4452" t="n">
        <v>22</v>
      </c>
      <c r="E4452" t="n">
        <v>21</v>
      </c>
      <c r="F4452" t="n">
        <v>17.26</v>
      </c>
      <c r="G4452" t="n">
        <v>0</v>
      </c>
      <c r="H4452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N4452" t="n">
        <v>98.15000000000001</v>
      </c>
      <c r="O4452" t="n">
        <v>27.1551724137931</v>
      </c>
    </row>
    <row r="4453" hidden="1">
      <c r="A4453" s="11" t="n">
        <v>46142</v>
      </c>
      <c r="B4453" t="inlineStr">
        <is>
          <t>Leandro Oliveira de Sousa</t>
        </is>
      </c>
      <c r="C4453" t="inlineStr">
        <is>
          <t>Técnico III</t>
        </is>
      </c>
      <c r="D4453" t="n">
        <v>31</v>
      </c>
      <c r="E4453" t="n">
        <v>29</v>
      </c>
      <c r="F4453" t="n">
        <v>13.5</v>
      </c>
      <c r="G4453" t="n">
        <v>0</v>
      </c>
      <c r="H445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N4453" t="n">
        <v>99.15000000000001</v>
      </c>
      <c r="O4453" t="n">
        <v>27.37068965517241</v>
      </c>
    </row>
    <row r="4454" hidden="1">
      <c r="A4454" s="11" t="n">
        <v>46142</v>
      </c>
      <c r="B4454" t="inlineStr">
        <is>
          <t>Lizandra Gomes Duarte</t>
        </is>
      </c>
      <c r="C4454" t="inlineStr">
        <is>
          <t>Técnico II</t>
        </is>
      </c>
      <c r="D4454" t="n">
        <v>18</v>
      </c>
      <c r="E4454" t="n">
        <v>17</v>
      </c>
      <c r="F4454" t="n">
        <v>21.44</v>
      </c>
      <c r="G4454" t="n">
        <v>0</v>
      </c>
      <c r="H4454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N4454" t="n">
        <v>99.17</v>
      </c>
      <c r="O4454" t="n">
        <v>29.75206611570248</v>
      </c>
    </row>
    <row r="4455" hidden="1">
      <c r="A4455" s="11" t="n">
        <v>46142</v>
      </c>
      <c r="B4455" t="inlineStr">
        <is>
          <t>Lorena Dias de Araujo</t>
        </is>
      </c>
      <c r="C4455" t="inlineStr">
        <is>
          <t>Técnico II</t>
        </is>
      </c>
      <c r="D4455" t="n">
        <v>0</v>
      </c>
      <c r="E4455" t="n">
        <v>0</v>
      </c>
      <c r="F4455" t="n">
        <v>0</v>
      </c>
      <c r="G4455" t="n">
        <v>0</v>
      </c>
      <c r="H4455" t="n">
        <v>0</v>
      </c>
      <c r="I4455" s="3" t="n">
        <v>0</v>
      </c>
      <c r="J4455" s="3" t="n">
        <v>0</v>
      </c>
      <c r="K4455" s="3" t="n">
        <v>0</v>
      </c>
      <c r="L4455" s="3">
        <f>IF(K4455&lt;-5,"CRÍTICO",IF(K4455&lt;0,"ATENÇÃO",IF(K4455&lt;=5,"OPORTUNO","MUITO BOM")))</f>
        <v/>
      </c>
      <c r="N4455" t="n">
        <v>98.73</v>
      </c>
      <c r="O4455" t="n">
        <v>28.96174863387978</v>
      </c>
    </row>
    <row r="4456" hidden="1">
      <c r="A4456" s="11" t="n">
        <v>46142</v>
      </c>
      <c r="B4456" t="inlineStr">
        <is>
          <t>Lucas Luiz Romero</t>
        </is>
      </c>
      <c r="C4456" t="inlineStr">
        <is>
          <t>Técnico III</t>
        </is>
      </c>
      <c r="D4456" t="n">
        <v>0</v>
      </c>
      <c r="E4456" t="n">
        <v>0</v>
      </c>
      <c r="F4456" t="n">
        <v>0</v>
      </c>
      <c r="G4456" t="n">
        <v>0</v>
      </c>
      <c r="H4456" t="n">
        <v>0</v>
      </c>
      <c r="I4456" s="3" t="n">
        <v>0</v>
      </c>
      <c r="J4456" s="3" t="n">
        <v>0</v>
      </c>
      <c r="K4456" s="3" t="n">
        <v>0</v>
      </c>
      <c r="L4456" s="3">
        <f>IF(K4456&lt;-5,"CRÍTICO",IF(K4456&lt;0,"ATENÇÃO",IF(K4456&lt;=5,"OPORTUNO","MUITO BOM")))</f>
        <v/>
      </c>
      <c r="N4456" t="n">
        <v>88.68000000000001</v>
      </c>
      <c r="O4456" t="n">
        <v>22.03389830508474</v>
      </c>
    </row>
    <row r="4457" hidden="1">
      <c r="A4457" s="11" t="n">
        <v>46142</v>
      </c>
      <c r="B4457" t="inlineStr">
        <is>
          <t>Luiz Fernando de Carvalho Junior</t>
        </is>
      </c>
      <c r="C4457" t="inlineStr">
        <is>
          <t>Técnico I</t>
        </is>
      </c>
      <c r="D4457" t="n">
        <v>30</v>
      </c>
      <c r="E4457" t="n">
        <v>28</v>
      </c>
      <c r="F4457" t="n">
        <v>16.54</v>
      </c>
      <c r="G4457" t="n">
        <v>0</v>
      </c>
      <c r="H4457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N4457" t="n">
        <v>97.37</v>
      </c>
      <c r="O4457" t="n">
        <v>25.76530612244898</v>
      </c>
    </row>
    <row r="4458" hidden="1">
      <c r="A4458" s="11" t="n">
        <v>46142</v>
      </c>
      <c r="B4458" t="inlineStr">
        <is>
          <t>Maria Eduarda Sousa Costa</t>
        </is>
      </c>
      <c r="C4458" t="inlineStr">
        <is>
          <t>Estágio</t>
        </is>
      </c>
      <c r="D4458" t="n">
        <v>80</v>
      </c>
      <c r="E4458" t="n">
        <v>46</v>
      </c>
      <c r="F4458" t="n">
        <v>5.06</v>
      </c>
      <c r="G4458" t="n">
        <v>0</v>
      </c>
      <c r="H4458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N4458" t="n">
        <v>100</v>
      </c>
      <c r="O4458" t="n">
        <v>25</v>
      </c>
    </row>
    <row r="4459" hidden="1">
      <c r="A4459" s="11" t="n">
        <v>46142</v>
      </c>
      <c r="B4459" t="inlineStr">
        <is>
          <t>Matheus Farias De Souza</t>
        </is>
      </c>
      <c r="C4459" t="inlineStr">
        <is>
          <t>Técnico III</t>
        </is>
      </c>
      <c r="D4459" t="n">
        <v>15</v>
      </c>
      <c r="E4459" t="n">
        <v>13</v>
      </c>
      <c r="F4459" t="n">
        <v>11.57</v>
      </c>
      <c r="G4459" t="n">
        <v>0</v>
      </c>
      <c r="H4459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N4459" t="n">
        <v>100</v>
      </c>
      <c r="O4459" t="n">
        <v>23.9870340356564</v>
      </c>
    </row>
    <row r="4460" hidden="1">
      <c r="A4460" s="11" t="n">
        <v>46142</v>
      </c>
      <c r="B4460" t="inlineStr">
        <is>
          <t>Maysa Victoria Dias Moura</t>
        </is>
      </c>
      <c r="C4460" t="inlineStr">
        <is>
          <t>Técnico III</t>
        </is>
      </c>
      <c r="D4460" t="n">
        <v>35</v>
      </c>
      <c r="E4460" t="n">
        <v>34</v>
      </c>
      <c r="F4460" t="n">
        <v>14.14</v>
      </c>
      <c r="G4460" t="n">
        <v>0</v>
      </c>
      <c r="H4460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N4460" t="n">
        <v>95.48999999999999</v>
      </c>
      <c r="O4460" t="n">
        <v>28.16901408450704</v>
      </c>
    </row>
    <row r="4461" hidden="1">
      <c r="A4461" s="11" t="n">
        <v>46142</v>
      </c>
      <c r="B4461" t="inlineStr">
        <is>
          <t>Michelle G Santos</t>
        </is>
      </c>
      <c r="C4461" t="inlineStr">
        <is>
          <t>Estágio</t>
        </is>
      </c>
      <c r="D4461" t="n">
        <v>19</v>
      </c>
      <c r="E4461" t="n">
        <v>17</v>
      </c>
      <c r="F4461" t="n">
        <v>24.14</v>
      </c>
      <c r="G4461" t="n">
        <v>0</v>
      </c>
      <c r="H4461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N4461" t="n">
        <v>100</v>
      </c>
      <c r="O4461" t="n">
        <v>23.77622377622378</v>
      </c>
    </row>
    <row r="4462" hidden="1">
      <c r="A4462" s="11" t="n">
        <v>46142</v>
      </c>
      <c r="B4462" t="inlineStr">
        <is>
          <t>Milena Sales</t>
        </is>
      </c>
      <c r="C4462" t="inlineStr">
        <is>
          <t>JR</t>
        </is>
      </c>
      <c r="D4462" t="n">
        <v>36</v>
      </c>
      <c r="E4462" t="n">
        <v>20</v>
      </c>
      <c r="F4462" t="n">
        <v>9.19</v>
      </c>
      <c r="G4462" t="n">
        <v>0</v>
      </c>
      <c r="H4462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N4462" t="n">
        <v>96.15000000000001</v>
      </c>
      <c r="O4462" t="n">
        <v>24.04580152671756</v>
      </c>
    </row>
    <row r="4463" hidden="1">
      <c r="A4463" s="11" t="n">
        <v>46142</v>
      </c>
      <c r="B4463" t="inlineStr">
        <is>
          <t>Patrícia Karla de Sousa Araújo</t>
        </is>
      </c>
      <c r="C4463" t="inlineStr">
        <is>
          <t>Técnico II</t>
        </is>
      </c>
      <c r="D4463" t="n">
        <v>31</v>
      </c>
      <c r="E4463" t="n">
        <v>27</v>
      </c>
      <c r="F4463" t="n">
        <v>15.42</v>
      </c>
      <c r="G4463" t="n">
        <v>0</v>
      </c>
      <c r="H446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N4463" t="n">
        <v>99.02</v>
      </c>
      <c r="O4463" t="n">
        <v>34.7972972972973</v>
      </c>
    </row>
    <row r="4464" hidden="1">
      <c r="A4464" s="11" t="n">
        <v>46142</v>
      </c>
      <c r="B4464" t="inlineStr">
        <is>
          <t>Paulo Ricardo Santos</t>
        </is>
      </c>
      <c r="C4464" t="inlineStr">
        <is>
          <t>JR</t>
        </is>
      </c>
      <c r="D4464" t="n">
        <v>19</v>
      </c>
      <c r="E4464" t="n">
        <v>19</v>
      </c>
      <c r="F4464" t="n">
        <v>20.08</v>
      </c>
      <c r="G4464" t="n">
        <v>0</v>
      </c>
      <c r="H4464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N4464" t="n">
        <v>98.84</v>
      </c>
      <c r="O4464" t="n">
        <v>31.5018315018315</v>
      </c>
    </row>
    <row r="4465" hidden="1">
      <c r="A4465" s="11" t="n">
        <v>46142</v>
      </c>
      <c r="B4465" t="inlineStr">
        <is>
          <t>Pedro Luiz Mota Sousa</t>
        </is>
      </c>
      <c r="C4465" t="inlineStr">
        <is>
          <t>JR</t>
        </is>
      </c>
      <c r="D4465" t="n">
        <v>15</v>
      </c>
      <c r="E4465" t="n">
        <v>13</v>
      </c>
      <c r="F4465" t="n">
        <v>13.59</v>
      </c>
      <c r="G4465" t="n">
        <v>0</v>
      </c>
      <c r="H4465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N4465" t="n">
        <v>100</v>
      </c>
      <c r="O4465" t="n">
        <v>34.66666666666667</v>
      </c>
    </row>
    <row r="4466" hidden="1">
      <c r="A4466" s="11" t="n">
        <v>46142</v>
      </c>
      <c r="B4466" t="inlineStr">
        <is>
          <t>Quirino Diogo Leite Torres</t>
        </is>
      </c>
      <c r="C4466" t="inlineStr">
        <is>
          <t>Estágio</t>
        </is>
      </c>
      <c r="D4466" t="n">
        <v>18</v>
      </c>
      <c r="E4466" t="n">
        <v>17</v>
      </c>
      <c r="F4466" t="n">
        <v>28.41</v>
      </c>
      <c r="G4466" t="n">
        <v>0</v>
      </c>
      <c r="H4466" t="n">
        <v>0</v>
      </c>
      <c r="I4466" s="3">
        <f>E4466+G4466+H4466</f>
        <v/>
      </c>
      <c r="J4466" s="3">
        <f>ROUND(MIN(IF(C4466="Técnico III",35,IF(C4466="Técnico II",28,IF(C4466="Técnico I",23,IF(C4466="JR",20,IF(C4466="Estágio",10,0))))),IF(C4466="Técnico III",SUMIFS($D:$D,$A:$A,$A4466,$B:$B,"&lt;&gt;Patrícia Karla de Sousa Araújo",$B:$B,"&lt;&gt;Lorena Dias de Araujo",$B:$B,"&lt;&gt;Lucas Luiz Romero")*(35/1083),IF(C4466="Técnico II",SUMIFS($D:$D,$A:$A,$A4466,$B:$B,"&lt;&gt;Patrícia Karla de Sousa Araújo",$B:$B,"&lt;&gt;Lorena Dias de Araujo",$B:$B,"&lt;&gt;Lucas Luiz Romero")*(28/1083),IF(C4466="Técnico I",SUMIFS($D:$D,$A:$A,$A4466,$B:$B,"&lt;&gt;Patrícia Karla de Sousa Araújo",$B:$B,"&lt;&gt;Lorena Dias de Araujo",$B:$B,"&lt;&gt;Lucas Luiz Romero")*(23/1083),IF(C4466="JR",SUMIFS($D:$D,$A:$A,$A4466,$B:$B,"&lt;&gt;Patrícia Karla de Sousa Araújo",$B:$B,"&lt;&gt;Lorena Dias de Araujo",$B:$B,"&lt;&gt;Lucas Luiz Romero")*(20/1083),IF(C4466="Estágio",SUMIFS($D:$D,$A:$A,$A4466,$B:$B,"&lt;&gt;Patrícia Karla de Sousa Araújo",$B:$B,"&lt;&gt;Lorena Dias de Araujo",$B:$B,"&lt;&gt;Lucas Luiz Romero")*(10/1083),0)))))),0)</f>
        <v/>
      </c>
      <c r="K4466" s="3">
        <f>I4466-J4466</f>
        <v/>
      </c>
      <c r="L4466" s="3">
        <f>IF(K4466&lt;-5,"CRÍTICO",IF(K4466&lt;0,"ATENÇÃO",IF(K4466&lt;=5,"OPORTUNO","MUITO BOM")))</f>
        <v/>
      </c>
      <c r="N4466" t="n">
        <v>94.12</v>
      </c>
      <c r="O4466" t="n">
        <v>32.8</v>
      </c>
    </row>
    <row r="4467" hidden="1">
      <c r="A4467" s="11" t="n">
        <v>46142</v>
      </c>
      <c r="B4467" t="inlineStr">
        <is>
          <t>Raane Batista Matos</t>
        </is>
      </c>
      <c r="C4467" t="inlineStr">
        <is>
          <t>Técnico I</t>
        </is>
      </c>
      <c r="D4467" t="n">
        <v>27</v>
      </c>
      <c r="E4467" t="n">
        <v>24</v>
      </c>
      <c r="F4467" t="n">
        <v>15.08</v>
      </c>
      <c r="G4467" t="n">
        <v>0</v>
      </c>
      <c r="H4467" t="n">
        <v>0</v>
      </c>
      <c r="I4467" s="3">
        <f>E4467+G4467+H4467</f>
        <v/>
      </c>
      <c r="J4467" s="3">
        <f>ROUND(MIN(IF(C4467="Técnico III",35,IF(C4467="Técnico II",28,IF(C4467="Técnico I",23,IF(C4467="JR",20,IF(C4467="Estágio",10,0))))),IF(C4467="Técnico III",SUMIFS($D:$D,$A:$A,$A4467,$B:$B,"&lt;&gt;Patrícia Karla de Sousa Araújo",$B:$B,"&lt;&gt;Lorena Dias de Araujo",$B:$B,"&lt;&gt;Lucas Luiz Romero")*(35/1083),IF(C4467="Técnico II",SUMIFS($D:$D,$A:$A,$A4467,$B:$B,"&lt;&gt;Patrícia Karla de Sousa Araújo",$B:$B,"&lt;&gt;Lorena Dias de Araujo",$B:$B,"&lt;&gt;Lucas Luiz Romero")*(28/1083),IF(C4467="Técnico I",SUMIFS($D:$D,$A:$A,$A4467,$B:$B,"&lt;&gt;Patrícia Karla de Sousa Araújo",$B:$B,"&lt;&gt;Lorena Dias de Araujo",$B:$B,"&lt;&gt;Lucas Luiz Romero")*(23/1083),IF(C4467="JR",SUMIFS($D:$D,$A:$A,$A4467,$B:$B,"&lt;&gt;Patrícia Karla de Sousa Araújo",$B:$B,"&lt;&gt;Lorena Dias de Araujo",$B:$B,"&lt;&gt;Lucas Luiz Romero")*(20/1083),IF(C4467="Estágio",SUMIFS($D:$D,$A:$A,$A4467,$B:$B,"&lt;&gt;Patrícia Karla de Sousa Araújo",$B:$B,"&lt;&gt;Lorena Dias de Araujo",$B:$B,"&lt;&gt;Lucas Luiz Romero")*(10/1083),0)))))),0)</f>
        <v/>
      </c>
      <c r="K4467" s="3">
        <f>I4467-J4467</f>
        <v/>
      </c>
      <c r="L4467" s="3">
        <f>IF(K4467&lt;-5,"CRÍTICO",IF(K4467&lt;0,"ATENÇÃO",IF(K4467&lt;=5,"OPORTUNO","MUITO BOM")))</f>
        <v/>
      </c>
      <c r="N4467" t="n">
        <v>98.31999999999999</v>
      </c>
      <c r="O4467" t="n">
        <v>26.61870503597122</v>
      </c>
    </row>
    <row r="4468" hidden="1">
      <c r="A4468" s="11" t="n">
        <v>46142</v>
      </c>
      <c r="B4468" t="inlineStr">
        <is>
          <t>Rafael Gomes de Morais</t>
        </is>
      </c>
      <c r="C4468" t="inlineStr">
        <is>
          <t>Técnico III</t>
        </is>
      </c>
      <c r="D4468" t="n">
        <v>36</v>
      </c>
      <c r="E4468" t="n">
        <v>33</v>
      </c>
      <c r="F4468" t="n">
        <v>18.2</v>
      </c>
      <c r="G4468" t="n">
        <v>0</v>
      </c>
      <c r="H4468" t="n">
        <v>0</v>
      </c>
      <c r="I4468" s="3">
        <f>E4468+G4468+H4468</f>
        <v/>
      </c>
      <c r="J4468" s="3">
        <f>ROUND(MIN(IF(C4468="Técnico III",35,IF(C4468="Técnico II",28,IF(C4468="Técnico I",23,IF(C4468="JR",20,IF(C4468="Estágio",10,0))))),IF(C4468="Técnico III",SUMIFS($D:$D,$A:$A,$A4468,$B:$B,"&lt;&gt;Patrícia Karla de Sousa Araújo",$B:$B,"&lt;&gt;Lorena Dias de Araujo",$B:$B,"&lt;&gt;Lucas Luiz Romero")*(35/1083),IF(C4468="Técnico II",SUMIFS($D:$D,$A:$A,$A4468,$B:$B,"&lt;&gt;Patrícia Karla de Sousa Araújo",$B:$B,"&lt;&gt;Lorena Dias de Araujo",$B:$B,"&lt;&gt;Lucas Luiz Romero")*(28/1083),IF(C4468="Técnico I",SUMIFS($D:$D,$A:$A,$A4468,$B:$B,"&lt;&gt;Patrícia Karla de Sousa Araújo",$B:$B,"&lt;&gt;Lorena Dias de Araujo",$B:$B,"&lt;&gt;Lucas Luiz Romero")*(23/1083),IF(C4468="JR",SUMIFS($D:$D,$A:$A,$A4468,$B:$B,"&lt;&gt;Patrícia Karla de Sousa Araújo",$B:$B,"&lt;&gt;Lorena Dias de Araujo",$B:$B,"&lt;&gt;Lucas Luiz Romero")*(20/1083),IF(C4468="Estágio",SUMIFS($D:$D,$A:$A,$A4468,$B:$B,"&lt;&gt;Patrícia Karla de Sousa Araújo",$B:$B,"&lt;&gt;Lorena Dias de Araujo",$B:$B,"&lt;&gt;Lucas Luiz Romero")*(10/1083),0)))))),0)</f>
        <v/>
      </c>
      <c r="K4468" s="3">
        <f>I4468-J4468</f>
        <v/>
      </c>
      <c r="L4468" s="3">
        <f>IF(K4468&lt;-5,"CRÍTICO",IF(K4468&lt;0,"ATENÇÃO",IF(K4468&lt;=5,"OPORTUNO","MUITO BOM")))</f>
        <v/>
      </c>
      <c r="N4468" t="n">
        <v>100</v>
      </c>
      <c r="O4468" t="n">
        <v>31.13553113553114</v>
      </c>
    </row>
    <row r="4469" hidden="1">
      <c r="A4469" s="11" t="n">
        <v>46142</v>
      </c>
      <c r="B4469" t="inlineStr">
        <is>
          <t>Sara Maria Monteiro Lopes</t>
        </is>
      </c>
      <c r="C4469" t="inlineStr">
        <is>
          <t>Técnico I</t>
        </is>
      </c>
      <c r="D4469" t="n">
        <v>10</v>
      </c>
      <c r="E4469" t="n">
        <v>10</v>
      </c>
      <c r="F4469" t="n">
        <v>23.27</v>
      </c>
      <c r="G4469" t="n">
        <v>0</v>
      </c>
      <c r="H4469" t="n">
        <v>0</v>
      </c>
      <c r="I4469" s="3">
        <f>E4469+G4469+H4469</f>
        <v/>
      </c>
      <c r="J4469" s="3">
        <f>ROUND(MIN(IF(C4469="Técnico III",35,IF(C4469="Técnico II",28,IF(C4469="Técnico I",23,IF(C4469="JR",20,IF(C4469="Estágio",10,0))))),IF(C4469="Técnico III",SUMIFS($D:$D,$A:$A,$A4469,$B:$B,"&lt;&gt;Patrícia Karla de Sousa Araújo",$B:$B,"&lt;&gt;Lorena Dias de Araujo",$B:$B,"&lt;&gt;Lucas Luiz Romero")*(35/1083),IF(C4469="Técnico II",SUMIFS($D:$D,$A:$A,$A4469,$B:$B,"&lt;&gt;Patrícia Karla de Sousa Araújo",$B:$B,"&lt;&gt;Lorena Dias de Araujo",$B:$B,"&lt;&gt;Lucas Luiz Romero")*(28/1083),IF(C4469="Técnico I",SUMIFS($D:$D,$A:$A,$A4469,$B:$B,"&lt;&gt;Patrícia Karla de Sousa Araújo",$B:$B,"&lt;&gt;Lorena Dias de Araujo",$B:$B,"&lt;&gt;Lucas Luiz Romero")*(23/1083),IF(C4469="JR",SUMIFS($D:$D,$A:$A,$A4469,$B:$B,"&lt;&gt;Patrícia Karla de Sousa Araújo",$B:$B,"&lt;&gt;Lorena Dias de Araujo",$B:$B,"&lt;&gt;Lucas Luiz Romero")*(20/1083),IF(C4469="Estágio",SUMIFS($D:$D,$A:$A,$A4469,$B:$B,"&lt;&gt;Patrícia Karla de Sousa Araújo",$B:$B,"&lt;&gt;Lorena Dias de Araujo",$B:$B,"&lt;&gt;Lucas Luiz Romero")*(10/1083),0)))))),0)</f>
        <v/>
      </c>
      <c r="K4469" s="3">
        <f>I4469-J4469</f>
        <v/>
      </c>
      <c r="L4469" s="3">
        <f>IF(K4469&lt;-5,"CRÍTICO",IF(K4469&lt;0,"ATENÇÃO",IF(K4469&lt;=5,"OPORTUNO","MUITO BOM")))</f>
        <v/>
      </c>
      <c r="N4469" t="n">
        <v>100</v>
      </c>
      <c r="O4469" t="n">
        <v>26.02739726027397</v>
      </c>
    </row>
    <row r="4470" hidden="1">
      <c r="A4470" s="11" t="n">
        <v>46142</v>
      </c>
      <c r="B4470" t="inlineStr">
        <is>
          <t>Sarah Steffanie de Lima Borges</t>
        </is>
      </c>
      <c r="C4470" t="inlineStr">
        <is>
          <t>Técnico III</t>
        </is>
      </c>
      <c r="D4470" t="n">
        <v>10</v>
      </c>
      <c r="E4470" t="n">
        <v>10</v>
      </c>
      <c r="F4470" t="n">
        <v>20.23</v>
      </c>
      <c r="G4470" t="n">
        <v>0</v>
      </c>
      <c r="H4470" t="n">
        <v>0</v>
      </c>
      <c r="I4470" s="3">
        <f>E4470+G4470+H4470</f>
        <v/>
      </c>
      <c r="J4470" s="3">
        <f>ROUND(MIN(IF(C4470="Técnico III",35,IF(C4470="Técnico II",28,IF(C4470="Técnico I",23,IF(C4470="JR",20,IF(C4470="Estágio",10,0))))),IF(C4470="Técnico III",SUMIFS($D:$D,$A:$A,$A4470,$B:$B,"&lt;&gt;Patrícia Karla de Sousa Araújo",$B:$B,"&lt;&gt;Lorena Dias de Araujo",$B:$B,"&lt;&gt;Lucas Luiz Romero")*(35/1083),IF(C4470="Técnico II",SUMIFS($D:$D,$A:$A,$A4470,$B:$B,"&lt;&gt;Patrícia Karla de Sousa Araújo",$B:$B,"&lt;&gt;Lorena Dias de Araujo",$B:$B,"&lt;&gt;Lucas Luiz Romero")*(28/1083),IF(C4470="Técnico I",SUMIFS($D:$D,$A:$A,$A4470,$B:$B,"&lt;&gt;Patrícia Karla de Sousa Araújo",$B:$B,"&lt;&gt;Lorena Dias de Araujo",$B:$B,"&lt;&gt;Lucas Luiz Romero")*(23/1083),IF(C4470="JR",SUMIFS($D:$D,$A:$A,$A4470,$B:$B,"&lt;&gt;Patrícia Karla de Sousa Araújo",$B:$B,"&lt;&gt;Lorena Dias de Araujo",$B:$B,"&lt;&gt;Lucas Luiz Romero")*(20/1083),IF(C4470="Estágio",SUMIFS($D:$D,$A:$A,$A4470,$B:$B,"&lt;&gt;Patrícia Karla de Sousa Araújo",$B:$B,"&lt;&gt;Lorena Dias de Araujo",$B:$B,"&lt;&gt;Lucas Luiz Romero")*(10/1083),0)))))),0)</f>
        <v/>
      </c>
      <c r="K4470" s="3">
        <f>I4470-J4470</f>
        <v/>
      </c>
      <c r="L4470" s="3">
        <f>IF(K4470&lt;-5,"CRÍTICO",IF(K4470&lt;0,"ATENÇÃO",IF(K4470&lt;=5,"OPORTUNO","MUITO BOM")))</f>
        <v/>
      </c>
      <c r="N4470" t="n">
        <v>99.20999999999999</v>
      </c>
      <c r="O4470" t="n">
        <v>24.93702770780856</v>
      </c>
    </row>
  </sheetData>
  <autoFilter ref="A1:O4470">
    <filterColumn colId="0" hiddenButton="0" showButton="1">
      <filters>
        <dateGroupItem year="2026" month="1" dateTimeGrouping="month"/>
        <dateGroupItem year="2026" month="2" dateTimeGrouping="month"/>
      </filters>
    </filterColumn>
    <sortState ref="A19:O4444">
      <sortCondition ref="A1:A4470"/>
    </sortState>
  </autoFilter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2026-05-26T18:54:29Z</dcterms:modified>
  <cp:lastModifiedBy>Esther Queiroz Supervisora Folha</cp:lastModifiedBy>
</cp:coreProperties>
</file>
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'Produtividade'!$A$1:$O$4692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  <xf numFmtId="0" fontId="0" fillId="0" borderId="0" applyAlignment="1" pivotButton="0" quotePrefix="0" xfId="0">
      <alignment vertical="center"/>
    </xf>
    <xf numFmtId="1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692"/>
  <sheetViews>
    <sheetView tabSelected="1" zoomScale="85" zoomScaleNormal="85" workbookViewId="0">
      <selection activeCell="H4615" sqref="H4615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  <col width="9.140625" customWidth="1" style="3" min="16" max="16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99.25</v>
      </c>
      <c r="O2" s="9" t="n">
        <v>20.40816326530612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97.14</v>
      </c>
      <c r="O3" s="9" t="n">
        <v>24.76190476190476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28.94736842105263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12.94117647058824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17.1875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98.36</v>
      </c>
      <c r="O7" s="9" t="n">
        <v>21.91780821917808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99.25</v>
      </c>
      <c r="O8" s="3" t="n">
        <v>20.40816326530612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97.14</v>
      </c>
      <c r="O9" s="3" t="n">
        <v>24.76190476190476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28.94736842105263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12.94117647058824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17.1875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98.36</v>
      </c>
      <c r="O13" s="3" t="n">
        <v>21.91780821917808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99.25</v>
      </c>
      <c r="O14" s="3" t="n">
        <v>20.40816326530612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97.14</v>
      </c>
      <c r="O15" s="3" t="n">
        <v>24.76190476190476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28.94736842105263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12.94117647058824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17.1875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G19" s="3" t="n"/>
      <c r="H19" s="3" t="n"/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t="n">
        <v>14</v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98.36</v>
      </c>
      <c r="O20" s="3" t="n">
        <v>21.91780821917808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99.25</v>
      </c>
      <c r="O21" s="3" t="n">
        <v>20.40816326530612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97.14</v>
      </c>
      <c r="O22" s="3" t="n">
        <v>24.76190476190476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28.94736842105263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12.94117647058824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17.1875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98.36</v>
      </c>
      <c r="O26" s="3" t="n">
        <v>21.91780821917808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99.25</v>
      </c>
      <c r="O27" t="n">
        <v>20.40816326530612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97.14</v>
      </c>
      <c r="O28" t="n">
        <v>24.76190476190476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28.94736842105263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12.94117647058824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17.1875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98.36</v>
      </c>
      <c r="O32" t="n">
        <v>21.91780821917808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99.25</v>
      </c>
      <c r="O33" t="n">
        <v>20.40816326530612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97.14</v>
      </c>
      <c r="O34" t="n">
        <v>24.76190476190476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28.94736842105263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12.94117647058824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17.1875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98.36</v>
      </c>
      <c r="O38" t="n">
        <v>21.91780821917808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99.25</v>
      </c>
      <c r="O39" t="n">
        <v>20.40816326530612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97.14</v>
      </c>
      <c r="O40" t="n">
        <v>24.76190476190476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28.94736842105263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12.94117647058824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17.1875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98.36</v>
      </c>
      <c r="O44" t="n">
        <v>21.91780821917808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99.25</v>
      </c>
      <c r="O45" t="n">
        <v>20.40816326530612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97.14</v>
      </c>
      <c r="O46" t="n">
        <v>24.76190476190476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28.94736842105263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12.94117647058824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17.1875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98.36</v>
      </c>
      <c r="O50" t="n">
        <v>21.91780821917808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99.25</v>
      </c>
      <c r="O51" t="n">
        <v>20.40816326530612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97.14</v>
      </c>
      <c r="O52" t="n">
        <v>24.76190476190476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28.94736842105263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12.94117647058824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17.1875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98.36</v>
      </c>
      <c r="O56" t="n">
        <v>21.91780821917808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99.25</v>
      </c>
      <c r="O57" t="n">
        <v>20.40816326530612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97.14</v>
      </c>
      <c r="O58" t="n">
        <v>24.76190476190476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28.94736842105263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12.94117647058824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17.1875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98.36</v>
      </c>
      <c r="O62" t="n">
        <v>21.91780821917808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97.14</v>
      </c>
      <c r="O63" t="n">
        <v>24.76190476190476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28.94736842105263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12.94117647058824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t="n">
        <v>18</v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17.1875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98.36</v>
      </c>
      <c r="O68" t="n">
        <v>21.91780821917808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97.14</v>
      </c>
      <c r="O69" t="n">
        <v>24.76190476190476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28.94736842105263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12.94117647058824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17.1875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98.36</v>
      </c>
      <c r="O73" t="n">
        <v>21.91780821917808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97.14</v>
      </c>
      <c r="O74" s="9" t="n">
        <v>24.76190476190476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28.94736842105263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12.94117647058824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17.1875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98.36</v>
      </c>
      <c r="O78" s="9" t="n">
        <v>21.91780821917808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97.14</v>
      </c>
      <c r="O79" s="3" t="n">
        <v>24.76190476190476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28.94736842105263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12.94117647058824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17.1875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98.36</v>
      </c>
      <c r="O83" s="3" t="n">
        <v>21.91780821917808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97.14</v>
      </c>
      <c r="O84" s="3" t="n">
        <v>24.76190476190476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28.94736842105263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12.94117647058824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17.1875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98.36</v>
      </c>
      <c r="O88" s="3" t="n">
        <v>21.91780821917808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  <c r="M89" t="n">
        <v>3</v>
      </c>
      <c r="N89" t="n">
        <v>97.14</v>
      </c>
      <c r="O89" t="n">
        <v>24.76190476190476</v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  <c r="M90" t="n">
        <v>1</v>
      </c>
      <c r="N90" t="n">
        <v>100</v>
      </c>
      <c r="O90" t="n">
        <v>28.94736842105263</v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  <c r="M91" t="n">
        <v>6</v>
      </c>
      <c r="N91" t="n">
        <v>100</v>
      </c>
      <c r="O91" t="n">
        <v>12.94117647058824</v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  <c r="M92" t="n">
        <v>5</v>
      </c>
      <c r="N92" t="n">
        <v>100</v>
      </c>
      <c r="O92" t="n">
        <v>17.1875</v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  <c r="M93" t="n">
        <v>11</v>
      </c>
      <c r="N93" t="n">
        <v>98.36</v>
      </c>
      <c r="O93" t="n">
        <v>21.91780821917808</v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33.33333333333333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33.33333333333333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33.33333333333333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33.33333333333333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33.33333333333333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33.33333333333333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33.33333333333333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M101" t="n">
        <v>26</v>
      </c>
      <c r="N101" t="n">
        <v>96.73999999999999</v>
      </c>
      <c r="O101" t="n">
        <v>28.67647058823529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M102" t="n">
        <v>5</v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M103" t="n">
        <v>4</v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M104" t="n">
        <v>3</v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M105" t="n">
        <v>10</v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M106" t="n">
        <v>9</v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M107" t="n">
        <v>27</v>
      </c>
      <c r="N107" t="n">
        <v>96.73999999999999</v>
      </c>
      <c r="O107" t="n">
        <v>28.67647058823529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M108" t="n">
        <v>12</v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M109" t="n">
        <v>7</v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98.91</v>
      </c>
      <c r="O110" t="n">
        <v>31.36729222520107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  <c r="M111" t="n">
        <v>0</v>
      </c>
      <c r="N111" t="n">
        <v>100</v>
      </c>
      <c r="O111" t="n">
        <v>33.33333333333333</v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M112" t="n">
        <v>0</v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M113" t="n">
        <v>11</v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M114" t="n">
        <v>11</v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M115" t="n">
        <v>33</v>
      </c>
      <c r="N115" t="n">
        <v>96.73999999999999</v>
      </c>
      <c r="O115" t="n">
        <v>28.67647058823529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M116" t="n">
        <v>5</v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M117" t="n">
        <v>1</v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M118" t="n">
        <v>0</v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M119" t="n">
        <v>7</v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M120" t="n">
        <v>13</v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  <c r="H121" s="3" t="n"/>
      <c r="I121" s="3" t="n"/>
      <c r="J121" s="3" t="n"/>
      <c r="K121" s="3" t="n"/>
      <c r="L121" s="3" t="n"/>
      <c r="M121" t="n">
        <v>7</v>
      </c>
      <c r="N121" t="n">
        <v>97.14</v>
      </c>
      <c r="O121" t="n">
        <v>24.76190476190476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  <c r="H122" s="3" t="n"/>
      <c r="I122" s="3" t="n"/>
      <c r="J122" s="3" t="n"/>
      <c r="K122" s="3" t="n"/>
      <c r="L122" s="3" t="n"/>
      <c r="M122" t="n">
        <v>6</v>
      </c>
      <c r="N122" t="n">
        <v>100</v>
      </c>
      <c r="O122" t="n">
        <v>31.57894736842105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  <c r="H123" s="3" t="n"/>
      <c r="I123" s="3" t="n"/>
      <c r="J123" s="3" t="n"/>
      <c r="K123" s="3" t="n"/>
      <c r="L123" s="3" t="n"/>
      <c r="M123" t="n">
        <v>20</v>
      </c>
      <c r="N123" t="n">
        <v>100</v>
      </c>
      <c r="O123" t="n">
        <v>15.29411764705882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  <c r="H124" s="3" t="n"/>
      <c r="I124" s="3" t="n"/>
      <c r="J124" s="3" t="n"/>
      <c r="K124" s="3" t="n"/>
      <c r="L124" s="3" t="n"/>
      <c r="M124" t="n">
        <v>10</v>
      </c>
      <c r="N124" t="n">
        <v>100</v>
      </c>
      <c r="O124" t="n">
        <v>17.96875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  <c r="H125" s="3" t="n"/>
      <c r="I125" s="3" t="n"/>
      <c r="J125" s="3" t="n"/>
      <c r="K125" s="3" t="n"/>
      <c r="L125" s="3" t="n"/>
      <c r="M125" t="n">
        <v>12</v>
      </c>
      <c r="N125" t="n">
        <v>98.36</v>
      </c>
      <c r="O125" t="n">
        <v>24.20091324200913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  <c r="H126" s="3" t="n"/>
      <c r="I126" s="3" t="n"/>
      <c r="J126" s="3" t="n"/>
      <c r="K126" s="3" t="n"/>
      <c r="L126" s="3" t="n"/>
      <c r="M126" t="n">
        <v>1</v>
      </c>
      <c r="N126" t="n">
        <v>100</v>
      </c>
      <c r="O126" t="n">
        <v>33.33333333333333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97.62</v>
      </c>
      <c r="O127" s="9" t="n">
        <v>17.82477341389728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19.07216494845361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96.83</v>
      </c>
      <c r="O129" s="9" t="n">
        <v>20.94017094017094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20.0836820083682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16.34241245136187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97.62</v>
      </c>
      <c r="O132" s="3" t="n">
        <v>17.82477341389728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19.07216494845361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96.83</v>
      </c>
      <c r="O134" s="3" t="n">
        <v>20.94017094017094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20.0836820083682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16.34241245136187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97.62</v>
      </c>
      <c r="O137" s="3" t="n">
        <v>17.82477341389728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19.07216494845361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96.83</v>
      </c>
      <c r="O139" s="3" t="n">
        <v>20.94017094017094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20.0836820083682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16.34241245136187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97.62</v>
      </c>
      <c r="O142" s="3" t="n">
        <v>17.82477341389728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19.07216494845361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96.83</v>
      </c>
      <c r="O144" s="3" t="n">
        <v>20.94017094017094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20.0836820083682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16.34241245136187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97.62</v>
      </c>
      <c r="O147" t="n">
        <v>17.82477341389728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19.07216494845361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96.83</v>
      </c>
      <c r="O149" t="n">
        <v>20.94017094017094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20.0836820083682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16.34241245136187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97.62</v>
      </c>
      <c r="O152" t="n">
        <v>17.82477341389728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19.07216494845361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98.91</v>
      </c>
      <c r="O154" t="n">
        <v>31.36729222520107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96.83</v>
      </c>
      <c r="O155" t="n">
        <v>20.94017094017094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20.0836820083682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16.34241245136187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97.62</v>
      </c>
      <c r="O158" t="n">
        <v>17.82477341389728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19.07216494845361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96.83</v>
      </c>
      <c r="O160" t="n">
        <v>20.94017094017094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20.0836820083682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16.34241245136187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97.62</v>
      </c>
      <c r="O163" t="n">
        <v>17.82477341389728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19.07216494845361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96.83</v>
      </c>
      <c r="O165" t="n">
        <v>20.94017094017094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20.0836820083682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16.34241245136187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97.62</v>
      </c>
      <c r="O168" t="n">
        <v>17.82477341389728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19.07216494845361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96.83</v>
      </c>
      <c r="O170" t="n">
        <v>20.94017094017094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20.0836820083682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16.34241245136187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97.62</v>
      </c>
      <c r="O173" t="n">
        <v>17.82477341389728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19.07216494845361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96.83</v>
      </c>
      <c r="O175" t="n">
        <v>20.94017094017094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20.0836820083682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16</v>
      </c>
      <c r="N177" t="n">
        <v>100</v>
      </c>
      <c r="O177" t="n">
        <v>16.34241245136187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99.25</v>
      </c>
      <c r="O178" t="n">
        <v>20.40816326530612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97.62</v>
      </c>
      <c r="O179" t="n">
        <v>17.82477341389728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19.07216494845361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96.83</v>
      </c>
      <c r="O181" t="n">
        <v>20.94017094017094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20.0836820083682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16.34241245136187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99.25</v>
      </c>
      <c r="O184" t="n">
        <v>20.40816326530612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97.62</v>
      </c>
      <c r="O185" t="n">
        <v>17.82477341389728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19.07216494845361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96.83</v>
      </c>
      <c r="O187" t="n">
        <v>20.94017094017094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20.0836820083682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16.34241245136187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99.25</v>
      </c>
      <c r="O190" s="9" t="n">
        <v>20.40816326530612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97.62</v>
      </c>
      <c r="O191" s="9" t="n">
        <v>17.82477341389728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98.91</v>
      </c>
      <c r="O192" t="n">
        <v>31.36729222520107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19.07216494845361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96.83</v>
      </c>
      <c r="O194" s="9" t="n">
        <v>20.94017094017094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20.0836820083682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16.34241245136187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99.25</v>
      </c>
      <c r="O197" s="3" t="n">
        <v>20.40816326530612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97.62</v>
      </c>
      <c r="O198" s="3" t="n">
        <v>17.82477341389728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98.91</v>
      </c>
      <c r="O199" t="n">
        <v>31.36729222520107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19.07216494845361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96.83</v>
      </c>
      <c r="O201" s="3" t="n">
        <v>20.94017094017094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20.0836820083682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16.34241245136187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99.25</v>
      </c>
      <c r="O204" s="3" t="n">
        <v>20.40816326530612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97.62</v>
      </c>
      <c r="O205" s="3" t="n">
        <v>17.82477341389728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19.07216494845361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96.83</v>
      </c>
      <c r="O207" s="3" t="n">
        <v>20.94017094017094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20.0836820083682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16.34241245136187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  <c r="M210" t="n">
        <v>25</v>
      </c>
      <c r="N210" t="n">
        <v>99.25</v>
      </c>
      <c r="O210" t="n">
        <v>20.40816326530612</v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  <c r="M211" t="n">
        <v>13</v>
      </c>
      <c r="N211" t="n">
        <v>97.62</v>
      </c>
      <c r="O211" t="n">
        <v>17.82477341389728</v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  <c r="M212" t="n">
        <v>13</v>
      </c>
      <c r="N212" t="n">
        <v>100</v>
      </c>
      <c r="O212" t="n">
        <v>19.07216494845361</v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  <c r="M213" t="n">
        <v>0</v>
      </c>
      <c r="N213" t="n">
        <v>96.83</v>
      </c>
      <c r="O213" t="n">
        <v>20.94017094017094</v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  <c r="M214" t="n">
        <v>16</v>
      </c>
      <c r="N214" t="n">
        <v>100</v>
      </c>
      <c r="O214" t="n">
        <v>20.0836820083682</v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  <c r="M215" t="n">
        <v>10</v>
      </c>
      <c r="N215" t="n">
        <v>100</v>
      </c>
      <c r="O215" t="n">
        <v>16.34241245136187</v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M216" t="n">
        <v>26</v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M217" t="n">
        <v>12</v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M218" t="n">
        <v>12</v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M219" t="n">
        <v>20</v>
      </c>
      <c r="N219" t="n">
        <v>98.84</v>
      </c>
      <c r="O219" t="n">
        <v>31.86813186813187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M220" t="n">
        <v>15</v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M221" t="n">
        <v>22</v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M222" t="n">
        <v>11</v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M223" t="n">
        <v>0</v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M224" t="n">
        <v>17</v>
      </c>
      <c r="N224" t="n">
        <v>98.84</v>
      </c>
      <c r="O224" t="n">
        <v>31.86813186813187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M225" t="n">
        <v>18</v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M226" t="n">
        <v>17</v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M227" t="n">
        <v>19</v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M228" t="n">
        <v>9</v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M229" t="n">
        <v>16</v>
      </c>
      <c r="N229" t="n">
        <v>98.84</v>
      </c>
      <c r="O229" t="n">
        <v>31.86813186813187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M230" t="n">
        <v>12</v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  <c r="M231" t="n">
        <v>22</v>
      </c>
      <c r="N231" t="n">
        <v>99.25</v>
      </c>
      <c r="O231" t="n">
        <v>21.7687074829932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  <c r="M232" t="n">
        <v>10</v>
      </c>
      <c r="N232" t="n">
        <v>97.62</v>
      </c>
      <c r="O232" t="n">
        <v>19.63746223564955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  <c r="M233" t="n">
        <v>10</v>
      </c>
      <c r="N233" t="n">
        <v>100</v>
      </c>
      <c r="O233" t="n">
        <v>21.1340206185567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  <c r="M234" t="n">
        <v>15</v>
      </c>
      <c r="N234" t="n">
        <v>96.83</v>
      </c>
      <c r="O234" t="n">
        <v>24.35897435897436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  <c r="M235" t="n">
        <v>14</v>
      </c>
      <c r="N235" t="n">
        <v>100</v>
      </c>
      <c r="O235" t="n">
        <v>21.33891213389121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  <c r="M236" t="n">
        <v>13</v>
      </c>
      <c r="N236" t="n">
        <v>100</v>
      </c>
      <c r="O236" t="n">
        <v>18.67704280155642</v>
      </c>
    </row>
    <row r="237" hidden="1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3" t="n">
        <v>0</v>
      </c>
      <c r="E237" s="3" t="n">
        <v>0</v>
      </c>
      <c r="F237" s="3" t="n">
        <v>0</v>
      </c>
      <c r="G237" s="3" t="n">
        <v>0</v>
      </c>
      <c r="H237" s="3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M237" s="3" t="n">
        <v>19</v>
      </c>
      <c r="N237" s="3" t="n">
        <v>98.66</v>
      </c>
      <c r="O237" s="3" t="n">
        <v>35.41666666666667</v>
      </c>
    </row>
    <row r="238" hidden="1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M238" s="3" t="n">
        <v>0</v>
      </c>
      <c r="N238" s="3" t="n">
        <v>98.66</v>
      </c>
      <c r="O238" s="3" t="n">
        <v>35.41666666666667</v>
      </c>
    </row>
    <row r="239" hidden="1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M239" s="3" t="n">
        <v>0</v>
      </c>
      <c r="N239" s="3" t="n">
        <v>98.66</v>
      </c>
      <c r="O239" s="3" t="n">
        <v>35.41666666666667</v>
      </c>
    </row>
    <row r="240" hidden="1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3" t="n">
        <v>0</v>
      </c>
      <c r="N240" s="3" t="n">
        <v>100</v>
      </c>
      <c r="O240" s="3" t="n">
        <v>0</v>
      </c>
    </row>
    <row r="241" hidden="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3" t="n">
        <v>0</v>
      </c>
      <c r="N241" s="3" t="n">
        <v>100</v>
      </c>
      <c r="O241" s="3" t="n">
        <v>0</v>
      </c>
    </row>
    <row r="242" hidden="1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3" t="n">
        <v>0</v>
      </c>
      <c r="N242" s="3" t="n">
        <v>100</v>
      </c>
      <c r="O242" s="3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98.91</v>
      </c>
      <c r="O243" t="n">
        <v>31.36729222520107</v>
      </c>
    </row>
    <row r="244" hidden="1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3" t="n">
        <v>0</v>
      </c>
      <c r="E244" s="3" t="n">
        <v>0</v>
      </c>
      <c r="F244" s="3" t="n">
        <v>0</v>
      </c>
      <c r="G244" s="3" t="n">
        <v>0</v>
      </c>
      <c r="H244" s="3" t="n">
        <v>0</v>
      </c>
      <c r="I244" s="3" t="n">
        <v>0</v>
      </c>
      <c r="J244" s="3" t="n">
        <v>0</v>
      </c>
      <c r="K244" s="3" t="n">
        <v>0</v>
      </c>
      <c r="M244" s="3" t="n">
        <v>0</v>
      </c>
      <c r="N244" s="3" t="n">
        <v>100</v>
      </c>
      <c r="O244" s="3" t="n">
        <v>0</v>
      </c>
    </row>
    <row r="245" hidden="1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3" t="n">
        <v>0</v>
      </c>
      <c r="E245" s="3" t="n">
        <v>0</v>
      </c>
      <c r="F245" s="3" t="n">
        <v>0</v>
      </c>
      <c r="G245" s="3" t="n">
        <v>0</v>
      </c>
      <c r="H245" s="3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M245" s="3" t="n">
        <v>0</v>
      </c>
      <c r="N245" s="3" t="n">
        <v>100</v>
      </c>
      <c r="O245" s="3" t="n">
        <v>27.80373831775701</v>
      </c>
    </row>
    <row r="246" hidden="1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3" t="n">
        <v>0</v>
      </c>
      <c r="E246" s="3" t="n">
        <v>0</v>
      </c>
      <c r="F246" s="3" t="n">
        <v>0</v>
      </c>
      <c r="G246" s="3" t="n">
        <v>0</v>
      </c>
      <c r="H246" s="3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M246" s="3" t="n">
        <v>0</v>
      </c>
      <c r="N246" s="3" t="n">
        <v>100</v>
      </c>
      <c r="O246" s="3" t="n">
        <v>27.80373831775701</v>
      </c>
    </row>
    <row r="247" hidden="1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3" t="n">
        <v>33</v>
      </c>
      <c r="E247" s="3" t="n">
        <v>32</v>
      </c>
      <c r="F247" s="3" t="n">
        <v>13.4</v>
      </c>
      <c r="G247" s="3" t="n">
        <v>0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M247" s="3" t="n">
        <v>28</v>
      </c>
      <c r="N247" s="3" t="n">
        <v>100</v>
      </c>
      <c r="O247" s="3" t="n">
        <v>27.80373831775701</v>
      </c>
    </row>
    <row r="248" hidden="1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3" t="n">
        <v>31</v>
      </c>
      <c r="N248" s="3" t="n">
        <v>96.94</v>
      </c>
      <c r="O248" s="3" t="n">
        <v>19.61325966850829</v>
      </c>
    </row>
    <row r="249" hidden="1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96.94</v>
      </c>
      <c r="O249" s="3" t="n">
        <v>19.61325966850829</v>
      </c>
    </row>
    <row r="250" hidden="1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3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96.94</v>
      </c>
      <c r="O250" s="3" t="n">
        <v>19.61325966850829</v>
      </c>
    </row>
    <row r="251" hidden="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3" t="n">
        <v>33</v>
      </c>
      <c r="E251" s="3" t="n">
        <v>27</v>
      </c>
      <c r="F251" s="3" t="n">
        <v>12.19</v>
      </c>
      <c r="G251" s="3" t="n">
        <v>3</v>
      </c>
      <c r="M251" s="3" t="n">
        <v>26</v>
      </c>
      <c r="N251" s="3" t="n">
        <v>96.94</v>
      </c>
      <c r="O251" s="3" t="n">
        <v>21.54696132596685</v>
      </c>
    </row>
    <row r="252" hidden="1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3" t="n">
        <v>28</v>
      </c>
      <c r="E252" s="3" t="n">
        <v>24</v>
      </c>
      <c r="F252" s="3" t="n">
        <v>15.03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M252" s="3" t="n">
        <v>22</v>
      </c>
      <c r="N252" s="3" t="n">
        <v>93.75</v>
      </c>
      <c r="O252" s="3" t="n">
        <v>26.81992337164751</v>
      </c>
    </row>
    <row r="253" hidden="1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3" t="n">
        <v>42</v>
      </c>
      <c r="E253" s="3" t="n">
        <v>35</v>
      </c>
      <c r="F253" s="3" t="n">
        <v>10.13</v>
      </c>
      <c r="G253" s="3" t="n">
        <v>0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M253" s="3" t="n">
        <v>39</v>
      </c>
      <c r="N253" s="3" t="n">
        <v>93.75</v>
      </c>
      <c r="O253" s="3" t="n">
        <v>26.81992337164751</v>
      </c>
    </row>
    <row r="254" hidden="1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3" t="n">
        <v>39</v>
      </c>
      <c r="E254" s="3" t="n">
        <v>37</v>
      </c>
      <c r="F254" s="3" t="n">
        <v>11.54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M254" s="3" t="n">
        <v>37</v>
      </c>
      <c r="N254" s="3" t="n">
        <v>93.75</v>
      </c>
      <c r="O254" s="3" t="n">
        <v>26.81992337164751</v>
      </c>
    </row>
    <row r="255" hidden="1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3" t="n">
        <v>32</v>
      </c>
      <c r="N255" s="3" t="n">
        <v>92.81</v>
      </c>
      <c r="O255" s="3" t="n">
        <v>25.47770700636943</v>
      </c>
    </row>
    <row r="256" hidden="1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92.81</v>
      </c>
      <c r="O256" s="3" t="n">
        <v>25.47770700636943</v>
      </c>
    </row>
    <row r="257" hidden="1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3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92.81</v>
      </c>
      <c r="O257" s="3" t="n">
        <v>25.47770700636943</v>
      </c>
    </row>
    <row r="258" hidden="1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3" t="n">
        <v>24</v>
      </c>
      <c r="E258" s="3" t="n">
        <v>22</v>
      </c>
      <c r="F258" s="3" t="n">
        <v>10.43</v>
      </c>
      <c r="G258" s="3" t="n">
        <v>0</v>
      </c>
      <c r="M258" s="3" t="n">
        <v>15</v>
      </c>
      <c r="N258" s="3" t="n">
        <v>92.81</v>
      </c>
      <c r="O258" s="3" t="n">
        <v>26.11464968152866</v>
      </c>
    </row>
    <row r="259" hidden="1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3" t="n">
        <v>30</v>
      </c>
      <c r="E259" s="3" t="n">
        <v>28</v>
      </c>
      <c r="F259" s="3" t="n">
        <v>22.11</v>
      </c>
      <c r="G259" s="3" t="n">
        <v>0</v>
      </c>
      <c r="H259" s="3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M259" s="3" t="n">
        <v>29</v>
      </c>
      <c r="N259" s="3" t="n">
        <v>100</v>
      </c>
      <c r="O259" s="3" t="n">
        <v>38.65384615384615</v>
      </c>
    </row>
    <row r="260" hidden="1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3" t="n">
        <v>33</v>
      </c>
      <c r="E260" s="3" t="n">
        <v>31</v>
      </c>
      <c r="F260" s="3" t="n">
        <v>20.43</v>
      </c>
      <c r="G260" s="3" t="n">
        <v>0</v>
      </c>
      <c r="H260" s="3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M260" s="3" t="n">
        <v>33</v>
      </c>
      <c r="N260" s="3" t="n">
        <v>100</v>
      </c>
      <c r="O260" s="3" t="n">
        <v>38.65384615384615</v>
      </c>
    </row>
    <row r="261" hidden="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3" t="n">
        <v>33</v>
      </c>
      <c r="E261" s="3" t="n">
        <v>30</v>
      </c>
      <c r="F261" s="3" t="n">
        <v>20.33</v>
      </c>
      <c r="G261" s="3" t="n">
        <v>0</v>
      </c>
      <c r="H261" s="3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M261" s="3" t="n">
        <v>31</v>
      </c>
      <c r="N261" s="3" t="n">
        <v>100</v>
      </c>
      <c r="O261" s="3" t="n">
        <v>38.65384615384615</v>
      </c>
    </row>
    <row r="262" hidden="1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3" t="n">
        <v>25</v>
      </c>
      <c r="N262" s="3" t="n">
        <v>99.19</v>
      </c>
      <c r="O262" s="3" t="n">
        <v>28.40466926070039</v>
      </c>
    </row>
    <row r="263" hidden="1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99.19</v>
      </c>
      <c r="O263" s="3" t="n">
        <v>28.40466926070039</v>
      </c>
    </row>
    <row r="264" hidden="1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3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99.19</v>
      </c>
      <c r="O264" s="3" t="n">
        <v>28.40466926070039</v>
      </c>
    </row>
    <row r="265" hidden="1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3" t="n">
        <v>0</v>
      </c>
      <c r="E265" s="3" t="n">
        <v>0</v>
      </c>
      <c r="F265" s="3" t="n">
        <v>0</v>
      </c>
      <c r="G265" s="3" t="n">
        <v>0</v>
      </c>
      <c r="H265" s="3" t="n">
        <v>0</v>
      </c>
      <c r="I265" s="3" t="n">
        <v>0</v>
      </c>
      <c r="J265" s="3" t="n">
        <v>0</v>
      </c>
      <c r="K265" s="3" t="n">
        <v>0</v>
      </c>
      <c r="M265" s="3" t="n">
        <v>0</v>
      </c>
      <c r="N265" s="3" t="n">
        <v>99.19</v>
      </c>
      <c r="O265" s="3" t="n">
        <v>29.57198443579767</v>
      </c>
    </row>
    <row r="266" hidden="1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3" t="n">
        <v>32</v>
      </c>
      <c r="E266" s="3" t="n">
        <v>31</v>
      </c>
      <c r="F266" s="3" t="n">
        <v>18.49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M266" s="3" t="n">
        <v>30</v>
      </c>
      <c r="N266" s="3" t="n">
        <v>99.26000000000001</v>
      </c>
      <c r="O266" s="3" t="n">
        <v>29.76653696498055</v>
      </c>
    </row>
    <row r="267" hidden="1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3" t="n">
        <v>31</v>
      </c>
      <c r="E267" s="3" t="n">
        <v>29</v>
      </c>
      <c r="F267" s="3" t="n">
        <v>16.58</v>
      </c>
      <c r="G267" s="3" t="n">
        <v>0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M267" s="3" t="n">
        <v>28</v>
      </c>
      <c r="N267" s="3" t="n">
        <v>99.26000000000001</v>
      </c>
      <c r="O267" s="3" t="n">
        <v>29.76653696498055</v>
      </c>
    </row>
    <row r="268" hidden="1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3" t="n">
        <v>29</v>
      </c>
      <c r="E268" s="3" t="n">
        <v>26</v>
      </c>
      <c r="F268" s="3" t="n">
        <v>15.07</v>
      </c>
      <c r="G268" s="3" t="n">
        <v>0</v>
      </c>
      <c r="H268" s="3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M268" s="3" t="n">
        <v>27</v>
      </c>
      <c r="N268" s="3" t="n">
        <v>99.26000000000001</v>
      </c>
      <c r="O268" s="3" t="n">
        <v>29.76653696498055</v>
      </c>
    </row>
    <row r="269" hidden="1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3" t="n">
        <v>0</v>
      </c>
      <c r="N269" s="3" t="n">
        <v>100</v>
      </c>
      <c r="O269" s="3" t="n">
        <v>13.51351351351351</v>
      </c>
    </row>
    <row r="270" hidden="1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13.51351351351351</v>
      </c>
    </row>
    <row r="271" hidden="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13.51351351351351</v>
      </c>
    </row>
    <row r="272" hidden="1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3" t="n">
        <v>38</v>
      </c>
      <c r="E272" s="3" t="n">
        <v>35</v>
      </c>
      <c r="F272" s="3" t="n">
        <v>12</v>
      </c>
      <c r="G272" s="3" t="n">
        <v>3</v>
      </c>
      <c r="M272" s="3" t="n">
        <v>34</v>
      </c>
      <c r="N272" s="3" t="n">
        <v>100</v>
      </c>
      <c r="O272" s="3" t="n">
        <v>15.06849315068493</v>
      </c>
    </row>
    <row r="273" hidden="1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3" t="n">
        <v>38</v>
      </c>
      <c r="E273" s="3" t="n">
        <v>35</v>
      </c>
      <c r="F273" s="3" t="n">
        <v>16.57</v>
      </c>
      <c r="G273" s="3" t="n">
        <v>0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M273" s="3" t="n">
        <v>32</v>
      </c>
      <c r="N273" s="3" t="n">
        <v>99.56999999999999</v>
      </c>
      <c r="O273" s="3" t="n">
        <v>30.63583815028902</v>
      </c>
    </row>
    <row r="274" hidden="1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3" t="n">
        <v>44</v>
      </c>
      <c r="E274" s="3" t="n">
        <v>40</v>
      </c>
      <c r="F274" s="3" t="n">
        <v>12.14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M274" s="3" t="n">
        <v>45</v>
      </c>
      <c r="N274" s="3" t="n">
        <v>99.56999999999999</v>
      </c>
      <c r="O274" s="3" t="n">
        <v>30.63583815028902</v>
      </c>
    </row>
    <row r="275" hidden="1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3" t="n">
        <v>47</v>
      </c>
      <c r="E275" s="3" t="n">
        <v>42</v>
      </c>
      <c r="F275" s="3" t="n">
        <v>12.14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M275" s="3" t="n">
        <v>45</v>
      </c>
      <c r="N275" s="3" t="n">
        <v>99.56999999999999</v>
      </c>
      <c r="O275" s="3" t="n">
        <v>30.63583815028902</v>
      </c>
    </row>
    <row r="276" hidden="1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3" t="n">
        <v>46</v>
      </c>
      <c r="N276" s="3" t="n">
        <v>99</v>
      </c>
      <c r="O276" s="3" t="n">
        <v>22.27414330218069</v>
      </c>
    </row>
    <row r="277" hidden="1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3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99</v>
      </c>
      <c r="O277" s="3" t="n">
        <v>22.27414330218069</v>
      </c>
    </row>
    <row r="278" hidden="1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3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99</v>
      </c>
      <c r="O278" s="3" t="n">
        <v>22.27414330218069</v>
      </c>
    </row>
    <row r="279" hidden="1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3" t="n">
        <v>38</v>
      </c>
      <c r="E279" s="3" t="n">
        <v>35</v>
      </c>
      <c r="F279" s="3" t="n">
        <v>13.38</v>
      </c>
      <c r="G279" s="3" t="n">
        <v>5</v>
      </c>
      <c r="M279" s="3" t="n">
        <v>34</v>
      </c>
      <c r="N279" s="3" t="n">
        <v>99</v>
      </c>
      <c r="O279" s="3" t="n">
        <v>23.05295950155763</v>
      </c>
    </row>
    <row r="280" hidden="1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3" t="n">
        <v>28</v>
      </c>
      <c r="E280" s="3" t="n">
        <v>28</v>
      </c>
      <c r="F280" s="3" t="n">
        <v>14.08</v>
      </c>
      <c r="G280" s="3" t="n">
        <v>0</v>
      </c>
      <c r="H280" s="3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M280" s="3" t="n">
        <v>24</v>
      </c>
      <c r="N280" s="3" t="n">
        <v>95.65000000000001</v>
      </c>
      <c r="O280" s="3" t="n">
        <v>32.43243243243244</v>
      </c>
    </row>
    <row r="281" hidden="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3" t="n">
        <v>22</v>
      </c>
      <c r="E281" s="3" t="n">
        <v>20</v>
      </c>
      <c r="F281" s="3" t="n">
        <v>15.05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M281" s="3" t="n">
        <v>19</v>
      </c>
      <c r="N281" s="3" t="n">
        <v>95.65000000000001</v>
      </c>
      <c r="O281" s="3" t="n">
        <v>32.43243243243244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98.91</v>
      </c>
      <c r="O282" t="n">
        <v>31.36729222520107</v>
      </c>
    </row>
    <row r="283" hidden="1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3" t="n">
        <v>0</v>
      </c>
      <c r="E283" s="3" t="n">
        <v>0</v>
      </c>
      <c r="F283" s="3" t="n">
        <v>0</v>
      </c>
      <c r="G283" s="3" t="n">
        <v>0</v>
      </c>
      <c r="H283" s="3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M283" s="3" t="n">
        <v>9</v>
      </c>
      <c r="N283" s="3" t="n">
        <v>95.65000000000001</v>
      </c>
      <c r="O283" s="3" t="n">
        <v>32.43243243243244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3" t="n">
        <v>0</v>
      </c>
      <c r="N284" s="3" t="n">
        <v>100</v>
      </c>
      <c r="O284" s="3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s="3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96.94</v>
      </c>
      <c r="O285" s="3" t="n">
        <v>19.61325966850829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s="3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92.81</v>
      </c>
      <c r="O286" s="3" t="n">
        <v>25.47770700636943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s="3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99.19</v>
      </c>
      <c r="O287" s="3" t="n">
        <v>28.40466926070039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13.51351351351351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s="3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99</v>
      </c>
      <c r="O289" s="3" t="n">
        <v>22.27414330218069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s="3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97.04000000000001</v>
      </c>
      <c r="O290" s="3" t="n">
        <v>29.82885085574572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s="3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96.84</v>
      </c>
      <c r="O292" s="3" t="n">
        <v>16.33802816901408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s="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18.24480369515012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15.78947368421053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s="3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98.39</v>
      </c>
      <c r="O295" s="3" t="n">
        <v>8.799999999999999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s="3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96.38</v>
      </c>
      <c r="O296" s="3" t="n">
        <v>23.1981981981982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s="3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99.39</v>
      </c>
      <c r="O297" s="3" t="n">
        <v>25.20325203252033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s="3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</v>
      </c>
      <c r="O298" s="3" t="n">
        <v>20.32520325203252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3" t="n">
        <v>0</v>
      </c>
      <c r="N299" s="3" t="n">
        <v>100</v>
      </c>
      <c r="O299" s="3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s="3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s="3" t="n">
        <v>20</v>
      </c>
      <c r="N300" s="3" t="n">
        <v>96.94</v>
      </c>
      <c r="O300" s="3" t="n">
        <v>19.61325966850829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s="3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s="3" t="n">
        <v>25</v>
      </c>
      <c r="N301" s="3" t="n">
        <v>92.81</v>
      </c>
      <c r="O301" s="3" t="n">
        <v>25.47770700636943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s="3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s="3" t="n">
        <v>22</v>
      </c>
      <c r="N302" s="3" t="n">
        <v>99.19</v>
      </c>
      <c r="O302" s="3" t="n">
        <v>28.40466926070039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3" t="n">
        <v>0</v>
      </c>
      <c r="N303" s="3" t="n">
        <v>100</v>
      </c>
      <c r="O303" s="3" t="n">
        <v>13.51351351351351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s="3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s="3" t="n">
        <v>41</v>
      </c>
      <c r="N304" s="3" t="n">
        <v>99</v>
      </c>
      <c r="O304" s="3" t="n">
        <v>22.27414330218069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s="3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s="3" t="n">
        <v>21</v>
      </c>
      <c r="N305" s="3" t="n">
        <v>97.04000000000001</v>
      </c>
      <c r="O305" s="3" t="n">
        <v>29.82885085574572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3" t="n">
        <v>0</v>
      </c>
      <c r="N306" s="3" t="n">
        <v>0</v>
      </c>
      <c r="O306" s="3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s="3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s="3" t="n">
        <v>4</v>
      </c>
      <c r="N307" s="3" t="n">
        <v>96.84</v>
      </c>
      <c r="O307" s="3" t="n">
        <v>16.33802816901408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s="3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s="3" t="n">
        <v>24</v>
      </c>
      <c r="N308" s="3" t="n">
        <v>100</v>
      </c>
      <c r="O308" s="3" t="n">
        <v>18.24480369515012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3" t="n">
        <v>0</v>
      </c>
      <c r="N309" s="3" t="n">
        <v>100</v>
      </c>
      <c r="O309" s="3" t="n">
        <v>15.78947368421053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s="3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s="3" t="n">
        <v>21</v>
      </c>
      <c r="N310" s="3" t="n">
        <v>98.39</v>
      </c>
      <c r="O310" s="3" t="n">
        <v>8.799999999999999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s="3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23</v>
      </c>
      <c r="N311" s="3" t="n">
        <v>96.38</v>
      </c>
      <c r="O311" s="3" t="n">
        <v>23.1981981981982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s="3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s="3" t="n">
        <v>26</v>
      </c>
      <c r="N312" s="3" t="n">
        <v>99.39</v>
      </c>
      <c r="O312" s="3" t="n">
        <v>25.20325203252033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s="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25</v>
      </c>
      <c r="N313" s="3" t="n">
        <v>97</v>
      </c>
      <c r="O313" s="3" t="n">
        <v>20.32520325203252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3" t="n">
        <v>0</v>
      </c>
      <c r="N314" s="3" t="n">
        <v>100</v>
      </c>
      <c r="O314" s="3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s="3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s="3" t="n">
        <v>13</v>
      </c>
      <c r="N315" s="3" t="n">
        <v>96.94</v>
      </c>
      <c r="O315" s="3" t="n">
        <v>19.61325966850829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s="3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s="3" t="n">
        <v>31</v>
      </c>
      <c r="N316" s="3" t="n">
        <v>92.81</v>
      </c>
      <c r="O316" s="3" t="n">
        <v>25.47770700636943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s="3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s="3" t="n">
        <v>25</v>
      </c>
      <c r="N317" s="3" t="n">
        <v>99.19</v>
      </c>
      <c r="O317" s="3" t="n">
        <v>28.40466926070039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3" t="n">
        <v>0</v>
      </c>
      <c r="N318" s="3" t="n">
        <v>100</v>
      </c>
      <c r="O318" s="3" t="n">
        <v>13.51351351351351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s="3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s="3" t="n">
        <v>44</v>
      </c>
      <c r="N319" s="3" t="n">
        <v>99</v>
      </c>
      <c r="O319" s="3" t="n">
        <v>22.27414330218069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s="3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s="3" t="n">
        <v>17</v>
      </c>
      <c r="N320" s="3" t="n">
        <v>97.04000000000001</v>
      </c>
      <c r="O320" s="3" t="n">
        <v>29.82885085574572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3" t="n">
        <v>0</v>
      </c>
      <c r="N321" s="3" t="n">
        <v>0</v>
      </c>
      <c r="O321" s="3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s="3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s="3" t="n">
        <v>23</v>
      </c>
      <c r="N322" s="3" t="n">
        <v>96.84</v>
      </c>
      <c r="O322" s="3" t="n">
        <v>16.33802816901408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s="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s="3" t="n">
        <v>29</v>
      </c>
      <c r="N323" s="3" t="n">
        <v>100</v>
      </c>
      <c r="O323" s="3" t="n">
        <v>18.24480369515012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3" t="n">
        <v>0</v>
      </c>
      <c r="N324" s="3" t="n">
        <v>100</v>
      </c>
      <c r="O324" s="3" t="n">
        <v>15.78947368421053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98.91</v>
      </c>
      <c r="O325" t="n">
        <v>31.36729222520107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s="3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s="3" t="n">
        <v>27</v>
      </c>
      <c r="N326" s="3" t="n">
        <v>98.39</v>
      </c>
      <c r="O326" s="3" t="n">
        <v>8.799999999999999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s="3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s="3" t="n">
        <v>26</v>
      </c>
      <c r="N327" s="3" t="n">
        <v>96.38</v>
      </c>
      <c r="O327" s="3" t="n">
        <v>23.1981981981982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s="3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s="3" t="n">
        <v>17</v>
      </c>
      <c r="N328" s="3" t="n">
        <v>99.39</v>
      </c>
      <c r="O328" s="3" t="n">
        <v>25.20325203252033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s="3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s="3" t="n">
        <v>16</v>
      </c>
      <c r="N329" s="3" t="n">
        <v>97</v>
      </c>
      <c r="O329" s="3" t="n">
        <v>20.32520325203252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3" t="n">
        <v>0</v>
      </c>
      <c r="N330" s="3" t="n">
        <v>100</v>
      </c>
      <c r="O330" s="3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s="3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s="3" t="n">
        <v>25</v>
      </c>
      <c r="N331" s="3" t="n">
        <v>96.94</v>
      </c>
      <c r="O331" s="3" t="n">
        <v>19.61325966850829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s="3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s="3" t="n">
        <v>33</v>
      </c>
      <c r="N332" s="3" t="n">
        <v>92.81</v>
      </c>
      <c r="O332" s="3" t="n">
        <v>25.47770700636943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s="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3" t="n">
        <v>27</v>
      </c>
      <c r="N333" s="3" t="n">
        <v>99.19</v>
      </c>
      <c r="O333" s="3" t="n">
        <v>28.40466926070039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3" t="n">
        <v>0</v>
      </c>
      <c r="N334" s="3" t="n">
        <v>100</v>
      </c>
      <c r="O334" s="3" t="n">
        <v>13.51351351351351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s="3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s="3" t="n">
        <v>45</v>
      </c>
      <c r="N335" s="3" t="n">
        <v>99</v>
      </c>
      <c r="O335" s="3" t="n">
        <v>22.27414330218069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s="3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s="3" t="n">
        <v>37</v>
      </c>
      <c r="N336" s="3" t="n">
        <v>97.04000000000001</v>
      </c>
      <c r="O336" s="3" t="n">
        <v>29.82885085574572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3" t="n">
        <v>0</v>
      </c>
      <c r="N337" s="3" t="n">
        <v>0</v>
      </c>
      <c r="O337" s="3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s="3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s="3" t="n">
        <v>18</v>
      </c>
      <c r="N338" s="3" t="n">
        <v>96.84</v>
      </c>
      <c r="O338" s="3" t="n">
        <v>16.33802816901408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s="3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s="3" t="n">
        <v>28</v>
      </c>
      <c r="N339" s="3" t="n">
        <v>100</v>
      </c>
      <c r="O339" s="3" t="n">
        <v>18.24480369515012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3" t="n">
        <v>0</v>
      </c>
      <c r="N340" s="3" t="n">
        <v>100</v>
      </c>
      <c r="O340" s="3" t="n">
        <v>15.78947368421053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s="3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s="3" t="n">
        <v>25</v>
      </c>
      <c r="N341" s="3" t="n">
        <v>98.39</v>
      </c>
      <c r="O341" s="3" t="n">
        <v>8.799999999999999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s="3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s="3" t="n">
        <v>28</v>
      </c>
      <c r="N342" s="3" t="n">
        <v>96.38</v>
      </c>
      <c r="O342" s="3" t="n">
        <v>23.1981981981982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s="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s="3" t="n">
        <v>22</v>
      </c>
      <c r="N343" s="3" t="n">
        <v>99.39</v>
      </c>
      <c r="O343" s="3" t="n">
        <v>25.20325203252033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s="3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s="3" t="n">
        <v>25</v>
      </c>
      <c r="N344" s="3" t="n">
        <v>97</v>
      </c>
      <c r="O344" s="3" t="n">
        <v>20.32520325203252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3" t="n">
        <v>0</v>
      </c>
      <c r="N345" s="3" t="n">
        <v>100</v>
      </c>
      <c r="O345" s="3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s="3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s="3" t="n">
        <v>21</v>
      </c>
      <c r="N346" s="3" t="n">
        <v>96.94</v>
      </c>
      <c r="O346" s="3" t="n">
        <v>19.61325966850829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s="3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s="3" t="n">
        <v>31</v>
      </c>
      <c r="N347" s="3" t="n">
        <v>92.81</v>
      </c>
      <c r="O347" s="3" t="n">
        <v>25.47770700636943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s="3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s="3" t="n">
        <v>21</v>
      </c>
      <c r="N348" s="3" t="n">
        <v>99.19</v>
      </c>
      <c r="O348" s="3" t="n">
        <v>28.40466926070039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3" t="n">
        <v>0</v>
      </c>
      <c r="N349" s="3" t="n">
        <v>100</v>
      </c>
      <c r="O349" s="3" t="n">
        <v>13.51351351351351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s="3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s="3" t="n">
        <v>37</v>
      </c>
      <c r="N350" s="3" t="n">
        <v>99</v>
      </c>
      <c r="O350" s="3" t="n">
        <v>22.27414330218069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s="3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s="3" t="n">
        <v>31</v>
      </c>
      <c r="N351" s="3" t="n">
        <v>97.04000000000001</v>
      </c>
      <c r="O351" s="3" t="n">
        <v>29.82885085574572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3" t="n">
        <v>0</v>
      </c>
      <c r="N352" s="3" t="n">
        <v>0</v>
      </c>
      <c r="O352" s="3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s="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s="3" t="n">
        <v>20</v>
      </c>
      <c r="N353" s="3" t="n">
        <v>96.84</v>
      </c>
      <c r="O353" s="3" t="n">
        <v>16.33802816901408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s="3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s="3" t="n">
        <v>26</v>
      </c>
      <c r="N354" s="3" t="n">
        <v>100</v>
      </c>
      <c r="O354" s="3" t="n">
        <v>18.24480369515012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3" t="n">
        <v>0</v>
      </c>
      <c r="N355" s="3" t="n">
        <v>100</v>
      </c>
      <c r="O355" s="3" t="n">
        <v>15.78947368421053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s="3" t="n">
        <v>28</v>
      </c>
      <c r="N356" s="3" t="n">
        <v>98.39</v>
      </c>
      <c r="O356" s="3" t="n">
        <v>8.799999999999999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s="3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29</v>
      </c>
      <c r="N357" s="3" t="n">
        <v>96.38</v>
      </c>
      <c r="O357" s="3" t="n">
        <v>23.1981981981982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s="3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s="3" t="n">
        <v>32</v>
      </c>
      <c r="N358" s="3" t="n">
        <v>99.39</v>
      </c>
      <c r="O358" s="3" t="n">
        <v>25.20325203252033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s="3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s="3" t="n">
        <v>21</v>
      </c>
      <c r="N359" s="3" t="n">
        <v>97</v>
      </c>
      <c r="O359" s="3" t="n">
        <v>20.32520325203252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3" t="n">
        <v>0</v>
      </c>
      <c r="N360" s="3" t="n">
        <v>100</v>
      </c>
      <c r="O360" s="3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s="3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s="3" t="n">
        <v>27</v>
      </c>
      <c r="N361" s="3" t="n">
        <v>96.94</v>
      </c>
      <c r="O361" s="3" t="n">
        <v>19.61325966850829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s="3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s="3" t="n">
        <v>14</v>
      </c>
      <c r="N362" s="3" t="n">
        <v>92.81</v>
      </c>
      <c r="O362" s="3" t="n">
        <v>25.47770700636943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s="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s="3" t="n">
        <v>26</v>
      </c>
      <c r="N363" s="3" t="n">
        <v>99.19</v>
      </c>
      <c r="O363" s="3" t="n">
        <v>28.40466926070039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3" t="n">
        <v>0</v>
      </c>
      <c r="N364" s="3" t="n">
        <v>100</v>
      </c>
      <c r="O364" s="3" t="n">
        <v>13.51351351351351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s="3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s="3" t="n">
        <v>38</v>
      </c>
      <c r="N365" s="3" t="n">
        <v>99</v>
      </c>
      <c r="O365" s="3" t="n">
        <v>22.27414330218069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s="3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s="3" t="n">
        <v>44</v>
      </c>
      <c r="N366" s="3" t="n">
        <v>97.04000000000001</v>
      </c>
      <c r="O366" s="3" t="n">
        <v>29.82885085574572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3" t="n">
        <v>0</v>
      </c>
      <c r="N367" s="3" t="n">
        <v>0</v>
      </c>
      <c r="O367" s="3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s="3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s="3" t="n">
        <v>28</v>
      </c>
      <c r="N368" s="3" t="n">
        <v>96.84</v>
      </c>
      <c r="O368" s="3" t="n">
        <v>16.33802816901408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98.91</v>
      </c>
      <c r="O369" t="n">
        <v>31.36729222520107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s="3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s="3" t="n">
        <v>23</v>
      </c>
      <c r="N370" s="3" t="n">
        <v>100</v>
      </c>
      <c r="O370" s="3" t="n">
        <v>18.24480369515012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3" t="n">
        <v>0</v>
      </c>
      <c r="N371" s="3" t="n">
        <v>100</v>
      </c>
      <c r="O371" s="3" t="n">
        <v>15.78947368421053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s="3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s="3" t="n">
        <v>30</v>
      </c>
      <c r="N372" s="3" t="n">
        <v>98.39</v>
      </c>
      <c r="O372" s="3" t="n">
        <v>8.799999999999999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s="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s="3" t="n">
        <v>29</v>
      </c>
      <c r="N373" s="3" t="n">
        <v>96.38</v>
      </c>
      <c r="O373" s="3" t="n">
        <v>23.1981981981982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s="3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s="3" t="n">
        <v>40</v>
      </c>
      <c r="N374" s="3" t="n">
        <v>99.39</v>
      </c>
      <c r="O374" s="3" t="n">
        <v>25.20325203252033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s="3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s="3" t="n">
        <v>21</v>
      </c>
      <c r="N375" s="3" t="n">
        <v>97</v>
      </c>
      <c r="O375" s="3" t="n">
        <v>20.32520325203252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3" t="n">
        <v>0</v>
      </c>
      <c r="N376" s="3" t="n">
        <v>100</v>
      </c>
      <c r="O376" s="3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s="3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s="3" t="n">
        <v>25</v>
      </c>
      <c r="N377" s="3" t="n">
        <v>96.94</v>
      </c>
      <c r="O377" s="3" t="n">
        <v>19.61325966850829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s="3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s="3" t="n">
        <v>29</v>
      </c>
      <c r="N378" s="3" t="n">
        <v>92.81</v>
      </c>
      <c r="O378" s="3" t="n">
        <v>25.47770700636943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s="3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s="3" t="n">
        <v>23</v>
      </c>
      <c r="N379" s="3" t="n">
        <v>99.19</v>
      </c>
      <c r="O379" s="3" t="n">
        <v>28.40466926070039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s="3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s="3" t="n">
        <v>39</v>
      </c>
      <c r="N380" s="3" t="n">
        <v>99</v>
      </c>
      <c r="O380" s="3" t="n">
        <v>22.27414330218069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s="3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s="3" t="n">
        <v>23</v>
      </c>
      <c r="N381" s="3" t="n">
        <v>97.04000000000001</v>
      </c>
      <c r="O381" s="3" t="n">
        <v>29.82885085574572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3" t="n">
        <v>0</v>
      </c>
      <c r="N382" s="3" t="n">
        <v>0</v>
      </c>
      <c r="O382" s="3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s="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s="3" t="n">
        <v>19</v>
      </c>
      <c r="N383" s="3" t="n">
        <v>100</v>
      </c>
      <c r="O383" s="3" t="n">
        <v>18.24480369515012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3" t="n">
        <v>0</v>
      </c>
      <c r="N384" s="3" t="n">
        <v>100</v>
      </c>
      <c r="O384" s="3" t="n">
        <v>15.78947368421053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s="3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s="3" t="n">
        <v>19</v>
      </c>
      <c r="N385" s="3" t="n">
        <v>98.39</v>
      </c>
      <c r="O385" s="3" t="n">
        <v>8.799999999999999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s="3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s="3" t="n">
        <v>22</v>
      </c>
      <c r="N386" s="3" t="n">
        <v>96.38</v>
      </c>
      <c r="O386" s="3" t="n">
        <v>23.1981981981982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s="3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s="3" t="n">
        <v>29</v>
      </c>
      <c r="N387" s="3" t="n">
        <v>99.39</v>
      </c>
      <c r="O387" s="3" t="n">
        <v>25.20325203252033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s="3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s="3" t="n">
        <v>17</v>
      </c>
      <c r="N388" s="3" t="n">
        <v>97</v>
      </c>
      <c r="O388" s="3" t="n">
        <v>20.32520325203252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3" t="n">
        <v>0</v>
      </c>
      <c r="N389" s="3" t="n">
        <v>100</v>
      </c>
      <c r="O389" s="3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3" t="n">
        <v>0</v>
      </c>
      <c r="N390" s="3" t="n">
        <v>96.94</v>
      </c>
      <c r="O390" s="3" t="n">
        <v>19.61325966850829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s="3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s="3" t="n">
        <v>25</v>
      </c>
      <c r="N391" s="3" t="n">
        <v>92.81</v>
      </c>
      <c r="O391" s="3" t="n">
        <v>25.47770700636943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3" t="n">
        <v>0</v>
      </c>
      <c r="N392" s="3" t="n">
        <v>99.19</v>
      </c>
      <c r="O392" s="3" t="n">
        <v>28.40466926070039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s="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s="3" t="n">
        <v>34</v>
      </c>
      <c r="N393" s="3" t="n">
        <v>99</v>
      </c>
      <c r="O393" s="3" t="n">
        <v>22.27414330218069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s="3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s="3" t="n">
        <v>23</v>
      </c>
      <c r="N394" s="3" t="n">
        <v>97.04000000000001</v>
      </c>
      <c r="O394" s="3" t="n">
        <v>29.82885085574572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3" t="n">
        <v>0</v>
      </c>
      <c r="N395" s="3" t="n">
        <v>0</v>
      </c>
      <c r="O395" s="3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s="3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s="3" t="n">
        <v>21</v>
      </c>
      <c r="N396" s="3" t="n">
        <v>96.84</v>
      </c>
      <c r="O396" s="3" t="n">
        <v>16.33802816901408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s="3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s="3" t="n">
        <v>25</v>
      </c>
      <c r="N397" s="3" t="n">
        <v>100</v>
      </c>
      <c r="O397" s="3" t="n">
        <v>18.24480369515012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3" t="n">
        <v>0</v>
      </c>
      <c r="N398" s="3" t="n">
        <v>100</v>
      </c>
      <c r="O398" s="3" t="n">
        <v>15.78947368421053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s="3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16</v>
      </c>
      <c r="N399" s="3" t="n">
        <v>98.39</v>
      </c>
      <c r="O399" s="3" t="n">
        <v>8.799999999999999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s="3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s="3" t="n">
        <v>27</v>
      </c>
      <c r="N400" s="3" t="n">
        <v>96.38</v>
      </c>
      <c r="O400" s="3" t="n">
        <v>23.1981981981982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s="3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26</v>
      </c>
      <c r="N401" s="3" t="n">
        <v>99.39</v>
      </c>
      <c r="O401" s="3" t="n">
        <v>25.20325203252033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s="3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s="3" t="n">
        <v>21</v>
      </c>
      <c r="N402" s="3" t="n">
        <v>97</v>
      </c>
      <c r="O402" s="3" t="n">
        <v>20.32520325203252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3" t="n">
        <v>0</v>
      </c>
      <c r="N403" s="3" t="n">
        <v>100</v>
      </c>
      <c r="O403" s="3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s="3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96.94</v>
      </c>
      <c r="O404" s="3" t="n">
        <v>19.61325966850829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s="3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s="3" t="n">
        <v>30</v>
      </c>
      <c r="N405" s="3" t="n">
        <v>92.81</v>
      </c>
      <c r="O405" s="3" t="n">
        <v>25.47770700636943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3" t="n">
        <v>0</v>
      </c>
      <c r="N406" s="3" t="n">
        <v>99.19</v>
      </c>
      <c r="O406" s="3" t="n">
        <v>28.40466926070039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s="3" t="n">
        <v>11</v>
      </c>
      <c r="N407" s="3" t="n">
        <v>100</v>
      </c>
      <c r="O407" s="3" t="n">
        <v>13.51351351351351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s="3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s="3" t="n">
        <v>40</v>
      </c>
      <c r="N408" s="3" t="n">
        <v>99</v>
      </c>
      <c r="O408" s="3" t="n">
        <v>22.27414330218069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s="3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s="3" t="n">
        <v>12</v>
      </c>
      <c r="N409" s="3" t="n">
        <v>97.04000000000001</v>
      </c>
      <c r="O409" s="3" t="n">
        <v>29.82885085574572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3" t="n">
        <v>0</v>
      </c>
      <c r="N410" s="3" t="n">
        <v>0</v>
      </c>
      <c r="O410" s="3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s="3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s="3" t="n">
        <v>28</v>
      </c>
      <c r="N411" s="3" t="n">
        <v>96.84</v>
      </c>
      <c r="O411" s="3" t="n">
        <v>16.33802816901408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98.91</v>
      </c>
      <c r="O412" t="n">
        <v>31.36729222520107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s="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s="3" t="n">
        <v>24</v>
      </c>
      <c r="N413" s="3" t="n">
        <v>100</v>
      </c>
      <c r="O413" s="3" t="n">
        <v>18.24480369515012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s="3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s="3" t="n">
        <v>18</v>
      </c>
      <c r="N414" s="3" t="n">
        <v>100</v>
      </c>
      <c r="O414" s="3" t="n">
        <v>15.78947368421053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s="3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s="3" t="n">
        <v>14</v>
      </c>
      <c r="N415" s="3" t="n">
        <v>98.39</v>
      </c>
      <c r="O415" s="3" t="n">
        <v>8.799999999999999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s="3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s="3" t="n">
        <v>30</v>
      </c>
      <c r="N416" s="3" t="n">
        <v>96.38</v>
      </c>
      <c r="O416" s="3" t="n">
        <v>23.1981981981982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s="3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s="3" t="n">
        <v>34</v>
      </c>
      <c r="N417" s="3" t="n">
        <v>99.39</v>
      </c>
      <c r="O417" s="3" t="n">
        <v>25.20325203252033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s="3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s="3" t="n">
        <v>21</v>
      </c>
      <c r="N418" s="3" t="n">
        <v>97</v>
      </c>
      <c r="O418" s="3" t="n">
        <v>20.32520325203252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3" t="n">
        <v>0</v>
      </c>
      <c r="N419" s="3" t="n">
        <v>100</v>
      </c>
      <c r="O419" s="3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3" t="n">
        <v>18</v>
      </c>
      <c r="N420" s="3" t="n">
        <v>96.94</v>
      </c>
      <c r="O420" s="3" t="n">
        <v>19.61325966850829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3" t="n">
        <v>21</v>
      </c>
      <c r="N421" s="3" t="n">
        <v>92.81</v>
      </c>
      <c r="O421" s="3" t="n">
        <v>25.47770700636943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3" t="n">
        <v>0</v>
      </c>
      <c r="N422" s="3" t="n">
        <v>99.19</v>
      </c>
      <c r="O422" s="3" t="n">
        <v>28.40466926070039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3" t="n">
        <v>0</v>
      </c>
      <c r="N423" s="3" t="n">
        <v>100</v>
      </c>
      <c r="O423" s="3" t="n">
        <v>13.51351351351351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3" t="n">
        <v>34</v>
      </c>
      <c r="N424" s="3" t="n">
        <v>99</v>
      </c>
      <c r="O424" s="3" t="n">
        <v>22.27414330218069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3" t="n">
        <v>19</v>
      </c>
      <c r="N425" s="3" t="n">
        <v>97.04000000000001</v>
      </c>
      <c r="O425" s="3" t="n">
        <v>29.82885085574572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3" t="n">
        <v>0</v>
      </c>
      <c r="N426" s="3" t="n">
        <v>0</v>
      </c>
      <c r="O426" s="3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3" t="n">
        <v>18</v>
      </c>
      <c r="N427" s="3" t="n">
        <v>96.84</v>
      </c>
      <c r="O427" s="3" t="n">
        <v>16.33802816901408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3" t="n">
        <v>28</v>
      </c>
      <c r="N428" s="3" t="n">
        <v>100</v>
      </c>
      <c r="O428" s="3" t="n">
        <v>18.24480369515012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3" t="n">
        <v>18</v>
      </c>
      <c r="N429" s="3" t="n">
        <v>100</v>
      </c>
      <c r="O429" s="3" t="n">
        <v>15.78947368421053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98.91</v>
      </c>
      <c r="O430" t="n">
        <v>31.36729222520107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3" t="n">
        <v>16</v>
      </c>
      <c r="N431" s="3" t="n">
        <v>98.39</v>
      </c>
      <c r="O431" s="3" t="n">
        <v>8.799999999999999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3" t="n">
        <v>23</v>
      </c>
      <c r="N432" s="3" t="n">
        <v>96.38</v>
      </c>
      <c r="O432" s="3" t="n">
        <v>23.1981981981982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3" t="n">
        <v>28</v>
      </c>
      <c r="N433" s="3" t="n">
        <v>99.39</v>
      </c>
      <c r="O433" s="3" t="n">
        <v>25.20325203252033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3" t="n">
        <v>21</v>
      </c>
      <c r="N434" s="3" t="n">
        <v>97</v>
      </c>
      <c r="O434" s="3" t="n">
        <v>20.32520325203252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96.94</v>
      </c>
      <c r="O436" s="3" t="n">
        <v>19.61325966850829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92.81</v>
      </c>
      <c r="O437" s="3" t="n">
        <v>25.47770700636943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99.19</v>
      </c>
      <c r="O438" s="3" t="n">
        <v>28.40466926070039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13.51351351351351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99</v>
      </c>
      <c r="O440" s="3" t="n">
        <v>22.27414330218069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97.04000000000001</v>
      </c>
      <c r="O441" s="3" t="n">
        <v>29.82885085574572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96.84</v>
      </c>
      <c r="O443" s="3" t="n">
        <v>16.33802816901408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19</v>
      </c>
      <c r="N444" s="3" t="n">
        <v>100</v>
      </c>
      <c r="O444" s="3" t="n">
        <v>18.24480369515012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15.78947368421053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98.39</v>
      </c>
      <c r="O446" s="3" t="n">
        <v>8.799999999999999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96.38</v>
      </c>
      <c r="O447" s="3" t="n">
        <v>23.1981981981982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99.39</v>
      </c>
      <c r="O448" s="3" t="n">
        <v>25.20325203252033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</v>
      </c>
      <c r="O449" s="3" t="n">
        <v>20.32520325203252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96.94</v>
      </c>
      <c r="O451" s="3" t="n">
        <v>19.61325966850829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92.81</v>
      </c>
      <c r="O452" s="3" t="n">
        <v>25.47770700636943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99.19</v>
      </c>
      <c r="O453" s="3" t="n">
        <v>28.40466926070039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13.51351351351351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99</v>
      </c>
      <c r="O455" s="3" t="n">
        <v>22.27414330218069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98.91</v>
      </c>
      <c r="O456" t="n">
        <v>31.36729222520107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97.04000000000001</v>
      </c>
      <c r="O457" s="3" t="n">
        <v>29.82885085574572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96.84</v>
      </c>
      <c r="O459" s="3" t="n">
        <v>16.33802816901408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18.24480369515012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15.78947368421053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98.39</v>
      </c>
      <c r="O462" s="3" t="n">
        <v>8.799999999999999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96.38</v>
      </c>
      <c r="O463" s="3" t="n">
        <v>23.1981981981982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99.39</v>
      </c>
      <c r="O464" s="3" t="n">
        <v>25.20325203252033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</v>
      </c>
      <c r="O465" s="3" t="n">
        <v>20.32520325203252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s="3" t="n">
        <v>0</v>
      </c>
      <c r="E466" s="3" t="n">
        <v>0</v>
      </c>
      <c r="F466" s="3" t="n">
        <v>0</v>
      </c>
      <c r="G466" s="3" t="n">
        <v>0</v>
      </c>
      <c r="H466" s="3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  <c r="M466" s="3" t="n">
        <v>0</v>
      </c>
      <c r="N466" s="3" t="n">
        <v>100</v>
      </c>
      <c r="O466" s="3" t="n">
        <v>0</v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s="3" t="n">
        <v>27</v>
      </c>
      <c r="E467" s="3" t="n">
        <v>23</v>
      </c>
      <c r="F467" s="3" t="n">
        <v>13.5</v>
      </c>
      <c r="G467" s="3" t="n">
        <v>0</v>
      </c>
      <c r="H467" s="3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  <c r="M467" s="3" t="n">
        <v>23</v>
      </c>
      <c r="N467" s="3" t="n">
        <v>96.94</v>
      </c>
      <c r="O467" s="3" t="n">
        <v>19.61325966850829</v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s="3" t="n">
        <v>25</v>
      </c>
      <c r="E468" s="3" t="n">
        <v>22</v>
      </c>
      <c r="F468" s="3" t="n">
        <v>12.25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  <c r="M468" s="3" t="n">
        <v>20</v>
      </c>
      <c r="N468" s="3" t="n">
        <v>92.81</v>
      </c>
      <c r="O468" s="3" t="n">
        <v>25.47770700636943</v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s="3" t="n">
        <v>0</v>
      </c>
      <c r="E469" s="3" t="n">
        <v>0</v>
      </c>
      <c r="F469" s="3" t="n">
        <v>0</v>
      </c>
      <c r="G469" s="3" t="n">
        <v>0</v>
      </c>
      <c r="H469" s="3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  <c r="M469" s="3" t="n">
        <v>0</v>
      </c>
      <c r="N469" s="3" t="n">
        <v>99.19</v>
      </c>
      <c r="O469" s="3" t="n">
        <v>28.40466926070039</v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s="3" t="n">
        <v>20</v>
      </c>
      <c r="E470" s="3" t="n">
        <v>19</v>
      </c>
      <c r="F470" s="3" t="n">
        <v>17.3</v>
      </c>
      <c r="G470" s="3" t="n">
        <v>0</v>
      </c>
      <c r="H470" s="3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  <c r="M470" s="3" t="n">
        <v>19</v>
      </c>
      <c r="N470" s="3" t="n">
        <v>100</v>
      </c>
      <c r="O470" s="3" t="n">
        <v>13.51351351351351</v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s="3" t="n">
        <v>22</v>
      </c>
      <c r="E471" s="3" t="n">
        <v>21</v>
      </c>
      <c r="F471" s="3" t="n">
        <v>17.1</v>
      </c>
      <c r="G471" s="3" t="n">
        <v>0</v>
      </c>
      <c r="H471" s="3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  <c r="M471" s="3" t="n">
        <v>20</v>
      </c>
      <c r="N471" s="3" t="n">
        <v>99</v>
      </c>
      <c r="O471" s="3" t="n">
        <v>22.27414330218069</v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s="3" t="n">
        <v>17</v>
      </c>
      <c r="E472" s="3" t="n">
        <v>16</v>
      </c>
      <c r="F472" s="3" t="n">
        <v>18.3</v>
      </c>
      <c r="G472" s="3" t="n">
        <v>0</v>
      </c>
      <c r="H472" s="3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  <c r="M472" s="3" t="n">
        <v>19</v>
      </c>
      <c r="N472" s="3" t="n">
        <v>97.04000000000001</v>
      </c>
      <c r="O472" s="3" t="n">
        <v>29.82885085574572</v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s="3" t="n">
        <v>0</v>
      </c>
      <c r="E473" s="3" t="n">
        <v>0</v>
      </c>
      <c r="F473" s="3" t="n">
        <v>0</v>
      </c>
      <c r="G473" s="3" t="n">
        <v>0</v>
      </c>
      <c r="H473" s="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  <c r="M473" s="3" t="n">
        <v>0</v>
      </c>
      <c r="N473" s="3" t="n">
        <v>0</v>
      </c>
      <c r="O473" s="3" t="n">
        <v>0</v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s="3" t="n">
        <v>27</v>
      </c>
      <c r="E474" s="3" t="n">
        <v>27</v>
      </c>
      <c r="F474" s="3" t="n">
        <v>13.4</v>
      </c>
      <c r="G474" s="3" t="n">
        <v>0</v>
      </c>
      <c r="H474" s="3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  <c r="M474" s="3" t="n">
        <v>28</v>
      </c>
      <c r="N474" s="3" t="n">
        <v>96.84</v>
      </c>
      <c r="O474" s="3" t="n">
        <v>16.33802816901408</v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s="3" t="n">
        <v>26</v>
      </c>
      <c r="E475" s="3" t="n">
        <v>24</v>
      </c>
      <c r="F475" s="3" t="n">
        <v>16.44</v>
      </c>
      <c r="G475" s="3" t="n">
        <v>0</v>
      </c>
      <c r="H475" s="3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  <c r="M475" s="3" t="n">
        <v>25</v>
      </c>
      <c r="N475" s="3" t="n">
        <v>100</v>
      </c>
      <c r="O475" s="3" t="n">
        <v>18.24480369515012</v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s="3" t="n">
        <v>0</v>
      </c>
      <c r="E476" s="3" t="n">
        <v>0</v>
      </c>
      <c r="F476" s="3" t="n">
        <v>0</v>
      </c>
      <c r="G476" s="3" t="n">
        <v>0</v>
      </c>
      <c r="H476" s="3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  <c r="M476" s="3" t="n">
        <v>9</v>
      </c>
      <c r="N476" s="3" t="n">
        <v>100</v>
      </c>
      <c r="O476" s="3" t="n">
        <v>15.78947368421053</v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s="3" t="n">
        <v>0</v>
      </c>
      <c r="E477" s="3" t="n">
        <v>0</v>
      </c>
      <c r="F477" s="3" t="n">
        <v>0</v>
      </c>
      <c r="G477" s="3" t="n">
        <v>0</v>
      </c>
      <c r="H477" s="3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  <c r="M477" s="3" t="n">
        <v>14</v>
      </c>
      <c r="N477" s="3" t="n">
        <v>98.39</v>
      </c>
      <c r="O477" s="3" t="n">
        <v>8.799999999999999</v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15</v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s="3" t="n">
        <v>25</v>
      </c>
      <c r="E479" s="3" t="n">
        <v>24</v>
      </c>
      <c r="F479" s="3" t="n">
        <v>17.35</v>
      </c>
      <c r="G479" s="3" t="n">
        <v>0</v>
      </c>
      <c r="H479" s="3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  <c r="M479" s="3" t="n">
        <v>22</v>
      </c>
      <c r="N479" s="3" t="n">
        <v>96.38</v>
      </c>
      <c r="O479" s="3" t="n">
        <v>23.1981981981982</v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s="3" t="n">
        <v>27</v>
      </c>
      <c r="E480" s="3" t="n">
        <v>24</v>
      </c>
      <c r="F480" s="3" t="n">
        <v>13.43</v>
      </c>
      <c r="G480" s="3" t="n">
        <v>0</v>
      </c>
      <c r="H480" s="3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  <c r="M480" s="3" t="n">
        <v>19</v>
      </c>
      <c r="N480" s="3" t="n">
        <v>99.39</v>
      </c>
      <c r="O480" s="3" t="n">
        <v>25.20325203252033</v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s="3" t="n">
        <v>27</v>
      </c>
      <c r="E481" s="3" t="n">
        <v>25</v>
      </c>
      <c r="F481" s="3" t="n">
        <v>10.34</v>
      </c>
      <c r="G481" s="3" t="n">
        <v>0</v>
      </c>
      <c r="H481" s="3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  <c r="M481" s="3" t="n">
        <v>23</v>
      </c>
      <c r="N481" s="3" t="n">
        <v>97</v>
      </c>
      <c r="O481" s="3" t="n">
        <v>20.32520325203252</v>
      </c>
    </row>
    <row r="482" hidden="1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3" t="n">
        <v>18</v>
      </c>
      <c r="N482" s="3" t="n">
        <v>97.04000000000001</v>
      </c>
      <c r="O482" s="3" t="n">
        <v>29.82885085574572</v>
      </c>
    </row>
    <row r="483" hidden="1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97.04000000000001</v>
      </c>
      <c r="O483" s="3" t="n">
        <v>29.82885085574572</v>
      </c>
    </row>
    <row r="484" hidden="1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3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97.04000000000001</v>
      </c>
      <c r="O484" s="3" t="n">
        <v>29.82885085574572</v>
      </c>
    </row>
    <row r="485" hidden="1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3" t="n">
        <v>18</v>
      </c>
      <c r="E485" s="3" t="n">
        <v>16</v>
      </c>
      <c r="F485" s="3" t="n">
        <v>10.14</v>
      </c>
      <c r="G485" s="3" t="n">
        <v>4</v>
      </c>
      <c r="M485" s="3" t="n">
        <v>15</v>
      </c>
      <c r="N485" s="3" t="n">
        <v>97.04000000000001</v>
      </c>
      <c r="O485" s="3" t="n">
        <v>34.71882640586797</v>
      </c>
    </row>
    <row r="486" hidden="1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3" t="n">
        <v>0</v>
      </c>
      <c r="E486" s="3" t="n">
        <v>0</v>
      </c>
      <c r="F486" s="3" t="n">
        <v>0</v>
      </c>
      <c r="G486" s="3" t="n">
        <v>0</v>
      </c>
      <c r="H486" s="3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M486" s="3" t="n">
        <v>0</v>
      </c>
      <c r="N486" s="3" t="n">
        <v>0</v>
      </c>
      <c r="O486" s="3" t="n">
        <v>0</v>
      </c>
    </row>
    <row r="487" hidden="1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M487" s="3" t="n">
        <v>0</v>
      </c>
      <c r="N487" s="3" t="n">
        <v>0</v>
      </c>
      <c r="O487" s="3" t="n">
        <v>0</v>
      </c>
    </row>
    <row r="488" hidden="1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3" t="n">
        <v>0</v>
      </c>
      <c r="E488" s="3" t="n">
        <v>0</v>
      </c>
      <c r="F488" s="3" t="n">
        <v>0</v>
      </c>
      <c r="G488" s="3" t="n">
        <v>0</v>
      </c>
      <c r="H488" s="3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M488" s="3" t="n">
        <v>0</v>
      </c>
      <c r="N488" s="3" t="n">
        <v>0</v>
      </c>
      <c r="O488" s="3" t="n">
        <v>0</v>
      </c>
    </row>
    <row r="489" hidden="1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3" t="n">
        <v>0</v>
      </c>
      <c r="N489" s="3" t="n">
        <v>0</v>
      </c>
      <c r="O489" s="3" t="n">
        <v>0</v>
      </c>
    </row>
    <row r="490" hidden="1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 hidden="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 hidden="1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3" t="n">
        <v>0</v>
      </c>
      <c r="E492" s="3" t="n">
        <v>0</v>
      </c>
      <c r="F492" s="3" t="n">
        <v>0</v>
      </c>
      <c r="G492" s="3" t="n">
        <v>0</v>
      </c>
      <c r="H492" s="3" t="n">
        <v>0</v>
      </c>
      <c r="I492" s="3" t="n">
        <v>0</v>
      </c>
      <c r="J492" s="3" t="n">
        <v>0</v>
      </c>
      <c r="K492" s="3" t="n">
        <v>0</v>
      </c>
      <c r="M492" s="3" t="n">
        <v>0</v>
      </c>
      <c r="N492" s="3" t="n">
        <v>0</v>
      </c>
      <c r="O492" s="3" t="n">
        <v>0</v>
      </c>
    </row>
    <row r="493" hidden="1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3" t="n">
        <v>0</v>
      </c>
      <c r="E493" s="3" t="n">
        <v>0</v>
      </c>
      <c r="F493" s="3" t="n">
        <v>0</v>
      </c>
      <c r="G493" s="3" t="n">
        <v>0</v>
      </c>
      <c r="H493" s="3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M493" s="3" t="n">
        <v>26</v>
      </c>
      <c r="N493" s="3" t="n">
        <v>96.81</v>
      </c>
      <c r="O493" s="3" t="n">
        <v>48.01864801864802</v>
      </c>
    </row>
    <row r="494" hidden="1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3" t="n">
        <v>0</v>
      </c>
      <c r="E494" s="3" t="n">
        <v>0</v>
      </c>
      <c r="F494" s="3" t="n">
        <v>0</v>
      </c>
      <c r="G494" s="3" t="n">
        <v>0</v>
      </c>
      <c r="H494" s="3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M494" s="3" t="n">
        <v>34</v>
      </c>
      <c r="N494" s="3" t="n">
        <v>96.81</v>
      </c>
      <c r="O494" s="3" t="n">
        <v>48.01864801864802</v>
      </c>
    </row>
    <row r="495" hidden="1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3" t="n">
        <v>0</v>
      </c>
      <c r="E495" s="3" t="n">
        <v>0</v>
      </c>
      <c r="F495" s="3" t="n">
        <v>0</v>
      </c>
      <c r="G495" s="3" t="n">
        <v>0</v>
      </c>
      <c r="H495" s="3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M495" s="3" t="n">
        <v>16</v>
      </c>
      <c r="N495" s="3" t="n">
        <v>96.81</v>
      </c>
      <c r="O495" s="3" t="n">
        <v>48.01864801864802</v>
      </c>
    </row>
    <row r="496" hidden="1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3" t="n">
        <v>20</v>
      </c>
      <c r="N496" s="3" t="n">
        <v>96.84</v>
      </c>
      <c r="O496" s="3" t="n">
        <v>16.33802816901408</v>
      </c>
    </row>
    <row r="497" hidden="1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96.84</v>
      </c>
      <c r="O497" s="3" t="n">
        <v>16.33802816901408</v>
      </c>
    </row>
    <row r="498" hidden="1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3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96.84</v>
      </c>
      <c r="O498" s="3" t="n">
        <v>16.33802816901408</v>
      </c>
    </row>
    <row r="499" hidden="1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3" t="n">
        <v>30</v>
      </c>
      <c r="E499" s="3" t="n">
        <v>29</v>
      </c>
      <c r="F499" s="3" t="n">
        <v>15.33</v>
      </c>
      <c r="G499" s="3" t="n">
        <v>2</v>
      </c>
      <c r="M499" s="3" t="n">
        <v>25</v>
      </c>
      <c r="N499" s="3" t="n">
        <v>96.84</v>
      </c>
      <c r="O499" s="3" t="n">
        <v>17.74647887323944</v>
      </c>
    </row>
    <row r="500" hidden="1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3" t="n">
        <v>29</v>
      </c>
      <c r="E500" s="3" t="n">
        <v>28</v>
      </c>
      <c r="F500" s="3" t="n">
        <v>17.31</v>
      </c>
      <c r="G500" s="3" t="n">
        <v>0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M500" s="3" t="n">
        <v>27</v>
      </c>
      <c r="N500" s="3" t="n">
        <v>99.15000000000001</v>
      </c>
      <c r="O500" s="3" t="n">
        <v>27.58620689655172</v>
      </c>
    </row>
    <row r="501" hidden="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3" t="n">
        <v>32</v>
      </c>
      <c r="E501" s="3" t="n">
        <v>26</v>
      </c>
      <c r="F501" s="3" t="n">
        <v>12.16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M501" s="3" t="n">
        <v>27</v>
      </c>
      <c r="N501" s="3" t="n">
        <v>99.15000000000001</v>
      </c>
      <c r="O501" s="3" t="n">
        <v>27.58620689655172</v>
      </c>
    </row>
    <row r="502" hidden="1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3" t="n">
        <v>31</v>
      </c>
      <c r="E502" s="3" t="n">
        <v>29</v>
      </c>
      <c r="F502" s="3" t="n">
        <v>13.5</v>
      </c>
      <c r="G502" s="3" t="n">
        <v>0</v>
      </c>
      <c r="H502" s="3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M502" s="3" t="n">
        <v>30</v>
      </c>
      <c r="N502" s="3" t="n">
        <v>99.15000000000001</v>
      </c>
      <c r="O502" s="3" t="n">
        <v>27.58620689655172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21</v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16</v>
      </c>
      <c r="N504" t="n">
        <v>98.91</v>
      </c>
      <c r="O504" t="n">
        <v>31.36729222520107</v>
      </c>
    </row>
    <row r="505" hidden="1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3" t="n">
        <v>27</v>
      </c>
      <c r="N505" s="3" t="n">
        <v>100</v>
      </c>
      <c r="O505" s="3" t="n">
        <v>18.24480369515012</v>
      </c>
    </row>
    <row r="506" hidden="1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18.24480369515012</v>
      </c>
    </row>
    <row r="507" hidden="1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3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18.24480369515012</v>
      </c>
    </row>
    <row r="508" hidden="1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3" t="n">
        <v>29</v>
      </c>
      <c r="E508" s="3" t="n">
        <v>26</v>
      </c>
      <c r="F508" s="3" t="n">
        <v>15.05</v>
      </c>
      <c r="G508" s="3" t="n">
        <v>0</v>
      </c>
      <c r="M508" s="3" t="n">
        <v>25</v>
      </c>
      <c r="N508" s="3" t="n">
        <v>100</v>
      </c>
      <c r="O508" s="3" t="n">
        <v>19.39953810623557</v>
      </c>
    </row>
    <row r="509" hidden="1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M509" s="3" t="n">
        <v>0</v>
      </c>
      <c r="N509" s="3" t="n">
        <v>88.68000000000001</v>
      </c>
      <c r="O509" s="3" t="n">
        <v>22.03389830508474</v>
      </c>
    </row>
    <row r="510" hidden="1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3" t="n">
        <v>0</v>
      </c>
      <c r="E510" s="3" t="n">
        <v>0</v>
      </c>
      <c r="F510" s="3" t="n">
        <v>0</v>
      </c>
      <c r="G510" s="3" t="n">
        <v>0</v>
      </c>
      <c r="H510" s="3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M510" s="3" t="n">
        <v>0</v>
      </c>
      <c r="N510" s="3" t="n">
        <v>88.68000000000001</v>
      </c>
      <c r="O510" s="3" t="n">
        <v>22.03389830508474</v>
      </c>
    </row>
    <row r="511" hidden="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3" t="n">
        <v>0</v>
      </c>
      <c r="E511" s="3" t="n">
        <v>0</v>
      </c>
      <c r="F511" s="3" t="n">
        <v>0</v>
      </c>
      <c r="G511" s="3" t="n">
        <v>0</v>
      </c>
      <c r="H511" s="3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M511" s="3" t="n">
        <v>0</v>
      </c>
      <c r="N511" s="3" t="n">
        <v>88.68000000000001</v>
      </c>
      <c r="O511" s="3" t="n">
        <v>22.03389830508474</v>
      </c>
    </row>
    <row r="512" hidden="1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3" t="n">
        <v>0</v>
      </c>
      <c r="N512" s="3" t="n">
        <v>100</v>
      </c>
      <c r="O512" s="3" t="n">
        <v>15.78947368421053</v>
      </c>
    </row>
    <row r="513" hidden="1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15.78947368421053</v>
      </c>
    </row>
    <row r="514" hidden="1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15.78947368421053</v>
      </c>
    </row>
    <row r="515" hidden="1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3" t="n">
        <v>0</v>
      </c>
      <c r="E515" s="3" t="n">
        <v>0</v>
      </c>
      <c r="F515" s="3" t="n">
        <v>0</v>
      </c>
      <c r="G515" s="3" t="n">
        <v>0</v>
      </c>
      <c r="H515" s="3" t="n">
        <v>0</v>
      </c>
      <c r="I515" s="3" t="n">
        <v>0</v>
      </c>
      <c r="J515" s="3" t="n">
        <v>0</v>
      </c>
      <c r="K515" s="3" t="n">
        <v>0</v>
      </c>
      <c r="M515" s="3" t="n">
        <v>16</v>
      </c>
      <c r="N515" s="3" t="n">
        <v>100</v>
      </c>
      <c r="O515" s="3" t="n">
        <v>21.27659574468085</v>
      </c>
    </row>
    <row r="516" hidden="1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3" t="n">
        <v>35</v>
      </c>
      <c r="E516" s="3" t="n">
        <v>34</v>
      </c>
      <c r="F516" s="3" t="n">
        <v>15.13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M516" s="3" t="n">
        <v>45</v>
      </c>
      <c r="N516" s="3" t="n">
        <v>100</v>
      </c>
      <c r="O516" s="3" t="n">
        <v>23.9870340356564</v>
      </c>
    </row>
    <row r="517" hidden="1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3" t="n">
        <v>26</v>
      </c>
      <c r="E517" s="3" t="n">
        <v>23</v>
      </c>
      <c r="F517" s="3" t="n">
        <v>11.5</v>
      </c>
      <c r="G517" s="3" t="n">
        <v>0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M517" s="3" t="n">
        <v>33</v>
      </c>
      <c r="N517" s="3" t="n">
        <v>100</v>
      </c>
      <c r="O517" s="3" t="n">
        <v>23.9870340356564</v>
      </c>
    </row>
    <row r="518" hidden="1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3" t="n">
        <v>15</v>
      </c>
      <c r="E518" s="3" t="n">
        <v>13</v>
      </c>
      <c r="F518" s="3" t="n">
        <v>11.57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M518" s="3" t="n">
        <v>33</v>
      </c>
      <c r="N518" s="3" t="n">
        <v>100</v>
      </c>
      <c r="O518" s="3" t="n">
        <v>23.9870340356564</v>
      </c>
    </row>
    <row r="519" hidden="1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3" t="n">
        <v>36</v>
      </c>
      <c r="N519" s="3" t="n">
        <v>98.39</v>
      </c>
      <c r="O519" s="3" t="n">
        <v>8.799999999999999</v>
      </c>
    </row>
    <row r="520" hidden="1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98.39</v>
      </c>
      <c r="O520" s="3" t="n">
        <v>8.799999999999999</v>
      </c>
    </row>
    <row r="521" hidden="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3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98.39</v>
      </c>
      <c r="O521" s="3" t="n">
        <v>8.799999999999999</v>
      </c>
    </row>
    <row r="522" hidden="1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3" t="n">
        <v>0</v>
      </c>
      <c r="E522" s="3" t="n">
        <v>0</v>
      </c>
      <c r="F522" s="3" t="n">
        <v>0</v>
      </c>
      <c r="G522" s="3" t="n">
        <v>0</v>
      </c>
      <c r="H522" s="3" t="n">
        <v>0</v>
      </c>
      <c r="I522" s="3" t="n">
        <v>0</v>
      </c>
      <c r="J522" s="3" t="n">
        <v>0</v>
      </c>
      <c r="K522" s="3" t="n">
        <v>0</v>
      </c>
      <c r="M522" s="3" t="n">
        <v>18</v>
      </c>
      <c r="N522" s="3" t="n">
        <v>98.39</v>
      </c>
      <c r="O522" s="3" t="n">
        <v>9.066666666666666</v>
      </c>
    </row>
    <row r="523" hidden="1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3" t="n">
        <v>38</v>
      </c>
      <c r="E523" s="3" t="n">
        <v>32</v>
      </c>
      <c r="F523" s="3" t="n">
        <v>12.32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M523" s="3" t="n">
        <v>31</v>
      </c>
      <c r="N523" s="3" t="n">
        <v>95.48999999999999</v>
      </c>
      <c r="O523" s="3" t="n">
        <v>28.37022132796781</v>
      </c>
    </row>
    <row r="524" hidden="1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3" t="n">
        <v>32</v>
      </c>
      <c r="E524" s="3" t="n">
        <v>29</v>
      </c>
      <c r="F524" s="3" t="n">
        <v>12.35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M524" s="3" t="n">
        <v>27</v>
      </c>
      <c r="N524" s="3" t="n">
        <v>95.48999999999999</v>
      </c>
      <c r="O524" s="3" t="n">
        <v>28.37022132796781</v>
      </c>
    </row>
    <row r="525" hidden="1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3" t="n">
        <v>35</v>
      </c>
      <c r="E525" s="3" t="n">
        <v>34</v>
      </c>
      <c r="F525" s="3" t="n">
        <v>14.14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M525" s="3" t="n">
        <v>27</v>
      </c>
      <c r="N525" s="3" t="n">
        <v>95.48999999999999</v>
      </c>
      <c r="O525" s="3" t="n">
        <v>28.37022132796781</v>
      </c>
    </row>
    <row r="526" hidden="1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3" t="n">
        <v>33</v>
      </c>
      <c r="N526" s="3" t="n">
        <v>96.38</v>
      </c>
      <c r="O526" s="3" t="n">
        <v>23.1981981981982</v>
      </c>
    </row>
    <row r="527" hidden="1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96.38</v>
      </c>
      <c r="O527" s="3" t="n">
        <v>23.1981981981982</v>
      </c>
    </row>
    <row r="528" hidden="1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3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96.38</v>
      </c>
      <c r="O528" s="3" t="n">
        <v>23.1981981981982</v>
      </c>
    </row>
    <row r="529" hidden="1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3" t="n">
        <v>33</v>
      </c>
      <c r="E529" s="3" t="n">
        <v>30</v>
      </c>
      <c r="F529" s="3" t="n">
        <v>10.1</v>
      </c>
      <c r="G529" s="3" t="n">
        <v>2</v>
      </c>
      <c r="M529" s="3" t="n">
        <v>26</v>
      </c>
      <c r="N529" s="3" t="n">
        <v>96.38</v>
      </c>
      <c r="O529" s="3" t="n">
        <v>25.22522522522522</v>
      </c>
    </row>
    <row r="530" hidden="1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3" t="n">
        <v>43</v>
      </c>
      <c r="E530" s="3" t="n">
        <v>39</v>
      </c>
      <c r="F530" s="3" t="n">
        <v>12.1</v>
      </c>
      <c r="G530" s="3" t="n">
        <v>0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M530" s="3" t="n">
        <v>31</v>
      </c>
      <c r="N530" s="3" t="n">
        <v>100</v>
      </c>
      <c r="O530" s="3" t="n">
        <v>31.13553113553114</v>
      </c>
    </row>
    <row r="531" hidden="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3" t="n">
        <v>52</v>
      </c>
      <c r="E531" s="3" t="n">
        <v>48</v>
      </c>
      <c r="F531" s="3" t="n">
        <v>10.56</v>
      </c>
      <c r="G531" s="3" t="n">
        <v>0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40</v>
      </c>
      <c r="N531" s="3" t="n">
        <v>100</v>
      </c>
      <c r="O531" s="3" t="n">
        <v>31.13553113553114</v>
      </c>
    </row>
    <row r="532" hidden="1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3" t="n">
        <v>36</v>
      </c>
      <c r="E532" s="3" t="n">
        <v>33</v>
      </c>
      <c r="F532" s="3" t="n">
        <v>18.2</v>
      </c>
      <c r="G532" s="3" t="n">
        <v>0</v>
      </c>
      <c r="H532" s="3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M532" s="3" t="n">
        <v>30</v>
      </c>
      <c r="N532" s="3" t="n">
        <v>100</v>
      </c>
      <c r="O532" s="3" t="n">
        <v>31.13553113553114</v>
      </c>
    </row>
    <row r="533" hidden="1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3" t="n">
        <v>32</v>
      </c>
      <c r="N533" s="3" t="n">
        <v>99.39</v>
      </c>
      <c r="O533" s="3" t="n">
        <v>25.20325203252033</v>
      </c>
    </row>
    <row r="534" hidden="1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99.39</v>
      </c>
      <c r="O534" s="3" t="n">
        <v>25.20325203252033</v>
      </c>
    </row>
    <row r="535" hidden="1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3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99.39</v>
      </c>
      <c r="O535" s="3" t="n">
        <v>25.20325203252033</v>
      </c>
    </row>
    <row r="536" hidden="1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3" t="n">
        <v>37</v>
      </c>
      <c r="E536" s="3" t="n">
        <v>33</v>
      </c>
      <c r="F536" s="3" t="n">
        <v>11.48</v>
      </c>
      <c r="G536" s="3" t="n">
        <v>0</v>
      </c>
      <c r="M536" s="3" t="n">
        <v>24</v>
      </c>
      <c r="N536" s="3" t="n">
        <v>99.39</v>
      </c>
      <c r="O536" s="3" t="n">
        <v>26.6260162601626</v>
      </c>
    </row>
    <row r="537" hidden="1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3" t="n">
        <v>30</v>
      </c>
      <c r="E537" s="3" t="n">
        <v>28</v>
      </c>
      <c r="F537" s="3" t="n">
        <v>17.33</v>
      </c>
      <c r="G537" s="3" t="n">
        <v>0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3" t="n">
        <v>24</v>
      </c>
      <c r="N537" s="3" t="n">
        <v>99.20999999999999</v>
      </c>
      <c r="O537" s="3" t="n">
        <v>25.18891687657431</v>
      </c>
    </row>
    <row r="538" hidden="1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3" t="n">
        <v>30</v>
      </c>
      <c r="E538" s="3" t="n">
        <v>30</v>
      </c>
      <c r="F538" s="3" t="n">
        <v>15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3" t="n">
        <v>28</v>
      </c>
      <c r="N538" s="3" t="n">
        <v>99.20999999999999</v>
      </c>
      <c r="O538" s="3" t="n">
        <v>25.18891687657431</v>
      </c>
    </row>
    <row r="539" hidden="1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3" t="n">
        <v>10</v>
      </c>
      <c r="E539" s="3" t="n">
        <v>10</v>
      </c>
      <c r="F539" s="3" t="n">
        <v>20.23</v>
      </c>
      <c r="G539" s="3" t="n">
        <v>0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3" t="n">
        <v>10</v>
      </c>
      <c r="N539" s="3" t="n">
        <v>99.20999999999999</v>
      </c>
      <c r="O539" s="3" t="n">
        <v>25.18891687657431</v>
      </c>
    </row>
    <row r="540" hidden="1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3" t="n">
        <v>26</v>
      </c>
      <c r="N540" s="3" t="n">
        <v>97</v>
      </c>
      <c r="O540" s="3" t="n">
        <v>20.32520325203252</v>
      </c>
    </row>
    <row r="541" hidden="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</v>
      </c>
      <c r="O541" s="3" t="n">
        <v>20.32520325203252</v>
      </c>
    </row>
    <row r="542" hidden="1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3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</v>
      </c>
      <c r="O542" s="3" t="n">
        <v>20.32520325203252</v>
      </c>
    </row>
    <row r="543" hidden="1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3" t="n">
        <v>24</v>
      </c>
      <c r="E543" s="3" t="n">
        <v>22</v>
      </c>
      <c r="F543" s="3" t="n">
        <v>15.22</v>
      </c>
      <c r="G543" s="3" t="n">
        <v>0</v>
      </c>
      <c r="M543" s="3" t="n">
        <v>17</v>
      </c>
      <c r="N543" s="3" t="n">
        <v>97</v>
      </c>
      <c r="O543" s="3" t="n">
        <v>21.95121951219512</v>
      </c>
    </row>
    <row r="544">
      <c r="A544" s="13" t="n">
        <v>46140</v>
      </c>
      <c r="B544" t="inlineStr">
        <is>
          <t>Alisson de Freitas Silva</t>
        </is>
      </c>
      <c r="C544" t="inlineStr">
        <is>
          <t>Técnico II</t>
        </is>
      </c>
      <c r="D544" s="3" t="n">
        <v>53</v>
      </c>
      <c r="E544" s="3" t="n">
        <v>46</v>
      </c>
      <c r="F544" s="3" t="n">
        <v>10.58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3" t="n">
        <v>43</v>
      </c>
      <c r="N544" s="3" t="n">
        <v>100</v>
      </c>
      <c r="O544" s="3" t="n">
        <v>32.76450511945392</v>
      </c>
    </row>
    <row r="545">
      <c r="A545" s="13" t="n">
        <v>46141</v>
      </c>
      <c r="B545" t="inlineStr">
        <is>
          <t>Alisson de Freitas Silva</t>
        </is>
      </c>
      <c r="C545" t="inlineStr">
        <is>
          <t>Técnico II</t>
        </is>
      </c>
      <c r="D545" s="3" t="n">
        <v>43</v>
      </c>
      <c r="E545" s="3" t="n">
        <v>35</v>
      </c>
      <c r="F545" s="3" t="n">
        <v>10.15</v>
      </c>
      <c r="G545" s="3" t="n">
        <v>0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3" t="n">
        <v>28</v>
      </c>
      <c r="N545" s="3" t="n">
        <v>100</v>
      </c>
      <c r="O545" s="3" t="n">
        <v>32.76450511945392</v>
      </c>
    </row>
    <row r="546">
      <c r="A546" s="13" t="n">
        <v>46142</v>
      </c>
      <c r="B546" t="inlineStr">
        <is>
          <t>Alisson de Freitas Silva</t>
        </is>
      </c>
      <c r="C546" t="inlineStr">
        <is>
          <t>Técnico II</t>
        </is>
      </c>
      <c r="D546" s="3" t="n">
        <v>12</v>
      </c>
      <c r="E546" s="3" t="n">
        <v>10</v>
      </c>
      <c r="F546" s="3" t="n">
        <v>9.119999999999999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IF(K546&lt;-5,"CRÍTICO",IF(K546&lt;0,"ATENÇÃO",IF(K546&lt;=5,"OPORTUNO","MUITO BOM")))</f>
        <v/>
      </c>
      <c r="M546" s="3" t="n">
        <v>8</v>
      </c>
      <c r="N546" s="3" t="n">
        <v>100</v>
      </c>
      <c r="O546" s="3" t="n">
        <v>32.76450511945392</v>
      </c>
    </row>
    <row r="547" hidden="1">
      <c r="A547" s="11" t="n">
        <v>46048</v>
      </c>
      <c r="B547" t="inlineStr">
        <is>
          <t>Gabriel Gomes de Andrade</t>
        </is>
      </c>
      <c r="C547" t="inlineStr">
        <is>
          <t>Técnico I</t>
        </is>
      </c>
      <c r="D547" t="n">
        <v>17</v>
      </c>
      <c r="E547" t="n">
        <v>17</v>
      </c>
      <c r="F547" t="n">
        <v>27.39</v>
      </c>
      <c r="G547" t="n">
        <v>0</v>
      </c>
      <c r="H547" t="n">
        <v>0</v>
      </c>
      <c r="I547" s="3">
        <f>E547+G547+H547</f>
        <v/>
      </c>
      <c r="J547" s="3">
        <f>ROUND(MIN(IF(C547="Técnico III",35,IF(C547="Técnico II",28,IF(C547="Técnico I",23,IF(C547="JR",20,IF(C547="Estágio",10,0))))),IF(C547="Técnico III",SUMIFS($D:$D,$A:$A,$A547,$B:$B,"&lt;&gt;Patrícia Karla de Sousa Araújo",$B:$B,"&lt;&gt;Lorena Dias de Araujo",$B:$B,"&lt;&gt;Lucas Luiz Romero")*(35/1083),IF(C547="Técnico II",SUMIFS($D:$D,$A:$A,$A547,$B:$B,"&lt;&gt;Patrícia Karla de Sousa Araújo",$B:$B,"&lt;&gt;Lorena Dias de Araujo",$B:$B,"&lt;&gt;Lucas Luiz Romero")*(28/1083),IF(C547="Técnico I",SUMIFS($D:$D,$A:$A,$A547,$B:$B,"&lt;&gt;Patrícia Karla de Sousa Araújo",$B:$B,"&lt;&gt;Lorena Dias de Araujo",$B:$B,"&lt;&gt;Lucas Luiz Romero")*(23/1083),IF(C547="JR",SUMIFS($D:$D,$A:$A,$A547,$B:$B,"&lt;&gt;Patrícia Karla de Sousa Araújo",$B:$B,"&lt;&gt;Lorena Dias de Araujo",$B:$B,"&lt;&gt;Lucas Luiz Romero")*(20/1083),IF(C547="Estágio",SUMIFS($D:$D,$A:$A,$A547,$B:$B,"&lt;&gt;Patrícia Karla de Sousa Araújo",$B:$B,"&lt;&gt;Lorena Dias de Araujo",$B:$B,"&lt;&gt;Lucas Luiz Romero")*(10/1083),0)))))),0)</f>
        <v/>
      </c>
      <c r="K547" s="3">
        <f>I547-J547</f>
        <v/>
      </c>
      <c r="L547" s="3">
        <f>IF(K547&lt;-5,"CRÍTICO",IF(K547&lt;0,"ATENÇÃO",IF(K547&lt;=5,"BOM","EXCELENTE")))</f>
        <v/>
      </c>
      <c r="M547" t="n">
        <v>17</v>
      </c>
      <c r="N547" t="n">
        <v>98.91</v>
      </c>
      <c r="O547" t="n">
        <v>31.36729222520107</v>
      </c>
    </row>
    <row r="548" hidden="1">
      <c r="A548" s="11" t="n">
        <v>46049</v>
      </c>
      <c r="B548" t="inlineStr">
        <is>
          <t>Gabriel Gomes de Andrade</t>
        </is>
      </c>
      <c r="C548" t="inlineStr">
        <is>
          <t>Técnico I</t>
        </is>
      </c>
      <c r="D548" t="n">
        <v>20</v>
      </c>
      <c r="E548" t="n">
        <v>20</v>
      </c>
      <c r="F548" t="n">
        <v>30.07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20</v>
      </c>
      <c r="N548" t="n">
        <v>98.91</v>
      </c>
      <c r="O548" t="n">
        <v>31.36729222520107</v>
      </c>
    </row>
    <row r="549">
      <c r="A549" s="5" t="n">
        <v>46146</v>
      </c>
      <c r="B549" s="6" t="inlineStr">
        <is>
          <t>Alisson de Freitas Silva</t>
        </is>
      </c>
      <c r="C549" s="3" t="inlineStr">
        <is>
          <t>Técnico II</t>
        </is>
      </c>
      <c r="D549" s="3" t="n">
        <v>40</v>
      </c>
      <c r="E549" s="3" t="n">
        <v>38</v>
      </c>
      <c r="F549" s="3" t="n">
        <v>13.5</v>
      </c>
      <c r="G549" s="3" t="n">
        <v>4</v>
      </c>
      <c r="H549" s="3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M549" s="3" t="n">
        <v>36</v>
      </c>
      <c r="N549" s="3" t="n">
        <v>99.18000000000001</v>
      </c>
      <c r="O549" s="3" t="n">
        <v>24.5014245014245</v>
      </c>
    </row>
    <row r="550">
      <c r="A550" s="5" t="n">
        <v>46147</v>
      </c>
      <c r="B550" s="6" t="inlineStr">
        <is>
          <t>Alisson de Freitas Silva</t>
        </is>
      </c>
      <c r="C550" s="3" t="inlineStr">
        <is>
          <t>Técnico II</t>
        </is>
      </c>
      <c r="D550" s="3" t="n">
        <v>42</v>
      </c>
      <c r="E550" s="3" t="n">
        <v>37</v>
      </c>
      <c r="F550" s="3" t="n">
        <v>12.29</v>
      </c>
      <c r="G550" s="3" t="n">
        <v>4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3" t="n">
        <v>32</v>
      </c>
      <c r="N550" s="3" t="n">
        <v>99.18000000000001</v>
      </c>
      <c r="O550" s="3" t="n">
        <v>24.5014245014245</v>
      </c>
    </row>
    <row r="551">
      <c r="A551" s="5" t="n">
        <v>46148</v>
      </c>
      <c r="B551" s="6" t="inlineStr">
        <is>
          <t>Alisson de Freitas Silva</t>
        </is>
      </c>
      <c r="C551" s="3" t="inlineStr">
        <is>
          <t>Técnico II</t>
        </is>
      </c>
      <c r="D551" s="3" t="n">
        <v>35</v>
      </c>
      <c r="E551" s="3" t="n">
        <v>29</v>
      </c>
      <c r="F551" s="3" t="n">
        <v>12.32</v>
      </c>
      <c r="G551" s="3" t="n">
        <v>11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3" t="n">
        <v>32</v>
      </c>
      <c r="N551" s="3" t="n">
        <v>99.18000000000001</v>
      </c>
      <c r="O551" s="3" t="n">
        <v>24.5014245014245</v>
      </c>
    </row>
    <row r="552" hidden="1">
      <c r="A552" s="11" t="n">
        <v>46140</v>
      </c>
      <c r="B552" t="inlineStr">
        <is>
          <t>Brenda de Menezes Silva</t>
        </is>
      </c>
      <c r="C552" t="inlineStr">
        <is>
          <t>Técnico II</t>
        </is>
      </c>
      <c r="D552" s="3" t="n">
        <v>34</v>
      </c>
      <c r="E552" s="3" t="n">
        <v>34</v>
      </c>
      <c r="F552" s="3" t="n">
        <v>13.45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3" t="n">
        <v>31</v>
      </c>
      <c r="N552" s="3" t="n">
        <v>98.81999999999999</v>
      </c>
      <c r="O552" s="3" t="n">
        <v>30.74141048824593</v>
      </c>
    </row>
    <row r="553" hidden="1">
      <c r="A553" s="11" t="n">
        <v>46141</v>
      </c>
      <c r="B553" t="inlineStr">
        <is>
          <t>Brenda de Menezes Silva</t>
        </is>
      </c>
      <c r="C553" t="inlineStr">
        <is>
          <t>Técnico II</t>
        </is>
      </c>
      <c r="D553" s="3" t="n">
        <v>38</v>
      </c>
      <c r="E553" s="3" t="n">
        <v>31</v>
      </c>
      <c r="F553" s="3" t="n">
        <v>11.5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3" t="n">
        <v>39</v>
      </c>
      <c r="N553" s="3" t="n">
        <v>98.81999999999999</v>
      </c>
      <c r="O553" s="3" t="n">
        <v>30.74141048824593</v>
      </c>
    </row>
    <row r="554" hidden="1">
      <c r="A554" s="11" t="n">
        <v>46142</v>
      </c>
      <c r="B554" t="inlineStr">
        <is>
          <t>Brenda de Menezes Silva</t>
        </is>
      </c>
      <c r="C554" t="inlineStr">
        <is>
          <t>Técnico II</t>
        </is>
      </c>
      <c r="D554" s="3" t="n">
        <v>32</v>
      </c>
      <c r="E554" s="3" t="n">
        <v>31</v>
      </c>
      <c r="F554" s="3" t="n">
        <v>13.5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IF(K554&lt;-5,"CRÍTICO",IF(K554&lt;0,"ATENÇÃO",IF(K554&lt;=5,"OPORTUNO","MUITO BOM")))</f>
        <v/>
      </c>
      <c r="M554" s="3" t="n">
        <v>29</v>
      </c>
      <c r="N554" s="3" t="n">
        <v>98.81999999999999</v>
      </c>
      <c r="O554" s="3" t="n">
        <v>30.74141048824593</v>
      </c>
    </row>
    <row r="555" hidden="1">
      <c r="A555" s="5" t="n">
        <v>46146</v>
      </c>
      <c r="B555" s="6" t="inlineStr">
        <is>
          <t>Brenda de Menezes Silva</t>
        </is>
      </c>
      <c r="C555" s="3" t="inlineStr">
        <is>
          <t>Técnico II</t>
        </is>
      </c>
      <c r="D555" s="3" t="n">
        <v>41</v>
      </c>
      <c r="E555" s="3" t="n">
        <v>38</v>
      </c>
      <c r="F555" s="3" t="n">
        <v>11.44</v>
      </c>
      <c r="G555" s="3" t="n">
        <v>5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IF(K555&lt;-5,"CRÍTICO",IF(K555&lt;0,"ATENÇÃO",IF(K555&lt;=5,"BOM","EXCELENTE")))</f>
        <v/>
      </c>
      <c r="M555" s="3" t="n">
        <v>43</v>
      </c>
      <c r="N555" s="3" t="n">
        <v>99.34999999999999</v>
      </c>
      <c r="O555" s="3" t="n">
        <v>19.85294117647059</v>
      </c>
    </row>
    <row r="556" hidden="1">
      <c r="A556" s="5" t="n">
        <v>46147</v>
      </c>
      <c r="B556" s="6" t="inlineStr">
        <is>
          <t>Brenda de Menezes Silva</t>
        </is>
      </c>
      <c r="C556" s="3" t="inlineStr">
        <is>
          <t>Técnico II</t>
        </is>
      </c>
      <c r="D556" s="3" t="n">
        <v>45</v>
      </c>
      <c r="E556" s="3" t="n">
        <v>37</v>
      </c>
      <c r="F556" s="3" t="n">
        <v>13.52</v>
      </c>
      <c r="G556" s="3" t="n">
        <v>6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3" t="n">
        <v>43</v>
      </c>
      <c r="N556" s="3" t="n">
        <v>99.34999999999999</v>
      </c>
      <c r="O556" s="3" t="n">
        <v>19.85294117647059</v>
      </c>
    </row>
    <row r="557" hidden="1">
      <c r="A557" s="5" t="n">
        <v>46148</v>
      </c>
      <c r="B557" s="6" t="inlineStr">
        <is>
          <t>Brenda de Menezes Silva</t>
        </is>
      </c>
      <c r="C557" s="3" t="inlineStr">
        <is>
          <t>Técnico II</t>
        </is>
      </c>
      <c r="D557" s="3" t="n">
        <v>31</v>
      </c>
      <c r="E557" s="3" t="n">
        <v>28</v>
      </c>
      <c r="F557" s="3" t="n">
        <v>18.45</v>
      </c>
      <c r="G557" s="3" t="n">
        <v>9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35</v>
      </c>
      <c r="N557" s="3" t="n">
        <v>99.34999999999999</v>
      </c>
      <c r="O557" s="3" t="n">
        <v>19.85294117647059</v>
      </c>
    </row>
    <row r="558" hidden="1">
      <c r="A558" s="11" t="n">
        <v>46168</v>
      </c>
      <c r="B558" t="inlineStr">
        <is>
          <t>Brenda de Menezes Silva</t>
        </is>
      </c>
      <c r="C558" t="inlineStr">
        <is>
          <t>Técnico II</t>
        </is>
      </c>
      <c r="D558" s="3" t="n">
        <v>27</v>
      </c>
      <c r="E558" s="3" t="n">
        <v>22</v>
      </c>
      <c r="F558" s="3" t="n">
        <v>14.06</v>
      </c>
      <c r="G558" s="3" t="n">
        <v>4</v>
      </c>
      <c r="M558" s="3" t="n">
        <v>25</v>
      </c>
      <c r="N558" s="3" t="n">
        <v>99.34999999999999</v>
      </c>
      <c r="O558" s="3" t="n">
        <v>21.13970588235294</v>
      </c>
    </row>
    <row r="559" hidden="1">
      <c r="A559" s="11" t="n">
        <v>46140</v>
      </c>
      <c r="B559" t="inlineStr">
        <is>
          <t>Carlos Mateus Cassimiro Nunes</t>
        </is>
      </c>
      <c r="C559" t="inlineStr">
        <is>
          <t>Técnico II</t>
        </is>
      </c>
      <c r="D559" s="3" t="n">
        <v>24</v>
      </c>
      <c r="E559" s="3" t="n">
        <v>23</v>
      </c>
      <c r="F559" s="3" t="n">
        <v>25.57</v>
      </c>
      <c r="G559" s="3" t="n">
        <v>0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3" t="n">
        <v>23</v>
      </c>
      <c r="N559" s="3" t="n">
        <v>98.2</v>
      </c>
      <c r="O559" s="3" t="n">
        <v>27.17086834733893</v>
      </c>
    </row>
    <row r="560" hidden="1">
      <c r="A560" s="11" t="n">
        <v>46141</v>
      </c>
      <c r="B560" t="inlineStr">
        <is>
          <t>Carlos Mateus Cassimiro Nunes</t>
        </is>
      </c>
      <c r="C560" t="inlineStr">
        <is>
          <t>Técnico II</t>
        </is>
      </c>
      <c r="D560" s="3" t="n">
        <v>24</v>
      </c>
      <c r="E560" s="3" t="n">
        <v>23</v>
      </c>
      <c r="F560" s="3" t="n">
        <v>25.46</v>
      </c>
      <c r="G560" s="3" t="n">
        <v>0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3" t="n">
        <v>24</v>
      </c>
      <c r="N560" s="3" t="n">
        <v>98.2</v>
      </c>
      <c r="O560" s="3" t="n">
        <v>27.17086834733893</v>
      </c>
    </row>
    <row r="561" hidden="1">
      <c r="A561" s="11" t="n">
        <v>46142</v>
      </c>
      <c r="B561" t="inlineStr">
        <is>
          <t>Carlos Mateus Cassimiro Nunes</t>
        </is>
      </c>
      <c r="C561" t="inlineStr">
        <is>
          <t>Técnico II</t>
        </is>
      </c>
      <c r="D561" s="3" t="n">
        <v>32</v>
      </c>
      <c r="E561" s="3" t="n">
        <v>30</v>
      </c>
      <c r="F561" s="3" t="n">
        <v>15.09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3" t="n">
        <v>30</v>
      </c>
      <c r="N561" s="3" t="n">
        <v>98.2</v>
      </c>
      <c r="O561" s="3" t="n">
        <v>27.17086834733893</v>
      </c>
    </row>
    <row r="562" hidden="1">
      <c r="A562" s="5" t="n">
        <v>46146</v>
      </c>
      <c r="B562" s="6" t="inlineStr">
        <is>
          <t>Carlos Mateus Cassimiro Nunes</t>
        </is>
      </c>
      <c r="C562" s="9" t="inlineStr">
        <is>
          <t>Técnico II</t>
        </is>
      </c>
      <c r="D562" s="3" t="n">
        <v>31</v>
      </c>
      <c r="E562" s="3" t="n">
        <v>29</v>
      </c>
      <c r="F562" s="3" t="n">
        <v>20.3</v>
      </c>
      <c r="G562" s="3" t="n">
        <v>0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IF(K562&lt;-5,"CRÍTICO",IF(K562&lt;0,"ATENÇÃO",IF(K562&lt;=5,"BOM","EXCELENTE")))</f>
        <v/>
      </c>
      <c r="M562" s="3" t="n">
        <v>28</v>
      </c>
      <c r="N562" s="3" t="n">
        <v>99.06999999999999</v>
      </c>
      <c r="O562" s="3" t="n">
        <v>20.09803921568627</v>
      </c>
    </row>
    <row r="563" hidden="1">
      <c r="A563" s="5" t="n">
        <v>46147</v>
      </c>
      <c r="B563" s="6" t="inlineStr">
        <is>
          <t>Carlos Mateus Cassimiro Nunes</t>
        </is>
      </c>
      <c r="C563" s="9" t="inlineStr">
        <is>
          <t>Técnico II</t>
        </is>
      </c>
      <c r="D563" s="3" t="n">
        <v>19</v>
      </c>
      <c r="E563" s="3" t="n">
        <v>18</v>
      </c>
      <c r="F563" s="3" t="n">
        <v>26.46</v>
      </c>
      <c r="G563" s="3" t="n">
        <v>9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27</v>
      </c>
      <c r="N563" s="3" t="n">
        <v>99.06999999999999</v>
      </c>
      <c r="O563" s="3" t="n">
        <v>20.09803921568627</v>
      </c>
    </row>
    <row r="564" hidden="1">
      <c r="A564" s="5" t="n">
        <v>46148</v>
      </c>
      <c r="B564" s="6" t="inlineStr">
        <is>
          <t>Carlos Mateus Cassimiro Nunes</t>
        </is>
      </c>
      <c r="C564" s="9" t="inlineStr">
        <is>
          <t>Técnico II</t>
        </is>
      </c>
      <c r="D564" s="3" t="n">
        <v>34</v>
      </c>
      <c r="E564" s="3" t="n">
        <v>32</v>
      </c>
      <c r="F564" s="3" t="n">
        <v>14.16</v>
      </c>
      <c r="G564" s="3" t="n">
        <v>1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31</v>
      </c>
      <c r="N564" s="3" t="n">
        <v>99.06999999999999</v>
      </c>
      <c r="O564" s="3" t="n">
        <v>20.09803921568627</v>
      </c>
    </row>
    <row r="565" hidden="1">
      <c r="A565" s="11" t="n">
        <v>46168</v>
      </c>
      <c r="B565" t="inlineStr">
        <is>
          <t>Carlos Mateus Cassimiro Nunes</t>
        </is>
      </c>
      <c r="C565" t="inlineStr">
        <is>
          <t>Técnico II</t>
        </is>
      </c>
      <c r="D565" s="3" t="n">
        <v>28</v>
      </c>
      <c r="E565" s="3" t="n">
        <v>26</v>
      </c>
      <c r="F565" s="3" t="n">
        <v>20.21</v>
      </c>
      <c r="G565" s="3" t="n">
        <v>2</v>
      </c>
      <c r="M565" s="3" t="n">
        <v>26</v>
      </c>
      <c r="N565" s="3" t="n">
        <v>99.06999999999999</v>
      </c>
      <c r="O565" s="3" t="n">
        <v>22.11302211302211</v>
      </c>
    </row>
    <row r="566" hidden="1">
      <c r="A566" s="11" t="n">
        <v>46140</v>
      </c>
      <c r="B566" t="inlineStr">
        <is>
          <t>Damyllis Lorraine de Oliveira Gonçalves</t>
        </is>
      </c>
      <c r="C566" t="inlineStr">
        <is>
          <t>Técnico II</t>
        </is>
      </c>
      <c r="D566" s="3" t="n">
        <v>31</v>
      </c>
      <c r="E566" s="3" t="n">
        <v>28</v>
      </c>
      <c r="F566" s="3" t="n">
        <v>17.04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IF(K566&lt;-5,"CRÍTICO",IF(K566&lt;0,"ATENÇÃO",IF(K566&lt;=5,"OPORTUNO","MUITO BOM")))</f>
        <v/>
      </c>
      <c r="M566" s="3" t="n">
        <v>28</v>
      </c>
      <c r="N566" s="3" t="n">
        <v>97.86</v>
      </c>
      <c r="O566" s="3" t="n">
        <v>31.01851851851852</v>
      </c>
    </row>
    <row r="567" hidden="1">
      <c r="A567" s="11" t="n">
        <v>46141</v>
      </c>
      <c r="B567" t="inlineStr">
        <is>
          <t>Damyllis Lorraine de Oliveira Gonçalves</t>
        </is>
      </c>
      <c r="C567" t="inlineStr">
        <is>
          <t>Técnico II</t>
        </is>
      </c>
      <c r="D567" s="3" t="n">
        <v>32</v>
      </c>
      <c r="E567" s="3" t="n">
        <v>30</v>
      </c>
      <c r="F567" s="3" t="n">
        <v>18.45</v>
      </c>
      <c r="G567" s="3" t="n">
        <v>0</v>
      </c>
      <c r="H567" s="3" t="n">
        <v>0</v>
      </c>
      <c r="I567" s="3" t="n">
        <v>0</v>
      </c>
      <c r="J567" s="3" t="n">
        <v>0</v>
      </c>
      <c r="K567" s="3" t="n">
        <v>0</v>
      </c>
      <c r="L567" s="3">
        <f>IF(K567&lt;-5,"CRÍTICO",IF(K567&lt;0,"ATENÇÃO",IF(K567&lt;=5,"OPORTUNO","MUITO BOM")))</f>
        <v/>
      </c>
      <c r="M567" s="3" t="n">
        <v>24</v>
      </c>
      <c r="N567" s="3" t="n">
        <v>97.86</v>
      </c>
      <c r="O567" s="3" t="n">
        <v>31.01851851851852</v>
      </c>
    </row>
    <row r="568" hidden="1">
      <c r="A568" s="11" t="n">
        <v>46142</v>
      </c>
      <c r="B568" t="inlineStr">
        <is>
          <t>Damyllis Lorraine de Oliveira Gonçalves</t>
        </is>
      </c>
      <c r="C568" t="inlineStr">
        <is>
          <t>Técnico II</t>
        </is>
      </c>
      <c r="D568" s="3" t="n">
        <v>27</v>
      </c>
      <c r="E568" s="3" t="n">
        <v>24</v>
      </c>
      <c r="F568" s="3" t="n">
        <v>20.15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3" t="n">
        <v>18</v>
      </c>
      <c r="N568" s="3" t="n">
        <v>97.86</v>
      </c>
      <c r="O568" s="3" t="n">
        <v>31.01851851851852</v>
      </c>
    </row>
    <row r="569" hidden="1">
      <c r="A569" s="5" t="n">
        <v>46146</v>
      </c>
      <c r="B569" s="6" t="inlineStr">
        <is>
          <t>Damyllis Lorraine de Oliveira Gonçalves</t>
        </is>
      </c>
      <c r="C569" s="3" t="inlineStr">
        <is>
          <t>Técnico II</t>
        </is>
      </c>
      <c r="D569" s="3" t="n">
        <v>37</v>
      </c>
      <c r="E569" s="3" t="n">
        <v>30</v>
      </c>
      <c r="F569" s="3" t="n">
        <v>15.15</v>
      </c>
      <c r="G569" s="3" t="n">
        <v>0</v>
      </c>
      <c r="H569" s="3" t="n">
        <v>0</v>
      </c>
      <c r="I569" s="3" t="n">
        <v>0</v>
      </c>
      <c r="J569" s="3" t="n">
        <v>0</v>
      </c>
      <c r="K569" s="3" t="n">
        <v>0</v>
      </c>
      <c r="L569" s="3">
        <f>IF(K569&lt;-5,"CRÍTICO",IF(K569&lt;0,"ATENÇÃO",IF(K569&lt;=5,"BOM","EXCELENTE")))</f>
        <v/>
      </c>
      <c r="M569" s="3" t="n">
        <v>25</v>
      </c>
      <c r="N569" s="3" t="n">
        <v>98.81</v>
      </c>
      <c r="O569" s="3" t="n">
        <v>22.76785714285714</v>
      </c>
    </row>
    <row r="570" hidden="1">
      <c r="A570" s="5" t="n">
        <v>46147</v>
      </c>
      <c r="B570" s="6" t="inlineStr">
        <is>
          <t>Damyllis Lorraine de Oliveira Gonçalves</t>
        </is>
      </c>
      <c r="C570" s="3" t="inlineStr">
        <is>
          <t>Técnico II</t>
        </is>
      </c>
      <c r="D570" s="3" t="n">
        <v>23</v>
      </c>
      <c r="E570" s="3" t="n">
        <v>21</v>
      </c>
      <c r="F570" s="3" t="n">
        <v>19.19</v>
      </c>
      <c r="G570" s="3" t="n">
        <v>0</v>
      </c>
      <c r="H570" s="3" t="n">
        <v>0</v>
      </c>
      <c r="I570" s="3" t="n">
        <v>0</v>
      </c>
      <c r="J570" s="3" t="n">
        <v>0</v>
      </c>
      <c r="K570" s="3" t="n">
        <v>0</v>
      </c>
      <c r="L570" s="3">
        <f>IF(K570&lt;-5,"CRÍTICO",IF(K570&lt;0,"ATENÇÃO",IF(K570&lt;=5,"BOM","EXCELENTE")))</f>
        <v/>
      </c>
      <c r="M570" s="3" t="n">
        <v>26</v>
      </c>
      <c r="N570" s="3" t="n">
        <v>98.81</v>
      </c>
      <c r="O570" s="3" t="n">
        <v>22.76785714285714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s="3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98.81</v>
      </c>
      <c r="O571" s="3" t="n">
        <v>22.76785714285714</v>
      </c>
    </row>
    <row r="572" hidden="1">
      <c r="A572" s="11" t="n">
        <v>46168</v>
      </c>
      <c r="B572" t="inlineStr">
        <is>
          <t>Damyllis Lorraine de Oliveira Gonçalves</t>
        </is>
      </c>
      <c r="C572" t="inlineStr">
        <is>
          <t>Técnico II</t>
        </is>
      </c>
      <c r="D572" s="3" t="n">
        <v>0</v>
      </c>
      <c r="E572" s="3" t="n">
        <v>0</v>
      </c>
      <c r="F572" s="3" t="n">
        <v>0</v>
      </c>
      <c r="G572" s="3" t="n">
        <v>0</v>
      </c>
      <c r="H572" s="3" t="n">
        <v>0</v>
      </c>
      <c r="I572" s="3" t="n">
        <v>0</v>
      </c>
      <c r="J572" s="3" t="n">
        <v>0</v>
      </c>
      <c r="K572" s="3" t="n">
        <v>0</v>
      </c>
      <c r="M572" s="3" t="n">
        <v>0</v>
      </c>
      <c r="N572" s="3" t="n">
        <v>98.81</v>
      </c>
      <c r="O572" s="3" t="n">
        <v>25</v>
      </c>
    </row>
    <row r="573" hidden="1">
      <c r="A573" s="11" t="n">
        <v>46140</v>
      </c>
      <c r="B573" t="inlineStr">
        <is>
          <t>Emilly Kamilly Medeiros Miranda</t>
        </is>
      </c>
      <c r="C573" t="inlineStr">
        <is>
          <t>Técnico II</t>
        </is>
      </c>
      <c r="D573" s="3" t="n">
        <v>27</v>
      </c>
      <c r="E573" s="3" t="n">
        <v>27</v>
      </c>
      <c r="F573" s="3" t="n">
        <v>18.35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3" t="n">
        <v>26</v>
      </c>
      <c r="N573" s="3" t="n">
        <v>97.83</v>
      </c>
      <c r="O573" s="3" t="n">
        <v>28.35164835164835</v>
      </c>
    </row>
    <row r="574" hidden="1">
      <c r="A574" s="11" t="n">
        <v>46141</v>
      </c>
      <c r="B574" t="inlineStr">
        <is>
          <t>Emilly Kamilly Medeiros Miranda</t>
        </is>
      </c>
      <c r="C574" t="inlineStr">
        <is>
          <t>Técnico II</t>
        </is>
      </c>
      <c r="D574" s="3" t="n">
        <v>31</v>
      </c>
      <c r="E574" s="3" t="n">
        <v>28</v>
      </c>
      <c r="F574" s="3" t="n">
        <v>18.26</v>
      </c>
      <c r="G574" s="3" t="n">
        <v>0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3" t="n">
        <v>23</v>
      </c>
      <c r="N574" s="3" t="n">
        <v>97.83</v>
      </c>
      <c r="O574" s="3" t="n">
        <v>28.35164835164835</v>
      </c>
    </row>
    <row r="575" hidden="1">
      <c r="A575" s="11" t="n">
        <v>46142</v>
      </c>
      <c r="B575" t="inlineStr">
        <is>
          <t>Emilly Kamilly Medeiros Miranda</t>
        </is>
      </c>
      <c r="C575" t="inlineStr">
        <is>
          <t>Técnico II</t>
        </is>
      </c>
      <c r="D575" s="3" t="n">
        <v>38</v>
      </c>
      <c r="E575" s="3" t="n">
        <v>38</v>
      </c>
      <c r="F575" s="3" t="n">
        <v>15.02</v>
      </c>
      <c r="G575" s="3" t="n">
        <v>0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3" t="n">
        <v>35</v>
      </c>
      <c r="N575" s="3" t="n">
        <v>97.83</v>
      </c>
      <c r="O575" s="3" t="n">
        <v>28.35164835164835</v>
      </c>
    </row>
    <row r="576" hidden="1">
      <c r="A576" s="5" t="n">
        <v>46146</v>
      </c>
      <c r="B576" s="6" t="inlineStr">
        <is>
          <t>Emilly Kamilly Medeiros Miranda</t>
        </is>
      </c>
      <c r="C576" s="3" t="inlineStr">
        <is>
          <t>Técnico II</t>
        </is>
      </c>
      <c r="D576" s="3" t="n">
        <v>31</v>
      </c>
      <c r="E576" s="3" t="n">
        <v>28</v>
      </c>
      <c r="F576" s="3" t="n">
        <v>15.09</v>
      </c>
      <c r="G576" s="3" t="n">
        <v>7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29</v>
      </c>
      <c r="N576" s="3" t="n">
        <v>99.01000000000001</v>
      </c>
      <c r="O576" s="3" t="n">
        <v>17.76649746192894</v>
      </c>
    </row>
    <row r="577" hidden="1">
      <c r="A577" s="5" t="n">
        <v>46147</v>
      </c>
      <c r="B577" s="6" t="inlineStr">
        <is>
          <t>Emilly Kamilly Medeiros Miranda</t>
        </is>
      </c>
      <c r="C577" s="3" t="inlineStr">
        <is>
          <t>Técnico II</t>
        </is>
      </c>
      <c r="D577" s="3" t="n">
        <v>34</v>
      </c>
      <c r="E577" s="3" t="n">
        <v>31</v>
      </c>
      <c r="F577" s="3" t="n">
        <v>14.15</v>
      </c>
      <c r="G577" s="3" t="n">
        <v>3</v>
      </c>
      <c r="H577" s="3" t="n">
        <v>0</v>
      </c>
      <c r="I577" s="3">
        <f>E577+G577+H577</f>
        <v/>
      </c>
      <c r="J577" s="3">
        <f>ROUND(MIN(IF(C577="Técnico III",35,IF(C577="Técnico II",28,IF(C577="Técnico I",23,IF(C577="JR",20,IF(C577="Estágio",10,0))))),IF(C577="Técnico III",SUMIFS($D:$D,$A:$A,$A577,$B:$B,"&lt;&gt;Patrícia Karla de Sousa Araújo",$B:$B,"&lt;&gt;Lorena Dias de Araujo",$B:$B,"&lt;&gt;Lucas Luiz Romero")*(35/1083),IF(C577="Técnico II",SUMIFS($D:$D,$A:$A,$A577,$B:$B,"&lt;&gt;Patrícia Karla de Sousa Araújo",$B:$B,"&lt;&gt;Lorena Dias de Araujo",$B:$B,"&lt;&gt;Lucas Luiz Romero")*(28/1083),IF(C577="Técnico I",SUMIFS($D:$D,$A:$A,$A577,$B:$B,"&lt;&gt;Patrícia Karla de Sousa Araújo",$B:$B,"&lt;&gt;Lorena Dias de Araujo",$B:$B,"&lt;&gt;Lucas Luiz Romero")*(23/1083),IF(C577="JR",SUMIFS($D:$D,$A:$A,$A577,$B:$B,"&lt;&gt;Patrícia Karla de Sousa Araújo",$B:$B,"&lt;&gt;Lorena Dias de Araujo",$B:$B,"&lt;&gt;Lucas Luiz Romero")*(20/1083),IF(C577="Estágio",SUMIFS($D:$D,$A:$A,$A577,$B:$B,"&lt;&gt;Patrícia Karla de Sousa Araújo",$B:$B,"&lt;&gt;Lorena Dias de Araujo",$B:$B,"&lt;&gt;Lucas Luiz Romero")*(10/1083),0)))))),0)</f>
        <v/>
      </c>
      <c r="K577" s="3">
        <f>I577-J577</f>
        <v/>
      </c>
      <c r="L577" s="3">
        <f>IF(K577&lt;-5,"CRÍTICO",IF(K577&lt;0,"ATENÇÃO",IF(K577&lt;=5,"BOM","EXCELENTE")))</f>
        <v/>
      </c>
      <c r="M577" s="3" t="n">
        <v>31</v>
      </c>
      <c r="N577" s="3" t="n">
        <v>99.01000000000001</v>
      </c>
      <c r="O577" s="3" t="n">
        <v>17.76649746192894</v>
      </c>
    </row>
    <row r="578">
      <c r="A578" s="5" t="n">
        <v>46149</v>
      </c>
      <c r="B578" s="6" t="inlineStr">
        <is>
          <t>Alisson de Freitas Silva</t>
        </is>
      </c>
      <c r="C578" s="3" t="inlineStr">
        <is>
          <t>Técnico II</t>
        </is>
      </c>
      <c r="D578" s="3" t="n">
        <v>39</v>
      </c>
      <c r="E578" s="3" t="n">
        <v>34</v>
      </c>
      <c r="F578" s="3" t="n">
        <v>8.33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19</v>
      </c>
      <c r="N578" s="3" t="n">
        <v>99.18000000000001</v>
      </c>
      <c r="O578" s="3" t="n">
        <v>24.5014245014245</v>
      </c>
    </row>
    <row r="579" hidden="1">
      <c r="A579" s="5" t="n">
        <v>46149</v>
      </c>
      <c r="B579" s="6" t="inlineStr">
        <is>
          <t>Brenda de Menezes Silva</t>
        </is>
      </c>
      <c r="C579" s="3" t="inlineStr">
        <is>
          <t>Técnico II</t>
        </is>
      </c>
      <c r="D579" s="3" t="n">
        <v>33</v>
      </c>
      <c r="E579" s="3" t="n">
        <v>29</v>
      </c>
      <c r="F579" s="3" t="n">
        <v>13.37</v>
      </c>
      <c r="G579" s="3" t="n">
        <v>5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31</v>
      </c>
      <c r="N579" s="3" t="n">
        <v>99.34999999999999</v>
      </c>
      <c r="O579" s="3" t="n">
        <v>19.85294117647059</v>
      </c>
    </row>
    <row r="580" hidden="1">
      <c r="A580" s="5" t="n">
        <v>46149</v>
      </c>
      <c r="B580" s="6" t="inlineStr">
        <is>
          <t>Carlos Mateus Cassimiro Nunes</t>
        </is>
      </c>
      <c r="C580" s="9" t="inlineStr">
        <is>
          <t>Técnico II</t>
        </is>
      </c>
      <c r="D580" s="3" t="n">
        <v>24</v>
      </c>
      <c r="E580" s="3" t="n">
        <v>24</v>
      </c>
      <c r="F580" s="3" t="n">
        <v>25.23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27</v>
      </c>
      <c r="N580" s="3" t="n">
        <v>99.06999999999999</v>
      </c>
      <c r="O580" s="3" t="n">
        <v>20.09803921568627</v>
      </c>
    </row>
    <row r="581" hidden="1">
      <c r="A581" s="5" t="n">
        <v>46149</v>
      </c>
      <c r="B581" s="6" t="inlineStr">
        <is>
          <t>Damyllis Lorraine de Oliveira Gonçalves</t>
        </is>
      </c>
      <c r="C581" s="3" t="inlineStr">
        <is>
          <t>Técnico II</t>
        </is>
      </c>
      <c r="D581" s="3" t="n">
        <v>17</v>
      </c>
      <c r="E581" s="3" t="n">
        <v>16</v>
      </c>
      <c r="F581" s="3" t="n">
        <v>30.25</v>
      </c>
      <c r="G581" s="3" t="n">
        <v>0</v>
      </c>
      <c r="H581" s="3" t="n">
        <v>0</v>
      </c>
      <c r="I581" s="3" t="n">
        <v>0</v>
      </c>
      <c r="J581" s="3" t="n">
        <v>0</v>
      </c>
      <c r="K581" s="3" t="n">
        <v>0</v>
      </c>
      <c r="L581" s="3">
        <f>IF(K581&lt;-5,"CRÍTICO",IF(K581&lt;0,"ATENÇÃO",IF(K581&lt;=5,"BOM","EXCELENTE")))</f>
        <v/>
      </c>
      <c r="M581" s="3" t="n">
        <v>19</v>
      </c>
      <c r="N581" s="3" t="n">
        <v>98.81</v>
      </c>
      <c r="O581" s="3" t="n">
        <v>22.76785714285714</v>
      </c>
    </row>
    <row r="582" hidden="1">
      <c r="A582" s="5" t="n">
        <v>46149</v>
      </c>
      <c r="B582" s="6" t="inlineStr">
        <is>
          <t>Emilly Kamilly Medeiros Miranda</t>
        </is>
      </c>
      <c r="C582" s="3" t="inlineStr">
        <is>
          <t>Técnico II</t>
        </is>
      </c>
      <c r="D582" s="3" t="n">
        <v>30</v>
      </c>
      <c r="E582" s="3" t="n">
        <v>29</v>
      </c>
      <c r="F582" s="3" t="n">
        <v>17.1</v>
      </c>
      <c r="G582" s="3" t="n">
        <v>2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IF(K582&lt;-5,"CRÍTICO",IF(K582&lt;0,"ATENÇÃO",IF(K582&lt;=5,"BOM","EXCELENTE")))</f>
        <v/>
      </c>
      <c r="M582" s="3" t="n">
        <v>28</v>
      </c>
      <c r="N582" s="3" t="n">
        <v>99.01000000000001</v>
      </c>
      <c r="O582" s="3" t="n">
        <v>17.76649746192894</v>
      </c>
    </row>
    <row r="583" hidden="1">
      <c r="A583" s="5" t="n">
        <v>46149</v>
      </c>
      <c r="B583" s="6" t="inlineStr">
        <is>
          <t>Francilene Ferreira de Jesus</t>
        </is>
      </c>
      <c r="C583" s="3" t="inlineStr">
        <is>
          <t>Técnico II</t>
        </is>
      </c>
      <c r="D583" s="3" t="n">
        <v>0</v>
      </c>
      <c r="E583" s="3" t="n">
        <v>0</v>
      </c>
      <c r="F583" s="3" t="n">
        <v>0</v>
      </c>
      <c r="G583" s="3" t="n">
        <v>0</v>
      </c>
      <c r="H583" s="3" t="n">
        <v>0</v>
      </c>
      <c r="I583" s="3" t="n">
        <v>0</v>
      </c>
      <c r="J583" s="3" t="n">
        <v>0</v>
      </c>
      <c r="K583" s="3" t="n">
        <v>0</v>
      </c>
      <c r="L583" s="3">
        <f>IF(K583&lt;-5,"CRÍTICO",IF(K583&lt;0,"ATENÇÃO",IF(K583&lt;=5,"BOM","EXCELENTE")))</f>
        <v/>
      </c>
      <c r="M583" s="3" t="n">
        <v>0</v>
      </c>
      <c r="N583" s="3" t="n">
        <v>100</v>
      </c>
      <c r="O583" s="3" t="n">
        <v>17.24137931034483</v>
      </c>
    </row>
    <row r="584" hidden="1">
      <c r="A584" s="5" t="n">
        <v>46149</v>
      </c>
      <c r="B584" s="6" t="inlineStr">
        <is>
          <t>Isabella Borges de Oliveira</t>
        </is>
      </c>
      <c r="C584" s="9" t="inlineStr">
        <is>
          <t>Técnico II</t>
        </is>
      </c>
      <c r="D584" s="3" t="n">
        <v>25</v>
      </c>
      <c r="E584" s="3" t="n">
        <v>24</v>
      </c>
      <c r="F584" s="3" t="n">
        <v>24.02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IF(K584&lt;-5,"CRÍTICO",IF(K584&lt;0,"ATENÇÃO",IF(K584&lt;=5,"BOM","EXCELENTE")))</f>
        <v/>
      </c>
      <c r="M584" s="3" t="n">
        <v>22</v>
      </c>
      <c r="N584" s="3" t="n">
        <v>98.98</v>
      </c>
      <c r="O584" s="3" t="n">
        <v>19.35483870967742</v>
      </c>
    </row>
    <row r="585" hidden="1">
      <c r="A585" s="5" t="n">
        <v>46149</v>
      </c>
      <c r="B585" s="6" t="inlineStr">
        <is>
          <t>Jessica Faria da Silveira</t>
        </is>
      </c>
      <c r="C585" s="3" t="inlineStr">
        <is>
          <t>Técnico II</t>
        </is>
      </c>
      <c r="D585" s="3" t="n">
        <v>34</v>
      </c>
      <c r="E585" s="3" t="n">
        <v>28</v>
      </c>
      <c r="F585" s="3" t="n">
        <v>13.53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26</v>
      </c>
      <c r="N585" s="3" t="n">
        <v>98.94</v>
      </c>
      <c r="O585" s="3" t="n">
        <v>21.2707182320442</v>
      </c>
    </row>
    <row r="586" hidden="1">
      <c r="A586" s="5" t="n">
        <v>46149</v>
      </c>
      <c r="B586" s="6" t="inlineStr">
        <is>
          <t>Lizandra Gomes Duarte</t>
        </is>
      </c>
      <c r="C586" s="3" t="inlineStr">
        <is>
          <t>Técnico II</t>
        </is>
      </c>
      <c r="D586" s="3" t="n">
        <v>40</v>
      </c>
      <c r="E586" s="3" t="n">
        <v>37</v>
      </c>
      <c r="F586" s="3" t="n">
        <v>13.54</v>
      </c>
      <c r="G586" s="3" t="n">
        <v>6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51</v>
      </c>
      <c r="N586" s="3" t="n">
        <v>99</v>
      </c>
      <c r="O586" s="3" t="n">
        <v>22.01086956521739</v>
      </c>
    </row>
    <row r="587" hidden="1">
      <c r="A587" s="5" t="n">
        <v>46149</v>
      </c>
      <c r="B587" s="6" t="inlineStr">
        <is>
          <t>Lorena Dias de Araujo</t>
        </is>
      </c>
      <c r="C587" s="3" t="inlineStr">
        <is>
          <t>Técnico II</t>
        </is>
      </c>
      <c r="D587" s="3" t="n">
        <v>26</v>
      </c>
      <c r="E587" s="3" t="n">
        <v>24</v>
      </c>
      <c r="F587" s="3" t="n">
        <v>18.21</v>
      </c>
      <c r="G587" s="3" t="n">
        <v>0</v>
      </c>
      <c r="H587" s="3" t="n">
        <v>0</v>
      </c>
      <c r="I587" s="3" t="n">
        <v>0</v>
      </c>
      <c r="J587" s="3" t="n">
        <v>0</v>
      </c>
      <c r="K587" s="3" t="n">
        <v>0</v>
      </c>
      <c r="L587" s="3">
        <f>IF(K587&lt;-5,"CRÍTICO",IF(K587&lt;0,"ATENÇÃO",IF(K587&lt;=5,"BOM","EXCELENTE")))</f>
        <v/>
      </c>
      <c r="M587" s="3" t="n">
        <v>26</v>
      </c>
      <c r="N587" s="3" t="n">
        <v>100</v>
      </c>
      <c r="O587" s="3" t="n">
        <v>25</v>
      </c>
    </row>
    <row r="588" hidden="1">
      <c r="A588" s="5" t="n">
        <v>46149</v>
      </c>
      <c r="B588" s="6" t="inlineStr">
        <is>
          <t>Patrícia Karla de Sousa Araújo</t>
        </is>
      </c>
      <c r="C588" s="3" t="inlineStr">
        <is>
          <t>Técnico II</t>
        </is>
      </c>
      <c r="D588" s="3" t="n">
        <v>10</v>
      </c>
      <c r="E588" s="3" t="n">
        <v>10</v>
      </c>
      <c r="F588" s="3" t="n">
        <v>28.38</v>
      </c>
      <c r="G588" s="3" t="n">
        <v>0</v>
      </c>
      <c r="H588" s="3" t="n">
        <v>0</v>
      </c>
      <c r="I588" s="3">
        <f>E588+G588+H588</f>
        <v/>
      </c>
      <c r="J588" s="3">
        <f>ROUND(MIN(IF(C588="Técnico III",35,IF(C588="Técnico II",28,IF(C588="Técnico I",23,IF(C588="JR",20,IF(C588="Estágio",10,0))))),IF(C588="Técnico III",SUMIFS($D:$D,$A:$A,$A588,$B:$B,"&lt;&gt;Patrícia Karla de Sousa Araújo",$B:$B,"&lt;&gt;Lorena Dias de Araujo",$B:$B,"&lt;&gt;Lucas Luiz Romero")*(35/1083),IF(C588="Técnico II",SUMIFS($D:$D,$A:$A,$A588,$B:$B,"&lt;&gt;Patrícia Karla de Sousa Araújo",$B:$B,"&lt;&gt;Lorena Dias de Araujo",$B:$B,"&lt;&gt;Lucas Luiz Romero")*(28/1083),IF(C588="Técnico I",SUMIFS($D:$D,$A:$A,$A588,$B:$B,"&lt;&gt;Patrícia Karla de Sousa Araújo",$B:$B,"&lt;&gt;Lorena Dias de Araujo",$B:$B,"&lt;&gt;Lucas Luiz Romero")*(23/1083),IF(C588="JR",SUMIFS($D:$D,$A:$A,$A588,$B:$B,"&lt;&gt;Patrícia Karla de Sousa Araújo",$B:$B,"&lt;&gt;Lorena Dias de Araujo",$B:$B,"&lt;&gt;Lucas Luiz Romero")*(20/1083),IF(C588="Estágio",SUMIFS($D:$D,$A:$A,$A588,$B:$B,"&lt;&gt;Patrícia Karla de Sousa Araújo",$B:$B,"&lt;&gt;Lorena Dias de Araujo",$B:$B,"&lt;&gt;Lucas Luiz Romero")*(10/1083),0)))))),0)</f>
        <v/>
      </c>
      <c r="K588" s="3">
        <f>I588-J588</f>
        <v/>
      </c>
      <c r="L588" s="3">
        <f>IF(K588&lt;-5,"CRÍTICO",IF(K588&lt;0,"ATENÇÃO",IF(K588&lt;=5,"BOM","EXCELENTE")))</f>
        <v/>
      </c>
      <c r="M588" s="3" t="n">
        <v>9</v>
      </c>
      <c r="N588" s="3" t="n">
        <v>100</v>
      </c>
      <c r="O588" s="3" t="n">
        <v>20.18348623853211</v>
      </c>
    </row>
    <row r="589">
      <c r="A589" s="5" t="n">
        <v>46150</v>
      </c>
      <c r="B589" s="6" t="inlineStr">
        <is>
          <t>Alisson de Freitas Silva</t>
        </is>
      </c>
      <c r="C589" s="3" t="inlineStr">
        <is>
          <t>Técnico II</t>
        </is>
      </c>
      <c r="D589" s="3" t="n">
        <v>34</v>
      </c>
      <c r="E589" s="3" t="n">
        <v>30</v>
      </c>
      <c r="F589" s="3" t="n">
        <v>11.56</v>
      </c>
      <c r="G589" s="3" t="n">
        <v>4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21</v>
      </c>
      <c r="N589" s="3" t="n">
        <v>99.18000000000001</v>
      </c>
      <c r="O589" s="3" t="n">
        <v>24.5014245014245</v>
      </c>
    </row>
    <row r="590" hidden="1">
      <c r="A590" s="5" t="n">
        <v>46150</v>
      </c>
      <c r="B590" s="6" t="inlineStr">
        <is>
          <t>Brenda de Menezes Silva</t>
        </is>
      </c>
      <c r="C590" s="3" t="inlineStr">
        <is>
          <t>Técnico II</t>
        </is>
      </c>
      <c r="D590" s="3" t="n">
        <v>31</v>
      </c>
      <c r="E590" s="3" t="n">
        <v>28</v>
      </c>
      <c r="F590" s="3" t="n">
        <v>15.19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35</v>
      </c>
      <c r="N590" s="3" t="n">
        <v>99.34999999999999</v>
      </c>
      <c r="O590" s="3" t="n">
        <v>19.85294117647059</v>
      </c>
    </row>
    <row r="591" hidden="1">
      <c r="A591" s="5" t="n">
        <v>46150</v>
      </c>
      <c r="B591" s="6" t="inlineStr">
        <is>
          <t>Carlos Mateus Cassimiro Nunes</t>
        </is>
      </c>
      <c r="C591" s="9" t="inlineStr">
        <is>
          <t>Técnico II</t>
        </is>
      </c>
      <c r="D591" s="3" t="n">
        <v>12</v>
      </c>
      <c r="E591" s="3" t="n">
        <v>12</v>
      </c>
      <c r="F591" s="3" t="n">
        <v>38.58</v>
      </c>
      <c r="G591" s="3" t="n">
        <v>0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s="3" t="n">
        <v>12</v>
      </c>
      <c r="N591" s="3" t="n">
        <v>99.06999999999999</v>
      </c>
      <c r="O591" s="3" t="n">
        <v>20.09803921568627</v>
      </c>
    </row>
    <row r="592" hidden="1">
      <c r="A592" s="11" t="n">
        <v>46050</v>
      </c>
      <c r="B592" t="inlineStr">
        <is>
          <t>Gabriel Gomes de Andrade</t>
        </is>
      </c>
      <c r="C592" t="inlineStr">
        <is>
          <t>Técnico I</t>
        </is>
      </c>
      <c r="D592" t="n">
        <v>26</v>
      </c>
      <c r="E592" t="n">
        <v>25</v>
      </c>
      <c r="F592" t="n">
        <v>23.42</v>
      </c>
      <c r="G592" t="n">
        <v>0</v>
      </c>
      <c r="H592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21</v>
      </c>
      <c r="N592" t="n">
        <v>98.91</v>
      </c>
      <c r="O592" t="n">
        <v>31.36729222520107</v>
      </c>
    </row>
    <row r="593" hidden="1">
      <c r="A593" s="11" t="n">
        <v>46051</v>
      </c>
      <c r="B593" t="inlineStr">
        <is>
          <t>Gabriel Gomes de Andrade</t>
        </is>
      </c>
      <c r="C593" t="inlineStr">
        <is>
          <t>Técnico I</t>
        </is>
      </c>
      <c r="D593" t="n">
        <v>0</v>
      </c>
      <c r="E593" t="n">
        <v>0</v>
      </c>
      <c r="F593" t="n">
        <v>0</v>
      </c>
      <c r="G593" t="n">
        <v>0</v>
      </c>
      <c r="H593" t="n">
        <v>0</v>
      </c>
      <c r="I593" s="3" t="n">
        <v>0</v>
      </c>
      <c r="J593" s="3" t="n">
        <v>0</v>
      </c>
      <c r="K593" s="3" t="n">
        <v>0</v>
      </c>
      <c r="L593" s="3">
        <f>IF(K593&lt;-5,"CRÍTICO",IF(K593&lt;0,"ATENÇÃO",IF(K593&lt;=5,"BOM","EXCELENTE")))</f>
        <v/>
      </c>
      <c r="M593" t="n">
        <v>0</v>
      </c>
      <c r="N593" t="n">
        <v>98.91</v>
      </c>
      <c r="O593" t="n">
        <v>31.36729222520107</v>
      </c>
    </row>
    <row r="594" hidden="1">
      <c r="A594" s="5" t="n">
        <v>46150</v>
      </c>
      <c r="B594" s="6" t="inlineStr">
        <is>
          <t>Damyllis Lorraine de Oliveira Gonçalves</t>
        </is>
      </c>
      <c r="C594" s="3" t="inlineStr">
        <is>
          <t>Técnico II</t>
        </is>
      </c>
      <c r="D594" s="3" t="n">
        <v>19</v>
      </c>
      <c r="E594" s="3" t="n">
        <v>17</v>
      </c>
      <c r="F594" s="3" t="n">
        <v>23.59</v>
      </c>
      <c r="G594" s="3" t="n">
        <v>0</v>
      </c>
      <c r="H594" s="3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M594" s="3" t="n">
        <v>16</v>
      </c>
      <c r="N594" s="3" t="n">
        <v>98.81</v>
      </c>
      <c r="O594" s="3" t="n">
        <v>22.76785714285714</v>
      </c>
    </row>
    <row r="595" hidden="1">
      <c r="A595" s="5" t="n">
        <v>46150</v>
      </c>
      <c r="B595" s="6" t="inlineStr">
        <is>
          <t>Emilly Kamilly Medeiros Miranda</t>
        </is>
      </c>
      <c r="C595" s="3" t="inlineStr">
        <is>
          <t>Técnico II</t>
        </is>
      </c>
      <c r="D595" s="3" t="n">
        <v>25</v>
      </c>
      <c r="E595" s="3" t="n">
        <v>23</v>
      </c>
      <c r="F595" s="3" t="n">
        <v>12.17</v>
      </c>
      <c r="G595" s="3" t="n">
        <v>6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IF(K595&lt;-5,"CRÍTICO",IF(K595&lt;0,"ATENÇÃO",IF(K595&lt;=5,"BOM","EXCELENTE")))</f>
        <v/>
      </c>
      <c r="M595" s="3" t="n">
        <v>26</v>
      </c>
      <c r="N595" s="3" t="n">
        <v>99.01000000000001</v>
      </c>
      <c r="O595" s="3" t="n">
        <v>17.76649746192894</v>
      </c>
    </row>
    <row r="596" hidden="1">
      <c r="A596" s="5" t="n">
        <v>46150</v>
      </c>
      <c r="B596" s="6" t="inlineStr">
        <is>
          <t>Francilene Ferreira de Jesus</t>
        </is>
      </c>
      <c r="C596" s="3" t="inlineStr">
        <is>
          <t>Técnico II</t>
        </is>
      </c>
      <c r="D596" s="3" t="n">
        <v>0</v>
      </c>
      <c r="E596" s="3" t="n">
        <v>0</v>
      </c>
      <c r="F596" s="3" t="n">
        <v>0</v>
      </c>
      <c r="G596" s="3" t="n">
        <v>0</v>
      </c>
      <c r="H596" s="3" t="n">
        <v>0</v>
      </c>
      <c r="I596" s="3" t="n">
        <v>0</v>
      </c>
      <c r="J596" s="3" t="n">
        <v>0</v>
      </c>
      <c r="K596" s="3" t="n">
        <v>0</v>
      </c>
      <c r="L596" s="3">
        <f>IF(K596&lt;-5,"CRÍTICO",IF(K596&lt;0,"ATENÇÃO",IF(K596&lt;=5,"BOM","EXCELENTE")))</f>
        <v/>
      </c>
      <c r="M596" s="3" t="n">
        <v>0</v>
      </c>
      <c r="N596" s="3" t="n">
        <v>100</v>
      </c>
      <c r="O596" s="3" t="n">
        <v>17.24137931034483</v>
      </c>
    </row>
    <row r="597" hidden="1">
      <c r="A597" s="5" t="n">
        <v>46150</v>
      </c>
      <c r="B597" s="6" t="inlineStr">
        <is>
          <t>Isabella Borges de Oliveira</t>
        </is>
      </c>
      <c r="C597" s="9" t="inlineStr">
        <is>
          <t>Técnico II</t>
        </is>
      </c>
      <c r="D597" s="3" t="n">
        <v>30</v>
      </c>
      <c r="E597" s="3" t="n">
        <v>27</v>
      </c>
      <c r="F597" s="3" t="n">
        <v>15.28</v>
      </c>
      <c r="G597" s="3" t="n">
        <v>0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IF(K597&lt;-5,"CRÍTICO",IF(K597&lt;0,"ATENÇÃO",IF(K597&lt;=5,"BOM","EXCELENTE")))</f>
        <v/>
      </c>
      <c r="M597" s="3" t="n">
        <v>22</v>
      </c>
      <c r="N597" s="3" t="n">
        <v>98.98</v>
      </c>
      <c r="O597" s="3" t="n">
        <v>19.35483870967742</v>
      </c>
    </row>
    <row r="598" hidden="1">
      <c r="A598" s="5" t="n">
        <v>46150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25</v>
      </c>
      <c r="E598" s="3" t="n">
        <v>20</v>
      </c>
      <c r="F598" s="3" t="n">
        <v>14.16</v>
      </c>
      <c r="G598" s="3" t="n">
        <v>3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s="3" t="n">
        <v>24</v>
      </c>
      <c r="N598" s="3" t="n">
        <v>98.94</v>
      </c>
      <c r="O598" s="3" t="n">
        <v>21.2707182320442</v>
      </c>
    </row>
    <row r="599" hidden="1">
      <c r="A599" s="5" t="n">
        <v>46150</v>
      </c>
      <c r="B599" s="6" t="inlineStr">
        <is>
          <t>Lizandra Gomes Duarte</t>
        </is>
      </c>
      <c r="C599" s="3" t="inlineStr">
        <is>
          <t>Técnico II</t>
        </is>
      </c>
      <c r="D599" s="3" t="n">
        <v>22</v>
      </c>
      <c r="E599" s="3" t="n">
        <v>18</v>
      </c>
      <c r="F599" s="3" t="n">
        <v>15.45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s="3" t="n">
        <v>18</v>
      </c>
      <c r="N599" s="3" t="n">
        <v>99</v>
      </c>
      <c r="O599" s="3" t="n">
        <v>22.01086956521739</v>
      </c>
    </row>
    <row r="600" hidden="1">
      <c r="A600" s="5" t="n">
        <v>46150</v>
      </c>
      <c r="B600" s="6" t="inlineStr">
        <is>
          <t>Lorena Dias de Araujo</t>
        </is>
      </c>
      <c r="C600" s="3" t="inlineStr">
        <is>
          <t>Técnico II</t>
        </is>
      </c>
      <c r="D600" s="3" t="n">
        <v>26</v>
      </c>
      <c r="E600" s="3" t="n">
        <v>26</v>
      </c>
      <c r="F600" s="3" t="n">
        <v>20.06</v>
      </c>
      <c r="G600" s="3" t="n">
        <v>0</v>
      </c>
      <c r="H600" s="3" t="n">
        <v>0</v>
      </c>
      <c r="I600" s="3" t="n">
        <v>0</v>
      </c>
      <c r="J600" s="3" t="n">
        <v>0</v>
      </c>
      <c r="K600" s="3" t="n">
        <v>0</v>
      </c>
      <c r="L600" s="3">
        <f>IF(K600&lt;-5,"CRÍTICO",IF(K600&lt;0,"ATENÇÃO",IF(K600&lt;=5,"BOM","EXCELENTE")))</f>
        <v/>
      </c>
      <c r="M600" s="3" t="n">
        <v>21</v>
      </c>
      <c r="N600" s="3" t="n">
        <v>100</v>
      </c>
      <c r="O600" s="3" t="n">
        <v>25</v>
      </c>
    </row>
    <row r="601" hidden="1">
      <c r="A601" s="5" t="n">
        <v>46150</v>
      </c>
      <c r="B601" s="6" t="inlineStr">
        <is>
          <t>Patrícia Karla de Sousa Araújo</t>
        </is>
      </c>
      <c r="C601" s="3" t="inlineStr">
        <is>
          <t>Técnico II</t>
        </is>
      </c>
      <c r="D601" s="3" t="n">
        <v>19</v>
      </c>
      <c r="E601" s="3" t="n">
        <v>19</v>
      </c>
      <c r="F601" s="3" t="n">
        <v>17.08</v>
      </c>
      <c r="G601" s="3" t="n">
        <v>0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IF(K601&lt;-5,"CRÍTICO",IF(K601&lt;0,"ATENÇÃO",IF(K601&lt;=5,"BOM","EXCELENTE")))</f>
        <v/>
      </c>
      <c r="M601" s="3" t="n">
        <v>17</v>
      </c>
      <c r="N601" s="3" t="n">
        <v>100</v>
      </c>
      <c r="O601" s="3" t="n">
        <v>20.18348623853211</v>
      </c>
    </row>
    <row r="602">
      <c r="A602" s="5" t="n">
        <v>46153</v>
      </c>
      <c r="B602" s="6" t="inlineStr">
        <is>
          <t>Alisson de Freitas Silva</t>
        </is>
      </c>
      <c r="C602" s="3" t="inlineStr">
        <is>
          <t>Técnico II</t>
        </is>
      </c>
      <c r="D602" s="3" t="n">
        <v>36</v>
      </c>
      <c r="E602" s="3" t="n">
        <v>29</v>
      </c>
      <c r="F602" s="3" t="n">
        <v>11.5</v>
      </c>
      <c r="G602" s="3" t="n">
        <v>5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s="3" t="n">
        <v>18</v>
      </c>
      <c r="N602" s="3" t="n">
        <v>99.18000000000001</v>
      </c>
      <c r="O602" s="3" t="n">
        <v>24.5014245014245</v>
      </c>
    </row>
    <row r="603" hidden="1">
      <c r="A603" s="5" t="n">
        <v>46153</v>
      </c>
      <c r="B603" s="6" t="inlineStr">
        <is>
          <t>Brenda de Menezes Silva</t>
        </is>
      </c>
      <c r="C603" s="3" t="inlineStr">
        <is>
          <t>Técnico II</t>
        </is>
      </c>
      <c r="D603" s="3" t="n">
        <v>31</v>
      </c>
      <c r="E603" s="3" t="n">
        <v>29</v>
      </c>
      <c r="F603" s="3" t="n">
        <v>17.13</v>
      </c>
      <c r="G603" s="3" t="n">
        <v>1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30</v>
      </c>
      <c r="N603" s="3" t="n">
        <v>99.34999999999999</v>
      </c>
      <c r="O603" s="3" t="n">
        <v>19.85294117647059</v>
      </c>
    </row>
    <row r="604" hidden="1">
      <c r="A604" s="5" t="n">
        <v>46153</v>
      </c>
      <c r="B604" s="6" t="inlineStr">
        <is>
          <t>Carlos Mateus Cassimiro Nunes</t>
        </is>
      </c>
      <c r="C604" s="9" t="inlineStr">
        <is>
          <t>Técnico II</t>
        </is>
      </c>
      <c r="D604" s="3" t="n">
        <v>22</v>
      </c>
      <c r="E604" s="3" t="n">
        <v>22</v>
      </c>
      <c r="F604" s="3" t="n">
        <v>26.55</v>
      </c>
      <c r="G604" s="3" t="n">
        <v>4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s="3" t="n">
        <v>26</v>
      </c>
      <c r="N604" s="3" t="n">
        <v>99.06999999999999</v>
      </c>
      <c r="O604" s="3" t="n">
        <v>20.09803921568627</v>
      </c>
    </row>
    <row r="605" hidden="1">
      <c r="A605" s="5" t="n">
        <v>46153</v>
      </c>
      <c r="B605" s="6" t="inlineStr">
        <is>
          <t>Damyllis Lorraine de Oliveira Gonçalves</t>
        </is>
      </c>
      <c r="C605" s="3" t="inlineStr">
        <is>
          <t>Técnico II</t>
        </is>
      </c>
      <c r="D605" s="3" t="n">
        <v>30</v>
      </c>
      <c r="E605" s="3" t="n">
        <v>27</v>
      </c>
      <c r="F605" s="3" t="n">
        <v>16.46</v>
      </c>
      <c r="G605" s="3" t="n">
        <v>0</v>
      </c>
      <c r="H605" s="3" t="n">
        <v>0</v>
      </c>
      <c r="I605" s="3" t="n">
        <v>0</v>
      </c>
      <c r="J605" s="3" t="n">
        <v>0</v>
      </c>
      <c r="K605" s="3" t="n">
        <v>0</v>
      </c>
      <c r="L605" s="3">
        <f>IF(K605&lt;-5,"CRÍTICO",IF(K605&lt;0,"ATENÇÃO",IF(K605&lt;=5,"BOM","EXCELENTE")))</f>
        <v/>
      </c>
      <c r="M605" s="3" t="n">
        <v>22</v>
      </c>
      <c r="N605" s="3" t="n">
        <v>98.81</v>
      </c>
      <c r="O605" s="3" t="n">
        <v>22.76785714285714</v>
      </c>
    </row>
    <row r="606" hidden="1">
      <c r="A606" s="5" t="n">
        <v>46153</v>
      </c>
      <c r="B606" s="6" t="inlineStr">
        <is>
          <t>Emilly Kamilly Medeiros Miranda</t>
        </is>
      </c>
      <c r="C606" s="3" t="inlineStr">
        <is>
          <t>Técnico II</t>
        </is>
      </c>
      <c r="D606" s="3" t="n">
        <v>28</v>
      </c>
      <c r="E606" s="3" t="n">
        <v>27</v>
      </c>
      <c r="F606" s="3" t="n">
        <v>15.05</v>
      </c>
      <c r="G606" s="3" t="n">
        <v>4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IF(K606&lt;-5,"CRÍTICO",IF(K606&lt;0,"ATENÇÃO",IF(K606&lt;=5,"BOM","EXCELENTE")))</f>
        <v/>
      </c>
      <c r="M606" s="3" t="n">
        <v>27</v>
      </c>
      <c r="N606" s="3" t="n">
        <v>99.01000000000001</v>
      </c>
      <c r="O606" s="3" t="n">
        <v>17.76649746192894</v>
      </c>
    </row>
    <row r="607" hidden="1">
      <c r="A607" s="5" t="n">
        <v>46153</v>
      </c>
      <c r="B607" s="6" t="inlineStr">
        <is>
          <t>Francilene Ferreira de Jesus</t>
        </is>
      </c>
      <c r="C607" s="3" t="inlineStr">
        <is>
          <t>Técnico II</t>
        </is>
      </c>
      <c r="D607" s="3" t="n">
        <v>0</v>
      </c>
      <c r="E607" s="3" t="n">
        <v>0</v>
      </c>
      <c r="F607" s="3" t="n">
        <v>0</v>
      </c>
      <c r="G607" s="3" t="n">
        <v>0</v>
      </c>
      <c r="H607" s="3" t="n">
        <v>0</v>
      </c>
      <c r="I607" s="3" t="n">
        <v>0</v>
      </c>
      <c r="J607" s="3" t="n">
        <v>0</v>
      </c>
      <c r="K607" s="3" t="n">
        <v>0</v>
      </c>
      <c r="L607" s="3">
        <f>IF(K607&lt;-5,"CRÍTICO",IF(K607&lt;0,"ATENÇÃO",IF(K607&lt;=5,"BOM","EXCELENTE")))</f>
        <v/>
      </c>
      <c r="M607" s="3" t="n">
        <v>0</v>
      </c>
      <c r="N607" s="3" t="n">
        <v>100</v>
      </c>
      <c r="O607" s="3" t="n">
        <v>17.24137931034483</v>
      </c>
    </row>
    <row r="608" hidden="1">
      <c r="A608" s="5" t="n">
        <v>46153</v>
      </c>
      <c r="B608" s="6" t="inlineStr">
        <is>
          <t>Isabella Borges de Oliveira</t>
        </is>
      </c>
      <c r="C608" s="9" t="inlineStr">
        <is>
          <t>Técnico II</t>
        </is>
      </c>
      <c r="D608" s="3" t="n">
        <v>26</v>
      </c>
      <c r="E608" s="3" t="n">
        <v>24</v>
      </c>
      <c r="F608" s="3" t="n">
        <v>18.31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IF(K608&lt;-5,"CRÍTICO",IF(K608&lt;0,"ATENÇÃO",IF(K608&lt;=5,"BOM","EXCELENTE")))</f>
        <v/>
      </c>
      <c r="M608" s="3" t="n">
        <v>23</v>
      </c>
      <c r="N608" s="3" t="n">
        <v>98.98</v>
      </c>
      <c r="O608" s="3" t="n">
        <v>19.35483870967742</v>
      </c>
    </row>
    <row r="609" hidden="1">
      <c r="A609" s="5" t="n">
        <v>46153</v>
      </c>
      <c r="B609" s="6" t="inlineStr">
        <is>
          <t>Jessica Faria da Silveira</t>
        </is>
      </c>
      <c r="C609" s="3" t="inlineStr">
        <is>
          <t>Técnico II</t>
        </is>
      </c>
      <c r="D609" s="3" t="n">
        <v>39</v>
      </c>
      <c r="E609" s="3" t="n">
        <v>31</v>
      </c>
      <c r="F609" s="3" t="n">
        <v>12</v>
      </c>
      <c r="G609" s="3" t="n">
        <v>1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s="3" t="n">
        <v>25</v>
      </c>
      <c r="N609" s="3" t="n">
        <v>98.94</v>
      </c>
      <c r="O609" s="3" t="n">
        <v>21.2707182320442</v>
      </c>
    </row>
    <row r="610" hidden="1">
      <c r="A610" s="5" t="n">
        <v>46153</v>
      </c>
      <c r="B610" s="6" t="inlineStr">
        <is>
          <t>Lizandra Gomes Duarte</t>
        </is>
      </c>
      <c r="C610" s="3" t="inlineStr">
        <is>
          <t>Técnico II</t>
        </is>
      </c>
      <c r="D610" s="3" t="n">
        <v>25</v>
      </c>
      <c r="E610" s="3" t="n">
        <v>22</v>
      </c>
      <c r="F610" s="3" t="n">
        <v>17.13</v>
      </c>
      <c r="G610" s="3" t="n">
        <v>2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s="3" t="n">
        <v>21</v>
      </c>
      <c r="N610" s="3" t="n">
        <v>99</v>
      </c>
      <c r="O610" s="3" t="n">
        <v>22.01086956521739</v>
      </c>
    </row>
    <row r="611" hidden="1">
      <c r="A611" s="5" t="n">
        <v>46153</v>
      </c>
      <c r="B611" s="6" t="inlineStr">
        <is>
          <t>Lorena Dias de Araujo</t>
        </is>
      </c>
      <c r="C611" s="3" t="inlineStr">
        <is>
          <t>Técnico II</t>
        </is>
      </c>
      <c r="D611" s="3" t="n">
        <v>31</v>
      </c>
      <c r="E611" s="3" t="n">
        <v>30</v>
      </c>
      <c r="F611" s="3" t="n">
        <v>17.05</v>
      </c>
      <c r="G611" s="3" t="n">
        <v>0</v>
      </c>
      <c r="H611" s="3" t="n">
        <v>0</v>
      </c>
      <c r="I611" s="3" t="n">
        <v>0</v>
      </c>
      <c r="J611" s="3" t="n">
        <v>0</v>
      </c>
      <c r="K611" s="3" t="n">
        <v>0</v>
      </c>
      <c r="L611" s="3">
        <f>IF(K611&lt;-5,"CRÍTICO",IF(K611&lt;0,"ATENÇÃO",IF(K611&lt;=5,"BOM","EXCELENTE")))</f>
        <v/>
      </c>
      <c r="M611" s="3" t="n">
        <v>25</v>
      </c>
      <c r="N611" s="3" t="n">
        <v>100</v>
      </c>
      <c r="O611" s="3" t="n">
        <v>25</v>
      </c>
    </row>
    <row r="612" hidden="1">
      <c r="A612" s="5" t="n">
        <v>46153</v>
      </c>
      <c r="B612" s="6" t="inlineStr">
        <is>
          <t>Patrícia Karla de Sousa Araújo</t>
        </is>
      </c>
      <c r="C612" s="3" t="inlineStr">
        <is>
          <t>Técnico II</t>
        </is>
      </c>
      <c r="D612" s="3" t="n">
        <v>9</v>
      </c>
      <c r="E612" s="3" t="n">
        <v>8</v>
      </c>
      <c r="F612" s="3" t="n">
        <v>23.37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IF(K612&lt;-5,"CRÍTICO",IF(K612&lt;0,"ATENÇÃO",IF(K612&lt;=5,"BOM","EXCELENTE")))</f>
        <v/>
      </c>
      <c r="M612" s="3" t="n">
        <v>7</v>
      </c>
      <c r="N612" s="3" t="n">
        <v>100</v>
      </c>
      <c r="O612" s="3" t="n">
        <v>20.18348623853211</v>
      </c>
    </row>
    <row r="613">
      <c r="A613" s="5" t="n">
        <v>46154</v>
      </c>
      <c r="B613" s="6" t="inlineStr">
        <is>
          <t>Alisson de Freitas Silva</t>
        </is>
      </c>
      <c r="C613" s="3" t="inlineStr">
        <is>
          <t>Técnico II</t>
        </is>
      </c>
      <c r="D613" s="3" t="n">
        <v>25</v>
      </c>
      <c r="E613" s="3" t="n">
        <v>18</v>
      </c>
      <c r="F613" s="3" t="n">
        <v>9</v>
      </c>
      <c r="G613" s="3" t="n">
        <v>8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s="3" t="n">
        <v>17</v>
      </c>
      <c r="N613" s="3" t="n">
        <v>99.18000000000001</v>
      </c>
      <c r="O613" s="3" t="n">
        <v>24.5014245014245</v>
      </c>
    </row>
    <row r="614" hidden="1">
      <c r="A614" s="5" t="n">
        <v>46154</v>
      </c>
      <c r="B614" s="6" t="inlineStr">
        <is>
          <t>Brenda de Menezes Silva</t>
        </is>
      </c>
      <c r="C614" s="3" t="inlineStr">
        <is>
          <t>Técnico II</t>
        </is>
      </c>
      <c r="D614" s="3" t="n">
        <v>38</v>
      </c>
      <c r="E614" s="3" t="n">
        <v>35</v>
      </c>
      <c r="F614" s="3" t="n">
        <v>12.22</v>
      </c>
      <c r="G614" s="3" t="n">
        <v>3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34</v>
      </c>
      <c r="N614" s="3" t="n">
        <v>99.34999999999999</v>
      </c>
      <c r="O614" s="3" t="n">
        <v>19.85294117647059</v>
      </c>
    </row>
    <row r="615" hidden="1">
      <c r="A615" s="5" t="n">
        <v>46154</v>
      </c>
      <c r="B615" s="6" t="inlineStr">
        <is>
          <t>Carlos Mateus Cassimiro Nunes</t>
        </is>
      </c>
      <c r="C615" s="9" t="inlineStr">
        <is>
          <t>Técnico II</t>
        </is>
      </c>
      <c r="D615" s="3" t="n">
        <v>26</v>
      </c>
      <c r="E615" s="3" t="n">
        <v>26</v>
      </c>
      <c r="F615" s="3" t="n">
        <v>27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s="3" t="n">
        <v>24</v>
      </c>
      <c r="N615" s="3" t="n">
        <v>99.06999999999999</v>
      </c>
      <c r="O615" s="3" t="n">
        <v>20.09803921568627</v>
      </c>
    </row>
    <row r="616" hidden="1">
      <c r="A616" s="5" t="n">
        <v>46154</v>
      </c>
      <c r="B616" s="6" t="inlineStr">
        <is>
          <t>Damyllis Lorraine de Oliveira Gonçalves</t>
        </is>
      </c>
      <c r="C616" s="3" t="inlineStr">
        <is>
          <t>Técnico II</t>
        </is>
      </c>
      <c r="D616" s="3" t="n">
        <v>37</v>
      </c>
      <c r="E616" s="3" t="n">
        <v>30</v>
      </c>
      <c r="F616" s="3" t="n">
        <v>13.28</v>
      </c>
      <c r="G616" s="3" t="n">
        <v>0</v>
      </c>
      <c r="H616" s="3" t="n">
        <v>0</v>
      </c>
      <c r="I616" s="3" t="n">
        <v>0</v>
      </c>
      <c r="J616" s="3" t="n">
        <v>0</v>
      </c>
      <c r="K616" s="3" t="n">
        <v>0</v>
      </c>
      <c r="L616" s="3">
        <f>IF(K616&lt;-5,"CRÍTICO",IF(K616&lt;0,"ATENÇÃO",IF(K616&lt;=5,"BOM","EXCELENTE")))</f>
        <v/>
      </c>
      <c r="M616" s="3" t="n">
        <v>27</v>
      </c>
      <c r="N616" s="3" t="n">
        <v>98.81</v>
      </c>
      <c r="O616" s="3" t="n">
        <v>22.76785714285714</v>
      </c>
    </row>
    <row r="617" hidden="1">
      <c r="A617" s="5" t="n">
        <v>46154</v>
      </c>
      <c r="B617" s="6" t="inlineStr">
        <is>
          <t>Emilly Kamilly Medeiros Miranda</t>
        </is>
      </c>
      <c r="C617" s="3" t="inlineStr">
        <is>
          <t>Técnico II</t>
        </is>
      </c>
      <c r="D617" s="3" t="n">
        <v>25</v>
      </c>
      <c r="E617" s="3" t="n">
        <v>24</v>
      </c>
      <c r="F617" s="3" t="n">
        <v>17.21</v>
      </c>
      <c r="G617" s="3" t="n">
        <v>5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IF(K617&lt;-5,"CRÍTICO",IF(K617&lt;0,"ATENÇÃO",IF(K617&lt;=5,"BOM","EXCELENTE")))</f>
        <v/>
      </c>
      <c r="M617" s="3" t="n">
        <v>26</v>
      </c>
      <c r="N617" s="3" t="n">
        <v>99.01000000000001</v>
      </c>
      <c r="O617" s="3" t="n">
        <v>17.76649746192894</v>
      </c>
    </row>
    <row r="618" hidden="1">
      <c r="A618" s="5" t="n">
        <v>46154</v>
      </c>
      <c r="B618" s="6" t="inlineStr">
        <is>
          <t>Francilene Ferreira de Jesus</t>
        </is>
      </c>
      <c r="C618" s="3" t="inlineStr">
        <is>
          <t>Técnico II</t>
        </is>
      </c>
      <c r="D618" s="3" t="n">
        <v>0</v>
      </c>
      <c r="E618" s="3" t="n">
        <v>0</v>
      </c>
      <c r="F618" s="3" t="n">
        <v>0</v>
      </c>
      <c r="G618" s="3" t="n">
        <v>0</v>
      </c>
      <c r="H618" s="3" t="n">
        <v>0</v>
      </c>
      <c r="I618" s="3" t="n">
        <v>0</v>
      </c>
      <c r="J618" s="3" t="n">
        <v>0</v>
      </c>
      <c r="K618" s="3" t="n">
        <v>0</v>
      </c>
      <c r="L618" s="3">
        <f>IF(K618&lt;-5,"CRÍTICO",IF(K618&lt;0,"ATENÇÃO",IF(K618&lt;=5,"BOM","EXCELENTE")))</f>
        <v/>
      </c>
      <c r="M618" s="3" t="n">
        <v>0</v>
      </c>
      <c r="N618" s="3" t="n">
        <v>100</v>
      </c>
      <c r="O618" s="3" t="n">
        <v>17.24137931034483</v>
      </c>
    </row>
    <row r="619" hidden="1">
      <c r="A619" s="5" t="n">
        <v>46154</v>
      </c>
      <c r="B619" s="6" t="inlineStr">
        <is>
          <t>Isabella Borges de Oliveira</t>
        </is>
      </c>
      <c r="C619" s="9" t="inlineStr">
        <is>
          <t>Técnico II</t>
        </is>
      </c>
      <c r="D619" s="3" t="n">
        <v>26</v>
      </c>
      <c r="E619" s="3" t="n">
        <v>24</v>
      </c>
      <c r="F619" s="3" t="n">
        <v>25.14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IF(K619&lt;-5,"CRÍTICO",IF(K619&lt;0,"ATENÇÃO",IF(K619&lt;=5,"BOM","EXCELENTE")))</f>
        <v/>
      </c>
      <c r="M619" s="3" t="n">
        <v>18</v>
      </c>
      <c r="N619" s="3" t="n">
        <v>98.98</v>
      </c>
      <c r="O619" s="3" t="n">
        <v>19.35483870967742</v>
      </c>
    </row>
    <row r="620" hidden="1">
      <c r="A620" s="5" t="n">
        <v>46154</v>
      </c>
      <c r="B620" s="6" t="inlineStr">
        <is>
          <t>Jessica Faria da Silveira</t>
        </is>
      </c>
      <c r="C620" s="3" t="inlineStr">
        <is>
          <t>Técnico II</t>
        </is>
      </c>
      <c r="D620" s="3" t="n">
        <v>29</v>
      </c>
      <c r="E620" s="3" t="n">
        <v>26</v>
      </c>
      <c r="F620" s="3" t="n">
        <v>15.07</v>
      </c>
      <c r="G620" s="3" t="n">
        <v>5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s="3" t="n">
        <v>26</v>
      </c>
      <c r="N620" s="3" t="n">
        <v>98.94</v>
      </c>
      <c r="O620" s="3" t="n">
        <v>21.2707182320442</v>
      </c>
    </row>
    <row r="621" hidden="1">
      <c r="A621" s="5" t="n">
        <v>46154</v>
      </c>
      <c r="B621" s="6" t="inlineStr">
        <is>
          <t>Lizandra Gomes Duarte</t>
        </is>
      </c>
      <c r="C621" s="3" t="inlineStr">
        <is>
          <t>Técnico II</t>
        </is>
      </c>
      <c r="D621" s="3" t="n">
        <v>28</v>
      </c>
      <c r="E621" s="3" t="n">
        <v>26</v>
      </c>
      <c r="F621" s="3" t="n">
        <v>23.59</v>
      </c>
      <c r="G621" s="3" t="n">
        <v>2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s="3" t="n">
        <v>22</v>
      </c>
      <c r="N621" s="3" t="n">
        <v>99</v>
      </c>
      <c r="O621" s="3" t="n">
        <v>22.01086956521739</v>
      </c>
    </row>
    <row r="622" hidden="1">
      <c r="A622" s="5" t="n">
        <v>46154</v>
      </c>
      <c r="B622" s="6" t="inlineStr">
        <is>
          <t>Lorena Dias de Araujo</t>
        </is>
      </c>
      <c r="C622" s="3" t="inlineStr">
        <is>
          <t>Técnico II</t>
        </is>
      </c>
      <c r="D622" s="3" t="n">
        <v>25</v>
      </c>
      <c r="E622" s="3" t="n">
        <v>24</v>
      </c>
      <c r="F622" s="3" t="n">
        <v>25.44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IF(K622&lt;-5,"CRÍTICO",IF(K622&lt;0,"ATENÇÃO",IF(K622&lt;=5,"BOM","EXCELENTE")))</f>
        <v/>
      </c>
      <c r="M622" s="3" t="n">
        <v>19</v>
      </c>
      <c r="N622" s="3" t="n">
        <v>100</v>
      </c>
      <c r="O622" s="3" t="n">
        <v>25</v>
      </c>
    </row>
    <row r="623" hidden="1">
      <c r="A623" s="5" t="n">
        <v>46154</v>
      </c>
      <c r="B623" s="6" t="inlineStr">
        <is>
          <t>Patrícia Karla de Sousa Araújo</t>
        </is>
      </c>
      <c r="C623" s="3" t="inlineStr">
        <is>
          <t>Técnico II</t>
        </is>
      </c>
      <c r="D623" s="3" t="n">
        <v>30</v>
      </c>
      <c r="E623" s="3" t="n">
        <v>26</v>
      </c>
      <c r="F623" s="3" t="n">
        <v>17.19</v>
      </c>
      <c r="G623" s="3" t="n">
        <v>0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IF(K623&lt;-5,"CRÍTICO",IF(K623&lt;0,"ATENÇÃO",IF(K623&lt;=5,"BOM","EXCELENTE")))</f>
        <v/>
      </c>
      <c r="M623" s="3" t="n">
        <v>22</v>
      </c>
      <c r="N623" s="3" t="n">
        <v>100</v>
      </c>
      <c r="O623" s="3" t="n">
        <v>20.18348623853211</v>
      </c>
    </row>
    <row r="624">
      <c r="A624" s="5" t="n">
        <v>46155</v>
      </c>
      <c r="B624" s="6" t="inlineStr">
        <is>
          <t>Alisson de Freitas Silva</t>
        </is>
      </c>
      <c r="C624" s="3" t="inlineStr">
        <is>
          <t>Técnico II</t>
        </is>
      </c>
      <c r="D624" s="3" t="n">
        <v>28</v>
      </c>
      <c r="E624" s="3" t="n">
        <v>21</v>
      </c>
      <c r="F624" s="3" t="n">
        <v>17.22</v>
      </c>
      <c r="G624" s="3" t="n">
        <v>2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s="3" t="n">
        <v>17</v>
      </c>
      <c r="N624" s="3" t="n">
        <v>99.18000000000001</v>
      </c>
      <c r="O624" s="3" t="n">
        <v>24.5014245014245</v>
      </c>
    </row>
    <row r="625" hidden="1">
      <c r="A625" s="5" t="n">
        <v>46155</v>
      </c>
      <c r="B625" s="6" t="inlineStr">
        <is>
          <t>Brenda de Menezes Silva</t>
        </is>
      </c>
      <c r="C625" s="3" t="inlineStr">
        <is>
          <t>Técnico II</t>
        </is>
      </c>
      <c r="D625" s="3" t="n">
        <v>33</v>
      </c>
      <c r="E625" s="3" t="n">
        <v>29</v>
      </c>
      <c r="F625" s="3" t="n">
        <v>18.31</v>
      </c>
      <c r="G625" s="3" t="n">
        <v>1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30</v>
      </c>
      <c r="N625" s="3" t="n">
        <v>99.34999999999999</v>
      </c>
      <c r="O625" s="3" t="n">
        <v>19.85294117647059</v>
      </c>
    </row>
    <row r="626" hidden="1">
      <c r="A626" s="5" t="n">
        <v>46155</v>
      </c>
      <c r="B626" s="6" t="inlineStr">
        <is>
          <t>Carlos Mateus Cassimiro Nunes</t>
        </is>
      </c>
      <c r="C626" s="9" t="inlineStr">
        <is>
          <t>Técnico II</t>
        </is>
      </c>
      <c r="D626" s="3" t="n">
        <v>17</v>
      </c>
      <c r="E626" s="3" t="n">
        <v>16</v>
      </c>
      <c r="F626" s="3" t="n">
        <v>28.53</v>
      </c>
      <c r="G626" s="3" t="n">
        <v>5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s="3" t="n">
        <v>19</v>
      </c>
      <c r="N626" s="3" t="n">
        <v>99.06999999999999</v>
      </c>
      <c r="O626" s="3" t="n">
        <v>20.09803921568627</v>
      </c>
    </row>
    <row r="627" hidden="1">
      <c r="A627" s="5" t="n">
        <v>46155</v>
      </c>
      <c r="B627" s="6" t="inlineStr">
        <is>
          <t>Damyllis Lorraine de Oliveira Gonçalves</t>
        </is>
      </c>
      <c r="C627" s="3" t="inlineStr">
        <is>
          <t>Técnico II</t>
        </is>
      </c>
      <c r="D627" s="3" t="n">
        <v>12</v>
      </c>
      <c r="E627" s="3" t="n">
        <v>9</v>
      </c>
      <c r="F627" s="3" t="n">
        <v>22.13</v>
      </c>
      <c r="G627" s="3" t="n">
        <v>0</v>
      </c>
      <c r="H627" s="3" t="n">
        <v>0</v>
      </c>
      <c r="I627" s="3" t="n">
        <v>0</v>
      </c>
      <c r="J627" s="3" t="n">
        <v>0</v>
      </c>
      <c r="K627" s="3" t="n">
        <v>0</v>
      </c>
      <c r="L627" s="3">
        <f>IF(K627&lt;-5,"CRÍTICO",IF(K627&lt;0,"ATENÇÃO",IF(K627&lt;=5,"BOM","EXCELENTE")))</f>
        <v/>
      </c>
      <c r="M627" s="3" t="n">
        <v>13</v>
      </c>
      <c r="N627" s="3" t="n">
        <v>98.81</v>
      </c>
      <c r="O627" s="3" t="n">
        <v>22.76785714285714</v>
      </c>
    </row>
    <row r="628" hidden="1">
      <c r="A628" s="5" t="n">
        <v>46155</v>
      </c>
      <c r="B628" s="6" t="inlineStr">
        <is>
          <t>Emilly Kamilly Medeiros Miranda</t>
        </is>
      </c>
      <c r="C628" s="3" t="inlineStr">
        <is>
          <t>Técnico II</t>
        </is>
      </c>
      <c r="D628" s="3" t="n">
        <v>28</v>
      </c>
      <c r="E628" s="3" t="n">
        <v>25</v>
      </c>
      <c r="F628" s="3" t="n">
        <v>20.05</v>
      </c>
      <c r="G628" s="3" t="n">
        <v>2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IF(K628&lt;-5,"CRÍTICO",IF(K628&lt;0,"ATENÇÃO",IF(K628&lt;=5,"BOM","EXCELENTE")))</f>
        <v/>
      </c>
      <c r="M628" s="3" t="n">
        <v>19</v>
      </c>
      <c r="N628" s="3" t="n">
        <v>99.01000000000001</v>
      </c>
      <c r="O628" s="3" t="n">
        <v>17.76649746192894</v>
      </c>
    </row>
    <row r="629" hidden="1">
      <c r="A629" s="5" t="n">
        <v>46155</v>
      </c>
      <c r="B629" s="6" t="inlineStr">
        <is>
          <t>Francilene Ferreira de Jesus</t>
        </is>
      </c>
      <c r="C629" s="3" t="inlineStr">
        <is>
          <t>Técnico II</t>
        </is>
      </c>
      <c r="D629" s="3" t="n">
        <v>0</v>
      </c>
      <c r="E629" s="3" t="n">
        <v>0</v>
      </c>
      <c r="F629" s="3" t="n">
        <v>0</v>
      </c>
      <c r="G629" s="3" t="n">
        <v>0</v>
      </c>
      <c r="H629" s="3" t="n">
        <v>0</v>
      </c>
      <c r="I629" s="3" t="n">
        <v>0</v>
      </c>
      <c r="J629" s="3" t="n">
        <v>0</v>
      </c>
      <c r="K629" s="3" t="n">
        <v>0</v>
      </c>
      <c r="L629" s="3">
        <f>IF(K629&lt;-5,"CRÍTICO",IF(K629&lt;0,"ATENÇÃO",IF(K629&lt;=5,"BOM","EXCELENTE")))</f>
        <v/>
      </c>
      <c r="M629" s="3" t="n">
        <v>0</v>
      </c>
      <c r="N629" s="3" t="n">
        <v>100</v>
      </c>
      <c r="O629" s="3" t="n">
        <v>17.24137931034483</v>
      </c>
    </row>
    <row r="630" hidden="1">
      <c r="A630" s="5" t="n">
        <v>46155</v>
      </c>
      <c r="B630" s="6" t="inlineStr">
        <is>
          <t>Isabella Borges de Oliveira</t>
        </is>
      </c>
      <c r="C630" s="9" t="inlineStr">
        <is>
          <t>Técnico II</t>
        </is>
      </c>
      <c r="D630" s="3" t="n">
        <v>21</v>
      </c>
      <c r="E630" s="3" t="n">
        <v>21</v>
      </c>
      <c r="F630" s="3" t="n">
        <v>28.56</v>
      </c>
      <c r="G630" s="3" t="n">
        <v>1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IF(K630&lt;-5,"CRÍTICO",IF(K630&lt;0,"ATENÇÃO",IF(K630&lt;=5,"BOM","EXCELENTE")))</f>
        <v/>
      </c>
      <c r="M630" s="3" t="n">
        <v>22</v>
      </c>
      <c r="N630" s="3" t="n">
        <v>98.98</v>
      </c>
      <c r="O630" s="3" t="n">
        <v>19.35483870967742</v>
      </c>
    </row>
    <row r="631" hidden="1">
      <c r="A631" s="5" t="n">
        <v>46155</v>
      </c>
      <c r="B631" s="6" t="inlineStr">
        <is>
          <t>Jessica Faria da Silveira</t>
        </is>
      </c>
      <c r="C631" s="3" t="inlineStr">
        <is>
          <t>Técnico II</t>
        </is>
      </c>
      <c r="D631" s="3" t="n">
        <v>33</v>
      </c>
      <c r="E631" s="3" t="n">
        <v>27</v>
      </c>
      <c r="F631" s="3" t="n">
        <v>15.43</v>
      </c>
      <c r="G631" s="3" t="n">
        <v>0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s="3" t="n">
        <v>23</v>
      </c>
      <c r="N631" s="3" t="n">
        <v>98.94</v>
      </c>
      <c r="O631" s="3" t="n">
        <v>21.2707182320442</v>
      </c>
    </row>
    <row r="632" hidden="1">
      <c r="A632" s="5" t="n">
        <v>46155</v>
      </c>
      <c r="B632" s="6" t="inlineStr">
        <is>
          <t>Lizandra Gomes Duarte</t>
        </is>
      </c>
      <c r="C632" s="3" t="inlineStr">
        <is>
          <t>Técnico II</t>
        </is>
      </c>
      <c r="D632" s="3" t="n">
        <v>21</v>
      </c>
      <c r="E632" s="3" t="n">
        <v>20</v>
      </c>
      <c r="F632" s="3" t="n">
        <v>22.3</v>
      </c>
      <c r="G632" s="3" t="n">
        <v>5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s="3" t="n">
        <v>22</v>
      </c>
      <c r="N632" s="3" t="n">
        <v>99</v>
      </c>
      <c r="O632" s="3" t="n">
        <v>22.01086956521739</v>
      </c>
    </row>
    <row r="633" hidden="1">
      <c r="A633" s="5" t="n">
        <v>46155</v>
      </c>
      <c r="B633" s="6" t="inlineStr">
        <is>
          <t>Lorena Dias de Araujo</t>
        </is>
      </c>
      <c r="C633" s="3" t="inlineStr">
        <is>
          <t>Técnico II</t>
        </is>
      </c>
      <c r="D633" s="3" t="n">
        <v>30</v>
      </c>
      <c r="E633" s="3" t="n">
        <v>29</v>
      </c>
      <c r="F633" s="3" t="n">
        <v>15.49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IF(K633&lt;-5,"CRÍTICO",IF(K633&lt;0,"ATENÇÃO",IF(K633&lt;=5,"BOM","EXCELENTE")))</f>
        <v/>
      </c>
      <c r="M633" s="3" t="n">
        <v>26</v>
      </c>
      <c r="N633" s="3" t="n">
        <v>100</v>
      </c>
      <c r="O633" s="3" t="n">
        <v>25</v>
      </c>
    </row>
    <row r="634" hidden="1">
      <c r="A634" s="5" t="n">
        <v>46155</v>
      </c>
      <c r="B634" s="6" t="inlineStr">
        <is>
          <t>Patrícia Karla de Sousa Araújo</t>
        </is>
      </c>
      <c r="C634" s="3" t="inlineStr">
        <is>
          <t>Técnico II</t>
        </is>
      </c>
      <c r="D634" s="3" t="n">
        <v>24</v>
      </c>
      <c r="E634" s="3" t="n">
        <v>22</v>
      </c>
      <c r="F634" s="3" t="n">
        <v>21.47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IF(K634&lt;-5,"CRÍTICO",IF(K634&lt;0,"ATENÇÃO",IF(K634&lt;=5,"BOM","EXCELENTE")))</f>
        <v/>
      </c>
      <c r="M634" s="3" t="n">
        <v>18</v>
      </c>
      <c r="N634" s="3" t="n">
        <v>100</v>
      </c>
      <c r="O634" s="3" t="n">
        <v>20.18348623853211</v>
      </c>
    </row>
    <row r="635">
      <c r="A635" s="5" t="n">
        <v>46156</v>
      </c>
      <c r="B635" s="6" t="inlineStr">
        <is>
          <t>Alisson de Freitas Silva</t>
        </is>
      </c>
      <c r="C635" s="3" t="inlineStr">
        <is>
          <t>Técnico II</t>
        </is>
      </c>
      <c r="D635" s="3" t="n">
        <v>33</v>
      </c>
      <c r="E635" s="3" t="n">
        <v>28</v>
      </c>
      <c r="F635" s="3" t="n">
        <v>10.58</v>
      </c>
      <c r="G635" s="3" t="n">
        <v>6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s="3" t="n">
        <v>23</v>
      </c>
      <c r="N635" s="3" t="n">
        <v>99.18000000000001</v>
      </c>
      <c r="O635" s="3" t="n">
        <v>24.5014245014245</v>
      </c>
    </row>
    <row r="636" hidden="1">
      <c r="A636" s="5" t="n">
        <v>46156</v>
      </c>
      <c r="B636" s="6" t="inlineStr">
        <is>
          <t>Brenda de Menezes Silva</t>
        </is>
      </c>
      <c r="C636" s="3" t="inlineStr">
        <is>
          <t>Técnico II</t>
        </is>
      </c>
      <c r="D636" s="3" t="n">
        <v>29</v>
      </c>
      <c r="E636" s="3" t="n">
        <v>29</v>
      </c>
      <c r="F636" s="3" t="n">
        <v>12.28</v>
      </c>
      <c r="G636" s="3" t="n">
        <v>4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33</v>
      </c>
      <c r="N636" s="3" t="n">
        <v>99.34999999999999</v>
      </c>
      <c r="O636" s="3" t="n">
        <v>19.85294117647059</v>
      </c>
    </row>
    <row r="637" hidden="1">
      <c r="A637" s="11" t="n">
        <v>46052</v>
      </c>
      <c r="B637" t="inlineStr">
        <is>
          <t>Gabriel Gomes de Andrade</t>
        </is>
      </c>
      <c r="C637" t="inlineStr">
        <is>
          <t>Técnico I</t>
        </is>
      </c>
      <c r="D637" t="n">
        <v>32</v>
      </c>
      <c r="E637" t="n">
        <v>31</v>
      </c>
      <c r="F637" t="n">
        <v>20.39</v>
      </c>
      <c r="G637" t="n">
        <v>0</v>
      </c>
      <c r="H637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31</v>
      </c>
      <c r="N637" t="n">
        <v>98.91</v>
      </c>
      <c r="O637" t="n">
        <v>31.36729222520107</v>
      </c>
    </row>
    <row r="638" hidden="1">
      <c r="A638" s="11" t="n">
        <v>46055</v>
      </c>
      <c r="B638" t="inlineStr">
        <is>
          <t>Gabriel Gomes de Andrade</t>
        </is>
      </c>
      <c r="C638" t="inlineStr">
        <is>
          <t>Técnico I</t>
        </is>
      </c>
      <c r="D638" t="n">
        <v>17</v>
      </c>
      <c r="E638" t="n">
        <v>15</v>
      </c>
      <c r="F638" t="n">
        <v>25.08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M638" t="n">
        <v>14</v>
      </c>
      <c r="N638" t="n">
        <v>96.67</v>
      </c>
      <c r="O638" t="n">
        <v>31.45161290322581</v>
      </c>
    </row>
    <row r="639" hidden="1">
      <c r="A639" s="5" t="n">
        <v>46156</v>
      </c>
      <c r="B639" s="6" t="inlineStr">
        <is>
          <t>Carlos Mateus Cassimiro Nunes</t>
        </is>
      </c>
      <c r="C639" s="9" t="inlineStr">
        <is>
          <t>Técnico II</t>
        </is>
      </c>
      <c r="D639" s="3" t="n">
        <v>25</v>
      </c>
      <c r="E639" s="3" t="n">
        <v>23</v>
      </c>
      <c r="F639" s="3" t="n">
        <v>20.56</v>
      </c>
      <c r="G639" s="3" t="n">
        <v>4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M639" s="3" t="n">
        <v>25</v>
      </c>
      <c r="N639" s="3" t="n">
        <v>99.06999999999999</v>
      </c>
      <c r="O639" s="3" t="n">
        <v>20.09803921568627</v>
      </c>
    </row>
    <row r="640" hidden="1">
      <c r="A640" s="5" t="n">
        <v>46156</v>
      </c>
      <c r="B640" s="6" t="inlineStr">
        <is>
          <t>Damyllis Lorraine de Oliveira Gonçalves</t>
        </is>
      </c>
      <c r="C640" s="3" t="inlineStr">
        <is>
          <t>Técnico II</t>
        </is>
      </c>
      <c r="D640" s="3" t="n">
        <v>22</v>
      </c>
      <c r="E640" s="3" t="n">
        <v>18</v>
      </c>
      <c r="F640" s="3" t="n">
        <v>25.02</v>
      </c>
      <c r="G640" s="3" t="n">
        <v>0</v>
      </c>
      <c r="H640" s="3" t="n">
        <v>0</v>
      </c>
      <c r="I640" s="3" t="n">
        <v>0</v>
      </c>
      <c r="J640" s="3" t="n">
        <v>0</v>
      </c>
      <c r="K640" s="3" t="n">
        <v>0</v>
      </c>
      <c r="L640" s="3">
        <f>IF(K640&lt;-5,"CRÍTICO",IF(K640&lt;0,"ATENÇÃO",IF(K640&lt;=5,"BOM","EXCELENTE")))</f>
        <v/>
      </c>
      <c r="M640" s="3" t="n">
        <v>17</v>
      </c>
      <c r="N640" s="3" t="n">
        <v>98.81</v>
      </c>
      <c r="O640" s="3" t="n">
        <v>22.76785714285714</v>
      </c>
    </row>
    <row r="641" hidden="1">
      <c r="A641" s="5" t="n">
        <v>46156</v>
      </c>
      <c r="B641" s="6" t="inlineStr">
        <is>
          <t>Emilly Kamilly Medeiros Miranda</t>
        </is>
      </c>
      <c r="C641" s="3" t="inlineStr">
        <is>
          <t>Técnico II</t>
        </is>
      </c>
      <c r="D641" s="3" t="n">
        <v>14</v>
      </c>
      <c r="E641" s="3" t="n">
        <v>13</v>
      </c>
      <c r="F641" s="3" t="n">
        <v>19.05</v>
      </c>
      <c r="G641" s="3" t="n">
        <v>0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IF(K641&lt;-5,"CRÍTICO",IF(K641&lt;0,"ATENÇÃO",IF(K641&lt;=5,"BOM","EXCELENTE")))</f>
        <v/>
      </c>
      <c r="M641" s="3" t="n">
        <v>18</v>
      </c>
      <c r="N641" s="3" t="n">
        <v>99.01000000000001</v>
      </c>
      <c r="O641" s="3" t="n">
        <v>17.76649746192894</v>
      </c>
    </row>
    <row r="642" hidden="1">
      <c r="A642" s="5" t="n">
        <v>46156</v>
      </c>
      <c r="B642" s="6" t="inlineStr">
        <is>
          <t>Francilene Ferreira de Jesus</t>
        </is>
      </c>
      <c r="C642" s="3" t="inlineStr">
        <is>
          <t>Técnico II</t>
        </is>
      </c>
      <c r="D642" s="3" t="n">
        <v>0</v>
      </c>
      <c r="E642" s="3" t="n">
        <v>0</v>
      </c>
      <c r="F642" s="3" t="n">
        <v>0</v>
      </c>
      <c r="G642" s="3" t="n">
        <v>0</v>
      </c>
      <c r="H642" s="3" t="n">
        <v>0</v>
      </c>
      <c r="I642" s="3" t="n">
        <v>0</v>
      </c>
      <c r="J642" s="3" t="n">
        <v>0</v>
      </c>
      <c r="K642" s="3" t="n">
        <v>0</v>
      </c>
      <c r="L642" s="3">
        <f>IF(K642&lt;-5,"CRÍTICO",IF(K642&lt;0,"ATENÇÃO",IF(K642&lt;=5,"BOM","EXCELENTE")))</f>
        <v/>
      </c>
      <c r="M642" s="3" t="n">
        <v>0</v>
      </c>
      <c r="N642" s="3" t="n">
        <v>100</v>
      </c>
      <c r="O642" s="3" t="n">
        <v>17.24137931034483</v>
      </c>
    </row>
    <row r="643" hidden="1">
      <c r="A643" s="5" t="n">
        <v>46156</v>
      </c>
      <c r="B643" s="6" t="inlineStr">
        <is>
          <t>Isabella Borges de Oliveira</t>
        </is>
      </c>
      <c r="C643" s="9" t="inlineStr">
        <is>
          <t>Técnico II</t>
        </is>
      </c>
      <c r="D643" s="3" t="n">
        <v>17</v>
      </c>
      <c r="E643" s="3" t="n">
        <v>17</v>
      </c>
      <c r="F643" s="3" t="n">
        <v>28.35</v>
      </c>
      <c r="G643" s="3" t="n">
        <v>0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IF(K643&lt;-5,"CRÍTICO",IF(K643&lt;0,"ATENÇÃO",IF(K643&lt;=5,"BOM","EXCELENTE")))</f>
        <v/>
      </c>
      <c r="M643" s="3" t="n">
        <v>13</v>
      </c>
      <c r="N643" s="3" t="n">
        <v>98.98</v>
      </c>
      <c r="O643" s="3" t="n">
        <v>19.35483870967742</v>
      </c>
    </row>
    <row r="644" hidden="1">
      <c r="A644" s="5" t="n">
        <v>46156</v>
      </c>
      <c r="B644" s="6" t="inlineStr">
        <is>
          <t>Jessica Faria da Silveira</t>
        </is>
      </c>
      <c r="C644" s="3" t="inlineStr">
        <is>
          <t>Técnico II</t>
        </is>
      </c>
      <c r="D644" s="3" t="n">
        <v>9</v>
      </c>
      <c r="E644" s="3" t="n">
        <v>9</v>
      </c>
      <c r="F644" s="3" t="n">
        <v>25.25</v>
      </c>
      <c r="G644" s="3" t="n">
        <v>1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s="3" t="n">
        <v>9</v>
      </c>
      <c r="N644" s="3" t="n">
        <v>98.94</v>
      </c>
      <c r="O644" s="3" t="n">
        <v>21.2707182320442</v>
      </c>
    </row>
    <row r="645" hidden="1">
      <c r="A645" s="5" t="n">
        <v>46156</v>
      </c>
      <c r="B645" s="6" t="inlineStr">
        <is>
          <t>Lizandra Gomes Duarte</t>
        </is>
      </c>
      <c r="C645" s="3" t="inlineStr">
        <is>
          <t>Técnico II</t>
        </is>
      </c>
      <c r="D645" s="3" t="n">
        <v>26</v>
      </c>
      <c r="E645" s="3" t="n">
        <v>24</v>
      </c>
      <c r="F645" s="3" t="n">
        <v>18.58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s="3" t="n">
        <v>12</v>
      </c>
      <c r="N645" s="3" t="n">
        <v>99</v>
      </c>
      <c r="O645" s="3" t="n">
        <v>22.01086956521739</v>
      </c>
    </row>
    <row r="646" hidden="1">
      <c r="A646" s="5" t="n">
        <v>46156</v>
      </c>
      <c r="B646" s="6" t="inlineStr">
        <is>
          <t>Lorena Dias de Araujo</t>
        </is>
      </c>
      <c r="C646" s="3" t="inlineStr">
        <is>
          <t>Técnico II</t>
        </is>
      </c>
      <c r="D646" s="3" t="n">
        <v>22</v>
      </c>
      <c r="E646" s="3" t="n">
        <v>18</v>
      </c>
      <c r="F646" s="3" t="n">
        <v>23.52</v>
      </c>
      <c r="G646" s="3" t="n">
        <v>0</v>
      </c>
      <c r="H646" s="3" t="n">
        <v>0</v>
      </c>
      <c r="I646" s="3" t="n">
        <v>0</v>
      </c>
      <c r="J646" s="3" t="n">
        <v>0</v>
      </c>
      <c r="K646" s="3" t="n">
        <v>0</v>
      </c>
      <c r="L646" s="3">
        <f>IF(K646&lt;-5,"CRÍTICO",IF(K646&lt;0,"ATENÇÃO",IF(K646&lt;=5,"BOM","EXCELENTE")))</f>
        <v/>
      </c>
      <c r="M646" s="3" t="n">
        <v>16</v>
      </c>
      <c r="N646" s="3" t="n">
        <v>100</v>
      </c>
      <c r="O646" s="3" t="n">
        <v>25</v>
      </c>
    </row>
    <row r="647" hidden="1">
      <c r="A647" s="5" t="n">
        <v>46156</v>
      </c>
      <c r="B647" s="6" t="inlineStr">
        <is>
          <t>Patrícia Karla de Sousa Araújo</t>
        </is>
      </c>
      <c r="C647" s="3" t="inlineStr">
        <is>
          <t>Técnico II</t>
        </is>
      </c>
      <c r="D647" s="3" t="n">
        <v>29</v>
      </c>
      <c r="E647" s="3" t="n">
        <v>26</v>
      </c>
      <c r="F647" s="3" t="n">
        <v>20.36</v>
      </c>
      <c r="G647" s="3" t="n">
        <v>0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IF(K647&lt;-5,"CRÍTICO",IF(K647&lt;0,"ATENÇÃO",IF(K647&lt;=5,"BOM","EXCELENTE")))</f>
        <v/>
      </c>
      <c r="M647" s="3" t="n">
        <v>23</v>
      </c>
      <c r="N647" s="3" t="n">
        <v>100</v>
      </c>
      <c r="O647" s="3" t="n">
        <v>20.18348623853211</v>
      </c>
    </row>
    <row r="648">
      <c r="A648" s="5" t="n">
        <v>46157</v>
      </c>
      <c r="B648" s="6" t="inlineStr">
        <is>
          <t>Alisson de Freitas Silva</t>
        </is>
      </c>
      <c r="C648" s="3" t="inlineStr">
        <is>
          <t>Técnico II</t>
        </is>
      </c>
      <c r="D648" s="3" t="n">
        <v>20</v>
      </c>
      <c r="E648" s="3" t="n">
        <v>19</v>
      </c>
      <c r="F648" s="3" t="n">
        <v>13.2</v>
      </c>
      <c r="G648" s="3" t="n">
        <v>1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s="3" t="n">
        <v>12</v>
      </c>
      <c r="N648" s="3" t="n">
        <v>99.18000000000001</v>
      </c>
      <c r="O648" s="3" t="n">
        <v>24.5014245014245</v>
      </c>
    </row>
    <row r="649" hidden="1">
      <c r="A649" s="5" t="n">
        <v>46157</v>
      </c>
      <c r="B649" s="6" t="inlineStr">
        <is>
          <t>Brenda de Menezes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s="3" t="n">
        <v>23.34</v>
      </c>
      <c r="G649" s="3" t="n">
        <v>2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21</v>
      </c>
      <c r="N649" s="3" t="n">
        <v>99.34999999999999</v>
      </c>
      <c r="O649" s="3" t="n">
        <v>19.85294117647059</v>
      </c>
    </row>
    <row r="650" hidden="1">
      <c r="A650" s="5" t="n">
        <v>46157</v>
      </c>
      <c r="B650" s="6" t="inlineStr">
        <is>
          <t>Carlos Mateus Cassimiro Nunes</t>
        </is>
      </c>
      <c r="C650" s="9" t="inlineStr">
        <is>
          <t>Técnico II</t>
        </is>
      </c>
      <c r="D650" s="3" t="n">
        <v>26</v>
      </c>
      <c r="E650" s="3" t="n">
        <v>26</v>
      </c>
      <c r="F650" s="3" t="n">
        <v>25.22</v>
      </c>
      <c r="G650" s="3" t="n">
        <v>3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s="3" t="n">
        <v>29</v>
      </c>
      <c r="N650" s="3" t="n">
        <v>99.06999999999999</v>
      </c>
      <c r="O650" s="3" t="n">
        <v>20.09803921568627</v>
      </c>
    </row>
    <row r="651" hidden="1">
      <c r="A651" s="5" t="n">
        <v>46157</v>
      </c>
      <c r="B651" s="6" t="inlineStr">
        <is>
          <t>Damyllis Lorraine de Oliveira Gonçalves</t>
        </is>
      </c>
      <c r="C651" s="3" t="inlineStr">
        <is>
          <t>Técnico II</t>
        </is>
      </c>
      <c r="D651" s="3" t="n">
        <v>35</v>
      </c>
      <c r="E651" s="3" t="n">
        <v>31</v>
      </c>
      <c r="F651" s="3" t="n">
        <v>18.53</v>
      </c>
      <c r="G651" s="3" t="n">
        <v>0</v>
      </c>
      <c r="H651" s="3" t="n">
        <v>0</v>
      </c>
      <c r="I651" s="3" t="n">
        <v>0</v>
      </c>
      <c r="J651" s="3" t="n">
        <v>0</v>
      </c>
      <c r="K651" s="3" t="n">
        <v>0</v>
      </c>
      <c r="L651" s="3">
        <f>IF(K651&lt;-5,"CRÍTICO",IF(K651&lt;0,"ATENÇÃO",IF(K651&lt;=5,"BOM","EXCELENTE")))</f>
        <v/>
      </c>
      <c r="M651" s="3" t="n">
        <v>30</v>
      </c>
      <c r="N651" s="3" t="n">
        <v>98.81</v>
      </c>
      <c r="O651" s="3" t="n">
        <v>22.76785714285714</v>
      </c>
    </row>
    <row r="652" hidden="1">
      <c r="A652" s="5" t="n">
        <v>46157</v>
      </c>
      <c r="B652" s="6" t="inlineStr">
        <is>
          <t>Emilly Kamilly Medeiros Miranda</t>
        </is>
      </c>
      <c r="C652" s="3" t="inlineStr">
        <is>
          <t>Técnico II</t>
        </is>
      </c>
      <c r="D652" s="3" t="n">
        <v>27</v>
      </c>
      <c r="E652" s="3" t="n">
        <v>25</v>
      </c>
      <c r="F652" s="3" t="n">
        <v>18.42</v>
      </c>
      <c r="G652" s="3" t="n">
        <v>2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IF(K652&lt;-5,"CRÍTICO",IF(K652&lt;0,"ATENÇÃO",IF(K652&lt;=5,"BOM","EXCELENTE")))</f>
        <v/>
      </c>
      <c r="M652" s="3" t="n">
        <v>23</v>
      </c>
      <c r="N652" s="3" t="n">
        <v>99.01000000000001</v>
      </c>
      <c r="O652" s="3" t="n">
        <v>17.76649746192894</v>
      </c>
    </row>
    <row r="653" hidden="1">
      <c r="A653" s="5" t="n">
        <v>46157</v>
      </c>
      <c r="B653" s="6" t="inlineStr">
        <is>
          <t>Francilene Ferreira de Jesus</t>
        </is>
      </c>
      <c r="C653" s="3" t="inlineStr">
        <is>
          <t>Técnico II</t>
        </is>
      </c>
      <c r="D653" s="3" t="n">
        <v>0</v>
      </c>
      <c r="E653" s="3" t="n">
        <v>0</v>
      </c>
      <c r="F653" s="3" t="n">
        <v>0</v>
      </c>
      <c r="G653" s="3" t="n">
        <v>0</v>
      </c>
      <c r="H653" s="3" t="n">
        <v>0</v>
      </c>
      <c r="I653" s="3" t="n">
        <v>0</v>
      </c>
      <c r="J653" s="3" t="n">
        <v>0</v>
      </c>
      <c r="K653" s="3" t="n">
        <v>0</v>
      </c>
      <c r="L653" s="3">
        <f>IF(K653&lt;-5,"CRÍTICO",IF(K653&lt;0,"ATENÇÃO",IF(K653&lt;=5,"BOM","EXCELENTE")))</f>
        <v/>
      </c>
      <c r="M653" s="3" t="n">
        <v>0</v>
      </c>
      <c r="N653" s="3" t="n">
        <v>100</v>
      </c>
      <c r="O653" s="3" t="n">
        <v>17.24137931034483</v>
      </c>
    </row>
    <row r="654" hidden="1">
      <c r="A654" s="5" t="n">
        <v>46157</v>
      </c>
      <c r="B654" s="6" t="inlineStr">
        <is>
          <t>Isabella Borges de Oliveira</t>
        </is>
      </c>
      <c r="C654" s="9" t="inlineStr">
        <is>
          <t>Técnico II</t>
        </is>
      </c>
      <c r="D654" s="3" t="n">
        <v>28</v>
      </c>
      <c r="E654" s="3" t="n">
        <v>25</v>
      </c>
      <c r="F654" s="3" t="n">
        <v>22.04</v>
      </c>
      <c r="G654" s="3" t="n">
        <v>0</v>
      </c>
      <c r="H654" s="3" t="n">
        <v>0</v>
      </c>
      <c r="I654" s="3">
        <f>E654+G654+H654</f>
        <v/>
      </c>
      <c r="J654" s="3">
        <f>ROUND(MIN(IF(C654="Técnico III",35,IF(C654="Técnico II",28,IF(C654="Técnico I",23,IF(C654="JR",20,IF(C654="Estágio",10,0))))),IF(C654="Técnico III",SUMIFS($D:$D,$A:$A,$A654,$B:$B,"&lt;&gt;Patrícia Karla de Sousa Araújo",$B:$B,"&lt;&gt;Lorena Dias de Araujo",$B:$B,"&lt;&gt;Lucas Luiz Romero")*(35/1083),IF(C654="Técnico II",SUMIFS($D:$D,$A:$A,$A654,$B:$B,"&lt;&gt;Patrícia Karla de Sousa Araújo",$B:$B,"&lt;&gt;Lorena Dias de Araujo",$B:$B,"&lt;&gt;Lucas Luiz Romero")*(28/1083),IF(C654="Técnico I",SUMIFS($D:$D,$A:$A,$A654,$B:$B,"&lt;&gt;Patrícia Karla de Sousa Araújo",$B:$B,"&lt;&gt;Lorena Dias de Araujo",$B:$B,"&lt;&gt;Lucas Luiz Romero")*(23/1083),IF(C654="JR",SUMIFS($D:$D,$A:$A,$A654,$B:$B,"&lt;&gt;Patrícia Karla de Sousa Araújo",$B:$B,"&lt;&gt;Lorena Dias de Araujo",$B:$B,"&lt;&gt;Lucas Luiz Romero")*(20/1083),IF(C654="Estágio",SUMIFS($D:$D,$A:$A,$A654,$B:$B,"&lt;&gt;Patrícia Karla de Sousa Araújo",$B:$B,"&lt;&gt;Lorena Dias de Araujo",$B:$B,"&lt;&gt;Lucas Luiz Romero")*(10/1083),0)))))),0)</f>
        <v/>
      </c>
      <c r="K654" s="3">
        <f>I654-J654</f>
        <v/>
      </c>
      <c r="L654" s="3">
        <f>IF(K654&lt;-5,"CRÍTICO",IF(K654&lt;0,"ATENÇÃO",IF(K654&lt;=5,"BOM","EXCELENTE")))</f>
        <v/>
      </c>
      <c r="M654" s="3" t="n">
        <v>23</v>
      </c>
      <c r="N654" s="3" t="n">
        <v>98.98</v>
      </c>
      <c r="O654" s="3" t="n">
        <v>19.35483870967742</v>
      </c>
    </row>
    <row r="655" hidden="1">
      <c r="A655" s="5" t="n">
        <v>46157</v>
      </c>
      <c r="B655" s="6" t="inlineStr">
        <is>
          <t>Jessica Faria da Silveira</t>
        </is>
      </c>
      <c r="C655" s="3" t="inlineStr">
        <is>
          <t>Técnico II</t>
        </is>
      </c>
      <c r="D655" s="3" t="n">
        <v>17</v>
      </c>
      <c r="E655" s="3" t="n">
        <v>14</v>
      </c>
      <c r="F655" s="3" t="n">
        <v>15.05</v>
      </c>
      <c r="G655" s="3" t="n">
        <v>1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s="3" t="n">
        <v>14</v>
      </c>
      <c r="N655" s="3" t="n">
        <v>98.94</v>
      </c>
      <c r="O655" s="3" t="n">
        <v>21.2707182320442</v>
      </c>
    </row>
    <row r="656" hidden="1">
      <c r="A656" s="5" t="n">
        <v>46157</v>
      </c>
      <c r="B656" s="6" t="inlineStr">
        <is>
          <t>Lizandra Gomes Duarte</t>
        </is>
      </c>
      <c r="C656" s="3" t="inlineStr">
        <is>
          <t>Técnico II</t>
        </is>
      </c>
      <c r="D656" s="3" t="n">
        <v>34</v>
      </c>
      <c r="E656" s="3" t="n">
        <v>32</v>
      </c>
      <c r="F656" s="3" t="n">
        <v>15.4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s="3" t="n">
        <v>13</v>
      </c>
      <c r="N656" s="3" t="n">
        <v>99</v>
      </c>
      <c r="O656" s="3" t="n">
        <v>22.01086956521739</v>
      </c>
    </row>
    <row r="657" hidden="1">
      <c r="A657" s="5" t="n">
        <v>46157</v>
      </c>
      <c r="B657" s="6" t="inlineStr">
        <is>
          <t>Lorena Dias de Araujo</t>
        </is>
      </c>
      <c r="C657" s="3" t="inlineStr">
        <is>
          <t>Técnico II</t>
        </is>
      </c>
      <c r="D657" s="3" t="n">
        <v>28</v>
      </c>
      <c r="E657" s="3" t="n">
        <v>25</v>
      </c>
      <c r="F657" s="3" t="n">
        <v>25.42</v>
      </c>
      <c r="G657" s="3" t="n">
        <v>0</v>
      </c>
      <c r="H657" s="3" t="n">
        <v>0</v>
      </c>
      <c r="I657" s="3" t="n">
        <v>0</v>
      </c>
      <c r="J657" s="3" t="n">
        <v>0</v>
      </c>
      <c r="K657" s="3" t="n">
        <v>0</v>
      </c>
      <c r="L657" s="3">
        <f>IF(K657&lt;-5,"CRÍTICO",IF(K657&lt;0,"ATENÇÃO",IF(K657&lt;=5,"BOM","EXCELENTE")))</f>
        <v/>
      </c>
      <c r="M657" s="3" t="n">
        <v>24</v>
      </c>
      <c r="N657" s="3" t="n">
        <v>100</v>
      </c>
      <c r="O657" s="3" t="n">
        <v>25</v>
      </c>
    </row>
    <row r="658" hidden="1">
      <c r="A658" s="5" t="n">
        <v>46157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13</v>
      </c>
      <c r="E658" s="3" t="n">
        <v>13</v>
      </c>
      <c r="F658" s="3" t="n">
        <v>33.59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IF(K658&lt;-5,"CRÍTICO",IF(K658&lt;0,"ATENÇÃO",IF(K658&lt;=5,"BOM","EXCELENTE")))</f>
        <v/>
      </c>
      <c r="M658" s="3" t="n">
        <v>11</v>
      </c>
      <c r="N658" s="3" t="n">
        <v>100</v>
      </c>
      <c r="O658" s="3" t="n">
        <v>20.18348623853211</v>
      </c>
    </row>
    <row r="659">
      <c r="A659" s="5" t="n">
        <v>46160</v>
      </c>
      <c r="B659" s="6" t="inlineStr">
        <is>
          <t>Alisson de Freitas Silva</t>
        </is>
      </c>
      <c r="C659" s="3" t="inlineStr">
        <is>
          <t>Técnico II</t>
        </is>
      </c>
      <c r="D659" s="3" t="n">
        <v>42</v>
      </c>
      <c r="E659" s="3" t="n">
        <v>27</v>
      </c>
      <c r="F659" s="3" t="n">
        <v>7.38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s="3" t="n">
        <v>19</v>
      </c>
      <c r="N659" s="3" t="n">
        <v>99.18000000000001</v>
      </c>
      <c r="O659" s="3" t="n">
        <v>24.5014245014245</v>
      </c>
    </row>
    <row r="660" hidden="1">
      <c r="A660" s="5" t="n">
        <v>46160</v>
      </c>
      <c r="B660" s="6" t="inlineStr">
        <is>
          <t>Brenda de Menezes Silva</t>
        </is>
      </c>
      <c r="C660" s="3" t="inlineStr">
        <is>
          <t>Técnico II</t>
        </is>
      </c>
      <c r="D660" s="3" t="n">
        <v>46</v>
      </c>
      <c r="E660" s="3" t="n">
        <v>39</v>
      </c>
      <c r="F660" s="3" t="n">
        <v>11.41</v>
      </c>
      <c r="G660" s="3" t="n">
        <v>7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42</v>
      </c>
      <c r="N660" s="3" t="n">
        <v>99.34999999999999</v>
      </c>
      <c r="O660" s="3" t="n">
        <v>19.85294117647059</v>
      </c>
    </row>
    <row r="661" hidden="1">
      <c r="A661" s="5" t="n">
        <v>46160</v>
      </c>
      <c r="B661" s="6" t="inlineStr">
        <is>
          <t>Carlos Mateus Cassimiro Nunes</t>
        </is>
      </c>
      <c r="C661" s="9" t="inlineStr">
        <is>
          <t>Técnico II</t>
        </is>
      </c>
      <c r="D661" s="3" t="n">
        <v>23</v>
      </c>
      <c r="E661" s="3" t="n">
        <v>23</v>
      </c>
      <c r="F661" s="3" t="n">
        <v>21.44</v>
      </c>
      <c r="G661" s="3" t="n">
        <v>3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s="3" t="n">
        <v>26</v>
      </c>
      <c r="N661" s="3" t="n">
        <v>99.06999999999999</v>
      </c>
      <c r="O661" s="3" t="n">
        <v>20.09803921568627</v>
      </c>
    </row>
    <row r="662" hidden="1">
      <c r="A662" s="5" t="n">
        <v>46160</v>
      </c>
      <c r="B662" s="6" t="inlineStr">
        <is>
          <t>Damyllis Lorraine de Oliveira Gonçalves</t>
        </is>
      </c>
      <c r="C662" s="3" t="inlineStr">
        <is>
          <t>Técnico II</t>
        </is>
      </c>
      <c r="D662" s="3" t="n">
        <v>0</v>
      </c>
      <c r="E662" s="3" t="n">
        <v>0</v>
      </c>
      <c r="F662" s="3" t="n">
        <v>0</v>
      </c>
      <c r="G662" s="3" t="n">
        <v>0</v>
      </c>
      <c r="H662" s="3" t="n">
        <v>0</v>
      </c>
      <c r="I662" s="3" t="n">
        <v>0</v>
      </c>
      <c r="J662" s="3" t="n">
        <v>0</v>
      </c>
      <c r="K662" s="3" t="n">
        <v>0</v>
      </c>
      <c r="L662" s="3">
        <f>IF(K662&lt;-5,"CRÍTICO",IF(K662&lt;0,"ATENÇÃO",IF(K662&lt;=5,"BOM","EXCELENTE")))</f>
        <v/>
      </c>
      <c r="M662" s="3" t="n">
        <v>0</v>
      </c>
      <c r="N662" s="3" t="n">
        <v>98.81</v>
      </c>
      <c r="O662" s="3" t="n">
        <v>22.76785714285714</v>
      </c>
    </row>
    <row r="663" hidden="1">
      <c r="A663" s="5" t="n">
        <v>46160</v>
      </c>
      <c r="B663" s="6" t="inlineStr">
        <is>
          <t>Emilly Kamilly Medeiros Miranda</t>
        </is>
      </c>
      <c r="C663" s="3" t="inlineStr">
        <is>
          <t>Técnico II</t>
        </is>
      </c>
      <c r="D663" s="3" t="n">
        <v>29</v>
      </c>
      <c r="E663" s="3" t="n">
        <v>27</v>
      </c>
      <c r="F663" s="3" t="n">
        <v>12.34</v>
      </c>
      <c r="G663" s="3" t="n">
        <v>3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IF(K663&lt;-5,"CRÍTICO",IF(K663&lt;0,"ATENÇÃO",IF(K663&lt;=5,"BOM","EXCELENTE")))</f>
        <v/>
      </c>
      <c r="M663" s="3" t="n">
        <v>25</v>
      </c>
      <c r="N663" s="3" t="n">
        <v>99.01000000000001</v>
      </c>
      <c r="O663" s="3" t="n">
        <v>17.76649746192894</v>
      </c>
    </row>
    <row r="664" hidden="1">
      <c r="A664" s="5" t="n">
        <v>46160</v>
      </c>
      <c r="B664" s="6" t="inlineStr">
        <is>
          <t>Francilene Ferreira de Jesus</t>
        </is>
      </c>
      <c r="C664" s="3" t="inlineStr">
        <is>
          <t>Técnico II</t>
        </is>
      </c>
      <c r="D664" s="3" t="n">
        <v>0</v>
      </c>
      <c r="E664" s="3" t="n">
        <v>0</v>
      </c>
      <c r="F664" s="3" t="n">
        <v>0</v>
      </c>
      <c r="G664" s="3" t="n">
        <v>0</v>
      </c>
      <c r="H664" s="3" t="n">
        <v>0</v>
      </c>
      <c r="I664" s="3" t="n">
        <v>0</v>
      </c>
      <c r="J664" s="3" t="n">
        <v>0</v>
      </c>
      <c r="K664" s="3" t="n">
        <v>0</v>
      </c>
      <c r="L664" s="3">
        <f>IF(K664&lt;-5,"CRÍTICO",IF(K664&lt;0,"ATENÇÃO",IF(K664&lt;=5,"BOM","EXCELENTE")))</f>
        <v/>
      </c>
      <c r="M664" s="3" t="n">
        <v>0</v>
      </c>
      <c r="N664" s="3" t="n">
        <v>100</v>
      </c>
      <c r="O664" s="3" t="n">
        <v>17.24137931034483</v>
      </c>
    </row>
    <row r="665" hidden="1"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A729" s="5" t="n">
        <v>46160</v>
      </c>
      <c r="B729" s="6" t="inlineStr">
        <is>
          <t>Isabella Borges de Oliveira</t>
        </is>
      </c>
      <c r="C729" s="9" t="inlineStr">
        <is>
          <t>Técnico II</t>
        </is>
      </c>
      <c r="D729" s="3" t="n">
        <v>20</v>
      </c>
      <c r="E729" s="3" t="n">
        <v>20</v>
      </c>
      <c r="F729" s="3" t="n">
        <v>24.07</v>
      </c>
      <c r="G729" s="3" t="n">
        <v>3</v>
      </c>
      <c r="H729" s="3" t="n">
        <v>0</v>
      </c>
      <c r="I729" s="3">
        <f>E729+G729+H729</f>
        <v/>
      </c>
      <c r="J729" s="3">
        <f>ROUND(MIN(IF(C729="Técnico III",35,IF(C729="Técnico II",28,IF(C729="Técnico I",23,IF(C729="JR",20,IF(C729="Estágio",10,0))))),IF(C729="Técnico III",SUMIFS($D:$D,$A:$A,$A729,$B:$B,"&lt;&gt;Patrícia Karla de Sousa Araújo",$B:$B,"&lt;&gt;Lorena Dias de Araujo",$B:$B,"&lt;&gt;Lucas Luiz Romero")*(35/1083),IF(C729="Técnico II",SUMIFS($D:$D,$A:$A,$A729,$B:$B,"&lt;&gt;Patrícia Karla de Sousa Araújo",$B:$B,"&lt;&gt;Lorena Dias de Araujo",$B:$B,"&lt;&gt;Lucas Luiz Romero")*(28/1083),IF(C729="Técnico I",SUMIFS($D:$D,$A:$A,$A729,$B:$B,"&lt;&gt;Patrícia Karla de Sousa Araújo",$B:$B,"&lt;&gt;Lorena Dias de Araujo",$B:$B,"&lt;&gt;Lucas Luiz Romero")*(23/1083),IF(C729="JR",SUMIFS($D:$D,$A:$A,$A729,$B:$B,"&lt;&gt;Patrícia Karla de Sousa Araújo",$B:$B,"&lt;&gt;Lorena Dias de Araujo",$B:$B,"&lt;&gt;Lucas Luiz Romero")*(20/1083),IF(C729="Estágio",SUMIFS($D:$D,$A:$A,$A729,$B:$B,"&lt;&gt;Patrícia Karla de Sousa Araújo",$B:$B,"&lt;&gt;Lorena Dias de Araujo",$B:$B,"&lt;&gt;Lucas Luiz Romero")*(10/1083),0)))))),0)</f>
        <v/>
      </c>
      <c r="K729" s="3">
        <f>I729-J729</f>
        <v/>
      </c>
      <c r="L729" s="3">
        <f>IF(K729&lt;-5,"CRÍTICO",IF(K729&lt;0,"ATENÇÃO",IF(K729&lt;=5,"BOM","EXCELENTE")))</f>
        <v/>
      </c>
      <c r="M729" s="3" t="n">
        <v>21</v>
      </c>
      <c r="N729" s="3" t="n">
        <v>98.98</v>
      </c>
      <c r="O729" s="3" t="n">
        <v>19.35483870967742</v>
      </c>
    </row>
    <row r="730" hidden="1">
      <c r="A730" s="5" t="n">
        <v>46160</v>
      </c>
      <c r="B730" s="6" t="inlineStr">
        <is>
          <t>Jessica Faria da Silveira</t>
        </is>
      </c>
      <c r="C730" s="3" t="inlineStr">
        <is>
          <t>Técnico II</t>
        </is>
      </c>
      <c r="D730" s="3" t="n">
        <v>28</v>
      </c>
      <c r="E730" s="3" t="n">
        <v>22</v>
      </c>
      <c r="F730" s="3" t="n">
        <v>17.15</v>
      </c>
      <c r="G730" s="3" t="n">
        <v>0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s="3" t="n">
        <v>19</v>
      </c>
      <c r="N730" s="3" t="n">
        <v>98.94</v>
      </c>
      <c r="O730" s="3" t="n">
        <v>21.2707182320442</v>
      </c>
    </row>
    <row r="731" hidden="1">
      <c r="A731" s="5" t="n">
        <v>46160</v>
      </c>
      <c r="B731" s="6" t="inlineStr">
        <is>
          <t>Lizandra Gomes Duarte</t>
        </is>
      </c>
      <c r="C731" s="3" t="inlineStr">
        <is>
          <t>Técnico II</t>
        </is>
      </c>
      <c r="D731" s="3" t="n">
        <v>25</v>
      </c>
      <c r="E731" s="3" t="n">
        <v>23</v>
      </c>
      <c r="F731" s="3" t="n">
        <v>16.55</v>
      </c>
      <c r="G731" s="3" t="n">
        <v>2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s="3" t="n">
        <v>20</v>
      </c>
      <c r="N731" s="3" t="n">
        <v>99</v>
      </c>
      <c r="O731" s="3" t="n">
        <v>22.01086956521739</v>
      </c>
    </row>
    <row r="732" hidden="1">
      <c r="A732" s="5" t="n">
        <v>46160</v>
      </c>
      <c r="B732" s="6" t="inlineStr">
        <is>
          <t>Lorena Dias de Araujo</t>
        </is>
      </c>
      <c r="C732" s="3" t="inlineStr">
        <is>
          <t>Técnico II</t>
        </is>
      </c>
      <c r="D732" s="3" t="n">
        <v>28</v>
      </c>
      <c r="E732" s="3" t="n">
        <v>26</v>
      </c>
      <c r="F732" s="3" t="n">
        <v>13.58</v>
      </c>
      <c r="G732" s="3" t="n">
        <v>0</v>
      </c>
      <c r="H732" s="3" t="n">
        <v>0</v>
      </c>
      <c r="I732" s="3" t="n">
        <v>0</v>
      </c>
      <c r="J732" s="3" t="n">
        <v>0</v>
      </c>
      <c r="K732" s="3" t="n">
        <v>0</v>
      </c>
      <c r="L732" s="3">
        <f>IF(K732&lt;-5,"CRÍTICO",IF(K732&lt;0,"ATENÇÃO",IF(K732&lt;=5,"BOM","EXCELENTE")))</f>
        <v/>
      </c>
      <c r="M732" s="3" t="n">
        <v>23</v>
      </c>
      <c r="N732" s="3" t="n">
        <v>100</v>
      </c>
      <c r="O732" s="3" t="n">
        <v>25</v>
      </c>
    </row>
    <row r="733" hidden="1">
      <c r="A733" s="5" t="n">
        <v>46160</v>
      </c>
      <c r="B733" s="6" t="inlineStr">
        <is>
          <t>Patrícia Karla de Sousa Araújo</t>
        </is>
      </c>
      <c r="C733" s="3" t="inlineStr">
        <is>
          <t>Técnico II</t>
        </is>
      </c>
      <c r="D733" s="3" t="n">
        <v>16</v>
      </c>
      <c r="E733" s="3" t="n">
        <v>15</v>
      </c>
      <c r="F733" s="3" t="n">
        <v>19.19</v>
      </c>
      <c r="G733" s="3" t="n">
        <v>0</v>
      </c>
      <c r="H733" s="3" t="n">
        <v>0</v>
      </c>
      <c r="I733" s="3">
        <f>E733+G733+H733</f>
        <v/>
      </c>
      <c r="J733" s="3">
        <f>ROUND(MIN(IF(C733="Técnico III",35,IF(C733="Técnico II",28,IF(C733="Técnico I",23,IF(C733="JR",20,IF(C733="Estágio",10,0))))),IF(C733="Técnico III",SUMIFS($D:$D,$A:$A,$A733,$B:$B,"&lt;&gt;Patrícia Karla de Sousa Araújo",$B:$B,"&lt;&gt;Lorena Dias de Araujo",$B:$B,"&lt;&gt;Lucas Luiz Romero")*(35/1083),IF(C733="Técnico II",SUMIFS($D:$D,$A:$A,$A733,$B:$B,"&lt;&gt;Patrícia Karla de Sousa Araújo",$B:$B,"&lt;&gt;Lorena Dias de Araujo",$B:$B,"&lt;&gt;Lucas Luiz Romero")*(28/1083),IF(C733="Técnico I",SUMIFS($D:$D,$A:$A,$A733,$B:$B,"&lt;&gt;Patrícia Karla de Sousa Araújo",$B:$B,"&lt;&gt;Lorena Dias de Araujo",$B:$B,"&lt;&gt;Lucas Luiz Romero")*(23/1083),IF(C733="JR",SUMIFS($D:$D,$A:$A,$A733,$B:$B,"&lt;&gt;Patrícia Karla de Sousa Araújo",$B:$B,"&lt;&gt;Lorena Dias de Araujo",$B:$B,"&lt;&gt;Lucas Luiz Romero")*(20/1083),IF(C733="Estágio",SUMIFS($D:$D,$A:$A,$A733,$B:$B,"&lt;&gt;Patrícia Karla de Sousa Araújo",$B:$B,"&lt;&gt;Lorena Dias de Araujo",$B:$B,"&lt;&gt;Lucas Luiz Romero")*(10/1083),0)))))),0)</f>
        <v/>
      </c>
      <c r="K733" s="3">
        <f>I733-J733</f>
        <v/>
      </c>
      <c r="L733" s="3">
        <f>IF(K733&lt;-5,"CRÍTICO",IF(K733&lt;0,"ATENÇÃO",IF(K733&lt;=5,"BOM","EXCELENTE")))</f>
        <v/>
      </c>
      <c r="M733" s="3" t="n">
        <v>13</v>
      </c>
      <c r="N733" s="3" t="n">
        <v>100</v>
      </c>
      <c r="O733" s="3" t="n">
        <v>20.18348623853211</v>
      </c>
    </row>
    <row r="734">
      <c r="A734" s="7" t="n">
        <v>46161</v>
      </c>
      <c r="B734" s="8" t="inlineStr">
        <is>
          <t>Alisson de Freitas Silva</t>
        </is>
      </c>
      <c r="C734" s="9" t="inlineStr">
        <is>
          <t>Técnico II</t>
        </is>
      </c>
      <c r="D734" s="3" t="n">
        <v>38</v>
      </c>
      <c r="E734" s="3" t="n">
        <v>33</v>
      </c>
      <c r="F734" s="3" t="n">
        <v>12.17</v>
      </c>
      <c r="G734" s="3" t="n">
        <v>1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s="3" t="n">
        <v>17</v>
      </c>
      <c r="N734" s="3" t="n">
        <v>99.18000000000001</v>
      </c>
      <c r="O734" s="3" t="n">
        <v>24.5014245014245</v>
      </c>
    </row>
    <row r="735" hidden="1">
      <c r="A735" s="7" t="n">
        <v>46161</v>
      </c>
      <c r="B735" s="8" t="inlineStr">
        <is>
          <t>Brenda de Menezes Silva</t>
        </is>
      </c>
      <c r="C735" s="9" t="inlineStr">
        <is>
          <t>Técnico II</t>
        </is>
      </c>
      <c r="D735" s="3" t="n">
        <v>33</v>
      </c>
      <c r="E735" s="3" t="n">
        <v>31</v>
      </c>
      <c r="F735" s="3" t="n">
        <v>16.46</v>
      </c>
      <c r="G735" s="3" t="n">
        <v>3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33</v>
      </c>
      <c r="N735" s="3" t="n">
        <v>99.34999999999999</v>
      </c>
      <c r="O735" s="3" t="n">
        <v>19.85294117647059</v>
      </c>
    </row>
    <row r="736" hidden="1">
      <c r="A736" s="7" t="n">
        <v>46161</v>
      </c>
      <c r="B736" s="8" t="inlineStr">
        <is>
          <t>Carlos Mateus Cassimiro Nunes</t>
        </is>
      </c>
      <c r="C736" s="9" t="inlineStr">
        <is>
          <t>Técnico II</t>
        </is>
      </c>
      <c r="D736" s="3" t="n">
        <v>33</v>
      </c>
      <c r="E736" s="3" t="n">
        <v>32</v>
      </c>
      <c r="F736" s="3" t="n">
        <v>16.54</v>
      </c>
      <c r="G736" s="3" t="n">
        <v>2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s="3" t="n">
        <v>29</v>
      </c>
      <c r="N736" s="3" t="n">
        <v>99.06999999999999</v>
      </c>
      <c r="O736" s="3" t="n">
        <v>20.09803921568627</v>
      </c>
    </row>
    <row r="737" hidden="1">
      <c r="A737" s="7" t="n">
        <v>46161</v>
      </c>
      <c r="B737" s="8" t="inlineStr">
        <is>
          <t>Damyllis Lorraine de Oliveira Gonçalves</t>
        </is>
      </c>
      <c r="C737" s="9" t="inlineStr">
        <is>
          <t>Técnico II</t>
        </is>
      </c>
      <c r="D737" s="3" t="n">
        <v>0</v>
      </c>
      <c r="E737" s="3" t="n">
        <v>0</v>
      </c>
      <c r="F737" s="3" t="n">
        <v>0</v>
      </c>
      <c r="G737" s="3" t="n">
        <v>0</v>
      </c>
      <c r="H737" s="3" t="n">
        <v>0</v>
      </c>
      <c r="I737" s="3" t="n">
        <v>0</v>
      </c>
      <c r="J737" s="3" t="n">
        <v>0</v>
      </c>
      <c r="K737" s="3" t="n">
        <v>0</v>
      </c>
      <c r="L737" s="3">
        <f>IF(K737&lt;-5,"CRÍTICO",IF(K737&lt;0,"ATENÇÃO",IF(K737&lt;=5,"BOM","EXCELENTE")))</f>
        <v/>
      </c>
      <c r="M737" s="3" t="n">
        <v>0</v>
      </c>
      <c r="N737" s="3" t="n">
        <v>98.81</v>
      </c>
      <c r="O737" s="3" t="n">
        <v>22.76785714285714</v>
      </c>
    </row>
    <row r="738" hidden="1">
      <c r="A738" s="7" t="n">
        <v>46161</v>
      </c>
      <c r="B738" s="8" t="inlineStr">
        <is>
          <t>Emilly Kamilly Medeiros Miranda</t>
        </is>
      </c>
      <c r="C738" s="9" t="inlineStr">
        <is>
          <t>Técnico II</t>
        </is>
      </c>
      <c r="D738" s="3" t="n">
        <v>23</v>
      </c>
      <c r="E738" s="3" t="n">
        <v>22</v>
      </c>
      <c r="F738" s="3" t="n">
        <v>13.4</v>
      </c>
      <c r="G738" s="3" t="n">
        <v>2</v>
      </c>
      <c r="H738" s="3" t="n">
        <v>0</v>
      </c>
      <c r="I738" s="3">
        <f>E738+G738+H738</f>
        <v/>
      </c>
      <c r="J738" s="3">
        <f>ROUND(MIN(IF(C738="Técnico III",35,IF(C738="Técnico II",28,IF(C738="Técnico I",23,IF(C738="JR",20,IF(C738="Estágio",10,0))))),IF(C738="Técnico III",SUMIFS($D:$D,$A:$A,$A738,$B:$B,"&lt;&gt;Patrícia Karla de Sousa Araújo",$B:$B,"&lt;&gt;Lorena Dias de Araujo",$B:$B,"&lt;&gt;Lucas Luiz Romero")*(35/1083),IF(C738="Técnico II",SUMIFS($D:$D,$A:$A,$A738,$B:$B,"&lt;&gt;Patrícia Karla de Sousa Araújo",$B:$B,"&lt;&gt;Lorena Dias de Araujo",$B:$B,"&lt;&gt;Lucas Luiz Romero")*(28/1083),IF(C738="Técnico I",SUMIFS($D:$D,$A:$A,$A738,$B:$B,"&lt;&gt;Patrícia Karla de Sousa Araújo",$B:$B,"&lt;&gt;Lorena Dias de Araujo",$B:$B,"&lt;&gt;Lucas Luiz Romero")*(23/1083),IF(C738="JR",SUMIFS($D:$D,$A:$A,$A738,$B:$B,"&lt;&gt;Patrícia Karla de Sousa Araújo",$B:$B,"&lt;&gt;Lorena Dias de Araujo",$B:$B,"&lt;&gt;Lucas Luiz Romero")*(20/1083),IF(C738="Estágio",SUMIFS($D:$D,$A:$A,$A738,$B:$B,"&lt;&gt;Patrícia Karla de Sousa Araújo",$B:$B,"&lt;&gt;Lorena Dias de Araujo",$B:$B,"&lt;&gt;Lucas Luiz Romero")*(10/1083),0)))))),0)</f>
        <v/>
      </c>
      <c r="K738" s="3">
        <f>I738-J738</f>
        <v/>
      </c>
      <c r="L738" s="3">
        <f>IF(K738&lt;-5,"CRÍTICO",IF(K738&lt;0,"ATENÇÃO",IF(K738&lt;=5,"BOM","EXCELENTE")))</f>
        <v/>
      </c>
      <c r="M738" s="3" t="n">
        <v>23</v>
      </c>
      <c r="N738" s="3" t="n">
        <v>99.01000000000001</v>
      </c>
      <c r="O738" s="3" t="n">
        <v>17.76649746192894</v>
      </c>
    </row>
    <row r="739" hidden="1">
      <c r="A739" s="7" t="n">
        <v>46161</v>
      </c>
      <c r="B739" s="8" t="inlineStr">
        <is>
          <t>Francilene Ferreira de Jesus</t>
        </is>
      </c>
      <c r="C739" s="9" t="inlineStr">
        <is>
          <t>Técnico II</t>
        </is>
      </c>
      <c r="D739" s="3" t="n">
        <v>0</v>
      </c>
      <c r="E739" s="3" t="n">
        <v>0</v>
      </c>
      <c r="F739" s="3" t="n">
        <v>0</v>
      </c>
      <c r="G739" s="3" t="n">
        <v>0</v>
      </c>
      <c r="H739" s="3" t="n">
        <v>0</v>
      </c>
      <c r="I739" s="3" t="n">
        <v>0</v>
      </c>
      <c r="J739" s="3" t="n">
        <v>0</v>
      </c>
      <c r="K739" s="3" t="n">
        <v>0</v>
      </c>
      <c r="L739" s="3">
        <f>IF(K739&lt;-5,"CRÍTICO",IF(K739&lt;0,"ATENÇÃO",IF(K739&lt;=5,"BOM","EXCELENTE")))</f>
        <v/>
      </c>
      <c r="M739" s="3" t="n">
        <v>0</v>
      </c>
      <c r="N739" s="3" t="n">
        <v>100</v>
      </c>
      <c r="O739" s="3" t="n">
        <v>17.24137931034483</v>
      </c>
    </row>
    <row r="740" hidden="1">
      <c r="A740" s="7" t="n">
        <v>46161</v>
      </c>
      <c r="B740" s="8" t="inlineStr">
        <is>
          <t>Isabella Borges de Oliveira</t>
        </is>
      </c>
      <c r="C740" s="9" t="inlineStr">
        <is>
          <t>Técnico II</t>
        </is>
      </c>
      <c r="D740" s="3" t="n">
        <v>28</v>
      </c>
      <c r="E740" s="3" t="n">
        <v>25</v>
      </c>
      <c r="F740" s="3" t="n">
        <v>16.55</v>
      </c>
      <c r="G740" s="3" t="n">
        <v>0</v>
      </c>
      <c r="H740" s="3" t="n">
        <v>0</v>
      </c>
      <c r="I740" s="3">
        <f>E740+G740+H740</f>
        <v/>
      </c>
      <c r="J740" s="3">
        <f>ROUND(MIN(IF(C740="Técnico III",35,IF(C740="Técnico II",28,IF(C740="Técnico I",23,IF(C740="JR",20,IF(C740="Estágio",10,0))))),IF(C740="Técnico III",SUMIFS($D:$D,$A:$A,$A740,$B:$B,"&lt;&gt;Patrícia Karla de Sousa Araújo",$B:$B,"&lt;&gt;Lorena Dias de Araujo",$B:$B,"&lt;&gt;Lucas Luiz Romero")*(35/1083),IF(C740="Técnico II",SUMIFS($D:$D,$A:$A,$A740,$B:$B,"&lt;&gt;Patrícia Karla de Sousa Araújo",$B:$B,"&lt;&gt;Lorena Dias de Araujo",$B:$B,"&lt;&gt;Lucas Luiz Romero")*(28/1083),IF(C740="Técnico I",SUMIFS($D:$D,$A:$A,$A740,$B:$B,"&lt;&gt;Patrícia Karla de Sousa Araújo",$B:$B,"&lt;&gt;Lorena Dias de Araujo",$B:$B,"&lt;&gt;Lucas Luiz Romero")*(23/1083),IF(C740="JR",SUMIFS($D:$D,$A:$A,$A740,$B:$B,"&lt;&gt;Patrícia Karla de Sousa Araújo",$B:$B,"&lt;&gt;Lorena Dias de Araujo",$B:$B,"&lt;&gt;Lucas Luiz Romero")*(20/1083),IF(C740="Estágio",SUMIFS($D:$D,$A:$A,$A740,$B:$B,"&lt;&gt;Patrícia Karla de Sousa Araújo",$B:$B,"&lt;&gt;Lorena Dias de Araujo",$B:$B,"&lt;&gt;Lucas Luiz Romero")*(10/1083),0)))))),0)</f>
        <v/>
      </c>
      <c r="K740" s="3">
        <f>I740-J740</f>
        <v/>
      </c>
      <c r="L740" s="3">
        <f>IF(K740&lt;-5,"CRÍTICO",IF(K740&lt;0,"ATENÇÃO",IF(K740&lt;=5,"BOM","EXCELENTE")))</f>
        <v/>
      </c>
      <c r="M740" s="3" t="n">
        <v>22</v>
      </c>
      <c r="N740" s="3" t="n">
        <v>98.98</v>
      </c>
      <c r="O740" s="3" t="n">
        <v>19.35483870967742</v>
      </c>
    </row>
    <row r="741" hidden="1">
      <c r="A741" s="7" t="n">
        <v>46161</v>
      </c>
      <c r="B741" s="8" t="inlineStr">
        <is>
          <t>Jessica Faria da Silveira</t>
        </is>
      </c>
      <c r="C741" s="9" t="inlineStr">
        <is>
          <t>Técnico II</t>
        </is>
      </c>
      <c r="D741" s="3" t="n">
        <v>24</v>
      </c>
      <c r="E741" s="3" t="n">
        <v>20</v>
      </c>
      <c r="F741" s="3" t="n">
        <v>17</v>
      </c>
      <c r="G741" s="3" t="n">
        <v>2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s="3" t="n">
        <v>16</v>
      </c>
      <c r="N741" s="3" t="n">
        <v>98.94</v>
      </c>
      <c r="O741" s="3" t="n">
        <v>21.2707182320442</v>
      </c>
    </row>
    <row r="742" hidden="1">
      <c r="A742" s="7" t="n">
        <v>46161</v>
      </c>
      <c r="B742" s="8" t="inlineStr">
        <is>
          <t>Lizandra Gomes Duarte</t>
        </is>
      </c>
      <c r="C742" s="9" t="inlineStr">
        <is>
          <t>Técnico II</t>
        </is>
      </c>
      <c r="D742" s="3" t="n">
        <v>28</v>
      </c>
      <c r="E742" s="3" t="n">
        <v>25</v>
      </c>
      <c r="F742" s="3" t="n">
        <v>19.03</v>
      </c>
      <c r="G742" s="3" t="n">
        <v>3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s="3" t="n">
        <v>45</v>
      </c>
      <c r="N742" s="3" t="n">
        <v>99</v>
      </c>
      <c r="O742" s="3" t="n">
        <v>22.01086956521739</v>
      </c>
    </row>
    <row r="743" hidden="1">
      <c r="A743" s="7" t="n">
        <v>46161</v>
      </c>
      <c r="B743" s="8" t="inlineStr">
        <is>
          <t>Lorena Dias de Araujo</t>
        </is>
      </c>
      <c r="C743" s="9" t="inlineStr">
        <is>
          <t>Técnico II</t>
        </is>
      </c>
      <c r="D743" s="3" t="n">
        <v>22</v>
      </c>
      <c r="E743" s="3" t="n">
        <v>21</v>
      </c>
      <c r="F743" s="3" t="n">
        <v>24.02</v>
      </c>
      <c r="G743" s="3" t="n">
        <v>0</v>
      </c>
      <c r="H743" s="3" t="n">
        <v>0</v>
      </c>
      <c r="I743" s="3" t="n">
        <v>0</v>
      </c>
      <c r="J743" s="3" t="n">
        <v>0</v>
      </c>
      <c r="K743" s="3" t="n">
        <v>0</v>
      </c>
      <c r="L743" s="3">
        <f>IF(K743&lt;-5,"CRÍTICO",IF(K743&lt;0,"ATENÇÃO",IF(K743&lt;=5,"BOM","EXCELENTE")))</f>
        <v/>
      </c>
      <c r="M743" s="3" t="n">
        <v>19</v>
      </c>
      <c r="N743" s="3" t="n">
        <v>100</v>
      </c>
      <c r="O743" s="3" t="n">
        <v>25</v>
      </c>
    </row>
    <row r="744" hidden="1">
      <c r="A744" s="7" t="n">
        <v>46161</v>
      </c>
      <c r="B744" s="8" t="inlineStr">
        <is>
          <t>Patrícia Karla de Sousa Araújo</t>
        </is>
      </c>
      <c r="C744" s="9" t="inlineStr">
        <is>
          <t>Técnico II</t>
        </is>
      </c>
      <c r="D744" s="3" t="n">
        <v>25</v>
      </c>
      <c r="E744" s="3" t="n">
        <v>23</v>
      </c>
      <c r="F744" s="3" t="n">
        <v>17.03</v>
      </c>
      <c r="G744" s="3" t="n">
        <v>0</v>
      </c>
      <c r="H744" s="3" t="n">
        <v>0</v>
      </c>
      <c r="I744" s="3">
        <f>E744+G744+H744</f>
        <v/>
      </c>
      <c r="J744" s="3">
        <f>ROUND(MIN(IF(C744="Técnico III",35,IF(C744="Técnico II",28,IF(C744="Técnico I",23,IF(C744="JR",20,IF(C744="Estágio",10,0))))),IF(C744="Técnico III",SUMIFS($D:$D,$A:$A,$A744,$B:$B,"&lt;&gt;Patrícia Karla de Sousa Araújo",$B:$B,"&lt;&gt;Lorena Dias de Araujo",$B:$B,"&lt;&gt;Lucas Luiz Romero")*(35/1083),IF(C744="Técnico II",SUMIFS($D:$D,$A:$A,$A744,$B:$B,"&lt;&gt;Patrícia Karla de Sousa Araújo",$B:$B,"&lt;&gt;Lorena Dias de Araujo",$B:$B,"&lt;&gt;Lucas Luiz Romero")*(28/1083),IF(C744="Técnico I",SUMIFS($D:$D,$A:$A,$A744,$B:$B,"&lt;&gt;Patrícia Karla de Sousa Araújo",$B:$B,"&lt;&gt;Lorena Dias de Araujo",$B:$B,"&lt;&gt;Lucas Luiz Romero")*(23/1083),IF(C744="JR",SUMIFS($D:$D,$A:$A,$A744,$B:$B,"&lt;&gt;Patrícia Karla de Sousa Araújo",$B:$B,"&lt;&gt;Lorena Dias de Araujo",$B:$B,"&lt;&gt;Lucas Luiz Romero")*(20/1083),IF(C744="Estágio",SUMIFS($D:$D,$A:$A,$A744,$B:$B,"&lt;&gt;Patrícia Karla de Sousa Araújo",$B:$B,"&lt;&gt;Lorena Dias de Araujo",$B:$B,"&lt;&gt;Lucas Luiz Romero")*(10/1083),0)))))),0)</f>
        <v/>
      </c>
      <c r="K744" s="3">
        <f>I744-J744</f>
        <v/>
      </c>
      <c r="L744" s="3">
        <f>IF(K744&lt;-5,"CRÍTICO",IF(K744&lt;0,"ATENÇÃO",IF(K744&lt;=5,"BOM","EXCELENTE")))</f>
        <v/>
      </c>
      <c r="M744" s="3" t="n">
        <v>22</v>
      </c>
      <c r="N744" s="3" t="n">
        <v>100</v>
      </c>
      <c r="O744" s="3" t="n">
        <v>20.18348623853211</v>
      </c>
    </row>
    <row r="745">
      <c r="A745" s="7" t="n">
        <v>46162</v>
      </c>
      <c r="B745" s="8" t="inlineStr">
        <is>
          <t>Alisson de Freitas Silva</t>
        </is>
      </c>
      <c r="C745" s="9" t="inlineStr">
        <is>
          <t>Técnico II</t>
        </is>
      </c>
      <c r="D745" s="3" t="n">
        <v>36</v>
      </c>
      <c r="E745" s="3" t="n">
        <v>25</v>
      </c>
      <c r="F745" s="3" t="n">
        <v>11.43</v>
      </c>
      <c r="G745" s="3" t="n">
        <v>6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IF(K745&lt;-5,"CRÍTICO",IF(K745&lt;0,"ATENÇÃO",IF(K745&lt;=5,"OPORTUNO","MUITO BOM")))</f>
        <v/>
      </c>
      <c r="M745" s="3" t="n">
        <v>20</v>
      </c>
      <c r="N745" s="3" t="n">
        <v>99.18000000000001</v>
      </c>
      <c r="O745" s="3" t="n">
        <v>24.5014245014245</v>
      </c>
    </row>
    <row r="746" hidden="1">
      <c r="A746" s="11" t="n">
        <v>46056</v>
      </c>
      <c r="B746" t="inlineStr">
        <is>
          <t>Gabriel Gomes de Andrade</t>
        </is>
      </c>
      <c r="C746" t="inlineStr">
        <is>
          <t>Técnico I</t>
        </is>
      </c>
      <c r="D746" t="n">
        <v>32</v>
      </c>
      <c r="E746" t="n">
        <v>31</v>
      </c>
      <c r="F746" t="n">
        <v>18.29</v>
      </c>
      <c r="G746" t="n">
        <v>0</v>
      </c>
      <c r="H746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IF(K746&lt;-5,"CRÍTICO",IF(K746&lt;0,"ATENÇÃO",IF(K746&lt;=5,"BOM","EXCELENTE")))</f>
        <v/>
      </c>
      <c r="M746" t="n">
        <v>31</v>
      </c>
      <c r="N746" t="n">
        <v>96.67</v>
      </c>
      <c r="O746" t="n">
        <v>31.45161290322581</v>
      </c>
    </row>
    <row r="747" hidden="1">
      <c r="A747" s="11" t="n">
        <v>46057</v>
      </c>
      <c r="B747" t="inlineStr">
        <is>
          <t>Gabriel Gomes de Andrade</t>
        </is>
      </c>
      <c r="C747" t="inlineStr">
        <is>
          <t>Técnico I</t>
        </is>
      </c>
      <c r="D747" t="n">
        <v>20</v>
      </c>
      <c r="E747" t="n">
        <v>19</v>
      </c>
      <c r="F747" t="n">
        <v>24.04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M747" t="n">
        <v>18</v>
      </c>
      <c r="N747" t="n">
        <v>96.67</v>
      </c>
      <c r="O747" t="n">
        <v>31.45161290322581</v>
      </c>
    </row>
    <row r="748" hidden="1">
      <c r="A748" s="7" t="n">
        <v>46162</v>
      </c>
      <c r="B748" s="8" t="inlineStr">
        <is>
          <t>Brenda de Menezes Silva</t>
        </is>
      </c>
      <c r="C748" s="9" t="inlineStr">
        <is>
          <t>Técnico II</t>
        </is>
      </c>
      <c r="D748" s="3" t="n">
        <v>25</v>
      </c>
      <c r="E748" s="3" t="n">
        <v>23</v>
      </c>
      <c r="F748" s="3" t="n">
        <v>15.11</v>
      </c>
      <c r="G748" s="3" t="n">
        <v>2</v>
      </c>
      <c r="H748" s="3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IF(K748&lt;-5,"CRÍTICO",IF(K748&lt;0,"ATENÇÃO",IF(K748&lt;=5,"OPORTUNO","MUITO BOM")))</f>
        <v/>
      </c>
      <c r="M748" s="3" t="n">
        <v>29</v>
      </c>
      <c r="N748" s="3" t="n">
        <v>99.34999999999999</v>
      </c>
      <c r="O748" s="3" t="n">
        <v>19.85294117647059</v>
      </c>
    </row>
    <row r="749" hidden="1">
      <c r="A749" s="7" t="n">
        <v>46162</v>
      </c>
      <c r="B749" s="8" t="inlineStr">
        <is>
          <t>Carlos Mateus Cassimiro Nunes</t>
        </is>
      </c>
      <c r="C749" s="9" t="inlineStr">
        <is>
          <t>Técnico II</t>
        </is>
      </c>
      <c r="D749" s="3" t="n">
        <v>27</v>
      </c>
      <c r="E749" s="3" t="n">
        <v>26</v>
      </c>
      <c r="F749" s="3" t="n">
        <v>18.58</v>
      </c>
      <c r="G749" s="3" t="n">
        <v>1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3" t="n">
        <v>25</v>
      </c>
      <c r="N749" s="3" t="n">
        <v>99.06999999999999</v>
      </c>
      <c r="O749" s="3" t="n">
        <v>20.09803921568627</v>
      </c>
    </row>
    <row r="750" hidden="1">
      <c r="A750" s="7" t="n">
        <v>46162</v>
      </c>
      <c r="B750" s="8" t="inlineStr">
        <is>
          <t>Damyllis Lorraine de Oliveira Gonçalves</t>
        </is>
      </c>
      <c r="C750" s="9" t="inlineStr">
        <is>
          <t>Técnico II</t>
        </is>
      </c>
      <c r="D750" s="3" t="n">
        <v>0</v>
      </c>
      <c r="E750" s="3" t="n">
        <v>0</v>
      </c>
      <c r="F750" s="3" t="n">
        <v>0</v>
      </c>
      <c r="G750" s="3" t="n">
        <v>0</v>
      </c>
      <c r="H750" s="3" t="n">
        <v>0</v>
      </c>
      <c r="I750" s="3" t="n">
        <v>0</v>
      </c>
      <c r="J750" s="3" t="n">
        <v>0</v>
      </c>
      <c r="K750" s="3" t="n">
        <v>0</v>
      </c>
      <c r="L750" s="3">
        <f>IF(K750&lt;-5,"CRÍTICO",IF(K750&lt;0,"ATENÇÃO",IF(K750&lt;=5,"OPORTUNO","MUITO BOM")))</f>
        <v/>
      </c>
      <c r="M750" s="3" t="n">
        <v>0</v>
      </c>
      <c r="N750" s="3" t="n">
        <v>98.81</v>
      </c>
      <c r="O750" s="3" t="n">
        <v>22.76785714285714</v>
      </c>
    </row>
    <row r="751" hidden="1">
      <c r="A751" s="7" t="n">
        <v>46162</v>
      </c>
      <c r="B751" s="8" t="inlineStr">
        <is>
          <t>Emilly Kamilly Medeiros Miranda</t>
        </is>
      </c>
      <c r="C751" s="9" t="inlineStr">
        <is>
          <t>Técnico II</t>
        </is>
      </c>
      <c r="D751" s="3" t="n">
        <v>30</v>
      </c>
      <c r="E751" s="3" t="n">
        <v>28</v>
      </c>
      <c r="F751" s="3" t="n">
        <v>10.26</v>
      </c>
      <c r="G751" s="3" t="n">
        <v>2</v>
      </c>
      <c r="H751" s="3" t="n">
        <v>0</v>
      </c>
      <c r="I751" s="3">
        <f>E751+G751+H751</f>
        <v/>
      </c>
      <c r="J751" s="3">
        <f>ROUND(MIN(IF(C751="Técnico III",35,IF(C751="Técnico II",28,IF(C751="Técnico I",23,IF(C751="JR",20,IF(C751="Estágio",10,0))))),IF(C751="Técnico III",SUMIFS($D:$D,$A:$A,$A751,$B:$B,"&lt;&gt;Patrícia Karla de Sousa Araújo",$B:$B,"&lt;&gt;Lorena Dias de Araujo",$B:$B,"&lt;&gt;Lucas Luiz Romero")*(35/1083),IF(C751="Técnico II",SUMIFS($D:$D,$A:$A,$A751,$B:$B,"&lt;&gt;Patrícia Karla de Sousa Araújo",$B:$B,"&lt;&gt;Lorena Dias de Araujo",$B:$B,"&lt;&gt;Lucas Luiz Romero")*(28/1083),IF(C751="Técnico I",SUMIFS($D:$D,$A:$A,$A751,$B:$B,"&lt;&gt;Patrícia Karla de Sousa Araújo",$B:$B,"&lt;&gt;Lorena Dias de Araujo",$B:$B,"&lt;&gt;Lucas Luiz Romero")*(23/1083),IF(C751="JR",SUMIFS($D:$D,$A:$A,$A751,$B:$B,"&lt;&gt;Patrícia Karla de Sousa Araújo",$B:$B,"&lt;&gt;Lorena Dias de Araujo",$B:$B,"&lt;&gt;Lucas Luiz Romero")*(20/1083),IF(C751="Estágio",SUMIFS($D:$D,$A:$A,$A751,$B:$B,"&lt;&gt;Patrícia Karla de Sousa Araújo",$B:$B,"&lt;&gt;Lorena Dias de Araujo",$B:$B,"&lt;&gt;Lucas Luiz Romero")*(10/1083),0)))))),0)</f>
        <v/>
      </c>
      <c r="K751" s="3">
        <f>I751-J751</f>
        <v/>
      </c>
      <c r="L751" s="3">
        <f>IF(K751&lt;-5,"CRÍTICO",IF(K751&lt;0,"ATENÇÃO",IF(K751&lt;=5,"OPORTUNO","MUITO BOM")))</f>
        <v/>
      </c>
      <c r="M751" s="3" t="n">
        <v>28</v>
      </c>
      <c r="N751" s="3" t="n">
        <v>99.01000000000001</v>
      </c>
      <c r="O751" s="3" t="n">
        <v>17.76649746192894</v>
      </c>
    </row>
    <row r="752" hidden="1">
      <c r="A752" s="7" t="n">
        <v>46162</v>
      </c>
      <c r="B752" s="8" t="inlineStr">
        <is>
          <t>Francilene Ferreira de Jesus</t>
        </is>
      </c>
      <c r="C752" s="9" t="inlineStr">
        <is>
          <t>Técnico II</t>
        </is>
      </c>
      <c r="D752" s="3" t="n">
        <v>0</v>
      </c>
      <c r="E752" s="3" t="n">
        <v>0</v>
      </c>
      <c r="F752" s="3" t="n">
        <v>0</v>
      </c>
      <c r="G752" s="3" t="n">
        <v>0</v>
      </c>
      <c r="H752" s="3" t="n">
        <v>0</v>
      </c>
      <c r="I752" s="3" t="n">
        <v>0</v>
      </c>
      <c r="J752" s="3" t="n">
        <v>0</v>
      </c>
      <c r="K752" s="3" t="n">
        <v>0</v>
      </c>
      <c r="L752" s="3">
        <f>IF(K752&lt;-5,"CRÍTICO",IF(K752&lt;0,"ATENÇÃO",IF(K752&lt;=5,"OPORTUNO","MUITO BOM")))</f>
        <v/>
      </c>
      <c r="M752" s="3" t="n">
        <v>0</v>
      </c>
      <c r="N752" s="3" t="n">
        <v>100</v>
      </c>
      <c r="O752" s="3" t="n">
        <v>17.24137931034483</v>
      </c>
    </row>
    <row r="753" hidden="1">
      <c r="A753" s="7" t="n">
        <v>46162</v>
      </c>
      <c r="B753" s="8" t="inlineStr">
        <is>
          <t>Isabella Borges de Oliveira</t>
        </is>
      </c>
      <c r="C753" s="9" t="inlineStr">
        <is>
          <t>Técnico II</t>
        </is>
      </c>
      <c r="D753" s="3" t="n">
        <v>24</v>
      </c>
      <c r="E753" s="3" t="n">
        <v>24</v>
      </c>
      <c r="F753" s="3" t="n">
        <v>23.52</v>
      </c>
      <c r="G753" s="3" t="n">
        <v>1</v>
      </c>
      <c r="H753" s="3" t="n">
        <v>0</v>
      </c>
      <c r="I753" s="3">
        <f>E753+G753+H753</f>
        <v/>
      </c>
      <c r="J753" s="3">
        <f>ROUND(MIN(IF(C753="Técnico III",35,IF(C753="Técnico II",28,IF(C753="Técnico I",23,IF(C753="JR",20,IF(C753="Estágio",10,0))))),IF(C753="Técnico III",SUMIFS($D:$D,$A:$A,$A753,$B:$B,"&lt;&gt;Patrícia Karla de Sousa Araújo",$B:$B,"&lt;&gt;Lorena Dias de Araujo",$B:$B,"&lt;&gt;Lucas Luiz Romero")*(35/1083),IF(C753="Técnico II",SUMIFS($D:$D,$A:$A,$A753,$B:$B,"&lt;&gt;Patrícia Karla de Sousa Araújo",$B:$B,"&lt;&gt;Lorena Dias de Araujo",$B:$B,"&lt;&gt;Lucas Luiz Romero")*(28/1083),IF(C753="Técnico I",SUMIFS($D:$D,$A:$A,$A753,$B:$B,"&lt;&gt;Patrícia Karla de Sousa Araújo",$B:$B,"&lt;&gt;Lorena Dias de Araujo",$B:$B,"&lt;&gt;Lucas Luiz Romero")*(23/1083),IF(C753="JR",SUMIFS($D:$D,$A:$A,$A753,$B:$B,"&lt;&gt;Patrícia Karla de Sousa Araújo",$B:$B,"&lt;&gt;Lorena Dias de Araujo",$B:$B,"&lt;&gt;Lucas Luiz Romero")*(20/1083),IF(C753="Estágio",SUMIFS($D:$D,$A:$A,$A753,$B:$B,"&lt;&gt;Patrícia Karla de Sousa Araújo",$B:$B,"&lt;&gt;Lorena Dias de Araujo",$B:$B,"&lt;&gt;Lucas Luiz Romero")*(10/1083),0)))))),0)</f>
        <v/>
      </c>
      <c r="K753" s="3">
        <f>I753-J753</f>
        <v/>
      </c>
      <c r="L753" s="3">
        <f>IF(K753&lt;-5,"CRÍTICO",IF(K753&lt;0,"ATENÇÃO",IF(K753&lt;=5,"OPORTUNO","MUITO BOM")))</f>
        <v/>
      </c>
      <c r="M753" s="3" t="n">
        <v>22</v>
      </c>
      <c r="N753" s="3" t="n">
        <v>98.98</v>
      </c>
      <c r="O753" s="3" t="n">
        <v>19.35483870967742</v>
      </c>
    </row>
    <row r="754" hidden="1">
      <c r="A754" s="7" t="n">
        <v>46162</v>
      </c>
      <c r="B754" s="8" t="inlineStr">
        <is>
          <t>Jessica Faria da Silveira</t>
        </is>
      </c>
      <c r="C754" s="9" t="inlineStr">
        <is>
          <t>Técnico II</t>
        </is>
      </c>
      <c r="D754" s="3" t="n">
        <v>32</v>
      </c>
      <c r="E754" s="3" t="n">
        <v>26</v>
      </c>
      <c r="F754" s="3" t="n">
        <v>14.11</v>
      </c>
      <c r="G754" s="3" t="n">
        <v>0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3" t="n">
        <v>23</v>
      </c>
      <c r="N754" s="3" t="n">
        <v>98.94</v>
      </c>
      <c r="O754" s="3" t="n">
        <v>21.2707182320442</v>
      </c>
    </row>
    <row r="755" hidden="1">
      <c r="A755" s="7" t="n">
        <v>46162</v>
      </c>
      <c r="B755" s="8" t="inlineStr">
        <is>
          <t>Lizandra Gomes Duarte</t>
        </is>
      </c>
      <c r="C755" s="9" t="inlineStr">
        <is>
          <t>Técnico II</t>
        </is>
      </c>
      <c r="D755" s="3" t="n">
        <v>25</v>
      </c>
      <c r="E755" s="3" t="n">
        <v>23</v>
      </c>
      <c r="F755" s="3" t="n">
        <v>20.02</v>
      </c>
      <c r="G755" s="3" t="n">
        <v>2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3" t="n">
        <v>19</v>
      </c>
      <c r="N755" s="3" t="n">
        <v>99</v>
      </c>
      <c r="O755" s="3" t="n">
        <v>22.01086956521739</v>
      </c>
    </row>
    <row r="756" hidden="1">
      <c r="A756" s="7" t="n">
        <v>46162</v>
      </c>
      <c r="B756" s="8" t="inlineStr">
        <is>
          <t>Lorena Dias de Araujo</t>
        </is>
      </c>
      <c r="C756" s="9" t="inlineStr">
        <is>
          <t>Técnico II</t>
        </is>
      </c>
      <c r="D756" s="3" t="n">
        <v>16</v>
      </c>
      <c r="E756" s="3" t="n">
        <v>13</v>
      </c>
      <c r="F756" s="3" t="n">
        <v>25.44</v>
      </c>
      <c r="G756" s="3" t="n">
        <v>0</v>
      </c>
      <c r="H756" s="3" t="n">
        <v>0</v>
      </c>
      <c r="I756" s="3" t="n">
        <v>0</v>
      </c>
      <c r="J756" s="3" t="n">
        <v>0</v>
      </c>
      <c r="K756" s="3" t="n">
        <v>0</v>
      </c>
      <c r="L756" s="3">
        <f>IF(K756&lt;-5,"CRÍTICO",IF(K756&lt;0,"ATENÇÃO",IF(K756&lt;=5,"OPORTUNO","MUITO BOM")))</f>
        <v/>
      </c>
      <c r="M756" s="3" t="n">
        <v>8</v>
      </c>
      <c r="N756" s="3" t="n">
        <v>100</v>
      </c>
      <c r="O756" s="3" t="n">
        <v>25</v>
      </c>
    </row>
    <row r="757" hidden="1">
      <c r="A757" s="7" t="n">
        <v>46162</v>
      </c>
      <c r="B757" s="8" t="inlineStr">
        <is>
          <t>Patrícia Karla de Sousa Araújo</t>
        </is>
      </c>
      <c r="C757" s="9" t="inlineStr">
        <is>
          <t>Técnico II</t>
        </is>
      </c>
      <c r="D757" s="3" t="n">
        <v>0</v>
      </c>
      <c r="E757" s="3" t="n">
        <v>0</v>
      </c>
      <c r="F757" s="3" t="n">
        <v>0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3" t="n">
        <v>0</v>
      </c>
      <c r="N757" s="3" t="n">
        <v>100</v>
      </c>
      <c r="O757" s="3" t="n">
        <v>20.18348623853211</v>
      </c>
    </row>
    <row r="758">
      <c r="A758" s="5" t="n">
        <v>46163</v>
      </c>
      <c r="B758" s="6" t="inlineStr">
        <is>
          <t>Alisson de Freitas Silva</t>
        </is>
      </c>
      <c r="C758" s="3" t="inlineStr">
        <is>
          <t>Técnico II</t>
        </is>
      </c>
      <c r="D758" s="3" t="n">
        <v>31</v>
      </c>
      <c r="E758" s="3" t="n">
        <v>19</v>
      </c>
      <c r="F758" s="3" t="n">
        <v>5.55</v>
      </c>
      <c r="G758" s="3" t="n">
        <v>1</v>
      </c>
      <c r="H758" s="3" t="n">
        <v>0</v>
      </c>
      <c r="I758" s="3">
        <f>E758+G758+H758</f>
        <v/>
      </c>
      <c r="J758" s="3">
        <f>ROUND(MIN(IF(C758="Técnico III",35,IF(C758="Técnico II",28,IF(C758="Técnico I",23,IF(C758="JR",20,IF(C758="Estágio",10,0))))),IF(C758="Técnico III",SUMIFS($D:$D,$A:$A,$A758,$B:$B,"&lt;&gt;Patrícia Karla de Sousa Araújo",$B:$B,"&lt;&gt;Lorena Dias de Araujo",$B:$B,"&lt;&gt;Lucas Luiz Romero")*(35/1083),IF(C758="Técnico II",SUMIFS($D:$D,$A:$A,$A758,$B:$B,"&lt;&gt;Patrícia Karla de Sousa Araújo",$B:$B,"&lt;&gt;Lorena Dias de Araujo",$B:$B,"&lt;&gt;Lucas Luiz Romero")*(28/1083),IF(C758="Técnico I",SUMIFS($D:$D,$A:$A,$A758,$B:$B,"&lt;&gt;Patrícia Karla de Sousa Araújo",$B:$B,"&lt;&gt;Lorena Dias de Araujo",$B:$B,"&lt;&gt;Lucas Luiz Romero")*(23/1083),IF(C758="JR",SUMIFS($D:$D,$A:$A,$A758,$B:$B,"&lt;&gt;Patrícia Karla de Sousa Araújo",$B:$B,"&lt;&gt;Lorena Dias de Araujo",$B:$B,"&lt;&gt;Lucas Luiz Romero")*(20/1083),IF(C758="Estágio",SUMIFS($D:$D,$A:$A,$A758,$B:$B,"&lt;&gt;Patrícia Karla de Sousa Araújo",$B:$B,"&lt;&gt;Lorena Dias de Araujo",$B:$B,"&lt;&gt;Lucas Luiz Romero")*(10/1083),0)))))),0)</f>
        <v/>
      </c>
      <c r="K758" s="3">
        <f>I758-J758</f>
        <v/>
      </c>
      <c r="L758" s="3">
        <f>IF(K758&lt;-5,"CRÍTICO",IF(K758&lt;0,"ATENÇÃO",IF(K758&lt;=5,"OPORTUNO","MUITO BOM")))</f>
        <v/>
      </c>
      <c r="M758" s="3" t="n">
        <v>17</v>
      </c>
      <c r="N758" s="3" t="n">
        <v>99.18000000000001</v>
      </c>
      <c r="O758" s="3" t="n">
        <v>24.5014245014245</v>
      </c>
    </row>
    <row r="759" hidden="1">
      <c r="A759" s="5" t="n">
        <v>46163</v>
      </c>
      <c r="B759" s="6" t="inlineStr">
        <is>
          <t>Brenda de Menezes Silva</t>
        </is>
      </c>
      <c r="C759" s="3" t="inlineStr">
        <is>
          <t>Técnico II</t>
        </is>
      </c>
      <c r="D759" s="3" t="n">
        <v>31</v>
      </c>
      <c r="E759" s="3" t="n">
        <v>27</v>
      </c>
      <c r="F759" s="3" t="n">
        <v>10.15</v>
      </c>
      <c r="G759" s="3" t="n">
        <v>4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28</v>
      </c>
      <c r="N759" s="3" t="n">
        <v>99.34999999999999</v>
      </c>
      <c r="O759" s="3" t="n">
        <v>19.85294117647059</v>
      </c>
    </row>
    <row r="760" hidden="1">
      <c r="A760" s="5" t="n">
        <v>46163</v>
      </c>
      <c r="B760" s="6" t="inlineStr">
        <is>
          <t>Carlos Mateus Cassimiro Nunes</t>
        </is>
      </c>
      <c r="C760" s="3" t="inlineStr">
        <is>
          <t>Técnico II</t>
        </is>
      </c>
      <c r="D760" s="3" t="n">
        <v>24</v>
      </c>
      <c r="E760" s="3" t="n">
        <v>22</v>
      </c>
      <c r="F760" s="3" t="n">
        <v>18.55</v>
      </c>
      <c r="G760" s="3" t="n">
        <v>1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21</v>
      </c>
      <c r="N760" s="3" t="n">
        <v>99.06999999999999</v>
      </c>
      <c r="O760" s="3" t="n">
        <v>20.09803921568627</v>
      </c>
    </row>
    <row r="761" hidden="1">
      <c r="A761" s="5" t="n">
        <v>46163</v>
      </c>
      <c r="B761" s="6" t="inlineStr">
        <is>
          <t>Damyllis Lorraine de Oliveira Gonçalves</t>
        </is>
      </c>
      <c r="C761" s="3" t="inlineStr">
        <is>
          <t>Técnico II</t>
        </is>
      </c>
      <c r="D761" s="3" t="n">
        <v>0</v>
      </c>
      <c r="E761" s="3" t="n">
        <v>0</v>
      </c>
      <c r="F761" s="3" t="n">
        <v>0</v>
      </c>
      <c r="G761" s="3" t="n">
        <v>0</v>
      </c>
      <c r="H761" s="3" t="n">
        <v>0</v>
      </c>
      <c r="I761" s="3" t="n">
        <v>0</v>
      </c>
      <c r="J761" s="3" t="n">
        <v>0</v>
      </c>
      <c r="K761" s="3" t="n">
        <v>0</v>
      </c>
      <c r="L761" s="3">
        <f>IF(K761&lt;-5,"CRÍTICO",IF(K761&lt;0,"ATENÇÃO",IF(K761&lt;=5,"OPORTUNO","MUITO BOM")))</f>
        <v/>
      </c>
      <c r="M761" s="3" t="n">
        <v>0</v>
      </c>
      <c r="N761" s="3" t="n">
        <v>98.81</v>
      </c>
      <c r="O761" s="3" t="n">
        <v>22.76785714285714</v>
      </c>
    </row>
    <row r="762" hidden="1">
      <c r="A762" s="5" t="n">
        <v>46163</v>
      </c>
      <c r="B762" s="6" t="inlineStr">
        <is>
          <t>Emilly Kamilly Medeiros Miranda</t>
        </is>
      </c>
      <c r="C762" s="3" t="inlineStr">
        <is>
          <t>Técnico II</t>
        </is>
      </c>
      <c r="D762" s="3" t="n">
        <v>28</v>
      </c>
      <c r="E762" s="3" t="n">
        <v>23</v>
      </c>
      <c r="F762" s="3" t="n">
        <v>9.02</v>
      </c>
      <c r="G762" s="3" t="n">
        <v>3</v>
      </c>
      <c r="H762" s="3" t="n">
        <v>0</v>
      </c>
      <c r="I762" s="3">
        <f>E762+G762+H762</f>
        <v/>
      </c>
      <c r="J762" s="3">
        <f>ROUND(MIN(IF(C762="Técnico III",35,IF(C762="Técnico II",28,IF(C762="Técnico I",23,IF(C762="JR",20,IF(C762="Estágio",10,0))))),IF(C762="Técnico III",SUMIFS($D:$D,$A:$A,$A762,$B:$B,"&lt;&gt;Patrícia Karla de Sousa Araújo",$B:$B,"&lt;&gt;Lorena Dias de Araujo",$B:$B,"&lt;&gt;Lucas Luiz Romero")*(35/1083),IF(C762="Técnico II",SUMIFS($D:$D,$A:$A,$A762,$B:$B,"&lt;&gt;Patrícia Karla de Sousa Araújo",$B:$B,"&lt;&gt;Lorena Dias de Araujo",$B:$B,"&lt;&gt;Lucas Luiz Romero")*(28/1083),IF(C762="Técnico I",SUMIFS($D:$D,$A:$A,$A762,$B:$B,"&lt;&gt;Patrícia Karla de Sousa Araújo",$B:$B,"&lt;&gt;Lorena Dias de Araujo",$B:$B,"&lt;&gt;Lucas Luiz Romero")*(23/1083),IF(C762="JR",SUMIFS($D:$D,$A:$A,$A762,$B:$B,"&lt;&gt;Patrícia Karla de Sousa Araújo",$B:$B,"&lt;&gt;Lorena Dias de Araujo",$B:$B,"&lt;&gt;Lucas Luiz Romero")*(20/1083),IF(C762="Estágio",SUMIFS($D:$D,$A:$A,$A762,$B:$B,"&lt;&gt;Patrícia Karla de Sousa Araújo",$B:$B,"&lt;&gt;Lorena Dias de Araujo",$B:$B,"&lt;&gt;Lucas Luiz Romero")*(10/1083),0)))))),0)</f>
        <v/>
      </c>
      <c r="K762" s="3">
        <f>I762-J762</f>
        <v/>
      </c>
      <c r="L762" s="3">
        <f>IF(K762&lt;-5,"CRÍTICO",IF(K762&lt;0,"ATENÇÃO",IF(K762&lt;=5,"OPORTUNO","MUITO BOM")))</f>
        <v/>
      </c>
      <c r="M762" s="3" t="n">
        <v>25</v>
      </c>
      <c r="N762" s="3" t="n">
        <v>99.01000000000001</v>
      </c>
      <c r="O762" s="3" t="n">
        <v>17.76649746192894</v>
      </c>
    </row>
    <row r="763" hidden="1">
      <c r="A763" s="5" t="n">
        <v>46163</v>
      </c>
      <c r="B763" s="6" t="inlineStr">
        <is>
          <t>Francilene Ferreira de Jesus</t>
        </is>
      </c>
      <c r="C763" s="3" t="inlineStr">
        <is>
          <t>Técnico II</t>
        </is>
      </c>
      <c r="D763" s="3" t="n">
        <v>0</v>
      </c>
      <c r="E763" s="3" t="n">
        <v>0</v>
      </c>
      <c r="F763" s="3" t="n">
        <v>0</v>
      </c>
      <c r="G763" s="3" t="n">
        <v>0</v>
      </c>
      <c r="H763" s="3" t="n">
        <v>0</v>
      </c>
      <c r="I763" s="3" t="n">
        <v>0</v>
      </c>
      <c r="J763" s="3" t="n">
        <v>0</v>
      </c>
      <c r="K763" s="3" t="n">
        <v>0</v>
      </c>
      <c r="L763" s="3">
        <f>IF(K763&lt;-5,"CRÍTICO",IF(K763&lt;0,"ATENÇÃO",IF(K763&lt;=5,"OPORTUNO","MUITO BOM")))</f>
        <v/>
      </c>
      <c r="M763" s="3" t="n">
        <v>0</v>
      </c>
      <c r="N763" s="3" t="n">
        <v>100</v>
      </c>
      <c r="O763" s="3" t="n">
        <v>17.24137931034483</v>
      </c>
    </row>
    <row r="764" hidden="1">
      <c r="A764" s="5" t="n">
        <v>46163</v>
      </c>
      <c r="B764" s="6" t="inlineStr">
        <is>
          <t>Isabella Borges de Oliveira</t>
        </is>
      </c>
      <c r="C764" s="3" t="inlineStr">
        <is>
          <t>Técnico II</t>
        </is>
      </c>
      <c r="D764" s="3" t="n">
        <v>22</v>
      </c>
      <c r="E764" s="3" t="n">
        <v>21</v>
      </c>
      <c r="F764" s="3" t="n">
        <v>19.05</v>
      </c>
      <c r="G764" s="3" t="n">
        <v>1</v>
      </c>
      <c r="H764" s="3" t="n">
        <v>0</v>
      </c>
      <c r="I764" s="3">
        <f>E764+G764+H764</f>
        <v/>
      </c>
      <c r="J764" s="3">
        <f>ROUND(MIN(IF(C764="Técnico III",35,IF(C764="Técnico II",28,IF(C764="Técnico I",23,IF(C764="JR",20,IF(C764="Estágio",10,0))))),IF(C764="Técnico III",SUMIFS($D:$D,$A:$A,$A764,$B:$B,"&lt;&gt;Patrícia Karla de Sousa Araújo",$B:$B,"&lt;&gt;Lorena Dias de Araujo",$B:$B,"&lt;&gt;Lucas Luiz Romero")*(35/1083),IF(C764="Técnico II",SUMIFS($D:$D,$A:$A,$A764,$B:$B,"&lt;&gt;Patrícia Karla de Sousa Araújo",$B:$B,"&lt;&gt;Lorena Dias de Araujo",$B:$B,"&lt;&gt;Lucas Luiz Romero")*(28/1083),IF(C764="Técnico I",SUMIFS($D:$D,$A:$A,$A764,$B:$B,"&lt;&gt;Patrícia Karla de Sousa Araújo",$B:$B,"&lt;&gt;Lorena Dias de Araujo",$B:$B,"&lt;&gt;Lucas Luiz Romero")*(23/1083),IF(C764="JR",SUMIFS($D:$D,$A:$A,$A764,$B:$B,"&lt;&gt;Patrícia Karla de Sousa Araújo",$B:$B,"&lt;&gt;Lorena Dias de Araujo",$B:$B,"&lt;&gt;Lucas Luiz Romero")*(20/1083),IF(C764="Estágio",SUMIFS($D:$D,$A:$A,$A764,$B:$B,"&lt;&gt;Patrícia Karla de Sousa Araújo",$B:$B,"&lt;&gt;Lorena Dias de Araujo",$B:$B,"&lt;&gt;Lucas Luiz Romero")*(10/1083),0)))))),0)</f>
        <v/>
      </c>
      <c r="K764" s="3">
        <f>I764-J764</f>
        <v/>
      </c>
      <c r="L764" s="3">
        <f>IF(K764&lt;-5,"CRÍTICO",IF(K764&lt;0,"ATENÇÃO",IF(K764&lt;=5,"OPORTUNO","MUITO BOM")))</f>
        <v/>
      </c>
      <c r="M764" s="3" t="n">
        <v>19</v>
      </c>
      <c r="N764" s="3" t="n">
        <v>98.98</v>
      </c>
      <c r="O764" s="3" t="n">
        <v>19.35483870967742</v>
      </c>
    </row>
    <row r="765" hidden="1">
      <c r="A765" s="5" t="n">
        <v>46163</v>
      </c>
      <c r="B765" s="6" t="inlineStr">
        <is>
          <t>Jessica Faria da Silveira</t>
        </is>
      </c>
      <c r="C765" s="3" t="inlineStr">
        <is>
          <t>Técnico II</t>
        </is>
      </c>
      <c r="D765" s="3" t="n">
        <v>17</v>
      </c>
      <c r="E765" s="3" t="n">
        <v>14</v>
      </c>
      <c r="F765" s="3" t="n">
        <v>17.2</v>
      </c>
      <c r="G765" s="3" t="n">
        <v>0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14</v>
      </c>
      <c r="N765" s="3" t="n">
        <v>98.94</v>
      </c>
      <c r="O765" s="3" t="n">
        <v>21.2707182320442</v>
      </c>
    </row>
    <row r="766" hidden="1">
      <c r="A766" s="5" t="n">
        <v>46163</v>
      </c>
      <c r="B766" s="6" t="inlineStr">
        <is>
          <t>Lizandra Gomes Duarte</t>
        </is>
      </c>
      <c r="C766" s="3" t="inlineStr">
        <is>
          <t>Técnico II</t>
        </is>
      </c>
      <c r="D766" s="3" t="n">
        <v>19</v>
      </c>
      <c r="E766" s="3" t="n">
        <v>19</v>
      </c>
      <c r="F766" s="3" t="n">
        <v>24.12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17</v>
      </c>
      <c r="N766" s="3" t="n">
        <v>99</v>
      </c>
      <c r="O766" s="3" t="n">
        <v>22.01086956521739</v>
      </c>
    </row>
    <row r="767" hidden="1">
      <c r="A767" s="5" t="n">
        <v>46163</v>
      </c>
      <c r="B767" s="6" t="inlineStr">
        <is>
          <t>Lorena Dias de Araujo</t>
        </is>
      </c>
      <c r="C767" s="3" t="inlineStr">
        <is>
          <t>Técnico II</t>
        </is>
      </c>
      <c r="D767" s="3" t="n">
        <v>18</v>
      </c>
      <c r="E767" s="3" t="n">
        <v>15</v>
      </c>
      <c r="F767" s="3" t="n">
        <v>14.09</v>
      </c>
      <c r="G767" s="3" t="n">
        <v>0</v>
      </c>
      <c r="H767" s="3" t="n">
        <v>0</v>
      </c>
      <c r="I767" s="3" t="n">
        <v>0</v>
      </c>
      <c r="J767" s="3" t="n">
        <v>0</v>
      </c>
      <c r="K767" s="3" t="n">
        <v>0</v>
      </c>
      <c r="L767" s="3">
        <f>IF(K767&lt;-5,"CRÍTICO",IF(K767&lt;0,"ATENÇÃO",IF(K767&lt;=5,"OPORTUNO","MUITO BOM")))</f>
        <v/>
      </c>
      <c r="M767" s="3" t="n">
        <v>15</v>
      </c>
      <c r="N767" s="3" t="n">
        <v>100</v>
      </c>
      <c r="O767" s="3" t="n">
        <v>25</v>
      </c>
    </row>
    <row r="768" hidden="1">
      <c r="A768" s="5" t="n">
        <v>46163</v>
      </c>
      <c r="B768" s="6" t="inlineStr">
        <is>
          <t>Patrícia Karla de Sousa Araújo</t>
        </is>
      </c>
      <c r="C768" s="3" t="inlineStr">
        <is>
          <t>Técnico II</t>
        </is>
      </c>
      <c r="D768" s="3" t="n">
        <v>0</v>
      </c>
      <c r="E768" s="3" t="n">
        <v>0</v>
      </c>
      <c r="F768" s="3" t="n">
        <v>0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0</v>
      </c>
      <c r="N768" s="3" t="n">
        <v>100</v>
      </c>
      <c r="O768" s="3" t="n">
        <v>20.18348623853211</v>
      </c>
    </row>
    <row r="769">
      <c r="A769" s="5" t="n">
        <v>46164</v>
      </c>
      <c r="B769" s="6" t="inlineStr">
        <is>
          <t>Alisson de Freitas Silva</t>
        </is>
      </c>
      <c r="C769" s="3" t="inlineStr">
        <is>
          <t>Técnico II</t>
        </is>
      </c>
      <c r="D769" s="3" t="n">
        <v>23</v>
      </c>
      <c r="E769" s="3" t="n">
        <v>15</v>
      </c>
      <c r="F769" s="3" t="n">
        <v>15.08</v>
      </c>
      <c r="G769" s="3" t="n">
        <v>1</v>
      </c>
      <c r="H769" s="3" t="n">
        <v>0</v>
      </c>
      <c r="I769" s="3">
        <f>E769+G769+H769</f>
        <v/>
      </c>
      <c r="J769" s="3">
        <f>ROUND(MIN(IF(C769="Técnico III",35,IF(C769="Técnico II",28,IF(C769="Técnico I",23,IF(C769="JR",20,IF(C769="Estágio",10,0))))),IF(C769="Técnico III",SUMIFS($D:$D,$A:$A,$A769,$B:$B,"&lt;&gt;Patrícia Karla de Sousa Araújo",$B:$B,"&lt;&gt;Lorena Dias de Araujo",$B:$B,"&lt;&gt;Lucas Luiz Romero")*(35/1083),IF(C769="Técnico II",SUMIFS($D:$D,$A:$A,$A769,$B:$B,"&lt;&gt;Patrícia Karla de Sousa Araújo",$B:$B,"&lt;&gt;Lorena Dias de Araujo",$B:$B,"&lt;&gt;Lucas Luiz Romero")*(28/1083),IF(C769="Técnico I",SUMIFS($D:$D,$A:$A,$A769,$B:$B,"&lt;&gt;Patrícia Karla de Sousa Araújo",$B:$B,"&lt;&gt;Lorena Dias de Araujo",$B:$B,"&lt;&gt;Lucas Luiz Romero")*(23/1083),IF(C769="JR",SUMIFS($D:$D,$A:$A,$A769,$B:$B,"&lt;&gt;Patrícia Karla de Sousa Araújo",$B:$B,"&lt;&gt;Lorena Dias de Araujo",$B:$B,"&lt;&gt;Lucas Luiz Romero")*(20/1083),IF(C769="Estágio",SUMIFS($D:$D,$A:$A,$A769,$B:$B,"&lt;&gt;Patrícia Karla de Sousa Araújo",$B:$B,"&lt;&gt;Lorena Dias de Araujo",$B:$B,"&lt;&gt;Lucas Luiz Romero")*(10/1083),0)))))),0)</f>
        <v/>
      </c>
      <c r="K769" s="3">
        <f>I769-J769</f>
        <v/>
      </c>
      <c r="L769" s="3">
        <f>IF(K769&lt;-5,"CRÍTICO",IF(K769&lt;0,"ATENÇÃO",IF(K769&lt;=5,"OPORTUNO","MUITO BOM")))</f>
        <v/>
      </c>
      <c r="M769" s="3" t="n">
        <v>11</v>
      </c>
      <c r="N769" s="3" t="n">
        <v>99.18000000000001</v>
      </c>
      <c r="O769" s="3" t="n">
        <v>24.5014245014245</v>
      </c>
    </row>
    <row r="770" hidden="1">
      <c r="A770" s="10" t="n">
        <v>46164</v>
      </c>
      <c r="B770" s="6" t="inlineStr">
        <is>
          <t>Brenda de Menezes Silva</t>
        </is>
      </c>
      <c r="C770" s="3" t="inlineStr">
        <is>
          <t>Técnico II</t>
        </is>
      </c>
      <c r="D770" s="3" t="n">
        <v>30</v>
      </c>
      <c r="E770" s="3" t="n">
        <v>27</v>
      </c>
      <c r="F770" s="3" t="n">
        <v>9.15</v>
      </c>
      <c r="G770" s="3" t="n">
        <v>6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24</v>
      </c>
      <c r="N770" s="3" t="n">
        <v>99.34999999999999</v>
      </c>
      <c r="O770" s="3" t="n">
        <v>19.85294117647059</v>
      </c>
    </row>
    <row r="771" hidden="1">
      <c r="A771" s="10" t="n">
        <v>46164</v>
      </c>
      <c r="B771" s="6" t="inlineStr">
        <is>
          <t>Carlos Mateus Cassimiro Nunes</t>
        </is>
      </c>
      <c r="C771" s="3" t="inlineStr">
        <is>
          <t>Técnico II</t>
        </is>
      </c>
      <c r="D771" s="3" t="n">
        <v>13</v>
      </c>
      <c r="E771" s="3" t="n">
        <v>12</v>
      </c>
      <c r="F771" s="3" t="n">
        <v>16.53</v>
      </c>
      <c r="G771" s="3" t="n">
        <v>0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12</v>
      </c>
      <c r="N771" s="3" t="n">
        <v>99.06999999999999</v>
      </c>
      <c r="O771" s="3" t="n">
        <v>20.09803921568627</v>
      </c>
    </row>
    <row r="772" hidden="1">
      <c r="A772" s="10" t="n">
        <v>46164</v>
      </c>
      <c r="B772" s="6" t="inlineStr">
        <is>
          <t>Damyllis Lorraine de Oliveira Gonçalves</t>
        </is>
      </c>
      <c r="C772" s="3" t="inlineStr">
        <is>
          <t>Técnico II</t>
        </is>
      </c>
      <c r="D772" s="3" t="n">
        <v>0</v>
      </c>
      <c r="E772" s="3" t="n">
        <v>0</v>
      </c>
      <c r="F772" s="3" t="n">
        <v>0</v>
      </c>
      <c r="G772" s="3" t="n">
        <v>0</v>
      </c>
      <c r="H772" s="3" t="n">
        <v>0</v>
      </c>
      <c r="I772" s="3" t="n">
        <v>0</v>
      </c>
      <c r="J772" s="3" t="n">
        <v>0</v>
      </c>
      <c r="K772" s="3" t="n">
        <v>0</v>
      </c>
      <c r="L772" s="3">
        <f>IF(K772&lt;-5,"CRÍTICO",IF(K772&lt;0,"ATENÇÃO",IF(K772&lt;=5,"OPORTUNO","MUITO BOM")))</f>
        <v/>
      </c>
      <c r="M772" s="3" t="n">
        <v>0</v>
      </c>
      <c r="N772" s="3" t="n">
        <v>98.81</v>
      </c>
      <c r="O772" s="3" t="n">
        <v>22.76785714285714</v>
      </c>
    </row>
    <row r="773" hidden="1">
      <c r="A773" s="10" t="n">
        <v>46164</v>
      </c>
      <c r="B773" s="6" t="inlineStr">
        <is>
          <t>Emilly Kamilly Medeiros Miranda</t>
        </is>
      </c>
      <c r="C773" s="3" t="inlineStr">
        <is>
          <t>Técnico II</t>
        </is>
      </c>
      <c r="D773" s="3" t="n">
        <v>17</v>
      </c>
      <c r="E773" s="3" t="n">
        <v>14</v>
      </c>
      <c r="F773" s="3" t="n">
        <v>13.23</v>
      </c>
      <c r="G773" s="3" t="n">
        <v>1</v>
      </c>
      <c r="H773" s="3" t="n">
        <v>0</v>
      </c>
      <c r="I773" s="3">
        <f>E773+G773+H773</f>
        <v/>
      </c>
      <c r="J773" s="3">
        <f>ROUND(MIN(IF(C773="Técnico III",35,IF(C773="Técnico II",28,IF(C773="Técnico I",23,IF(C773="JR",20,IF(C773="Estágio",10,0))))),IF(C773="Técnico III",SUMIFS($D:$D,$A:$A,$A773,$B:$B,"&lt;&gt;Patrícia Karla de Sousa Araújo",$B:$B,"&lt;&gt;Lorena Dias de Araujo",$B:$B,"&lt;&gt;Lucas Luiz Romero")*(35/1083),IF(C773="Técnico II",SUMIFS($D:$D,$A:$A,$A773,$B:$B,"&lt;&gt;Patrícia Karla de Sousa Araújo",$B:$B,"&lt;&gt;Lorena Dias de Araujo",$B:$B,"&lt;&gt;Lucas Luiz Romero")*(28/1083),IF(C773="Técnico I",SUMIFS($D:$D,$A:$A,$A773,$B:$B,"&lt;&gt;Patrícia Karla de Sousa Araújo",$B:$B,"&lt;&gt;Lorena Dias de Araujo",$B:$B,"&lt;&gt;Lucas Luiz Romero")*(23/1083),IF(C773="JR",SUMIFS($D:$D,$A:$A,$A773,$B:$B,"&lt;&gt;Patrícia Karla de Sousa Araújo",$B:$B,"&lt;&gt;Lorena Dias de Araujo",$B:$B,"&lt;&gt;Lucas Luiz Romero")*(20/1083),IF(C773="Estágio",SUMIFS($D:$D,$A:$A,$A773,$B:$B,"&lt;&gt;Patrícia Karla de Sousa Araújo",$B:$B,"&lt;&gt;Lorena Dias de Araujo",$B:$B,"&lt;&gt;Lucas Luiz Romero")*(10/1083),0)))))),0)</f>
        <v/>
      </c>
      <c r="K773" s="3">
        <f>I773-J773</f>
        <v/>
      </c>
      <c r="L773" s="3">
        <f>IF(K773&lt;-5,"CRÍTICO",IF(K773&lt;0,"ATENÇÃO",IF(K773&lt;=5,"OPORTUNO","MUITO BOM")))</f>
        <v/>
      </c>
      <c r="M773" s="3" t="n">
        <v>13</v>
      </c>
      <c r="N773" s="3" t="n">
        <v>99.01000000000001</v>
      </c>
      <c r="O773" s="3" t="n">
        <v>17.76649746192894</v>
      </c>
    </row>
    <row r="774" hidden="1">
      <c r="A774" s="11" t="n">
        <v>46024</v>
      </c>
      <c r="B774" t="inlineStr">
        <is>
          <t>Alisson de Freitas Silva</t>
        </is>
      </c>
      <c r="C774" t="inlineStr">
        <is>
          <t>Técnico II</t>
        </is>
      </c>
      <c r="D774" t="n">
        <v>21</v>
      </c>
      <c r="E774" t="n">
        <v>17</v>
      </c>
      <c r="F774" t="n">
        <v>12.2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IF(K774&lt;-5,"CRÍTICO",IF(K774&lt;0,"ATENÇÃO",IF(K774&lt;=5,"BOM","EXCELENTE")))</f>
        <v/>
      </c>
      <c r="M774" t="n">
        <v>15</v>
      </c>
      <c r="N774" t="n">
        <v>96.81</v>
      </c>
      <c r="O774" t="n">
        <v>27.98053527980535</v>
      </c>
    </row>
    <row r="775" hidden="1">
      <c r="A775" s="11" t="n">
        <v>46024</v>
      </c>
      <c r="B775" t="inlineStr">
        <is>
          <t>Amanda Moura Ferreira</t>
        </is>
      </c>
      <c r="C775" t="inlineStr">
        <is>
          <t>Técnico III</t>
        </is>
      </c>
      <c r="D775" t="n">
        <v>0</v>
      </c>
      <c r="E775" t="n">
        <v>0</v>
      </c>
      <c r="F775" t="n">
        <v>0</v>
      </c>
      <c r="G775" t="n">
        <v>0</v>
      </c>
      <c r="H775" t="n">
        <v>0</v>
      </c>
      <c r="I775" s="3" t="n">
        <v>0</v>
      </c>
      <c r="J775" s="3" t="n">
        <v>0</v>
      </c>
      <c r="K775" s="3" t="n">
        <v>0</v>
      </c>
      <c r="L775" s="3">
        <f>IF(K775&lt;-5,"CRÍTICO",IF(K775&lt;0,"ATENÇÃO",IF(K775&lt;=5,"BOM","EXCELENTE")))</f>
        <v/>
      </c>
      <c r="M775" t="n">
        <v>21</v>
      </c>
      <c r="N775" t="n">
        <v>98.73</v>
      </c>
      <c r="O775" t="n">
        <v>35.75638506876228</v>
      </c>
    </row>
    <row r="776" hidden="1">
      <c r="A776" s="11" t="n">
        <v>46024</v>
      </c>
      <c r="B776" t="inlineStr">
        <is>
          <t>Ana Karollyne Souza Faria</t>
        </is>
      </c>
      <c r="C776" t="inlineStr">
        <is>
          <t>Técnico I</t>
        </is>
      </c>
      <c r="D776" t="n">
        <v>21</v>
      </c>
      <c r="E776" t="n">
        <v>19</v>
      </c>
      <c r="F776" t="n">
        <v>20.15</v>
      </c>
      <c r="I776" s="3">
        <f>E776+G776+H776</f>
        <v/>
      </c>
      <c r="J776" s="3">
        <f>ROUND(MIN(IF(C776="Técnico III",35,IF(C776="Técnico II",28,IF(C776="Técnico I",23,IF(C776="JR",20,IF(C776="Estágio",10,0))))),IF(C776="Técnico III",SUMIFS($D:$D,$A:$A,$A776,$B:$B,"&lt;&gt;Patrícia Karla de Sousa Araújo",$B:$B,"&lt;&gt;Lorena Dias de Araujo",$B:$B,"&lt;&gt;Lucas Luiz Romero")*(35/1083),IF(C776="Técnico II",SUMIFS($D:$D,$A:$A,$A776,$B:$B,"&lt;&gt;Patrícia Karla de Sousa Araújo",$B:$B,"&lt;&gt;Lorena Dias de Araujo",$B:$B,"&lt;&gt;Lucas Luiz Romero")*(28/1083),IF(C776="Técnico I",SUMIFS($D:$D,$A:$A,$A776,$B:$B,"&lt;&gt;Patrícia Karla de Sousa Araújo",$B:$B,"&lt;&gt;Lorena Dias de Araujo",$B:$B,"&lt;&gt;Lucas Luiz Romero")*(23/1083),IF(C776="JR",SUMIFS($D:$D,$A:$A,$A776,$B:$B,"&lt;&gt;Patrícia Karla de Sousa Araújo",$B:$B,"&lt;&gt;Lorena Dias de Araujo",$B:$B,"&lt;&gt;Lucas Luiz Romero")*(20/1083),IF(C776="Estágio",SUMIFS($D:$D,$A:$A,$A776,$B:$B,"&lt;&gt;Patrícia Karla de Sousa Araújo",$B:$B,"&lt;&gt;Lorena Dias de Araujo",$B:$B,"&lt;&gt;Lucas Luiz Romero")*(10/1083),0)))))),0)</f>
        <v/>
      </c>
      <c r="K776" s="3">
        <f>I776-J776</f>
        <v/>
      </c>
      <c r="L776" s="3">
        <f>IF(K776&lt;-5,"CRÍTICO",IF(K776&lt;0,"ATENÇÃO",IF(K776&lt;=5,"BOM","EXCELENTE")))</f>
        <v/>
      </c>
      <c r="M776" t="n">
        <v>18</v>
      </c>
      <c r="N776" t="n">
        <v>98.31999999999999</v>
      </c>
      <c r="O776" t="n">
        <v>26.76348547717842</v>
      </c>
    </row>
    <row r="777" hidden="1">
      <c r="A777" s="11" t="n">
        <v>46024</v>
      </c>
      <c r="B777" t="inlineStr">
        <is>
          <t>Ana Paula Da Luz Silva Aleixo</t>
        </is>
      </c>
      <c r="C777" t="inlineStr">
        <is>
          <t>Técnico III</t>
        </is>
      </c>
      <c r="D777" t="n">
        <v>21</v>
      </c>
      <c r="E777" t="n">
        <v>20</v>
      </c>
      <c r="F777" t="n">
        <v>21.43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M777" t="n">
        <v>17</v>
      </c>
      <c r="N777" t="n">
        <v>99.19</v>
      </c>
      <c r="O777" t="n">
        <v>27.63713080168776</v>
      </c>
    </row>
    <row r="778" hidden="1">
      <c r="A778" s="11" t="n">
        <v>46024</v>
      </c>
      <c r="B778" t="inlineStr">
        <is>
          <t>Anna Luiza Rezende Tavares</t>
        </is>
      </c>
      <c r="C778" t="inlineStr">
        <is>
          <t>Estágio</t>
        </is>
      </c>
      <c r="D778" t="n">
        <v>0</v>
      </c>
      <c r="E778" t="n">
        <v>0</v>
      </c>
      <c r="F778" t="n">
        <v>0</v>
      </c>
      <c r="G778" t="n">
        <v>0</v>
      </c>
      <c r="H778" t="n">
        <v>0</v>
      </c>
      <c r="I778" s="3" t="n">
        <v>0</v>
      </c>
      <c r="J778" s="3" t="n">
        <v>0</v>
      </c>
      <c r="K778" s="3" t="n">
        <v>0</v>
      </c>
      <c r="L778" s="3">
        <f>IF(K778&lt;-5,"CRÍTICO",IF(K778&lt;0,"ATENÇÃO",IF(K778&lt;=5,"BOM","EXCELENTE")))</f>
        <v/>
      </c>
      <c r="M778" t="n">
        <v>0</v>
      </c>
      <c r="N778" t="n">
        <v>100</v>
      </c>
      <c r="O778" t="n">
        <v>39.56834532374101</v>
      </c>
    </row>
    <row r="779" hidden="1">
      <c r="A779" s="11" t="n">
        <v>46024</v>
      </c>
      <c r="B779" t="inlineStr">
        <is>
          <t>Brenda de Menezes Silva</t>
        </is>
      </c>
      <c r="C779" t="inlineStr">
        <is>
          <t>Técnico II</t>
        </is>
      </c>
      <c r="D779" t="n">
        <v>28</v>
      </c>
      <c r="E779" t="n">
        <v>25</v>
      </c>
      <c r="F779" t="n">
        <v>13.37</v>
      </c>
      <c r="I779" s="3">
        <f>E779+G779+H779</f>
        <v/>
      </c>
      <c r="J779" s="3">
        <f>ROUND(MIN(IF(C779="Técnico III",35,IF(C779="Técnico II",28,IF(C779="Técnico I",23,IF(C779="JR",20,IF(C779="Estágio",10,0))))),IF(C779="Técnico III",SUMIFS($D:$D,$A:$A,$A779,$B:$B,"&lt;&gt;Patrícia Karla de Sousa Araújo",$B:$B,"&lt;&gt;Lorena Dias de Araujo",$B:$B,"&lt;&gt;Lucas Luiz Romero")*(35/1083),IF(C779="Técnico II",SUMIFS($D:$D,$A:$A,$A779,$B:$B,"&lt;&gt;Patrícia Karla de Sousa Araújo",$B:$B,"&lt;&gt;Lorena Dias de Araujo",$B:$B,"&lt;&gt;Lucas Luiz Romero")*(28/1083),IF(C779="Técnico I",SUMIFS($D:$D,$A:$A,$A779,$B:$B,"&lt;&gt;Patrícia Karla de Sousa Araújo",$B:$B,"&lt;&gt;Lorena Dias de Araujo",$B:$B,"&lt;&gt;Lucas Luiz Romero")*(23/1083),IF(C779="JR",SUMIFS($D:$D,$A:$A,$A779,$B:$B,"&lt;&gt;Patrícia Karla de Sousa Araújo",$B:$B,"&lt;&gt;Lorena Dias de Araujo",$B:$B,"&lt;&gt;Lucas Luiz Romero")*(20/1083),IF(C779="Estágio",SUMIFS($D:$D,$A:$A,$A779,$B:$B,"&lt;&gt;Patrícia Karla de Sousa Araújo",$B:$B,"&lt;&gt;Lorena Dias de Araujo",$B:$B,"&lt;&gt;Lucas Luiz Romero")*(10/1083),0)))))),0)</f>
        <v/>
      </c>
      <c r="K779" s="3">
        <f>I779-J779</f>
        <v/>
      </c>
      <c r="L779" s="3">
        <f>IF(K779&lt;-5,"CRÍTICO",IF(K779&lt;0,"ATENÇÃO",IF(K779&lt;=5,"BOM","EXCELENTE")))</f>
        <v/>
      </c>
      <c r="M779" t="n">
        <v>23</v>
      </c>
      <c r="N779" t="n">
        <v>98.54000000000001</v>
      </c>
      <c r="O779" t="n">
        <v>28.54477611940299</v>
      </c>
    </row>
    <row r="780" hidden="1">
      <c r="A780" s="11" t="n">
        <v>46024</v>
      </c>
      <c r="B780" t="inlineStr">
        <is>
          <t>Carlos Mateus Cassimiro Nunes</t>
        </is>
      </c>
      <c r="C780" t="inlineStr">
        <is>
          <t>Técnico II</t>
        </is>
      </c>
      <c r="D780" t="n">
        <v>22</v>
      </c>
      <c r="E780" t="n">
        <v>19</v>
      </c>
      <c r="F780" t="n">
        <v>16.58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M780" t="n">
        <v>20</v>
      </c>
      <c r="N780" t="n">
        <v>100</v>
      </c>
      <c r="O780" t="n">
        <v>34.36692506459949</v>
      </c>
    </row>
    <row r="781" hidden="1">
      <c r="A781" s="11" t="n">
        <v>46024</v>
      </c>
      <c r="B781" t="inlineStr">
        <is>
          <t>Claudio de Sousa Velasco Filho</t>
        </is>
      </c>
      <c r="C781" t="inlineStr">
        <is>
          <t>Estágio</t>
        </is>
      </c>
      <c r="D781" t="n">
        <v>0</v>
      </c>
      <c r="E781" t="n">
        <v>0</v>
      </c>
      <c r="F781" t="n">
        <v>0</v>
      </c>
      <c r="G781" t="n">
        <v>0</v>
      </c>
      <c r="H781" t="n">
        <v>0</v>
      </c>
      <c r="I781" s="3" t="n">
        <v>0</v>
      </c>
      <c r="J781" s="3" t="n">
        <v>0</v>
      </c>
      <c r="K781" s="3" t="n">
        <v>0</v>
      </c>
      <c r="L781" s="3">
        <f>IF(K781&lt;-5,"CRÍTICO",IF(K781&lt;0,"ATENÇÃO",IF(K781&lt;=5,"BOM","EXCELENTE")))</f>
        <v/>
      </c>
      <c r="M781" t="n">
        <v>0</v>
      </c>
      <c r="N781" t="n">
        <v>0</v>
      </c>
      <c r="O781" t="n">
        <v>0</v>
      </c>
    </row>
    <row r="782" hidden="1">
      <c r="A782" s="11" t="n">
        <v>46024</v>
      </c>
      <c r="B782" t="inlineStr">
        <is>
          <t>Clessiane Pereira dos Santos</t>
        </is>
      </c>
      <c r="C782" t="inlineStr">
        <is>
          <t>Técnico I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M782" t="n">
        <v>0</v>
      </c>
      <c r="N782" t="n">
        <v>100</v>
      </c>
      <c r="O782" t="n">
        <v>29.51807228915663</v>
      </c>
    </row>
    <row r="783" hidden="1">
      <c r="A783" s="11" t="n">
        <v>46024</v>
      </c>
      <c r="B783" t="inlineStr">
        <is>
          <t>Cristiane Ramos da Silva Rocha</t>
        </is>
      </c>
      <c r="C783" t="inlineStr">
        <is>
          <t>Técnico III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M783" t="n">
        <v>0</v>
      </c>
      <c r="N783" t="n">
        <v>97.45</v>
      </c>
      <c r="O783" t="n">
        <v>41.421143847487</v>
      </c>
    </row>
    <row r="784" hidden="1">
      <c r="A784" s="11" t="n">
        <v>46024</v>
      </c>
      <c r="B784" t="inlineStr">
        <is>
          <t>Damyllis Lorraine de Oliveira Gonçalves</t>
        </is>
      </c>
      <c r="C784" t="inlineStr">
        <is>
          <t>Técnico II</t>
        </is>
      </c>
      <c r="D784" t="n">
        <v>25</v>
      </c>
      <c r="E784" t="n">
        <v>16</v>
      </c>
      <c r="F784" t="n">
        <v>8.369999999999999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M784" t="n">
        <v>13</v>
      </c>
      <c r="N784" t="n">
        <v>96.58</v>
      </c>
      <c r="O784" t="n">
        <v>30.39647577092511</v>
      </c>
    </row>
    <row r="785" hidden="1">
      <c r="A785" s="11" t="n">
        <v>46024</v>
      </c>
      <c r="B785" t="inlineStr">
        <is>
          <t>Daniel Gomes da Silva</t>
        </is>
      </c>
      <c r="C785" t="inlineStr">
        <is>
          <t>Técnico I</t>
        </is>
      </c>
      <c r="D785" t="n">
        <v>14</v>
      </c>
      <c r="E785" t="n">
        <v>14</v>
      </c>
      <c r="F785" t="n">
        <v>26.53</v>
      </c>
      <c r="I785" s="3">
        <f>E785+G785+H785</f>
        <v/>
      </c>
      <c r="J785" s="3">
        <f>ROUND(MIN(IF(C785="Técnico III",35,IF(C785="Técnico II",28,IF(C785="Técnico I",23,IF(C785="JR",20,IF(C785="Estágio",10,0))))),IF(C785="Técnico III",SUMIFS($D:$D,$A:$A,$A785,$B:$B,"&lt;&gt;Patrícia Karla de Sousa Araújo",$B:$B,"&lt;&gt;Lorena Dias de Araujo",$B:$B,"&lt;&gt;Lucas Luiz Romero")*(35/1083),IF(C785="Técnico II",SUMIFS($D:$D,$A:$A,$A785,$B:$B,"&lt;&gt;Patrícia Karla de Sousa Araújo",$B:$B,"&lt;&gt;Lorena Dias de Araujo",$B:$B,"&lt;&gt;Lucas Luiz Romero")*(28/1083),IF(C785="Técnico I",SUMIFS($D:$D,$A:$A,$A785,$B:$B,"&lt;&gt;Patrícia Karla de Sousa Araújo",$B:$B,"&lt;&gt;Lorena Dias de Araujo",$B:$B,"&lt;&gt;Lucas Luiz Romero")*(23/1083),IF(C785="JR",SUMIFS($D:$D,$A:$A,$A785,$B:$B,"&lt;&gt;Patrícia Karla de Sousa Araújo",$B:$B,"&lt;&gt;Lorena Dias de Araujo",$B:$B,"&lt;&gt;Lucas Luiz Romero")*(20/1083),IF(C785="Estágio",SUMIFS($D:$D,$A:$A,$A785,$B:$B,"&lt;&gt;Patrícia Karla de Sousa Araújo",$B:$B,"&lt;&gt;Lorena Dias de Araujo",$B:$B,"&lt;&gt;Lucas Luiz Romero")*(10/1083),0)))))),0)</f>
        <v/>
      </c>
      <c r="K785" s="3">
        <f>I785-J785</f>
        <v/>
      </c>
      <c r="L785" s="3">
        <f>IF(K785&lt;-5,"CRÍTICO",IF(K785&lt;0,"ATENÇÃO",IF(K785&lt;=5,"BOM","EXCELENTE")))</f>
        <v/>
      </c>
      <c r="M785" t="n">
        <v>14</v>
      </c>
      <c r="N785" t="n">
        <v>100</v>
      </c>
      <c r="O785" t="n">
        <v>27.44282744282744</v>
      </c>
    </row>
    <row r="786" hidden="1">
      <c r="A786" s="11" t="n">
        <v>46024</v>
      </c>
      <c r="B786" t="inlineStr">
        <is>
          <t>Davylla Rodrigues Freitas Silva</t>
        </is>
      </c>
      <c r="C786" t="inlineStr">
        <is>
          <t>Técnico III</t>
        </is>
      </c>
      <c r="D786" t="n">
        <v>18</v>
      </c>
      <c r="E786" t="n">
        <v>16</v>
      </c>
      <c r="F786" t="n">
        <v>27.31</v>
      </c>
      <c r="G786" t="n">
        <v>0</v>
      </c>
      <c r="H786" t="n">
        <v>0</v>
      </c>
      <c r="I786" s="3" t="n">
        <v>0</v>
      </c>
      <c r="J786" s="3" t="n">
        <v>0</v>
      </c>
      <c r="K786" s="3" t="n">
        <v>0</v>
      </c>
      <c r="L786" s="3">
        <f>IF(K786&lt;-5,"CRÍTICO",IF(K786&lt;0,"ATENÇÃO",IF(K786&lt;=5,"BOM","EXCELENTE")))</f>
        <v/>
      </c>
      <c r="M786" t="n">
        <v>16</v>
      </c>
      <c r="N786" t="n">
        <v>99.48999999999999</v>
      </c>
      <c r="O786" t="n">
        <v>40.2</v>
      </c>
    </row>
    <row r="787" hidden="1">
      <c r="A787" s="11" t="n">
        <v>46024</v>
      </c>
      <c r="B787" t="inlineStr">
        <is>
          <t>Emilly Caylane Costa</t>
        </is>
      </c>
      <c r="C787" t="inlineStr">
        <is>
          <t>Estágio</t>
        </is>
      </c>
      <c r="D787" t="n">
        <v>0</v>
      </c>
      <c r="E787" t="n">
        <v>0</v>
      </c>
      <c r="F787" t="n">
        <v>0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M787" t="n">
        <v>0</v>
      </c>
      <c r="N787" t="n">
        <v>100</v>
      </c>
      <c r="O787" t="n">
        <v>25</v>
      </c>
    </row>
    <row r="788" hidden="1">
      <c r="A788" s="11" t="n">
        <v>46024</v>
      </c>
      <c r="B788" t="inlineStr">
        <is>
          <t>Emilly Kamilly Medeiros Miranda</t>
        </is>
      </c>
      <c r="C788" t="inlineStr">
        <is>
          <t>Técnico II</t>
        </is>
      </c>
      <c r="D788" t="n">
        <v>27</v>
      </c>
      <c r="E788" t="n">
        <v>26</v>
      </c>
      <c r="F788" t="n">
        <v>12.32</v>
      </c>
      <c r="I788" s="3">
        <f>E788+G788+H788</f>
        <v/>
      </c>
      <c r="J788" s="3">
        <f>ROUND(MIN(IF(C788="Técnico III",35,IF(C788="Técnico II",28,IF(C788="Técnico I",23,IF(C788="JR",20,IF(C788="Estágio",10,0))))),IF(C788="Técnico III",SUMIFS($D:$D,$A:$A,$A788,$B:$B,"&lt;&gt;Patrícia Karla de Sousa Araújo",$B:$B,"&lt;&gt;Lorena Dias de Araujo",$B:$B,"&lt;&gt;Lucas Luiz Romero")*(35/1083),IF(C788="Técnico II",SUMIFS($D:$D,$A:$A,$A788,$B:$B,"&lt;&gt;Patrícia Karla de Sousa Araújo",$B:$B,"&lt;&gt;Lorena Dias de Araujo",$B:$B,"&lt;&gt;Lucas Luiz Romero")*(28/1083),IF(C788="Técnico I",SUMIFS($D:$D,$A:$A,$A788,$B:$B,"&lt;&gt;Patrícia Karla de Sousa Araújo",$B:$B,"&lt;&gt;Lorena Dias de Araujo",$B:$B,"&lt;&gt;Lucas Luiz Romero")*(23/1083),IF(C788="JR",SUMIFS($D:$D,$A:$A,$A788,$B:$B,"&lt;&gt;Patrícia Karla de Sousa Araújo",$B:$B,"&lt;&gt;Lorena Dias de Araujo",$B:$B,"&lt;&gt;Lucas Luiz Romero")*(20/1083),IF(C788="Estágio",SUMIFS($D:$D,$A:$A,$A788,$B:$B,"&lt;&gt;Patrícia Karla de Sousa Araújo",$B:$B,"&lt;&gt;Lorena Dias de Araujo",$B:$B,"&lt;&gt;Lucas Luiz Romero")*(10/1083),0)))))),0)</f>
        <v/>
      </c>
      <c r="K788" s="3">
        <f>I788-J788</f>
        <v/>
      </c>
      <c r="L788" s="3">
        <f>IF(K788&lt;-5,"CRÍTICO",IF(K788&lt;0,"ATENÇÃO",IF(K788&lt;=5,"BOM","EXCELENTE")))</f>
        <v/>
      </c>
      <c r="M788" t="n">
        <v>24</v>
      </c>
      <c r="N788" t="n">
        <v>100</v>
      </c>
      <c r="O788" t="n">
        <v>34.15094339622641</v>
      </c>
    </row>
    <row r="789" hidden="1">
      <c r="A789" s="11" t="n">
        <v>46024</v>
      </c>
      <c r="B789" t="inlineStr">
        <is>
          <t>Francielson de Oliveira</t>
        </is>
      </c>
      <c r="C789" t="inlineStr">
        <is>
          <t>Técnico III</t>
        </is>
      </c>
      <c r="D789" t="n">
        <v>17</v>
      </c>
      <c r="E789" t="n">
        <v>17</v>
      </c>
      <c r="F789" t="n">
        <v>16.5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M789" t="n">
        <v>15</v>
      </c>
      <c r="N789" t="n">
        <v>100</v>
      </c>
      <c r="O789" t="n">
        <v>32.7313769751693</v>
      </c>
    </row>
    <row r="790" hidden="1">
      <c r="A790" s="11" t="n">
        <v>46024</v>
      </c>
      <c r="B790" t="inlineStr">
        <is>
          <t>Francilene Ferreira de Jesus</t>
        </is>
      </c>
      <c r="C790" t="inlineStr">
        <is>
          <t>Técnico II</t>
        </is>
      </c>
      <c r="D790" t="n">
        <v>27</v>
      </c>
      <c r="E790" t="n">
        <v>25</v>
      </c>
      <c r="F790" t="n">
        <v>14.1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M790" t="n">
        <v>21</v>
      </c>
      <c r="N790" t="n">
        <v>99.31</v>
      </c>
      <c r="O790" t="n">
        <v>30.96234309623431</v>
      </c>
    </row>
    <row r="791" hidden="1">
      <c r="A791" s="11" t="n">
        <v>46058</v>
      </c>
      <c r="B791" t="inlineStr">
        <is>
          <t>Gabriel Gomes de Andrade</t>
        </is>
      </c>
      <c r="C791" t="inlineStr">
        <is>
          <t>Técnico I</t>
        </is>
      </c>
      <c r="D791" t="n">
        <v>27</v>
      </c>
      <c r="E791" t="n">
        <v>26</v>
      </c>
      <c r="F791" t="n">
        <v>20.02</v>
      </c>
      <c r="G791" t="n">
        <v>0</v>
      </c>
      <c r="H791" t="n">
        <v>0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M791" t="n">
        <v>27</v>
      </c>
      <c r="N791" t="n">
        <v>96.67</v>
      </c>
      <c r="O791" t="n">
        <v>31.45161290322581</v>
      </c>
    </row>
    <row r="792" hidden="1">
      <c r="A792" s="11" t="n">
        <v>46024</v>
      </c>
      <c r="B792" t="inlineStr">
        <is>
          <t>Isabella Borges de Oliveira</t>
        </is>
      </c>
      <c r="C792" t="inlineStr">
        <is>
          <t>Técnico II</t>
        </is>
      </c>
      <c r="D792" t="n">
        <v>21</v>
      </c>
      <c r="E792" t="n">
        <v>21</v>
      </c>
      <c r="F792" t="n">
        <v>20.28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M792" t="n">
        <v>20</v>
      </c>
      <c r="N792" t="n">
        <v>100</v>
      </c>
      <c r="O792" t="n">
        <v>27.67676767676768</v>
      </c>
    </row>
    <row r="793" hidden="1">
      <c r="A793" s="11" t="n">
        <v>46024</v>
      </c>
      <c r="B793" t="inlineStr">
        <is>
          <t>Janaina Lima dos Reis Urany</t>
        </is>
      </c>
      <c r="C793" t="inlineStr">
        <is>
          <t>Técnico III</t>
        </is>
      </c>
      <c r="D793" t="n">
        <v>30</v>
      </c>
      <c r="E793" t="n">
        <v>27</v>
      </c>
      <c r="F793" t="n">
        <v>12.25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M793" t="n">
        <v>27</v>
      </c>
      <c r="N793" t="n">
        <v>100</v>
      </c>
      <c r="O793" t="n">
        <v>31.17723156532988</v>
      </c>
    </row>
    <row r="794" hidden="1">
      <c r="A794" s="11" t="n">
        <v>46024</v>
      </c>
      <c r="B794" t="inlineStr">
        <is>
          <t>Jaqueline Evangelista da Silva Martins</t>
        </is>
      </c>
      <c r="C794" t="inlineStr">
        <is>
          <t>Técnico III</t>
        </is>
      </c>
      <c r="D794" t="n">
        <v>14</v>
      </c>
      <c r="E794" t="n">
        <v>9</v>
      </c>
      <c r="F794" t="n">
        <v>8.59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M794" t="n">
        <v>10</v>
      </c>
      <c r="N794" t="n">
        <v>100</v>
      </c>
      <c r="O794" t="n">
        <v>27.60942760942761</v>
      </c>
    </row>
    <row r="795" hidden="1">
      <c r="A795" s="11" t="n">
        <v>46024</v>
      </c>
      <c r="B795" t="inlineStr">
        <is>
          <t>Jessica Faria da Silveira</t>
        </is>
      </c>
      <c r="C795" t="inlineStr">
        <is>
          <t>Técnico II</t>
        </is>
      </c>
      <c r="D795" t="n">
        <v>28</v>
      </c>
      <c r="E795" t="n">
        <v>24</v>
      </c>
      <c r="F795" t="n">
        <v>10.21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M795" t="n">
        <v>22</v>
      </c>
      <c r="N795" t="n">
        <v>96.40000000000001</v>
      </c>
      <c r="O795" t="n">
        <v>28.76404494382023</v>
      </c>
    </row>
    <row r="796" hidden="1">
      <c r="A796" s="11" t="n">
        <v>46024</v>
      </c>
      <c r="B796" t="inlineStr">
        <is>
          <t>Jéssica Fé Moura</t>
        </is>
      </c>
      <c r="C796" t="inlineStr">
        <is>
          <t>Técnico III</t>
        </is>
      </c>
      <c r="D796" t="n">
        <v>0</v>
      </c>
      <c r="E796" t="n">
        <v>0</v>
      </c>
      <c r="F796" t="n">
        <v>0</v>
      </c>
      <c r="G796" t="n">
        <v>0</v>
      </c>
      <c r="H796" t="n">
        <v>0</v>
      </c>
      <c r="I796" s="3" t="n">
        <v>0</v>
      </c>
      <c r="J796" s="3" t="n">
        <v>0</v>
      </c>
      <c r="K796" s="3" t="n">
        <v>0</v>
      </c>
      <c r="L796" s="3">
        <f>IF(K796&lt;-5,"CRÍTICO",IF(K796&lt;0,"ATENÇÃO",IF(K796&lt;=5,"BOM","EXCELENTE")))</f>
        <v/>
      </c>
      <c r="M796" t="n">
        <v>0</v>
      </c>
      <c r="N796" t="n">
        <v>100</v>
      </c>
      <c r="O796" t="n">
        <v>33.98058252427185</v>
      </c>
    </row>
    <row r="797" hidden="1">
      <c r="A797" s="11" t="n">
        <v>46024</v>
      </c>
      <c r="B797" t="inlineStr">
        <is>
          <t>Karina Gonçalves Martins</t>
        </is>
      </c>
      <c r="C797" t="inlineStr">
        <is>
          <t>JR</t>
        </is>
      </c>
      <c r="D797" t="n">
        <v>7</v>
      </c>
      <c r="E797" t="n">
        <v>7</v>
      </c>
      <c r="F797" t="n">
        <v>29.05</v>
      </c>
      <c r="I797" s="3">
        <f>E797+G797+H797</f>
        <v/>
      </c>
      <c r="J797" s="3">
        <f>ROUND(MIN(IF(C797="Técnico III",35,IF(C797="Técnico II",28,IF(C797="Técnico I",23,IF(C797="JR",20,IF(C797="Estágio",10,0))))),IF(C797="Técnico III",SUMIFS($D:$D,$A:$A,$A797,$B:$B,"&lt;&gt;Patrícia Karla de Sousa Araújo",$B:$B,"&lt;&gt;Lorena Dias de Araujo",$B:$B,"&lt;&gt;Lucas Luiz Romero")*(35/1083),IF(C797="Técnico II",SUMIFS($D:$D,$A:$A,$A797,$B:$B,"&lt;&gt;Patrícia Karla de Sousa Araújo",$B:$B,"&lt;&gt;Lorena Dias de Araujo",$B:$B,"&lt;&gt;Lucas Luiz Romero")*(28/1083),IF(C797="Técnico I",SUMIFS($D:$D,$A:$A,$A797,$B:$B,"&lt;&gt;Patrícia Karla de Sousa Araújo",$B:$B,"&lt;&gt;Lorena Dias de Araujo",$B:$B,"&lt;&gt;Lucas Luiz Romero")*(23/1083),IF(C797="JR",SUMIFS($D:$D,$A:$A,$A797,$B:$B,"&lt;&gt;Patrícia Karla de Sousa Araújo",$B:$B,"&lt;&gt;Lorena Dias de Araujo",$B:$B,"&lt;&gt;Lucas Luiz Romero")*(20/1083),IF(C797="Estágio",SUMIFS($D:$D,$A:$A,$A797,$B:$B,"&lt;&gt;Patrícia Karla de Sousa Araújo",$B:$B,"&lt;&gt;Lorena Dias de Araujo",$B:$B,"&lt;&gt;Lucas Luiz Romero")*(10/1083),0)))))),0)</f>
        <v/>
      </c>
      <c r="K797" s="3">
        <f>I797-J797</f>
        <v/>
      </c>
      <c r="L797" s="3">
        <f>IF(K797&lt;-5,"CRÍTICO",IF(K797&lt;0,"ATENÇÃO",IF(K797&lt;=5,"BOM","EXCELENTE")))</f>
        <v/>
      </c>
      <c r="M797" t="n">
        <v>6</v>
      </c>
      <c r="N797" t="n">
        <v>97.56</v>
      </c>
      <c r="O797" t="n">
        <v>32.51533742331289</v>
      </c>
    </row>
    <row r="798" hidden="1">
      <c r="A798" s="11" t="n">
        <v>46024</v>
      </c>
      <c r="B798" t="inlineStr">
        <is>
          <t>Kerollen Cristielly de Jesus Siqueira</t>
        </is>
      </c>
      <c r="C798" t="inlineStr">
        <is>
          <t>Técnico III</t>
        </is>
      </c>
      <c r="D798" t="n">
        <v>0</v>
      </c>
      <c r="E798" t="n">
        <v>0</v>
      </c>
      <c r="F798" t="n">
        <v>0</v>
      </c>
      <c r="G798" t="n">
        <v>0</v>
      </c>
      <c r="H798" t="n">
        <v>0</v>
      </c>
      <c r="I798" s="3" t="n">
        <v>0</v>
      </c>
      <c r="J798" s="3" t="n">
        <v>0</v>
      </c>
      <c r="K798" s="3" t="n">
        <v>0</v>
      </c>
      <c r="L798" s="3">
        <f>IF(K798&lt;-5,"CRÍTICO",IF(K798&lt;0,"ATENÇÃO",IF(K798&lt;=5,"BOM","EXCELENTE")))</f>
        <v/>
      </c>
      <c r="M798" t="n">
        <v>12</v>
      </c>
      <c r="N798" t="n">
        <v>97.11</v>
      </c>
      <c r="O798" t="n">
        <v>37.40831295843521</v>
      </c>
    </row>
    <row r="799" hidden="1">
      <c r="A799" s="11" t="n">
        <v>46024</v>
      </c>
      <c r="B799" t="inlineStr">
        <is>
          <t>Leandro de Souza Silva</t>
        </is>
      </c>
      <c r="C799" t="inlineStr">
        <is>
          <t>JR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M799" t="n">
        <v>0</v>
      </c>
      <c r="N799" t="n">
        <v>0</v>
      </c>
      <c r="O799" t="n">
        <v>0</v>
      </c>
    </row>
    <row r="800" hidden="1">
      <c r="A800" s="11" t="n">
        <v>46024</v>
      </c>
      <c r="B800" t="inlineStr">
        <is>
          <t>Leandro Oliveira de Sousa</t>
        </is>
      </c>
      <c r="C800" t="inlineStr">
        <is>
          <t>Técnico III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M800" t="n">
        <v>0</v>
      </c>
      <c r="N800" t="n">
        <v>100</v>
      </c>
      <c r="O800" t="n">
        <v>30.47034764826176</v>
      </c>
    </row>
    <row r="801" hidden="1">
      <c r="A801" s="11" t="n">
        <v>46024</v>
      </c>
      <c r="B801" t="inlineStr">
        <is>
          <t>Lizandra Gomes Duarte</t>
        </is>
      </c>
      <c r="C801" t="inlineStr">
        <is>
          <t>Técnico II</t>
        </is>
      </c>
      <c r="D801" t="n">
        <v>18</v>
      </c>
      <c r="E801" t="n">
        <v>17</v>
      </c>
      <c r="F801" t="n">
        <v>20.36</v>
      </c>
      <c r="I801" s="3">
        <f>E801+G801+H801</f>
        <v/>
      </c>
      <c r="J801" s="3">
        <f>ROUND(MIN(IF(C801="Técnico III",35,IF(C801="Técnico II",28,IF(C801="Técnico I",23,IF(C801="JR",20,IF(C801="Estágio",10,0))))),IF(C801="Técnico III",SUMIFS($D:$D,$A:$A,$A801,$B:$B,"&lt;&gt;Patrícia Karla de Sousa Araújo",$B:$B,"&lt;&gt;Lorena Dias de Araujo",$B:$B,"&lt;&gt;Lucas Luiz Romero")*(35/1083),IF(C801="Técnico II",SUMIFS($D:$D,$A:$A,$A801,$B:$B,"&lt;&gt;Patrícia Karla de Sousa Araújo",$B:$B,"&lt;&gt;Lorena Dias de Araujo",$B:$B,"&lt;&gt;Lucas Luiz Romero")*(28/1083),IF(C801="Técnico I",SUMIFS($D:$D,$A:$A,$A801,$B:$B,"&lt;&gt;Patrícia Karla de Sousa Araújo",$B:$B,"&lt;&gt;Lorena Dias de Araujo",$B:$B,"&lt;&gt;Lucas Luiz Romero")*(23/1083),IF(C801="JR",SUMIFS($D:$D,$A:$A,$A801,$B:$B,"&lt;&gt;Patrícia Karla de Sousa Araújo",$B:$B,"&lt;&gt;Lorena Dias de Araujo",$B:$B,"&lt;&gt;Lucas Luiz Romero")*(20/1083),IF(C801="Estágio",SUMIFS($D:$D,$A:$A,$A801,$B:$B,"&lt;&gt;Patrícia Karla de Sousa Araújo",$B:$B,"&lt;&gt;Lorena Dias de Araujo",$B:$B,"&lt;&gt;Lucas Luiz Romero")*(10/1083),0)))))),0)</f>
        <v/>
      </c>
      <c r="K801" s="3">
        <f>I801-J801</f>
        <v/>
      </c>
      <c r="L801" s="3">
        <f>IF(K801&lt;-5,"CRÍTICO",IF(K801&lt;0,"ATENÇÃO",IF(K801&lt;=5,"BOM","EXCELENTE")))</f>
        <v/>
      </c>
      <c r="M801" t="n">
        <v>16</v>
      </c>
      <c r="N801" t="n">
        <v>100</v>
      </c>
      <c r="O801" t="n">
        <v>32.37113402061856</v>
      </c>
    </row>
    <row r="802" hidden="1">
      <c r="A802" s="11" t="n">
        <v>46024</v>
      </c>
      <c r="B802" t="inlineStr">
        <is>
          <t>Lorena Dias de Araujo</t>
        </is>
      </c>
      <c r="C802" t="inlineStr">
        <is>
          <t>Técnico II</t>
        </is>
      </c>
      <c r="D802" t="n">
        <v>12</v>
      </c>
      <c r="E802" t="n">
        <v>12</v>
      </c>
      <c r="F802" t="n">
        <v>29.09</v>
      </c>
      <c r="G802" t="n">
        <v>0</v>
      </c>
      <c r="H802" t="n">
        <v>0</v>
      </c>
      <c r="I802" s="3" t="n">
        <v>0</v>
      </c>
      <c r="J802" s="3" t="n">
        <v>0</v>
      </c>
      <c r="K802" s="3" t="n">
        <v>0</v>
      </c>
      <c r="L802" s="3">
        <f>IF(K802&lt;-5,"CRÍTICO",IF(K802&lt;0,"ATENÇÃO",IF(K802&lt;=5,"BOM","EXCELENTE")))</f>
        <v/>
      </c>
      <c r="M802" t="n">
        <v>10</v>
      </c>
      <c r="N802" t="n">
        <v>98.31999999999999</v>
      </c>
      <c r="O802" t="n">
        <v>32.31850117096019</v>
      </c>
    </row>
    <row r="803" hidden="1">
      <c r="A803" s="11" t="n">
        <v>46024</v>
      </c>
      <c r="B803" t="inlineStr">
        <is>
          <t>Lucas Luiz Romero</t>
        </is>
      </c>
      <c r="C803" t="inlineStr">
        <is>
          <t>Técnico III</t>
        </is>
      </c>
      <c r="D803" t="n">
        <v>32</v>
      </c>
      <c r="E803" t="n">
        <v>21</v>
      </c>
      <c r="F803" t="n">
        <v>15.38</v>
      </c>
      <c r="I803" s="3">
        <f>E803+G803+H803</f>
        <v/>
      </c>
      <c r="J803" s="3">
        <f>ROUND(MIN(IF(C803="Técnico III",35,IF(C803="Técnico II",28,IF(C803="Técnico I",23,IF(C803="JR",20,IF(C803="Estágio",10,0))))),IF(C803="Técnico III",SUMIFS($D:$D,$A:$A,$A803,$B:$B,"&lt;&gt;Patrícia Karla de Sousa Araújo",$B:$B,"&lt;&gt;Lorena Dias de Araujo",$B:$B,"&lt;&gt;Lucas Luiz Romero")*(35/1083),IF(C803="Técnico II",SUMIFS($D:$D,$A:$A,$A803,$B:$B,"&lt;&gt;Patrícia Karla de Sousa Araújo",$B:$B,"&lt;&gt;Lorena Dias de Araujo",$B:$B,"&lt;&gt;Lucas Luiz Romero")*(28/1083),IF(C803="Técnico I",SUMIFS($D:$D,$A:$A,$A803,$B:$B,"&lt;&gt;Patrícia Karla de Sousa Araújo",$B:$B,"&lt;&gt;Lorena Dias de Araujo",$B:$B,"&lt;&gt;Lucas Luiz Romero")*(23/1083),IF(C803="JR",SUMIFS($D:$D,$A:$A,$A803,$B:$B,"&lt;&gt;Patrícia Karla de Sousa Araújo",$B:$B,"&lt;&gt;Lorena Dias de Araujo",$B:$B,"&lt;&gt;Lucas Luiz Romero")*(20/1083),IF(C803="Estágio",SUMIFS($D:$D,$A:$A,$A803,$B:$B,"&lt;&gt;Patrícia Karla de Sousa Araújo",$B:$B,"&lt;&gt;Lorena Dias de Araujo",$B:$B,"&lt;&gt;Lucas Luiz Romero")*(10/1083),0)))))),0)</f>
        <v/>
      </c>
      <c r="K803" s="3">
        <f>I803-J803</f>
        <v/>
      </c>
      <c r="L803" s="3">
        <f>IF(K803&lt;-5,"CRÍTICO",IF(K803&lt;0,"ATENÇÃO",IF(K803&lt;=5,"BOM","EXCELENTE")))</f>
        <v/>
      </c>
      <c r="M803" t="n">
        <v>20</v>
      </c>
      <c r="N803" t="n">
        <v>96.43000000000001</v>
      </c>
      <c r="O803" t="n">
        <v>27.01525054466231</v>
      </c>
    </row>
    <row r="804" hidden="1">
      <c r="A804" s="11" t="n">
        <v>46024</v>
      </c>
      <c r="B804" t="inlineStr">
        <is>
          <t>Luiz Fernando de Carvalho Junior</t>
        </is>
      </c>
      <c r="C804" t="inlineStr">
        <is>
          <t>Técnico I</t>
        </is>
      </c>
      <c r="D804" t="n">
        <v>22</v>
      </c>
      <c r="E804" t="n">
        <v>20</v>
      </c>
      <c r="F804" t="n">
        <v>17.17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M804" t="n">
        <v>20</v>
      </c>
      <c r="N804" t="n">
        <v>98.89</v>
      </c>
      <c r="O804" t="n">
        <v>28.02197802197802</v>
      </c>
    </row>
    <row r="805" hidden="1">
      <c r="A805" s="11" t="n">
        <v>46024</v>
      </c>
      <c r="B805" t="inlineStr">
        <is>
          <t>Maria Eduarda Sousa Costa</t>
        </is>
      </c>
      <c r="C805" t="inlineStr">
        <is>
          <t>Estágio</t>
        </is>
      </c>
      <c r="D805" t="n">
        <v>0</v>
      </c>
      <c r="E805" t="n">
        <v>0</v>
      </c>
      <c r="F805" t="n">
        <v>0</v>
      </c>
      <c r="G805" t="n">
        <v>0</v>
      </c>
      <c r="H805" t="n">
        <v>0</v>
      </c>
      <c r="I805" s="3" t="n">
        <v>0</v>
      </c>
      <c r="J805" s="3" t="n">
        <v>0</v>
      </c>
      <c r="K805" s="3" t="n">
        <v>0</v>
      </c>
      <c r="L805" s="3">
        <f>IF(K805&lt;-5,"CRÍTICO",IF(K805&lt;0,"ATENÇÃO",IF(K805&lt;=5,"BOM","EXCELENTE")))</f>
        <v/>
      </c>
      <c r="M805" t="n">
        <v>0</v>
      </c>
      <c r="N805" t="n">
        <v>100</v>
      </c>
      <c r="O805" t="n">
        <v>33.33333333333333</v>
      </c>
    </row>
    <row r="806" hidden="1">
      <c r="A806" s="11" t="n">
        <v>46024</v>
      </c>
      <c r="B806" t="inlineStr">
        <is>
          <t>Matheus Farias De Souza</t>
        </is>
      </c>
      <c r="C806" t="inlineStr">
        <is>
          <t>Técnico III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M806" t="n">
        <v>0</v>
      </c>
      <c r="N806" t="n">
        <v>100</v>
      </c>
      <c r="O806" t="n">
        <v>27.43362831858407</v>
      </c>
    </row>
    <row r="807" hidden="1">
      <c r="A807" s="11" t="n">
        <v>46024</v>
      </c>
      <c r="B807" t="inlineStr">
        <is>
          <t>Maysa Victoria Dias Moura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M807" t="n">
        <v>0</v>
      </c>
      <c r="N807" t="n">
        <v>98.65000000000001</v>
      </c>
      <c r="O807" t="n">
        <v>30.97826086956522</v>
      </c>
    </row>
    <row r="808" hidden="1">
      <c r="A808" s="11" t="n">
        <v>46024</v>
      </c>
      <c r="B808" t="inlineStr">
        <is>
          <t>Michelle G Santos</t>
        </is>
      </c>
      <c r="C808" t="inlineStr">
        <is>
          <t>Estágio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M808" t="n">
        <v>0</v>
      </c>
      <c r="N808" t="n">
        <v>100</v>
      </c>
      <c r="O808" t="n">
        <v>12</v>
      </c>
    </row>
    <row r="809" hidden="1">
      <c r="A809" s="11" t="n">
        <v>46024</v>
      </c>
      <c r="B809" t="inlineStr">
        <is>
          <t>Milena Sales</t>
        </is>
      </c>
      <c r="C809" t="inlineStr">
        <is>
          <t>JR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M809" t="n">
        <v>0</v>
      </c>
      <c r="N809" t="n">
        <v>0</v>
      </c>
      <c r="O809" t="n">
        <v>0</v>
      </c>
    </row>
    <row r="810" hidden="1">
      <c r="A810" s="11" t="n">
        <v>46024</v>
      </c>
      <c r="B810" t="inlineStr">
        <is>
          <t>Patrícia Karla de Sousa Araújo</t>
        </is>
      </c>
      <c r="C810" t="inlineStr">
        <is>
          <t>Técnico II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M810" t="n">
        <v>0</v>
      </c>
      <c r="N810" t="n">
        <v>97.56</v>
      </c>
      <c r="O810" t="n">
        <v>31.06796116504854</v>
      </c>
    </row>
    <row r="811" hidden="1">
      <c r="A811" s="11" t="n">
        <v>46024</v>
      </c>
      <c r="B811" t="inlineStr">
        <is>
          <t>Paulo Ricardo Santos</t>
        </is>
      </c>
      <c r="C811" t="inlineStr">
        <is>
          <t>JR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M811" t="n">
        <v>0</v>
      </c>
      <c r="N811" t="n">
        <v>0</v>
      </c>
      <c r="O811" t="n">
        <v>0</v>
      </c>
    </row>
    <row r="812" hidden="1">
      <c r="A812" s="11" t="n">
        <v>46024</v>
      </c>
      <c r="B812" t="inlineStr">
        <is>
          <t>Pedro Luiz Mota Sousa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M812" t="n">
        <v>0</v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Quirino Diogo Leite Torres</t>
        </is>
      </c>
      <c r="C813" t="inlineStr">
        <is>
          <t>Estágio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M813" t="n">
        <v>0</v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Raane Batista Matos</t>
        </is>
      </c>
      <c r="C814" t="inlineStr">
        <is>
          <t>Técnico I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M814" t="n">
        <v>0</v>
      </c>
      <c r="N814" t="n">
        <v>100</v>
      </c>
      <c r="O814" t="n">
        <v>53.84615384615385</v>
      </c>
    </row>
    <row r="815" hidden="1">
      <c r="A815" s="11" t="n">
        <v>46024</v>
      </c>
      <c r="B815" t="inlineStr">
        <is>
          <t>Rafael Gomes de Morais</t>
        </is>
      </c>
      <c r="C815" t="inlineStr">
        <is>
          <t>Técnico III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M815" t="n">
        <v>0</v>
      </c>
      <c r="N815" t="n">
        <v>100</v>
      </c>
      <c r="O815" t="n">
        <v>44.05594405594406</v>
      </c>
    </row>
    <row r="816" hidden="1">
      <c r="A816" s="11" t="n">
        <v>46024</v>
      </c>
      <c r="B816" t="inlineStr">
        <is>
          <t>Sara Maria Monteiro Lopes</t>
        </is>
      </c>
      <c r="C816" t="inlineStr">
        <is>
          <t>Técnico 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M816" t="n">
        <v>0</v>
      </c>
      <c r="N816" t="n">
        <v>100</v>
      </c>
      <c r="O816" t="n">
        <v>31.87250996015936</v>
      </c>
    </row>
    <row r="817" hidden="1">
      <c r="A817" s="11" t="n">
        <v>46024</v>
      </c>
      <c r="B817" t="inlineStr">
        <is>
          <t>Sarah Steffanie de Lima Borges</t>
        </is>
      </c>
      <c r="C817" t="inlineStr">
        <is>
          <t>Técnico III</t>
        </is>
      </c>
      <c r="D817" t="n">
        <v>25</v>
      </c>
      <c r="E817" t="n">
        <v>24</v>
      </c>
      <c r="F817" t="n">
        <v>10.49</v>
      </c>
      <c r="I817" s="3">
        <f>E817+G817+H817</f>
        <v/>
      </c>
      <c r="J817" s="3">
        <f>ROUND(MIN(IF(C817="Técnico III",35,IF(C817="Técnico II",28,IF(C817="Técnico I",23,IF(C817="JR",20,IF(C817="Estágio",10,0))))),IF(C817="Técnico III",SUMIFS($D:$D,$A:$A,$A817,$B:$B,"&lt;&gt;Patrícia Karla de Sousa Araújo",$B:$B,"&lt;&gt;Lorena Dias de Araujo",$B:$B,"&lt;&gt;Lucas Luiz Romero")*(35/1083),IF(C817="Técnico II",SUMIFS($D:$D,$A:$A,$A817,$B:$B,"&lt;&gt;Patrícia Karla de Sousa Araújo",$B:$B,"&lt;&gt;Lorena Dias de Araujo",$B:$B,"&lt;&gt;Lucas Luiz Romero")*(28/1083),IF(C817="Técnico I",SUMIFS($D:$D,$A:$A,$A817,$B:$B,"&lt;&gt;Patrícia Karla de Sousa Araújo",$B:$B,"&lt;&gt;Lorena Dias de Araujo",$B:$B,"&lt;&gt;Lucas Luiz Romero")*(23/1083),IF(C817="JR",SUMIFS($D:$D,$A:$A,$A817,$B:$B,"&lt;&gt;Patrícia Karla de Sousa Araújo",$B:$B,"&lt;&gt;Lorena Dias de Araujo",$B:$B,"&lt;&gt;Lucas Luiz Romero")*(20/1083),IF(C817="Estágio",SUMIFS($D:$D,$A:$A,$A817,$B:$B,"&lt;&gt;Patrícia Karla de Sousa Araújo",$B:$B,"&lt;&gt;Lorena Dias de Araujo",$B:$B,"&lt;&gt;Lucas Luiz Romero")*(10/1083),0)))))),0)</f>
        <v/>
      </c>
      <c r="K817" s="3">
        <f>I817-J817</f>
        <v/>
      </c>
      <c r="L817" s="3">
        <f>IF(K817&lt;-5,"CRÍTICO",IF(K817&lt;0,"ATENÇÃO",IF(K817&lt;=5,"BOM","EXCELENTE")))</f>
        <v/>
      </c>
      <c r="M817" t="n">
        <v>22</v>
      </c>
      <c r="N817" t="n">
        <v>98.41</v>
      </c>
      <c r="O817" t="n">
        <v>29.22465208747515</v>
      </c>
    </row>
    <row r="818" hidden="1">
      <c r="A818" s="11" t="n">
        <v>46027</v>
      </c>
      <c r="B818" t="inlineStr">
        <is>
          <t>Alisson de Freitas Silva</t>
        </is>
      </c>
      <c r="C818" t="inlineStr">
        <is>
          <t>Técnico II</t>
        </is>
      </c>
      <c r="D818" t="n">
        <v>36</v>
      </c>
      <c r="E818" t="n">
        <v>25</v>
      </c>
      <c r="F818" t="n">
        <v>11.48</v>
      </c>
      <c r="G818" t="n">
        <v>0</v>
      </c>
      <c r="H818" t="n">
        <v>0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M818" t="n">
        <v>24</v>
      </c>
      <c r="N818" t="n">
        <v>96.81</v>
      </c>
      <c r="O818" t="n">
        <v>27.98053527980535</v>
      </c>
    </row>
    <row r="819" hidden="1">
      <c r="A819" s="11" t="n">
        <v>46027</v>
      </c>
      <c r="B819" t="inlineStr">
        <is>
          <t>Amanda Moura Ferreira</t>
        </is>
      </c>
      <c r="C819" t="inlineStr">
        <is>
          <t>Técnico III</t>
        </is>
      </c>
      <c r="D819" t="n">
        <v>0</v>
      </c>
      <c r="E819" t="n">
        <v>0</v>
      </c>
      <c r="F819" t="n">
        <v>0</v>
      </c>
      <c r="G819" t="n">
        <v>0</v>
      </c>
      <c r="H819" t="n">
        <v>0</v>
      </c>
      <c r="I819" s="3" t="n">
        <v>0</v>
      </c>
      <c r="J819" s="3" t="n">
        <v>0</v>
      </c>
      <c r="K819" s="3" t="n">
        <v>0</v>
      </c>
      <c r="L819" s="3">
        <f>IF(K819&lt;-5,"CRÍTICO",IF(K819&lt;0,"ATENÇÃO",IF(K819&lt;=5,"BOM","EXCELENTE")))</f>
        <v/>
      </c>
      <c r="M819" t="n">
        <v>25</v>
      </c>
      <c r="N819" t="n">
        <v>98.73</v>
      </c>
      <c r="O819" t="n">
        <v>35.75638506876228</v>
      </c>
    </row>
    <row r="820" hidden="1">
      <c r="A820" s="11" t="n">
        <v>46027</v>
      </c>
      <c r="B820" t="inlineStr">
        <is>
          <t>Ana Karollyne Souza Faria</t>
        </is>
      </c>
      <c r="C820" t="inlineStr">
        <is>
          <t>Técnico I</t>
        </is>
      </c>
      <c r="D820" t="n">
        <v>36</v>
      </c>
      <c r="E820" t="n">
        <v>32</v>
      </c>
      <c r="F820" t="n">
        <v>18.56</v>
      </c>
      <c r="G820" t="n">
        <v>0</v>
      </c>
      <c r="H820" t="n">
        <v>0</v>
      </c>
      <c r="I820" s="3">
        <f>E820+G820+H820</f>
        <v/>
      </c>
      <c r="J820" s="3">
        <f>ROUND(MIN(IF(C820="Técnico III",35,IF(C820="Técnico II",28,IF(C820="Técnico I",23,IF(C820="JR",20,IF(C820="Estágio",10,0))))),IF(C820="Técnico III",SUMIFS($D:$D,$A:$A,$A820,$B:$B,"&lt;&gt;Patrícia Karla de Sousa Araújo",$B:$B,"&lt;&gt;Lorena Dias de Araujo",$B:$B,"&lt;&gt;Lucas Luiz Romero")*(35/1083),IF(C820="Técnico II",SUMIFS($D:$D,$A:$A,$A820,$B:$B,"&lt;&gt;Patrícia Karla de Sousa Araújo",$B:$B,"&lt;&gt;Lorena Dias de Araujo",$B:$B,"&lt;&gt;Lucas Luiz Romero")*(28/1083),IF(C820="Técnico I",SUMIFS($D:$D,$A:$A,$A820,$B:$B,"&lt;&gt;Patrícia Karla de Sousa Araújo",$B:$B,"&lt;&gt;Lorena Dias de Araujo",$B:$B,"&lt;&gt;Lucas Luiz Romero")*(23/1083),IF(C820="JR",SUMIFS($D:$D,$A:$A,$A820,$B:$B,"&lt;&gt;Patrícia Karla de Sousa Araújo",$B:$B,"&lt;&gt;Lorena Dias de Araujo",$B:$B,"&lt;&gt;Lucas Luiz Romero")*(20/1083),IF(C820="Estágio",SUMIFS($D:$D,$A:$A,$A820,$B:$B,"&lt;&gt;Patrícia Karla de Sousa Araújo",$B:$B,"&lt;&gt;Lorena Dias de Araujo",$B:$B,"&lt;&gt;Lucas Luiz Romero")*(10/1083),0)))))),0)</f>
        <v/>
      </c>
      <c r="K820" s="3">
        <f>I820-J820</f>
        <v/>
      </c>
      <c r="L820" s="3">
        <f>IF(K820&lt;-5,"CRÍTICO",IF(K820&lt;0,"ATENÇÃO",IF(K820&lt;=5,"BOM","EXCELENTE")))</f>
        <v/>
      </c>
      <c r="M820" t="n">
        <v>29</v>
      </c>
      <c r="N820" t="n">
        <v>98.31999999999999</v>
      </c>
      <c r="O820" t="n">
        <v>26.76348547717842</v>
      </c>
    </row>
    <row r="821" hidden="1">
      <c r="A821" s="11" t="n">
        <v>46027</v>
      </c>
      <c r="B821" t="inlineStr">
        <is>
          <t>Ana Paula Da Luz Silva Aleixo</t>
        </is>
      </c>
      <c r="C821" t="inlineStr">
        <is>
          <t>Técnico III</t>
        </is>
      </c>
      <c r="D821" t="n">
        <v>32</v>
      </c>
      <c r="E821" t="n">
        <v>32</v>
      </c>
      <c r="F821" t="n">
        <v>15.4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M821" t="n">
        <v>27</v>
      </c>
      <c r="N821" t="n">
        <v>99.19</v>
      </c>
      <c r="O821" t="n">
        <v>27.63713080168776</v>
      </c>
    </row>
    <row r="822" hidden="1">
      <c r="A822" s="11" t="n">
        <v>46027</v>
      </c>
      <c r="B822" t="inlineStr">
        <is>
          <t>Anna Luiza Rezende Tavares</t>
        </is>
      </c>
      <c r="C822" t="inlineStr">
        <is>
          <t>Estágio</t>
        </is>
      </c>
      <c r="D822" t="n">
        <v>9</v>
      </c>
      <c r="E822" t="n">
        <v>9</v>
      </c>
      <c r="F822" t="n">
        <v>20.23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M822" t="n">
        <v>9</v>
      </c>
      <c r="N822" t="n">
        <v>100</v>
      </c>
      <c r="O822" t="n">
        <v>39.56834532374101</v>
      </c>
    </row>
    <row r="823" hidden="1">
      <c r="A823" s="11" t="n">
        <v>46027</v>
      </c>
      <c r="B823" t="inlineStr">
        <is>
          <t>Brenda de Menezes Silva</t>
        </is>
      </c>
      <c r="C823" t="inlineStr">
        <is>
          <t>Técnico II</t>
        </is>
      </c>
      <c r="D823" t="n">
        <v>28</v>
      </c>
      <c r="E823" t="n">
        <v>26</v>
      </c>
      <c r="F823" t="n">
        <v>18.22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M823" t="n">
        <v>26</v>
      </c>
      <c r="N823" t="n">
        <v>98.54000000000001</v>
      </c>
      <c r="O823" t="n">
        <v>28.54477611940299</v>
      </c>
    </row>
    <row r="824" hidden="1">
      <c r="A824" s="11" t="n">
        <v>46027</v>
      </c>
      <c r="B824" t="inlineStr">
        <is>
          <t>Carlos Mateus Cassimiro Nunes</t>
        </is>
      </c>
      <c r="C824" t="inlineStr">
        <is>
          <t>Técnico II</t>
        </is>
      </c>
      <c r="D824" t="n">
        <v>33</v>
      </c>
      <c r="E824" t="n">
        <v>31</v>
      </c>
      <c r="F824" t="n">
        <v>15.32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M824" t="n">
        <v>27</v>
      </c>
      <c r="N824" t="n">
        <v>100</v>
      </c>
      <c r="O824" t="n">
        <v>34.36692506459949</v>
      </c>
    </row>
    <row r="825" hidden="1">
      <c r="A825" s="11" t="n">
        <v>46027</v>
      </c>
      <c r="B825" t="inlineStr">
        <is>
          <t>Claudio de Sousa Velasco Filho</t>
        </is>
      </c>
      <c r="C825" t="inlineStr">
        <is>
          <t>Estágio</t>
        </is>
      </c>
      <c r="D825" t="n">
        <v>0</v>
      </c>
      <c r="E825" t="n">
        <v>0</v>
      </c>
      <c r="F825" t="n">
        <v>0</v>
      </c>
      <c r="G825" t="n">
        <v>0</v>
      </c>
      <c r="H825" t="n">
        <v>0</v>
      </c>
      <c r="I825" s="3" t="n">
        <v>0</v>
      </c>
      <c r="J825" s="3" t="n">
        <v>0</v>
      </c>
      <c r="K825" s="3" t="n">
        <v>0</v>
      </c>
      <c r="L825" s="3">
        <f>IF(K825&lt;-5,"CRÍTICO",IF(K825&lt;0,"ATENÇÃO",IF(K825&lt;=5,"BOM","EXCELENTE")))</f>
        <v/>
      </c>
      <c r="M825" t="n">
        <v>0</v>
      </c>
      <c r="N825" t="n">
        <v>0</v>
      </c>
      <c r="O825" t="n">
        <v>0</v>
      </c>
    </row>
    <row r="826" hidden="1">
      <c r="A826" s="11" t="n">
        <v>46027</v>
      </c>
      <c r="B826" t="inlineStr">
        <is>
          <t>Clessiane Pereira dos Santos</t>
        </is>
      </c>
      <c r="C826" t="inlineStr">
        <is>
          <t>Técnico I</t>
        </is>
      </c>
      <c r="D826" t="n">
        <v>22</v>
      </c>
      <c r="E826" t="n">
        <v>20</v>
      </c>
      <c r="F826" t="n">
        <v>18.23</v>
      </c>
      <c r="G826" t="n">
        <v>0</v>
      </c>
      <c r="H826" t="n">
        <v>0</v>
      </c>
      <c r="I826" s="3">
        <f>E826+G826+H826</f>
        <v/>
      </c>
      <c r="J826" s="3">
        <f>ROUND(MIN(IF(C826="Técnico III",35,IF(C826="Técnico II",28,IF(C826="Técnico I",23,IF(C826="JR",20,IF(C826="Estágio",10,0))))),IF(C826="Técnico III",SUMIFS($D:$D,$A:$A,$A826,$B:$B,"&lt;&gt;Patrícia Karla de Sousa Araújo",$B:$B,"&lt;&gt;Lorena Dias de Araujo",$B:$B,"&lt;&gt;Lucas Luiz Romero")*(35/1083),IF(C826="Técnico II",SUMIFS($D:$D,$A:$A,$A826,$B:$B,"&lt;&gt;Patrícia Karla de Sousa Araújo",$B:$B,"&lt;&gt;Lorena Dias de Araujo",$B:$B,"&lt;&gt;Lucas Luiz Romero")*(28/1083),IF(C826="Técnico I",SUMIFS($D:$D,$A:$A,$A826,$B:$B,"&lt;&gt;Patrícia Karla de Sousa Araújo",$B:$B,"&lt;&gt;Lorena Dias de Araujo",$B:$B,"&lt;&gt;Lucas Luiz Romero")*(23/1083),IF(C826="JR",SUMIFS($D:$D,$A:$A,$A826,$B:$B,"&lt;&gt;Patrícia Karla de Sousa Araújo",$B:$B,"&lt;&gt;Lorena Dias de Araujo",$B:$B,"&lt;&gt;Lucas Luiz Romero")*(20/1083),IF(C826="Estágio",SUMIFS($D:$D,$A:$A,$A826,$B:$B,"&lt;&gt;Patrícia Karla de Sousa Araújo",$B:$B,"&lt;&gt;Lorena Dias de Araujo",$B:$B,"&lt;&gt;Lucas Luiz Romero")*(10/1083),0)))))),0)</f>
        <v/>
      </c>
      <c r="K826" s="3">
        <f>I826-J826</f>
        <v/>
      </c>
      <c r="L826" s="3">
        <f>IF(K826&lt;-5,"CRÍTICO",IF(K826&lt;0,"ATENÇÃO",IF(K826&lt;=5,"BOM","EXCELENTE")))</f>
        <v/>
      </c>
      <c r="M826" t="n">
        <v>17</v>
      </c>
      <c r="N826" t="n">
        <v>100</v>
      </c>
      <c r="O826" t="n">
        <v>29.51807228915663</v>
      </c>
    </row>
    <row r="827" hidden="1">
      <c r="A827" s="11" t="n">
        <v>46027</v>
      </c>
      <c r="B827" t="inlineStr">
        <is>
          <t>Cristiane Ramos da Silva Rocha</t>
        </is>
      </c>
      <c r="C827" t="inlineStr">
        <is>
          <t>Técnico III</t>
        </is>
      </c>
      <c r="D827" t="n">
        <v>42</v>
      </c>
      <c r="E827" t="n">
        <v>40</v>
      </c>
      <c r="F827" t="n">
        <v>12.27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M827" t="n">
        <v>38</v>
      </c>
      <c r="N827" t="n">
        <v>97.45</v>
      </c>
      <c r="O827" t="n">
        <v>41.421143847487</v>
      </c>
    </row>
    <row r="828" hidden="1">
      <c r="A828" s="11" t="n">
        <v>46027</v>
      </c>
      <c r="B828" t="inlineStr">
        <is>
          <t>Damyllis Lorraine de Oliveira Gonçalves</t>
        </is>
      </c>
      <c r="C828" t="inlineStr">
        <is>
          <t>Técnico II</t>
        </is>
      </c>
      <c r="D828" t="n">
        <v>33</v>
      </c>
      <c r="E828" t="n">
        <v>23</v>
      </c>
      <c r="F828" t="n">
        <v>13.36</v>
      </c>
      <c r="G828" t="n">
        <v>0</v>
      </c>
      <c r="H828" t="n">
        <v>0</v>
      </c>
      <c r="I828" s="3" t="n">
        <v>0</v>
      </c>
      <c r="J828" s="3" t="n">
        <v>0</v>
      </c>
      <c r="K828" s="3" t="n">
        <v>0</v>
      </c>
      <c r="L828" s="3">
        <f>IF(K828&lt;-5,"CRÍTICO",IF(K828&lt;0,"ATENÇÃO",IF(K828&lt;=5,"BOM","EXCELENTE")))</f>
        <v/>
      </c>
      <c r="M828" t="n">
        <v>25</v>
      </c>
      <c r="N828" t="n">
        <v>96.58</v>
      </c>
      <c r="O828" t="n">
        <v>30.39647577092511</v>
      </c>
    </row>
    <row r="829" hidden="1">
      <c r="A829" s="11" t="n">
        <v>46027</v>
      </c>
      <c r="B829" t="inlineStr">
        <is>
          <t>Daniel Gomes da Silva</t>
        </is>
      </c>
      <c r="C829" t="inlineStr">
        <is>
          <t>Técnico I</t>
        </is>
      </c>
      <c r="D829" t="n">
        <v>26</v>
      </c>
      <c r="E829" t="n">
        <v>22</v>
      </c>
      <c r="F829" t="n">
        <v>19.13</v>
      </c>
      <c r="G829" t="n">
        <v>0</v>
      </c>
      <c r="H829" t="n">
        <v>0</v>
      </c>
      <c r="I829" s="3">
        <f>E829+G829+H829</f>
        <v/>
      </c>
      <c r="J829" s="3">
        <f>ROUND(MIN(IF(C829="Técnico III",35,IF(C829="Técnico II",28,IF(C829="Técnico I",23,IF(C829="JR",20,IF(C829="Estágio",10,0))))),IF(C829="Técnico III",SUMIFS($D:$D,$A:$A,$A829,$B:$B,"&lt;&gt;Patrícia Karla de Sousa Araújo",$B:$B,"&lt;&gt;Lorena Dias de Araujo",$B:$B,"&lt;&gt;Lucas Luiz Romero")*(35/1083),IF(C829="Técnico II",SUMIFS($D:$D,$A:$A,$A829,$B:$B,"&lt;&gt;Patrícia Karla de Sousa Araújo",$B:$B,"&lt;&gt;Lorena Dias de Araujo",$B:$B,"&lt;&gt;Lucas Luiz Romero")*(28/1083),IF(C829="Técnico I",SUMIFS($D:$D,$A:$A,$A829,$B:$B,"&lt;&gt;Patrícia Karla de Sousa Araújo",$B:$B,"&lt;&gt;Lorena Dias de Araujo",$B:$B,"&lt;&gt;Lucas Luiz Romero")*(23/1083),IF(C829="JR",SUMIFS($D:$D,$A:$A,$A829,$B:$B,"&lt;&gt;Patrícia Karla de Sousa Araújo",$B:$B,"&lt;&gt;Lorena Dias de Araujo",$B:$B,"&lt;&gt;Lucas Luiz Romero")*(20/1083),IF(C829="Estágio",SUMIFS($D:$D,$A:$A,$A829,$B:$B,"&lt;&gt;Patrícia Karla de Sousa Araújo",$B:$B,"&lt;&gt;Lorena Dias de Araujo",$B:$B,"&lt;&gt;Lucas Luiz Romero")*(10/1083),0)))))),0)</f>
        <v/>
      </c>
      <c r="K829" s="3">
        <f>I829-J829</f>
        <v/>
      </c>
      <c r="L829" s="3">
        <f>IF(K829&lt;-5,"CRÍTICO",IF(K829&lt;0,"ATENÇÃO",IF(K829&lt;=5,"BOM","EXCELENTE")))</f>
        <v/>
      </c>
      <c r="M829" t="n">
        <v>25</v>
      </c>
      <c r="N829" t="n">
        <v>100</v>
      </c>
      <c r="O829" t="n">
        <v>27.44282744282744</v>
      </c>
    </row>
    <row r="830" hidden="1">
      <c r="A830" s="11" t="n">
        <v>46027</v>
      </c>
      <c r="B830" t="inlineStr">
        <is>
          <t>Davylla Rodrigues Freitas Silva</t>
        </is>
      </c>
      <c r="C830" t="inlineStr">
        <is>
          <t>Técnico III</t>
        </is>
      </c>
      <c r="D830" t="n">
        <v>22</v>
      </c>
      <c r="E830" t="n">
        <v>22</v>
      </c>
      <c r="F830" t="n">
        <v>23.55</v>
      </c>
      <c r="G830" t="n">
        <v>0</v>
      </c>
      <c r="H830" t="n">
        <v>0</v>
      </c>
      <c r="I830" s="3" t="n">
        <v>0</v>
      </c>
      <c r="J830" s="3" t="n">
        <v>0</v>
      </c>
      <c r="K830" s="3" t="n">
        <v>0</v>
      </c>
      <c r="L830" s="3">
        <f>IF(K830&lt;-5,"CRÍTICO",IF(K830&lt;0,"ATENÇÃO",IF(K830&lt;=5,"BOM","EXCELENTE")))</f>
        <v/>
      </c>
      <c r="M830" t="n">
        <v>24</v>
      </c>
      <c r="N830" t="n">
        <v>99.48999999999999</v>
      </c>
      <c r="O830" t="n">
        <v>40.2</v>
      </c>
    </row>
    <row r="831" hidden="1">
      <c r="A831" s="11" t="n">
        <v>46027</v>
      </c>
      <c r="B831" t="inlineStr">
        <is>
          <t>Emilly Caylane Costa</t>
        </is>
      </c>
      <c r="C831" t="inlineStr">
        <is>
          <t>Estágio</t>
        </is>
      </c>
      <c r="D831" t="n">
        <v>0</v>
      </c>
      <c r="E831" t="n">
        <v>0</v>
      </c>
      <c r="F831" t="n">
        <v>0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M831" t="n">
        <v>0</v>
      </c>
      <c r="N831" t="n">
        <v>100</v>
      </c>
      <c r="O831" t="n">
        <v>25</v>
      </c>
    </row>
    <row r="832" hidden="1">
      <c r="A832" s="11" t="n">
        <v>46027</v>
      </c>
      <c r="B832" t="inlineStr">
        <is>
          <t>Emilly Kamilly Medeiros Miranda</t>
        </is>
      </c>
      <c r="C832" t="inlineStr">
        <is>
          <t>Técnico II</t>
        </is>
      </c>
      <c r="D832" t="n">
        <v>39</v>
      </c>
      <c r="E832" t="n">
        <v>38</v>
      </c>
      <c r="F832" t="n">
        <v>12.19</v>
      </c>
      <c r="G832" t="n">
        <v>0</v>
      </c>
      <c r="H832" t="n">
        <v>0</v>
      </c>
      <c r="I832" s="3">
        <f>E832+G832+H832</f>
        <v/>
      </c>
      <c r="J832" s="3">
        <f>ROUND(MIN(IF(C832="Técnico III",35,IF(C832="Técnico II",28,IF(C832="Técnico I",23,IF(C832="JR",20,IF(C832="Estágio",10,0))))),IF(C832="Técnico III",SUMIFS($D:$D,$A:$A,$A832,$B:$B,"&lt;&gt;Patrícia Karla de Sousa Araújo",$B:$B,"&lt;&gt;Lorena Dias de Araujo",$B:$B,"&lt;&gt;Lucas Luiz Romero")*(35/1083),IF(C832="Técnico II",SUMIFS($D:$D,$A:$A,$A832,$B:$B,"&lt;&gt;Patrícia Karla de Sousa Araújo",$B:$B,"&lt;&gt;Lorena Dias de Araujo",$B:$B,"&lt;&gt;Lucas Luiz Romero")*(28/1083),IF(C832="Técnico I",SUMIFS($D:$D,$A:$A,$A832,$B:$B,"&lt;&gt;Patrícia Karla de Sousa Araújo",$B:$B,"&lt;&gt;Lorena Dias de Araujo",$B:$B,"&lt;&gt;Lucas Luiz Romero")*(23/1083),IF(C832="JR",SUMIFS($D:$D,$A:$A,$A832,$B:$B,"&lt;&gt;Patrícia Karla de Sousa Araújo",$B:$B,"&lt;&gt;Lorena Dias de Araujo",$B:$B,"&lt;&gt;Lucas Luiz Romero")*(20/1083),IF(C832="Estágio",SUMIFS($D:$D,$A:$A,$A832,$B:$B,"&lt;&gt;Patrícia Karla de Sousa Araújo",$B:$B,"&lt;&gt;Lorena Dias de Araujo",$B:$B,"&lt;&gt;Lucas Luiz Romero")*(10/1083),0)))))),0)</f>
        <v/>
      </c>
      <c r="K832" s="3">
        <f>I832-J832</f>
        <v/>
      </c>
      <c r="L832" s="3">
        <f>IF(K832&lt;-5,"CRÍTICO",IF(K832&lt;0,"ATENÇÃO",IF(K832&lt;=5,"BOM","EXCELENTE")))</f>
        <v/>
      </c>
      <c r="M832" t="n">
        <v>34</v>
      </c>
      <c r="N832" t="n">
        <v>100</v>
      </c>
      <c r="O832" t="n">
        <v>34.15094339622641</v>
      </c>
    </row>
    <row r="833" hidden="1">
      <c r="A833" s="11" t="n">
        <v>46027</v>
      </c>
      <c r="B833" t="inlineStr">
        <is>
          <t>Francielson de Oliveira</t>
        </is>
      </c>
      <c r="C833" t="inlineStr">
        <is>
          <t>Técnico III</t>
        </is>
      </c>
      <c r="D833" t="n">
        <v>32</v>
      </c>
      <c r="E833" t="n">
        <v>29</v>
      </c>
      <c r="F833" t="n">
        <v>11.53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M833" t="n">
        <v>30</v>
      </c>
      <c r="N833" t="n">
        <v>100</v>
      </c>
      <c r="O833" t="n">
        <v>32.7313769751693</v>
      </c>
    </row>
    <row r="834" hidden="1">
      <c r="A834" s="11" t="n">
        <v>46027</v>
      </c>
      <c r="B834" t="inlineStr">
        <is>
          <t>Francilene Ferreira de Jesus</t>
        </is>
      </c>
      <c r="C834" t="inlineStr">
        <is>
          <t>Técnico II</t>
        </is>
      </c>
      <c r="D834" t="n">
        <v>32</v>
      </c>
      <c r="E834" t="n">
        <v>27</v>
      </c>
      <c r="F834" t="n">
        <v>20.36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M834" t="n">
        <v>27</v>
      </c>
      <c r="N834" t="n">
        <v>99.31</v>
      </c>
      <c r="O834" t="n">
        <v>30.96234309623431</v>
      </c>
    </row>
    <row r="835" hidden="1">
      <c r="A835" s="11" t="n">
        <v>46059</v>
      </c>
      <c r="B835" t="inlineStr">
        <is>
          <t>Gabriel Gomes de Andrade</t>
        </is>
      </c>
      <c r="C835" t="inlineStr">
        <is>
          <t>Técnico I</t>
        </is>
      </c>
      <c r="D835" t="n">
        <v>18</v>
      </c>
      <c r="E835" t="n">
        <v>16</v>
      </c>
      <c r="F835" t="n">
        <v>27.15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M835" t="n">
        <v>28</v>
      </c>
      <c r="N835" t="n">
        <v>96.67</v>
      </c>
      <c r="O835" t="n">
        <v>31.45161290322581</v>
      </c>
    </row>
    <row r="836" hidden="1">
      <c r="A836" s="11" t="n">
        <v>46027</v>
      </c>
      <c r="B836" t="inlineStr">
        <is>
          <t>Isabella Borges de Oliveira</t>
        </is>
      </c>
      <c r="C836" t="inlineStr">
        <is>
          <t>Técnico II</t>
        </is>
      </c>
      <c r="D836" t="n">
        <v>27</v>
      </c>
      <c r="E836" t="n">
        <v>24</v>
      </c>
      <c r="F836" t="n">
        <v>22.12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M836" t="n">
        <v>25</v>
      </c>
      <c r="N836" t="n">
        <v>100</v>
      </c>
      <c r="O836" t="n">
        <v>27.67676767676768</v>
      </c>
    </row>
    <row r="837" hidden="1">
      <c r="A837" s="11" t="n">
        <v>46027</v>
      </c>
      <c r="B837" t="inlineStr">
        <is>
          <t>Janaina Lima dos Reis Urany</t>
        </is>
      </c>
      <c r="C837" t="inlineStr">
        <is>
          <t>Técnico III</t>
        </is>
      </c>
      <c r="D837" t="n">
        <v>53</v>
      </c>
      <c r="E837" t="n">
        <v>44</v>
      </c>
      <c r="F837" t="n">
        <v>12.26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M837" t="n">
        <v>46</v>
      </c>
      <c r="N837" t="n">
        <v>100</v>
      </c>
      <c r="O837" t="n">
        <v>31.17723156532988</v>
      </c>
    </row>
    <row r="838" hidden="1">
      <c r="A838" s="11" t="n">
        <v>46027</v>
      </c>
      <c r="B838" t="inlineStr">
        <is>
          <t>Jaqueline Evangelista da Silva Martins</t>
        </is>
      </c>
      <c r="C838" t="inlineStr">
        <is>
          <t>Técnico III</t>
        </is>
      </c>
      <c r="D838" t="n">
        <v>14</v>
      </c>
      <c r="E838" t="n">
        <v>12</v>
      </c>
      <c r="F838" t="n">
        <v>15.15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M838" t="n">
        <v>11</v>
      </c>
      <c r="N838" t="n">
        <v>100</v>
      </c>
      <c r="O838" t="n">
        <v>27.60942760942761</v>
      </c>
    </row>
    <row r="839" hidden="1">
      <c r="A839" s="11" t="n">
        <v>46027</v>
      </c>
      <c r="B839" t="inlineStr">
        <is>
          <t>Jessica Faria da Silveira</t>
        </is>
      </c>
      <c r="C839" t="inlineStr">
        <is>
          <t>Técnico II</t>
        </is>
      </c>
      <c r="D839" t="n">
        <v>40</v>
      </c>
      <c r="E839" t="n">
        <v>30</v>
      </c>
      <c r="F839" t="n">
        <v>11.52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M839" t="n">
        <v>29</v>
      </c>
      <c r="N839" t="n">
        <v>96.40000000000001</v>
      </c>
      <c r="O839" t="n">
        <v>28.76404494382023</v>
      </c>
    </row>
    <row r="840" hidden="1">
      <c r="A840" s="11" t="n">
        <v>46027</v>
      </c>
      <c r="B840" t="inlineStr">
        <is>
          <t>Jéssica Fé Moura</t>
        </is>
      </c>
      <c r="C840" t="inlineStr">
        <is>
          <t>Técnico III</t>
        </is>
      </c>
      <c r="D840" t="n">
        <v>0</v>
      </c>
      <c r="E840" t="n">
        <v>0</v>
      </c>
      <c r="F840" t="n">
        <v>0</v>
      </c>
      <c r="G840" t="n">
        <v>0</v>
      </c>
      <c r="H840" t="n">
        <v>0</v>
      </c>
      <c r="I840" s="3" t="n">
        <v>0</v>
      </c>
      <c r="J840" s="3" t="n">
        <v>0</v>
      </c>
      <c r="K840" s="3" t="n">
        <v>0</v>
      </c>
      <c r="L840" s="3">
        <f>IF(K840&lt;-5,"CRÍTICO",IF(K840&lt;0,"ATENÇÃO",IF(K840&lt;=5,"BOM","EXCELENTE")))</f>
        <v/>
      </c>
      <c r="M840" t="n">
        <v>21</v>
      </c>
      <c r="N840" t="n">
        <v>100</v>
      </c>
      <c r="O840" t="n">
        <v>33.98058252427185</v>
      </c>
    </row>
    <row r="841" hidden="1">
      <c r="A841" s="11" t="n">
        <v>46027</v>
      </c>
      <c r="B841" t="inlineStr">
        <is>
          <t>Karina Gonçalves Martins</t>
        </is>
      </c>
      <c r="C841" t="inlineStr">
        <is>
          <t>JR</t>
        </is>
      </c>
      <c r="D841" t="n">
        <v>7</v>
      </c>
      <c r="E841" t="n">
        <v>6</v>
      </c>
      <c r="F841" t="n">
        <v>29.13</v>
      </c>
      <c r="G841" t="n">
        <v>0</v>
      </c>
      <c r="H841" t="n">
        <v>0</v>
      </c>
      <c r="I841" s="3">
        <f>E841+G841+H841</f>
        <v/>
      </c>
      <c r="J841" s="3">
        <f>ROUND(MIN(IF(C841="Técnico III",35,IF(C841="Técnico II",28,IF(C841="Técnico I",23,IF(C841="JR",20,IF(C841="Estágio",10,0))))),IF(C841="Técnico III",SUMIFS($D:$D,$A:$A,$A841,$B:$B,"&lt;&gt;Patrícia Karla de Sousa Araújo",$B:$B,"&lt;&gt;Lorena Dias de Araujo",$B:$B,"&lt;&gt;Lucas Luiz Romero")*(35/1083),IF(C841="Técnico II",SUMIFS($D:$D,$A:$A,$A841,$B:$B,"&lt;&gt;Patrícia Karla de Sousa Araújo",$B:$B,"&lt;&gt;Lorena Dias de Araujo",$B:$B,"&lt;&gt;Lucas Luiz Romero")*(28/1083),IF(C841="Técnico I",SUMIFS($D:$D,$A:$A,$A841,$B:$B,"&lt;&gt;Patrícia Karla de Sousa Araújo",$B:$B,"&lt;&gt;Lorena Dias de Araujo",$B:$B,"&lt;&gt;Lucas Luiz Romero")*(23/1083),IF(C841="JR",SUMIFS($D:$D,$A:$A,$A841,$B:$B,"&lt;&gt;Patrícia Karla de Sousa Araújo",$B:$B,"&lt;&gt;Lorena Dias de Araujo",$B:$B,"&lt;&gt;Lucas Luiz Romero")*(20/1083),IF(C841="Estágio",SUMIFS($D:$D,$A:$A,$A841,$B:$B,"&lt;&gt;Patrícia Karla de Sousa Araújo",$B:$B,"&lt;&gt;Lorena Dias de Araujo",$B:$B,"&lt;&gt;Lucas Luiz Romero")*(10/1083),0)))))),0)</f>
        <v/>
      </c>
      <c r="K841" s="3">
        <f>I841-J841</f>
        <v/>
      </c>
      <c r="L841" s="3">
        <f>IF(K841&lt;-5,"CRÍTICO",IF(K841&lt;0,"ATENÇÃO",IF(K841&lt;=5,"BOM","EXCELENTE")))</f>
        <v/>
      </c>
      <c r="M841" t="n">
        <v>6</v>
      </c>
      <c r="N841" t="n">
        <v>97.56</v>
      </c>
      <c r="O841" t="n">
        <v>32.51533742331289</v>
      </c>
    </row>
    <row r="842" hidden="1">
      <c r="A842" s="11" t="n">
        <v>46027</v>
      </c>
      <c r="B842" t="inlineStr">
        <is>
          <t>Kerollen Cristielly de Jesus Siqueira</t>
        </is>
      </c>
      <c r="C842" t="inlineStr">
        <is>
          <t>Técnico III</t>
        </is>
      </c>
      <c r="D842" t="n">
        <v>0</v>
      </c>
      <c r="E842" t="n">
        <v>0</v>
      </c>
      <c r="F842" t="n">
        <v>0</v>
      </c>
      <c r="G842" t="n">
        <v>0</v>
      </c>
      <c r="H842" t="n">
        <v>0</v>
      </c>
      <c r="I842" s="3" t="n">
        <v>0</v>
      </c>
      <c r="J842" s="3" t="n">
        <v>0</v>
      </c>
      <c r="K842" s="3" t="n">
        <v>0</v>
      </c>
      <c r="L842" s="3">
        <f>IF(K842&lt;-5,"CRÍTICO",IF(K842&lt;0,"ATENÇÃO",IF(K842&lt;=5,"BOM","EXCELENTE")))</f>
        <v/>
      </c>
      <c r="M842" t="n">
        <v>15</v>
      </c>
      <c r="N842" t="n">
        <v>97.11</v>
      </c>
      <c r="O842" t="n">
        <v>37.40831295843521</v>
      </c>
    </row>
    <row r="843" hidden="1">
      <c r="A843" s="11" t="n">
        <v>46027</v>
      </c>
      <c r="B843" t="inlineStr">
        <is>
          <t>Leandro de Souza Silva</t>
        </is>
      </c>
      <c r="C843" t="inlineStr">
        <is>
          <t>JR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M843" t="n">
        <v>0</v>
      </c>
      <c r="N843" t="n">
        <v>0</v>
      </c>
      <c r="O843" t="n">
        <v>0</v>
      </c>
    </row>
    <row r="844" hidden="1">
      <c r="A844" s="11" t="n">
        <v>46027</v>
      </c>
      <c r="B844" t="inlineStr">
        <is>
          <t>Leandro Oliveira de Sousa</t>
        </is>
      </c>
      <c r="C844" t="inlineStr">
        <is>
          <t>Técnico III</t>
        </is>
      </c>
      <c r="D844" t="n">
        <v>31</v>
      </c>
      <c r="E844" t="n">
        <v>29</v>
      </c>
      <c r="F844" t="n">
        <v>15.57</v>
      </c>
      <c r="G844" t="n">
        <v>0</v>
      </c>
      <c r="H844" t="n">
        <v>0</v>
      </c>
      <c r="I844" s="3">
        <f>E844+G844+H844</f>
        <v/>
      </c>
      <c r="J844" s="3">
        <f>ROUND(MIN(IF(C844="Técnico III",35,IF(C844="Técnico II",28,IF(C844="Técnico I",23,IF(C844="JR",20,IF(C844="Estágio",10,0))))),IF(C844="Técnico III",SUMIFS($D:$D,$A:$A,$A844,$B:$B,"&lt;&gt;Patrícia Karla de Sousa Araújo",$B:$B,"&lt;&gt;Lorena Dias de Araujo",$B:$B,"&lt;&gt;Lucas Luiz Romero")*(35/1083),IF(C844="Técnico II",SUMIFS($D:$D,$A:$A,$A844,$B:$B,"&lt;&gt;Patrícia Karla de Sousa Araújo",$B:$B,"&lt;&gt;Lorena Dias de Araujo",$B:$B,"&lt;&gt;Lucas Luiz Romero")*(28/1083),IF(C844="Técnico I",SUMIFS($D:$D,$A:$A,$A844,$B:$B,"&lt;&gt;Patrícia Karla de Sousa Araújo",$B:$B,"&lt;&gt;Lorena Dias de Araujo",$B:$B,"&lt;&gt;Lucas Luiz Romero")*(23/1083),IF(C844="JR",SUMIFS($D:$D,$A:$A,$A844,$B:$B,"&lt;&gt;Patrícia Karla de Sousa Araújo",$B:$B,"&lt;&gt;Lorena Dias de Araujo",$B:$B,"&lt;&gt;Lucas Luiz Romero")*(20/1083),IF(C844="Estágio",SUMIFS($D:$D,$A:$A,$A844,$B:$B,"&lt;&gt;Patrícia Karla de Sousa Araújo",$B:$B,"&lt;&gt;Lorena Dias de Araujo",$B:$B,"&lt;&gt;Lucas Luiz Romero")*(10/1083),0)))))),0)</f>
        <v/>
      </c>
      <c r="K844" s="3">
        <f>I844-J844</f>
        <v/>
      </c>
      <c r="L844" s="3">
        <f>IF(K844&lt;-5,"CRÍTICO",IF(K844&lt;0,"ATENÇÃO",IF(K844&lt;=5,"BOM","EXCELENTE")))</f>
        <v/>
      </c>
      <c r="M844" t="n">
        <v>25</v>
      </c>
      <c r="N844" t="n">
        <v>100</v>
      </c>
      <c r="O844" t="n">
        <v>30.47034764826176</v>
      </c>
    </row>
    <row r="845" hidden="1">
      <c r="A845" s="11" t="n">
        <v>46027</v>
      </c>
      <c r="B845" t="inlineStr">
        <is>
          <t>Lizandra Gomes Duarte</t>
        </is>
      </c>
      <c r="C845" t="inlineStr">
        <is>
          <t>Técnico II</t>
        </is>
      </c>
      <c r="D845" t="n">
        <v>32</v>
      </c>
      <c r="E845" t="n">
        <v>28</v>
      </c>
      <c r="F845" t="n">
        <v>17.1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M845" t="n">
        <v>28</v>
      </c>
      <c r="N845" t="n">
        <v>100</v>
      </c>
      <c r="O845" t="n">
        <v>32.37113402061856</v>
      </c>
    </row>
    <row r="846" hidden="1">
      <c r="A846" s="11" t="n">
        <v>46027</v>
      </c>
      <c r="B846" t="inlineStr">
        <is>
          <t>Lorena Dias de Araujo</t>
        </is>
      </c>
      <c r="C846" t="inlineStr">
        <is>
          <t>Técnico II</t>
        </is>
      </c>
      <c r="D846" t="n">
        <v>28</v>
      </c>
      <c r="E846" t="n">
        <v>26</v>
      </c>
      <c r="F846" t="n">
        <v>17.28</v>
      </c>
      <c r="G846" t="n">
        <v>0</v>
      </c>
      <c r="H846" t="n">
        <v>0</v>
      </c>
      <c r="I846" s="3" t="n">
        <v>0</v>
      </c>
      <c r="J846" s="3" t="n">
        <v>0</v>
      </c>
      <c r="K846" s="3" t="n">
        <v>0</v>
      </c>
      <c r="L846" s="3">
        <f>IF(K846&lt;-5,"CRÍTICO",IF(K846&lt;0,"ATENÇÃO",IF(K846&lt;=5,"BOM","EXCELENTE")))</f>
        <v/>
      </c>
      <c r="M846" t="n">
        <v>26</v>
      </c>
      <c r="N846" t="n">
        <v>98.31999999999999</v>
      </c>
      <c r="O846" t="n">
        <v>32.31850117096019</v>
      </c>
    </row>
    <row r="847" hidden="1">
      <c r="A847" s="11" t="n">
        <v>46027</v>
      </c>
      <c r="B847" t="inlineStr">
        <is>
          <t>Lucas Luiz Romero</t>
        </is>
      </c>
      <c r="C847" t="inlineStr">
        <is>
          <t>Técnico III</t>
        </is>
      </c>
      <c r="D847" t="n">
        <v>47</v>
      </c>
      <c r="E847" t="n">
        <v>40</v>
      </c>
      <c r="F847" t="n">
        <v>9</v>
      </c>
      <c r="G847" t="n">
        <v>0</v>
      </c>
      <c r="H847" t="n">
        <v>0</v>
      </c>
      <c r="I847" s="3">
        <f>E847+G847+H847</f>
        <v/>
      </c>
      <c r="J847" s="3">
        <f>ROUND(MIN(IF(C847="Técnico III",35,IF(C847="Técnico II",28,IF(C847="Técnico I",23,IF(C847="JR",20,IF(C847="Estágio",10,0))))),IF(C847="Técnico III",SUMIFS($D:$D,$A:$A,$A847,$B:$B,"&lt;&gt;Patrícia Karla de Sousa Araújo",$B:$B,"&lt;&gt;Lorena Dias de Araujo",$B:$B,"&lt;&gt;Lucas Luiz Romero")*(35/1083),IF(C847="Técnico II",SUMIFS($D:$D,$A:$A,$A847,$B:$B,"&lt;&gt;Patrícia Karla de Sousa Araújo",$B:$B,"&lt;&gt;Lorena Dias de Araujo",$B:$B,"&lt;&gt;Lucas Luiz Romero")*(28/1083),IF(C847="Técnico I",SUMIFS($D:$D,$A:$A,$A847,$B:$B,"&lt;&gt;Patrícia Karla de Sousa Araújo",$B:$B,"&lt;&gt;Lorena Dias de Araujo",$B:$B,"&lt;&gt;Lucas Luiz Romero")*(23/1083),IF(C847="JR",SUMIFS($D:$D,$A:$A,$A847,$B:$B,"&lt;&gt;Patrícia Karla de Sousa Araújo",$B:$B,"&lt;&gt;Lorena Dias de Araujo",$B:$B,"&lt;&gt;Lucas Luiz Romero")*(20/1083),IF(C847="Estágio",SUMIFS($D:$D,$A:$A,$A847,$B:$B,"&lt;&gt;Patrícia Karla de Sousa Araújo",$B:$B,"&lt;&gt;Lorena Dias de Araujo",$B:$B,"&lt;&gt;Lucas Luiz Romero")*(10/1083),0)))))),0)</f>
        <v/>
      </c>
      <c r="K847" s="3">
        <f>I847-J847</f>
        <v/>
      </c>
      <c r="L847" s="3">
        <f>IF(K847&lt;-5,"CRÍTICO",IF(K847&lt;0,"ATENÇÃO",IF(K847&lt;=5,"BOM","EXCELENTE")))</f>
        <v/>
      </c>
      <c r="M847" t="n">
        <v>37</v>
      </c>
      <c r="N847" t="n">
        <v>96.43000000000001</v>
      </c>
      <c r="O847" t="n">
        <v>27.01525054466231</v>
      </c>
    </row>
    <row r="848" hidden="1">
      <c r="A848" s="11" t="n">
        <v>46027</v>
      </c>
      <c r="B848" t="inlineStr">
        <is>
          <t>Luiz Fernando de Carvalho Junior</t>
        </is>
      </c>
      <c r="C848" t="inlineStr">
        <is>
          <t>Técnico I</t>
        </is>
      </c>
      <c r="D848" t="n">
        <v>29</v>
      </c>
      <c r="E848" t="n">
        <v>28</v>
      </c>
      <c r="F848" t="n">
        <v>16.5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M848" t="n">
        <v>25</v>
      </c>
      <c r="N848" t="n">
        <v>98.89</v>
      </c>
      <c r="O848" t="n">
        <v>28.02197802197802</v>
      </c>
    </row>
    <row r="849" hidden="1">
      <c r="A849" s="11" t="n">
        <v>46027</v>
      </c>
      <c r="B849" t="inlineStr">
        <is>
          <t>Maria Eduarda Sousa Costa</t>
        </is>
      </c>
      <c r="C849" t="inlineStr">
        <is>
          <t>Estágio</t>
        </is>
      </c>
      <c r="D849" t="n">
        <v>10</v>
      </c>
      <c r="E849" t="n">
        <v>9</v>
      </c>
      <c r="F849" t="n">
        <v>34.12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M849" t="n">
        <v>9</v>
      </c>
      <c r="N849" t="n">
        <v>100</v>
      </c>
      <c r="O849" t="n">
        <v>33.33333333333333</v>
      </c>
    </row>
    <row r="850" hidden="1">
      <c r="A850" s="11" t="n">
        <v>46027</v>
      </c>
      <c r="B850" t="inlineStr">
        <is>
          <t>Matheus Farias De Souza</t>
        </is>
      </c>
      <c r="C850" t="inlineStr">
        <is>
          <t>Técnico III</t>
        </is>
      </c>
      <c r="D850" t="n">
        <v>0</v>
      </c>
      <c r="E850" t="n">
        <v>0</v>
      </c>
      <c r="F850" t="n">
        <v>0</v>
      </c>
      <c r="G850" t="n">
        <v>0</v>
      </c>
      <c r="H850" t="n">
        <v>0</v>
      </c>
      <c r="I850" s="3" t="n">
        <v>0</v>
      </c>
      <c r="J850" s="3" t="n">
        <v>0</v>
      </c>
      <c r="K850" s="3" t="n">
        <v>0</v>
      </c>
      <c r="L850" s="3">
        <f>IF(K850&lt;-5,"CRÍTICO",IF(K850&lt;0,"ATENÇÃO",IF(K850&lt;=5,"BOM","EXCELENTE")))</f>
        <v/>
      </c>
      <c r="M850" t="n">
        <v>0</v>
      </c>
      <c r="N850" t="n">
        <v>100</v>
      </c>
      <c r="O850" t="n">
        <v>27.43362831858407</v>
      </c>
    </row>
    <row r="851" hidden="1">
      <c r="A851" s="11" t="n">
        <v>46027</v>
      </c>
      <c r="B851" t="inlineStr">
        <is>
          <t>Maysa Victoria Dias Moura</t>
        </is>
      </c>
      <c r="C851" t="inlineStr">
        <is>
          <t>Técnico III</t>
        </is>
      </c>
      <c r="D851" t="n">
        <v>44</v>
      </c>
      <c r="E851" t="n">
        <v>32</v>
      </c>
      <c r="F851" t="n">
        <v>10.58</v>
      </c>
      <c r="G851" t="n">
        <v>0</v>
      </c>
      <c r="H851" t="n">
        <v>0</v>
      </c>
      <c r="I851" s="3">
        <f>E851+G851+H851</f>
        <v/>
      </c>
      <c r="J851" s="3">
        <f>ROUND(MIN(IF(C851="Técnico III",35,IF(C851="Técnico II",28,IF(C851="Técnico I",23,IF(C851="JR",20,IF(C851="Estágio",10,0))))),IF(C851="Técnico III",SUMIFS($D:$D,$A:$A,$A851,$B:$B,"&lt;&gt;Patrícia Karla de Sousa Araújo",$B:$B,"&lt;&gt;Lorena Dias de Araujo",$B:$B,"&lt;&gt;Lucas Luiz Romero")*(35/1083),IF(C851="Técnico II",SUMIFS($D:$D,$A:$A,$A851,$B:$B,"&lt;&gt;Patrícia Karla de Sousa Araújo",$B:$B,"&lt;&gt;Lorena Dias de Araujo",$B:$B,"&lt;&gt;Lucas Luiz Romero")*(28/1083),IF(C851="Técnico I",SUMIFS($D:$D,$A:$A,$A851,$B:$B,"&lt;&gt;Patrícia Karla de Sousa Araújo",$B:$B,"&lt;&gt;Lorena Dias de Araujo",$B:$B,"&lt;&gt;Lucas Luiz Romero")*(23/1083),IF(C851="JR",SUMIFS($D:$D,$A:$A,$A851,$B:$B,"&lt;&gt;Patrícia Karla de Sousa Araújo",$B:$B,"&lt;&gt;Lorena Dias de Araujo",$B:$B,"&lt;&gt;Lucas Luiz Romero")*(20/1083),IF(C851="Estágio",SUMIFS($D:$D,$A:$A,$A851,$B:$B,"&lt;&gt;Patrícia Karla de Sousa Araújo",$B:$B,"&lt;&gt;Lorena Dias de Araujo",$B:$B,"&lt;&gt;Lucas Luiz Romero")*(10/1083),0)))))),0)</f>
        <v/>
      </c>
      <c r="K851" s="3">
        <f>I851-J851</f>
        <v/>
      </c>
      <c r="L851" s="3">
        <f>IF(K851&lt;-5,"CRÍTICO",IF(K851&lt;0,"ATENÇÃO",IF(K851&lt;=5,"BOM","EXCELENTE")))</f>
        <v/>
      </c>
      <c r="M851" t="n">
        <v>32</v>
      </c>
      <c r="N851" t="n">
        <v>98.65000000000001</v>
      </c>
      <c r="O851" t="n">
        <v>30.97826086956522</v>
      </c>
    </row>
    <row r="852" hidden="1">
      <c r="A852" s="11" t="n">
        <v>46027</v>
      </c>
      <c r="B852" t="inlineStr">
        <is>
          <t>Michelle G Santos</t>
        </is>
      </c>
      <c r="C852" t="inlineStr">
        <is>
          <t>Estágio</t>
        </is>
      </c>
      <c r="D852" t="n">
        <v>0</v>
      </c>
      <c r="E852" t="n">
        <v>0</v>
      </c>
      <c r="F852" t="n">
        <v>0</v>
      </c>
      <c r="G852" t="n">
        <v>0</v>
      </c>
      <c r="H852" t="n">
        <v>0</v>
      </c>
      <c r="I852" s="3" t="n">
        <v>0</v>
      </c>
      <c r="J852" s="3" t="n">
        <v>0</v>
      </c>
      <c r="K852" s="3" t="n">
        <v>0</v>
      </c>
      <c r="L852" s="3">
        <f>IF(K852&lt;-5,"CRÍTICO",IF(K852&lt;0,"ATENÇÃO",IF(K852&lt;=5,"BOM","EXCELENTE")))</f>
        <v/>
      </c>
      <c r="M852" t="n">
        <v>0</v>
      </c>
      <c r="N852" t="n">
        <v>100</v>
      </c>
      <c r="O852" t="n">
        <v>12</v>
      </c>
    </row>
    <row r="853" hidden="1">
      <c r="A853" s="11" t="n">
        <v>46027</v>
      </c>
      <c r="B853" t="inlineStr">
        <is>
          <t>Milena Sales</t>
        </is>
      </c>
      <c r="C853" t="inlineStr">
        <is>
          <t>JR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M853" t="n">
        <v>0</v>
      </c>
      <c r="N853" t="n">
        <v>0</v>
      </c>
      <c r="O853" t="n">
        <v>0</v>
      </c>
    </row>
    <row r="854" hidden="1">
      <c r="A854" s="11" t="n">
        <v>46027</v>
      </c>
      <c r="B854" t="inlineStr">
        <is>
          <t>Patrícia Karla de Sousa Araújo</t>
        </is>
      </c>
      <c r="C854" t="inlineStr">
        <is>
          <t>Técnico II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M854" t="n">
        <v>0</v>
      </c>
      <c r="N854" t="n">
        <v>97.56</v>
      </c>
      <c r="O854" t="n">
        <v>31.06796116504854</v>
      </c>
    </row>
    <row r="855" hidden="1">
      <c r="A855" s="11" t="n">
        <v>46027</v>
      </c>
      <c r="B855" t="inlineStr">
        <is>
          <t>Paulo Ricardo Santos</t>
        </is>
      </c>
      <c r="C855" t="inlineStr">
        <is>
          <t>JR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M855" t="n">
        <v>0</v>
      </c>
      <c r="N855" t="n">
        <v>0</v>
      </c>
      <c r="O855" t="n">
        <v>0</v>
      </c>
    </row>
    <row r="856" hidden="1">
      <c r="A856" s="11" t="n">
        <v>46027</v>
      </c>
      <c r="B856" t="inlineStr">
        <is>
          <t>Pedro Luiz Mota Sousa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M856" t="n">
        <v>0</v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Quirino Diogo Leite Torres</t>
        </is>
      </c>
      <c r="C857" t="inlineStr">
        <is>
          <t>Estágio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M857" t="n">
        <v>0</v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Raane Batista Matos</t>
        </is>
      </c>
      <c r="C858" t="inlineStr">
        <is>
          <t>Técnico I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M858" t="n">
        <v>0</v>
      </c>
      <c r="N858" t="n">
        <v>100</v>
      </c>
      <c r="O858" t="n">
        <v>53.84615384615385</v>
      </c>
    </row>
    <row r="859" hidden="1">
      <c r="A859" s="11" t="n">
        <v>46027</v>
      </c>
      <c r="B859" t="inlineStr">
        <is>
          <t>Rafael Gomes de Morais</t>
        </is>
      </c>
      <c r="C859" t="inlineStr">
        <is>
          <t>Técnico III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M859" t="n">
        <v>0</v>
      </c>
      <c r="N859" t="n">
        <v>100</v>
      </c>
      <c r="O859" t="n">
        <v>44.05594405594406</v>
      </c>
    </row>
    <row r="860" hidden="1">
      <c r="A860" s="11" t="n">
        <v>46027</v>
      </c>
      <c r="B860" t="inlineStr">
        <is>
          <t>Sara Maria Monteiro Lopes</t>
        </is>
      </c>
      <c r="C860" t="inlineStr">
        <is>
          <t>Técnico I</t>
        </is>
      </c>
      <c r="D860" t="n">
        <v>22</v>
      </c>
      <c r="E860" t="n">
        <v>19</v>
      </c>
      <c r="F860" t="n">
        <v>26.57</v>
      </c>
      <c r="G860" t="n">
        <v>0</v>
      </c>
      <c r="H860" t="n">
        <v>0</v>
      </c>
      <c r="I860" s="3">
        <f>E860+G860+H860</f>
        <v/>
      </c>
      <c r="J860" s="3">
        <f>ROUND(MIN(IF(C860="Técnico III",35,IF(C860="Técnico II",28,IF(C860="Técnico I",23,IF(C860="JR",20,IF(C860="Estágio",10,0))))),IF(C860="Técnico III",SUMIFS($D:$D,$A:$A,$A860,$B:$B,"&lt;&gt;Patrícia Karla de Sousa Araújo",$B:$B,"&lt;&gt;Lorena Dias de Araujo",$B:$B,"&lt;&gt;Lucas Luiz Romero")*(35/1083),IF(C860="Técnico II",SUMIFS($D:$D,$A:$A,$A860,$B:$B,"&lt;&gt;Patrícia Karla de Sousa Araújo",$B:$B,"&lt;&gt;Lorena Dias de Araujo",$B:$B,"&lt;&gt;Lucas Luiz Romero")*(28/1083),IF(C860="Técnico I",SUMIFS($D:$D,$A:$A,$A860,$B:$B,"&lt;&gt;Patrícia Karla de Sousa Araújo",$B:$B,"&lt;&gt;Lorena Dias de Araujo",$B:$B,"&lt;&gt;Lucas Luiz Romero")*(23/1083),IF(C860="JR",SUMIFS($D:$D,$A:$A,$A860,$B:$B,"&lt;&gt;Patrícia Karla de Sousa Araújo",$B:$B,"&lt;&gt;Lorena Dias de Araujo",$B:$B,"&lt;&gt;Lucas Luiz Romero")*(20/1083),IF(C860="Estágio",SUMIFS($D:$D,$A:$A,$A860,$B:$B,"&lt;&gt;Patrícia Karla de Sousa Araújo",$B:$B,"&lt;&gt;Lorena Dias de Araujo",$B:$B,"&lt;&gt;Lucas Luiz Romero")*(10/1083),0)))))),0)</f>
        <v/>
      </c>
      <c r="K860" s="3">
        <f>I860-J860</f>
        <v/>
      </c>
      <c r="L860" s="3">
        <f>IF(K860&lt;-5,"CRÍTICO",IF(K860&lt;0,"ATENÇÃO",IF(K860&lt;=5,"BOM","EXCELENTE")))</f>
        <v/>
      </c>
      <c r="M860" t="n">
        <v>18</v>
      </c>
      <c r="N860" t="n">
        <v>100</v>
      </c>
      <c r="O860" t="n">
        <v>31.87250996015936</v>
      </c>
    </row>
    <row r="861" hidden="1">
      <c r="A861" s="11" t="n">
        <v>46027</v>
      </c>
      <c r="B861" t="inlineStr">
        <is>
          <t>Sarah Steffanie de Lima Borges</t>
        </is>
      </c>
      <c r="C861" t="inlineStr">
        <is>
          <t>Técnico III</t>
        </is>
      </c>
      <c r="D861" t="n">
        <v>30</v>
      </c>
      <c r="E861" t="n">
        <v>28</v>
      </c>
      <c r="F861" t="n">
        <v>18.21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M861" t="n">
        <v>27</v>
      </c>
      <c r="N861" t="n">
        <v>98.41</v>
      </c>
      <c r="O861" t="n">
        <v>29.22465208747515</v>
      </c>
    </row>
    <row r="862" hidden="1">
      <c r="A862" s="11" t="n">
        <v>46028</v>
      </c>
      <c r="B862" t="inlineStr">
        <is>
          <t>Alisson de Freitas Silva</t>
        </is>
      </c>
      <c r="C862" t="inlineStr">
        <is>
          <t>Técnico II</t>
        </is>
      </c>
      <c r="D862" t="n">
        <v>28</v>
      </c>
      <c r="E862" t="n">
        <v>25</v>
      </c>
      <c r="F862" t="n">
        <v>20.2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M862" t="n">
        <v>17</v>
      </c>
      <c r="N862" t="n">
        <v>96.81</v>
      </c>
      <c r="O862" t="n">
        <v>27.98053527980535</v>
      </c>
    </row>
    <row r="863" hidden="1">
      <c r="A863" s="11" t="n">
        <v>46028</v>
      </c>
      <c r="B863" t="inlineStr">
        <is>
          <t>Amanda Moura Ferreira</t>
        </is>
      </c>
      <c r="C863" t="inlineStr">
        <is>
          <t>Técnico III</t>
        </is>
      </c>
      <c r="D863" t="n">
        <v>0</v>
      </c>
      <c r="E863" t="n">
        <v>0</v>
      </c>
      <c r="F863" t="n">
        <v>0</v>
      </c>
      <c r="G863" t="n">
        <v>0</v>
      </c>
      <c r="H863" t="n">
        <v>0</v>
      </c>
      <c r="I863" s="3" t="n">
        <v>0</v>
      </c>
      <c r="J863" s="3" t="n">
        <v>0</v>
      </c>
      <c r="K863" s="3" t="n">
        <v>0</v>
      </c>
      <c r="L863" s="3">
        <f>IF(K863&lt;-5,"CRÍTICO",IF(K863&lt;0,"ATENÇÃO",IF(K863&lt;=5,"BOM","EXCELENTE")))</f>
        <v/>
      </c>
      <c r="M863" t="n">
        <v>30</v>
      </c>
      <c r="N863" t="n">
        <v>98.73</v>
      </c>
      <c r="O863" t="n">
        <v>35.75638506876228</v>
      </c>
    </row>
    <row r="864" hidden="1">
      <c r="A864" s="11" t="n">
        <v>46028</v>
      </c>
      <c r="B864" t="inlineStr">
        <is>
          <t>Ana Karollyne Souza Faria</t>
        </is>
      </c>
      <c r="C864" t="inlineStr">
        <is>
          <t>Técnico I</t>
        </is>
      </c>
      <c r="D864" t="n">
        <v>33</v>
      </c>
      <c r="E864" t="n">
        <v>30</v>
      </c>
      <c r="F864" t="n">
        <v>22.04</v>
      </c>
      <c r="G864" t="n">
        <v>0</v>
      </c>
      <c r="H864" t="n">
        <v>0</v>
      </c>
      <c r="I864" s="3">
        <f>E864+G864+H864</f>
        <v/>
      </c>
      <c r="J864" s="3">
        <f>ROUND(MIN(IF(C864="Técnico III",35,IF(C864="Técnico II",28,IF(C864="Técnico I",23,IF(C864="JR",20,IF(C864="Estágio",10,0))))),IF(C864="Técnico III",SUMIFS($D:$D,$A:$A,$A864,$B:$B,"&lt;&gt;Patrícia Karla de Sousa Araújo",$B:$B,"&lt;&gt;Lorena Dias de Araujo",$B:$B,"&lt;&gt;Lucas Luiz Romero")*(35/1083),IF(C864="Técnico II",SUMIFS($D:$D,$A:$A,$A864,$B:$B,"&lt;&gt;Patrícia Karla de Sousa Araújo",$B:$B,"&lt;&gt;Lorena Dias de Araujo",$B:$B,"&lt;&gt;Lucas Luiz Romero")*(28/1083),IF(C864="Técnico I",SUMIFS($D:$D,$A:$A,$A864,$B:$B,"&lt;&gt;Patrícia Karla de Sousa Araújo",$B:$B,"&lt;&gt;Lorena Dias de Araujo",$B:$B,"&lt;&gt;Lucas Luiz Romero")*(23/1083),IF(C864="JR",SUMIFS($D:$D,$A:$A,$A864,$B:$B,"&lt;&gt;Patrícia Karla de Sousa Araújo",$B:$B,"&lt;&gt;Lorena Dias de Araujo",$B:$B,"&lt;&gt;Lucas Luiz Romero")*(20/1083),IF(C864="Estágio",SUMIFS($D:$D,$A:$A,$A864,$B:$B,"&lt;&gt;Patrícia Karla de Sousa Araújo",$B:$B,"&lt;&gt;Lorena Dias de Araujo",$B:$B,"&lt;&gt;Lucas Luiz Romero")*(10/1083),0)))))),0)</f>
        <v/>
      </c>
      <c r="K864" s="3">
        <f>I864-J864</f>
        <v/>
      </c>
      <c r="L864" s="3">
        <f>IF(K864&lt;-5,"CRÍTICO",IF(K864&lt;0,"ATENÇÃO",IF(K864&lt;=5,"BOM","EXCELENTE")))</f>
        <v/>
      </c>
      <c r="M864" t="n">
        <v>33</v>
      </c>
      <c r="N864" t="n">
        <v>98.31999999999999</v>
      </c>
      <c r="O864" t="n">
        <v>26.76348547717842</v>
      </c>
    </row>
    <row r="865" hidden="1">
      <c r="A865" s="11" t="n">
        <v>46028</v>
      </c>
      <c r="B865" t="inlineStr">
        <is>
          <t>Ana Paula Da Luz Silva Aleixo</t>
        </is>
      </c>
      <c r="C865" t="inlineStr">
        <is>
          <t>Técnico III</t>
        </is>
      </c>
      <c r="D865" t="n">
        <v>40</v>
      </c>
      <c r="E865" t="n">
        <v>36</v>
      </c>
      <c r="F865" t="n">
        <v>15.18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34</v>
      </c>
      <c r="N865" t="n">
        <v>99.19</v>
      </c>
      <c r="O865" t="n">
        <v>27.63713080168776</v>
      </c>
    </row>
    <row r="866" hidden="1">
      <c r="A866" s="11" t="n">
        <v>46028</v>
      </c>
      <c r="B866" t="inlineStr">
        <is>
          <t>Anna Luiza Rezende Tavares</t>
        </is>
      </c>
      <c r="C866" t="inlineStr">
        <is>
          <t>Estágio</t>
        </is>
      </c>
      <c r="D866" t="n">
        <v>9</v>
      </c>
      <c r="E866" t="n">
        <v>9</v>
      </c>
      <c r="F866" t="n">
        <v>38.24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8</v>
      </c>
      <c r="N866" t="n">
        <v>100</v>
      </c>
      <c r="O866" t="n">
        <v>39.56834532374101</v>
      </c>
    </row>
    <row r="867" hidden="1">
      <c r="A867" s="11" t="n">
        <v>46028</v>
      </c>
      <c r="B867" t="inlineStr">
        <is>
          <t>Brenda de Menezes Silva</t>
        </is>
      </c>
      <c r="C867" t="inlineStr">
        <is>
          <t>Técnico II</t>
        </is>
      </c>
      <c r="D867" t="n">
        <v>27</v>
      </c>
      <c r="E867" t="n">
        <v>25</v>
      </c>
      <c r="F867" t="n">
        <v>23.35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26</v>
      </c>
      <c r="N867" t="n">
        <v>98.54000000000001</v>
      </c>
      <c r="O867" t="n">
        <v>28.54477611940299</v>
      </c>
    </row>
    <row r="868" hidden="1">
      <c r="A868" s="11" t="n">
        <v>46028</v>
      </c>
      <c r="B868" t="inlineStr">
        <is>
          <t>Carlos Mateus Cassimiro Nunes</t>
        </is>
      </c>
      <c r="C868" t="inlineStr">
        <is>
          <t>Técnico II</t>
        </is>
      </c>
      <c r="D868" t="n">
        <v>6</v>
      </c>
      <c r="E868" t="n">
        <v>6</v>
      </c>
      <c r="F868" t="n">
        <v>50.57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6</v>
      </c>
      <c r="N868" t="n">
        <v>100</v>
      </c>
      <c r="O868" t="n">
        <v>34.36692506459949</v>
      </c>
    </row>
    <row r="869" hidden="1">
      <c r="A869" s="11" t="n">
        <v>46028</v>
      </c>
      <c r="B869" t="inlineStr">
        <is>
          <t>Claudio de Sousa Velasco Filho</t>
        </is>
      </c>
      <c r="C869" t="inlineStr">
        <is>
          <t>Estágio</t>
        </is>
      </c>
      <c r="D869" t="n">
        <v>0</v>
      </c>
      <c r="E869" t="n">
        <v>0</v>
      </c>
      <c r="F869" t="n">
        <v>0</v>
      </c>
      <c r="G869" t="n">
        <v>0</v>
      </c>
      <c r="H869" t="n">
        <v>0</v>
      </c>
      <c r="I869" s="3" t="n">
        <v>0</v>
      </c>
      <c r="J869" s="3" t="n">
        <v>0</v>
      </c>
      <c r="K869" s="3" t="n">
        <v>0</v>
      </c>
      <c r="L869" s="3">
        <f>IF(K869&lt;-5,"CRÍTICO",IF(K869&lt;0,"ATENÇÃO",IF(K869&lt;=5,"BOM","EXCELENTE")))</f>
        <v/>
      </c>
      <c r="M869" t="n">
        <v>0</v>
      </c>
      <c r="N869" t="n">
        <v>0</v>
      </c>
      <c r="O869" t="n">
        <v>0</v>
      </c>
    </row>
    <row r="870" hidden="1">
      <c r="A870" s="11" t="n">
        <v>46028</v>
      </c>
      <c r="B870" t="inlineStr">
        <is>
          <t>Clessiane Pereira dos Santos</t>
        </is>
      </c>
      <c r="C870" t="inlineStr">
        <is>
          <t>Técnico I</t>
        </is>
      </c>
      <c r="D870" t="n">
        <v>21</v>
      </c>
      <c r="E870" t="n">
        <v>21</v>
      </c>
      <c r="F870" t="n">
        <v>30.15</v>
      </c>
      <c r="G870" t="n">
        <v>0</v>
      </c>
      <c r="H870" t="n">
        <v>0</v>
      </c>
      <c r="I870" s="3">
        <f>E870+G870+H870</f>
        <v/>
      </c>
      <c r="J870" s="3">
        <f>ROUND(MIN(IF(C870="Técnico III",35,IF(C870="Técnico II",28,IF(C870="Técnico I",23,IF(C870="JR",20,IF(C870="Estágio",10,0))))),IF(C870="Técnico III",SUMIFS($D:$D,$A:$A,$A870,$B:$B,"&lt;&gt;Patrícia Karla de Sousa Araújo",$B:$B,"&lt;&gt;Lorena Dias de Araujo",$B:$B,"&lt;&gt;Lucas Luiz Romero")*(35/1083),IF(C870="Técnico II",SUMIFS($D:$D,$A:$A,$A870,$B:$B,"&lt;&gt;Patrícia Karla de Sousa Araújo",$B:$B,"&lt;&gt;Lorena Dias de Araujo",$B:$B,"&lt;&gt;Lucas Luiz Romero")*(28/1083),IF(C870="Técnico I",SUMIFS($D:$D,$A:$A,$A870,$B:$B,"&lt;&gt;Patrícia Karla de Sousa Araújo",$B:$B,"&lt;&gt;Lorena Dias de Araujo",$B:$B,"&lt;&gt;Lucas Luiz Romero")*(23/1083),IF(C870="JR",SUMIFS($D:$D,$A:$A,$A870,$B:$B,"&lt;&gt;Patrícia Karla de Sousa Araújo",$B:$B,"&lt;&gt;Lorena Dias de Araujo",$B:$B,"&lt;&gt;Lucas Luiz Romero")*(20/1083),IF(C870="Estágio",SUMIFS($D:$D,$A:$A,$A870,$B:$B,"&lt;&gt;Patrícia Karla de Sousa Araújo",$B:$B,"&lt;&gt;Lorena Dias de Araujo",$B:$B,"&lt;&gt;Lucas Luiz Romero")*(10/1083),0)))))),0)</f>
        <v/>
      </c>
      <c r="K870" s="3">
        <f>I870-J870</f>
        <v/>
      </c>
      <c r="L870" s="3">
        <f>IF(K870&lt;-5,"CRÍTICO",IF(K870&lt;0,"ATENÇÃO",IF(K870&lt;=5,"BOM","EXCELENTE")))</f>
        <v/>
      </c>
      <c r="M870" t="n">
        <v>20</v>
      </c>
      <c r="N870" t="n">
        <v>100</v>
      </c>
      <c r="O870" t="n">
        <v>29.51807228915663</v>
      </c>
    </row>
    <row r="871" hidden="1">
      <c r="A871" s="11" t="n">
        <v>46028</v>
      </c>
      <c r="B871" t="inlineStr">
        <is>
          <t>Cristiane Ramos da Silva Rocha</t>
        </is>
      </c>
      <c r="C871" t="inlineStr">
        <is>
          <t>Técnico III</t>
        </is>
      </c>
      <c r="D871" t="n">
        <v>44</v>
      </c>
      <c r="E871" t="n">
        <v>41</v>
      </c>
      <c r="F871" t="n">
        <v>13.2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38</v>
      </c>
      <c r="N871" t="n">
        <v>97.45</v>
      </c>
      <c r="O871" t="n">
        <v>41.421143847487</v>
      </c>
    </row>
    <row r="872" hidden="1">
      <c r="A872" s="11" t="n">
        <v>46028</v>
      </c>
      <c r="B872" t="inlineStr">
        <is>
          <t>Damyllis Lorraine de Oliveira Gonçalves</t>
        </is>
      </c>
      <c r="C872" t="inlineStr">
        <is>
          <t>Técnico II</t>
        </is>
      </c>
      <c r="D872" t="n">
        <v>29</v>
      </c>
      <c r="E872" t="n">
        <v>25</v>
      </c>
      <c r="F872" t="n">
        <v>19.06</v>
      </c>
      <c r="G872" t="n">
        <v>0</v>
      </c>
      <c r="H872" t="n">
        <v>0</v>
      </c>
      <c r="I872" s="3" t="n">
        <v>0</v>
      </c>
      <c r="J872" s="3" t="n">
        <v>0</v>
      </c>
      <c r="K872" s="3" t="n">
        <v>0</v>
      </c>
      <c r="L872" s="3">
        <f>IF(K872&lt;-5,"CRÍTICO",IF(K872&lt;0,"ATENÇÃO",IF(K872&lt;=5,"BOM","EXCELENTE")))</f>
        <v/>
      </c>
      <c r="M872" t="n">
        <v>27</v>
      </c>
      <c r="N872" t="n">
        <v>96.58</v>
      </c>
      <c r="O872" t="n">
        <v>30.39647577092511</v>
      </c>
    </row>
    <row r="873" hidden="1">
      <c r="A873" s="11" t="n">
        <v>46028</v>
      </c>
      <c r="B873" t="inlineStr">
        <is>
          <t>Daniel Gomes da Silva</t>
        </is>
      </c>
      <c r="C873" t="inlineStr">
        <is>
          <t>Técnico I</t>
        </is>
      </c>
      <c r="D873" t="n">
        <v>23</v>
      </c>
      <c r="E873" t="n">
        <v>23</v>
      </c>
      <c r="F873" t="n">
        <v>23.51</v>
      </c>
      <c r="G873" t="n">
        <v>0</v>
      </c>
      <c r="H873" t="n">
        <v>0</v>
      </c>
      <c r="I873" s="3">
        <f>E873+G873+H873</f>
        <v/>
      </c>
      <c r="J873" s="3">
        <f>ROUND(MIN(IF(C873="Técnico III",35,IF(C873="Técnico II",28,IF(C873="Técnico I",23,IF(C873="JR",20,IF(C873="Estágio",10,0))))),IF(C873="Técnico III",SUMIFS($D:$D,$A:$A,$A873,$B:$B,"&lt;&gt;Patrícia Karla de Sousa Araújo",$B:$B,"&lt;&gt;Lorena Dias de Araujo",$B:$B,"&lt;&gt;Lucas Luiz Romero")*(35/1083),IF(C873="Técnico II",SUMIFS($D:$D,$A:$A,$A873,$B:$B,"&lt;&gt;Patrícia Karla de Sousa Araújo",$B:$B,"&lt;&gt;Lorena Dias de Araujo",$B:$B,"&lt;&gt;Lucas Luiz Romero")*(28/1083),IF(C873="Técnico I",SUMIFS($D:$D,$A:$A,$A873,$B:$B,"&lt;&gt;Patrícia Karla de Sousa Araújo",$B:$B,"&lt;&gt;Lorena Dias de Araujo",$B:$B,"&lt;&gt;Lucas Luiz Romero")*(23/1083),IF(C873="JR",SUMIFS($D:$D,$A:$A,$A873,$B:$B,"&lt;&gt;Patrícia Karla de Sousa Araújo",$B:$B,"&lt;&gt;Lorena Dias de Araujo",$B:$B,"&lt;&gt;Lucas Luiz Romero")*(20/1083),IF(C873="Estágio",SUMIFS($D:$D,$A:$A,$A873,$B:$B,"&lt;&gt;Patrícia Karla de Sousa Araújo",$B:$B,"&lt;&gt;Lorena Dias de Araujo",$B:$B,"&lt;&gt;Lucas Luiz Romero")*(10/1083),0)))))),0)</f>
        <v/>
      </c>
      <c r="K873" s="3">
        <f>I873-J873</f>
        <v/>
      </c>
      <c r="L873" s="3">
        <f>IF(K873&lt;-5,"CRÍTICO",IF(K873&lt;0,"ATENÇÃO",IF(K873&lt;=5,"BOM","EXCELENTE")))</f>
        <v/>
      </c>
      <c r="M873" t="n">
        <v>24</v>
      </c>
      <c r="N873" t="n">
        <v>100</v>
      </c>
      <c r="O873" t="n">
        <v>27.44282744282744</v>
      </c>
    </row>
    <row r="874" hidden="1">
      <c r="A874" s="11" t="n">
        <v>46028</v>
      </c>
      <c r="B874" t="inlineStr">
        <is>
          <t>Davylla Rodrigues Freitas Silva</t>
        </is>
      </c>
      <c r="C874" t="inlineStr">
        <is>
          <t>Técnico III</t>
        </is>
      </c>
      <c r="D874" t="n">
        <v>27</v>
      </c>
      <c r="E874" t="n">
        <v>26</v>
      </c>
      <c r="F874" t="n">
        <v>26.51</v>
      </c>
      <c r="G874" t="n">
        <v>0</v>
      </c>
      <c r="H874" t="n">
        <v>0</v>
      </c>
      <c r="I874" s="3" t="n">
        <v>0</v>
      </c>
      <c r="J874" s="3" t="n">
        <v>0</v>
      </c>
      <c r="K874" s="3" t="n">
        <v>0</v>
      </c>
      <c r="L874" s="3">
        <f>IF(K874&lt;-5,"CRÍTICO",IF(K874&lt;0,"ATENÇÃO",IF(K874&lt;=5,"BOM","EXCELENTE")))</f>
        <v/>
      </c>
      <c r="M874" t="n">
        <v>27</v>
      </c>
      <c r="N874" t="n">
        <v>99.48999999999999</v>
      </c>
      <c r="O874" t="n">
        <v>40.2</v>
      </c>
    </row>
    <row r="875" hidden="1">
      <c r="A875" s="11" t="n">
        <v>46028</v>
      </c>
      <c r="B875" t="inlineStr">
        <is>
          <t>Emilly Caylane Costa</t>
        </is>
      </c>
      <c r="C875" t="inlineStr">
        <is>
          <t>Estágio</t>
        </is>
      </c>
      <c r="D875" t="n">
        <v>0</v>
      </c>
      <c r="E875" t="n">
        <v>0</v>
      </c>
      <c r="F875" t="n">
        <v>0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0</v>
      </c>
      <c r="N875" t="n">
        <v>100</v>
      </c>
      <c r="O875" t="n">
        <v>25</v>
      </c>
    </row>
    <row r="876" hidden="1">
      <c r="A876" s="11" t="n">
        <v>46028</v>
      </c>
      <c r="B876" t="inlineStr">
        <is>
          <t>Emilly Kamilly Medeiros Miranda</t>
        </is>
      </c>
      <c r="C876" t="inlineStr">
        <is>
          <t>Técnico II</t>
        </is>
      </c>
      <c r="D876" t="n">
        <v>30</v>
      </c>
      <c r="E876" t="n">
        <v>27</v>
      </c>
      <c r="F876" t="n">
        <v>15.04</v>
      </c>
      <c r="G876" t="n">
        <v>0</v>
      </c>
      <c r="H876" t="n">
        <v>0</v>
      </c>
      <c r="I876" s="3">
        <f>E876+G876+H876</f>
        <v/>
      </c>
      <c r="J876" s="3">
        <f>ROUND(MIN(IF(C876="Técnico III",35,IF(C876="Técnico II",28,IF(C876="Técnico I",23,IF(C876="JR",20,IF(C876="Estágio",10,0))))),IF(C876="Técnico III",SUMIFS($D:$D,$A:$A,$A876,$B:$B,"&lt;&gt;Patrícia Karla de Sousa Araújo",$B:$B,"&lt;&gt;Lorena Dias de Araujo",$B:$B,"&lt;&gt;Lucas Luiz Romero")*(35/1083),IF(C876="Técnico II",SUMIFS($D:$D,$A:$A,$A876,$B:$B,"&lt;&gt;Patrícia Karla de Sousa Araújo",$B:$B,"&lt;&gt;Lorena Dias de Araujo",$B:$B,"&lt;&gt;Lucas Luiz Romero")*(28/1083),IF(C876="Técnico I",SUMIFS($D:$D,$A:$A,$A876,$B:$B,"&lt;&gt;Patrícia Karla de Sousa Araújo",$B:$B,"&lt;&gt;Lorena Dias de Araujo",$B:$B,"&lt;&gt;Lucas Luiz Romero")*(23/1083),IF(C876="JR",SUMIFS($D:$D,$A:$A,$A876,$B:$B,"&lt;&gt;Patrícia Karla de Sousa Araújo",$B:$B,"&lt;&gt;Lorena Dias de Araujo",$B:$B,"&lt;&gt;Lucas Luiz Romero")*(20/1083),IF(C876="Estágio",SUMIFS($D:$D,$A:$A,$A876,$B:$B,"&lt;&gt;Patrícia Karla de Sousa Araújo",$B:$B,"&lt;&gt;Lorena Dias de Araujo",$B:$B,"&lt;&gt;Lucas Luiz Romero")*(10/1083),0)))))),0)</f>
        <v/>
      </c>
      <c r="K876" s="3">
        <f>I876-J876</f>
        <v/>
      </c>
      <c r="L876" s="3">
        <f>IF(K876&lt;-5,"CRÍTICO",IF(K876&lt;0,"ATENÇÃO",IF(K876&lt;=5,"BOM","EXCELENTE")))</f>
        <v/>
      </c>
      <c r="M876" t="n">
        <v>27</v>
      </c>
      <c r="N876" t="n">
        <v>100</v>
      </c>
      <c r="O876" t="n">
        <v>34.15094339622641</v>
      </c>
    </row>
    <row r="877" hidden="1">
      <c r="A877" s="11" t="n">
        <v>46028</v>
      </c>
      <c r="B877" t="inlineStr">
        <is>
          <t>Francielson de Oliveira</t>
        </is>
      </c>
      <c r="C877" t="inlineStr">
        <is>
          <t>Técnico III</t>
        </is>
      </c>
      <c r="D877" t="n">
        <v>22</v>
      </c>
      <c r="E877" t="n">
        <v>17</v>
      </c>
      <c r="F877" t="n">
        <v>13.56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15</v>
      </c>
      <c r="N877" t="n">
        <v>100</v>
      </c>
      <c r="O877" t="n">
        <v>32.7313769751693</v>
      </c>
    </row>
    <row r="878" hidden="1">
      <c r="A878" s="11" t="n">
        <v>46028</v>
      </c>
      <c r="B878" t="inlineStr">
        <is>
          <t>Francilene Ferreira de Jesus</t>
        </is>
      </c>
      <c r="C878" t="inlineStr">
        <is>
          <t>Técnico II</t>
        </is>
      </c>
      <c r="D878" t="n">
        <v>46</v>
      </c>
      <c r="E878" t="n">
        <v>45</v>
      </c>
      <c r="F878" t="n">
        <v>18.35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38</v>
      </c>
      <c r="N878" t="n">
        <v>99.31</v>
      </c>
      <c r="O878" t="n">
        <v>30.96234309623431</v>
      </c>
    </row>
    <row r="879" hidden="1">
      <c r="A879" s="11" t="n">
        <v>46062</v>
      </c>
      <c r="B879" t="inlineStr">
        <is>
          <t>Gabriel Gomes de Andrade</t>
        </is>
      </c>
      <c r="C879" t="inlineStr">
        <is>
          <t>Técnico I</t>
        </is>
      </c>
      <c r="D879" t="n">
        <v>14</v>
      </c>
      <c r="E879" t="n">
        <v>13</v>
      </c>
      <c r="F879" t="n">
        <v>29.08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25</v>
      </c>
      <c r="N879" t="n">
        <v>96.67</v>
      </c>
      <c r="O879" t="n">
        <v>31.45161290322581</v>
      </c>
    </row>
    <row r="880" hidden="1">
      <c r="A880" s="11" t="n">
        <v>46028</v>
      </c>
      <c r="B880" t="inlineStr">
        <is>
          <t>Isabella Borges de Oliveira</t>
        </is>
      </c>
      <c r="C880" t="inlineStr">
        <is>
          <t>Técnico II</t>
        </is>
      </c>
      <c r="D880" t="n">
        <v>24</v>
      </c>
      <c r="E880" t="n">
        <v>21</v>
      </c>
      <c r="F880" t="n">
        <v>13.58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t="n">
        <v>20</v>
      </c>
      <c r="N880" t="n">
        <v>100</v>
      </c>
      <c r="O880" t="n">
        <v>27.67676767676768</v>
      </c>
    </row>
    <row r="881" hidden="1">
      <c r="A881" s="11" t="n">
        <v>46028</v>
      </c>
      <c r="B881" t="inlineStr">
        <is>
          <t>Janaina Lima dos Reis Urany</t>
        </is>
      </c>
      <c r="C881" t="inlineStr">
        <is>
          <t>Técnico III</t>
        </is>
      </c>
      <c r="D881" t="n">
        <v>53</v>
      </c>
      <c r="E881" t="n">
        <v>46</v>
      </c>
      <c r="F881" t="n">
        <v>12.3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49</v>
      </c>
      <c r="N881" t="n">
        <v>100</v>
      </c>
      <c r="O881" t="n">
        <v>31.17723156532988</v>
      </c>
    </row>
    <row r="882" hidden="1">
      <c r="A882" s="11" t="n">
        <v>46028</v>
      </c>
      <c r="B882" t="inlineStr">
        <is>
          <t>Jaqueline Evangelista da Silva Martins</t>
        </is>
      </c>
      <c r="C882" t="inlineStr">
        <is>
          <t>Técnico III</t>
        </is>
      </c>
      <c r="D882" t="n">
        <v>41</v>
      </c>
      <c r="E882" t="n">
        <v>41</v>
      </c>
      <c r="F882" t="n">
        <v>13.35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38</v>
      </c>
      <c r="N882" t="n">
        <v>100</v>
      </c>
      <c r="O882" t="n">
        <v>27.60942760942761</v>
      </c>
    </row>
    <row r="883" hidden="1">
      <c r="A883" s="11" t="n">
        <v>46028</v>
      </c>
      <c r="B883" t="inlineStr">
        <is>
          <t>Jessica Faria da Silveira</t>
        </is>
      </c>
      <c r="C883" t="inlineStr">
        <is>
          <t>Técnico II</t>
        </is>
      </c>
      <c r="D883" t="n">
        <v>38</v>
      </c>
      <c r="E883" t="n">
        <v>30</v>
      </c>
      <c r="F883" t="n">
        <v>13.52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28</v>
      </c>
      <c r="N883" t="n">
        <v>96.40000000000001</v>
      </c>
      <c r="O883" t="n">
        <v>28.76404494382023</v>
      </c>
    </row>
    <row r="884" hidden="1">
      <c r="A884" s="11" t="n">
        <v>46028</v>
      </c>
      <c r="B884" t="inlineStr">
        <is>
          <t>Jéssica Fé Moura</t>
        </is>
      </c>
      <c r="C884" t="inlineStr">
        <is>
          <t>Técnico III</t>
        </is>
      </c>
      <c r="D884" t="n">
        <v>0</v>
      </c>
      <c r="E884" t="n">
        <v>0</v>
      </c>
      <c r="F884" t="n">
        <v>0</v>
      </c>
      <c r="G884" t="n">
        <v>0</v>
      </c>
      <c r="H884" t="n">
        <v>0</v>
      </c>
      <c r="I884" s="3" t="n">
        <v>0</v>
      </c>
      <c r="J884" s="3" t="n">
        <v>0</v>
      </c>
      <c r="K884" s="3" t="n">
        <v>0</v>
      </c>
      <c r="L884" s="3">
        <f>IF(K884&lt;-5,"CRÍTICO",IF(K884&lt;0,"ATENÇÃO",IF(K884&lt;=5,"BOM","EXCELENTE")))</f>
        <v/>
      </c>
      <c r="M884" t="n">
        <v>26</v>
      </c>
      <c r="N884" t="n">
        <v>100</v>
      </c>
      <c r="O884" t="n">
        <v>33.98058252427185</v>
      </c>
    </row>
    <row r="885" hidden="1">
      <c r="A885" s="11" t="n">
        <v>46028</v>
      </c>
      <c r="B885" t="inlineStr">
        <is>
          <t>Karina Gonçalves Martins</t>
        </is>
      </c>
      <c r="C885" t="inlineStr">
        <is>
          <t>JR</t>
        </is>
      </c>
      <c r="D885" t="n">
        <v>3</v>
      </c>
      <c r="E885" t="n">
        <v>3</v>
      </c>
      <c r="F885" t="n">
        <v>57.08</v>
      </c>
      <c r="G885" t="n">
        <v>0</v>
      </c>
      <c r="H885" t="n">
        <v>0</v>
      </c>
      <c r="I885" s="3">
        <f>E885+G885+H885</f>
        <v/>
      </c>
      <c r="J885" s="3">
        <f>ROUND(MIN(IF(C885="Técnico III",35,IF(C885="Técnico II",28,IF(C885="Técnico I",23,IF(C885="JR",20,IF(C885="Estágio",10,0))))),IF(C885="Técnico III",SUMIFS($D:$D,$A:$A,$A885,$B:$B,"&lt;&gt;Patrícia Karla de Sousa Araújo",$B:$B,"&lt;&gt;Lorena Dias de Araujo",$B:$B,"&lt;&gt;Lucas Luiz Romero")*(35/1083),IF(C885="Técnico II",SUMIFS($D:$D,$A:$A,$A885,$B:$B,"&lt;&gt;Patrícia Karla de Sousa Araújo",$B:$B,"&lt;&gt;Lorena Dias de Araujo",$B:$B,"&lt;&gt;Lucas Luiz Romero")*(28/1083),IF(C885="Técnico I",SUMIFS($D:$D,$A:$A,$A885,$B:$B,"&lt;&gt;Patrícia Karla de Sousa Araújo",$B:$B,"&lt;&gt;Lorena Dias de Araujo",$B:$B,"&lt;&gt;Lucas Luiz Romero")*(23/1083),IF(C885="JR",SUMIFS($D:$D,$A:$A,$A885,$B:$B,"&lt;&gt;Patrícia Karla de Sousa Araújo",$B:$B,"&lt;&gt;Lorena Dias de Araujo",$B:$B,"&lt;&gt;Lucas Luiz Romero")*(20/1083),IF(C885="Estágio",SUMIFS($D:$D,$A:$A,$A885,$B:$B,"&lt;&gt;Patrícia Karla de Sousa Araújo",$B:$B,"&lt;&gt;Lorena Dias de Araujo",$B:$B,"&lt;&gt;Lucas Luiz Romero")*(10/1083),0)))))),0)</f>
        <v/>
      </c>
      <c r="K885" s="3">
        <f>I885-J885</f>
        <v/>
      </c>
      <c r="L885" s="3">
        <f>IF(K885&lt;-5,"CRÍTICO",IF(K885&lt;0,"ATENÇÃO",IF(K885&lt;=5,"BOM","EXCELENTE")))</f>
        <v/>
      </c>
      <c r="M885" t="n">
        <v>3</v>
      </c>
      <c r="N885" t="n">
        <v>97.56</v>
      </c>
      <c r="O885" t="n">
        <v>32.51533742331289</v>
      </c>
    </row>
    <row r="886" hidden="1">
      <c r="A886" s="11" t="n">
        <v>46028</v>
      </c>
      <c r="B886" t="inlineStr">
        <is>
          <t>Kerollen Cristielly de Jesus Siqueira</t>
        </is>
      </c>
      <c r="C886" t="inlineStr">
        <is>
          <t>Técnico III</t>
        </is>
      </c>
      <c r="D886" t="n">
        <v>0</v>
      </c>
      <c r="E886" t="n">
        <v>0</v>
      </c>
      <c r="F886" t="n">
        <v>0</v>
      </c>
      <c r="G886" t="n">
        <v>0</v>
      </c>
      <c r="H886" t="n">
        <v>0</v>
      </c>
      <c r="I886" s="3" t="n">
        <v>0</v>
      </c>
      <c r="J886" s="3" t="n">
        <v>0</v>
      </c>
      <c r="K886" s="3" t="n">
        <v>0</v>
      </c>
      <c r="L886" s="3">
        <f>IF(K886&lt;-5,"CRÍTICO",IF(K886&lt;0,"ATENÇÃO",IF(K886&lt;=5,"BOM","EXCELENTE")))</f>
        <v/>
      </c>
      <c r="M886" t="n">
        <v>46</v>
      </c>
      <c r="N886" t="n">
        <v>97.11</v>
      </c>
      <c r="O886" t="n">
        <v>37.40831295843521</v>
      </c>
    </row>
    <row r="887" hidden="1">
      <c r="A887" s="11" t="n">
        <v>46028</v>
      </c>
      <c r="B887" t="inlineStr">
        <is>
          <t>Leandro de Souza Silva</t>
        </is>
      </c>
      <c r="C887" t="inlineStr">
        <is>
          <t>JR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0</v>
      </c>
      <c r="N887" t="n">
        <v>0</v>
      </c>
      <c r="O887" t="n">
        <v>0</v>
      </c>
    </row>
    <row r="888" hidden="1">
      <c r="A888" s="11" t="n">
        <v>46028</v>
      </c>
      <c r="B888" t="inlineStr">
        <is>
          <t>Leandro Oliveira de Sousa</t>
        </is>
      </c>
      <c r="C888" t="inlineStr">
        <is>
          <t>Técnico III</t>
        </is>
      </c>
      <c r="D888" t="n">
        <v>45</v>
      </c>
      <c r="E888" t="n">
        <v>41</v>
      </c>
      <c r="F888" t="n">
        <v>15.19</v>
      </c>
      <c r="G888" t="n">
        <v>0</v>
      </c>
      <c r="H888" t="n">
        <v>0</v>
      </c>
      <c r="I888" s="3">
        <f>E888+G888+H888</f>
        <v/>
      </c>
      <c r="J888" s="3">
        <f>ROUND(MIN(IF(C888="Técnico III",35,IF(C888="Técnico II",28,IF(C888="Técnico I",23,IF(C888="JR",20,IF(C888="Estágio",10,0))))),IF(C888="Técnico III",SUMIFS($D:$D,$A:$A,$A888,$B:$B,"&lt;&gt;Patrícia Karla de Sousa Araújo",$B:$B,"&lt;&gt;Lorena Dias de Araujo",$B:$B,"&lt;&gt;Lucas Luiz Romero")*(35/1083),IF(C888="Técnico II",SUMIFS($D:$D,$A:$A,$A888,$B:$B,"&lt;&gt;Patrícia Karla de Sousa Araújo",$B:$B,"&lt;&gt;Lorena Dias de Araujo",$B:$B,"&lt;&gt;Lucas Luiz Romero")*(28/1083),IF(C888="Técnico I",SUMIFS($D:$D,$A:$A,$A888,$B:$B,"&lt;&gt;Patrícia Karla de Sousa Araújo",$B:$B,"&lt;&gt;Lorena Dias de Araujo",$B:$B,"&lt;&gt;Lucas Luiz Romero")*(23/1083),IF(C888="JR",SUMIFS($D:$D,$A:$A,$A888,$B:$B,"&lt;&gt;Patrícia Karla de Sousa Araújo",$B:$B,"&lt;&gt;Lorena Dias de Araujo",$B:$B,"&lt;&gt;Lucas Luiz Romero")*(20/1083),IF(C888="Estágio",SUMIFS($D:$D,$A:$A,$A888,$B:$B,"&lt;&gt;Patrícia Karla de Sousa Araújo",$B:$B,"&lt;&gt;Lorena Dias de Araujo",$B:$B,"&lt;&gt;Lucas Luiz Romero")*(10/1083),0)))))),0)</f>
        <v/>
      </c>
      <c r="K888" s="3">
        <f>I888-J888</f>
        <v/>
      </c>
      <c r="L888" s="3">
        <f>IF(K888&lt;-5,"CRÍTICO",IF(K888&lt;0,"ATENÇÃO",IF(K888&lt;=5,"BOM","EXCELENTE")))</f>
        <v/>
      </c>
      <c r="M888" t="n">
        <v>37</v>
      </c>
      <c r="N888" t="n">
        <v>100</v>
      </c>
      <c r="O888" t="n">
        <v>30.47034764826176</v>
      </c>
    </row>
    <row r="889" hidden="1">
      <c r="A889" s="11" t="n">
        <v>46028</v>
      </c>
      <c r="B889" t="inlineStr">
        <is>
          <t>Lizandra Gomes Duarte</t>
        </is>
      </c>
      <c r="C889" t="inlineStr">
        <is>
          <t>Técnico II</t>
        </is>
      </c>
      <c r="D889" t="n">
        <v>31</v>
      </c>
      <c r="E889" t="n">
        <v>29</v>
      </c>
      <c r="F889" t="n">
        <v>16.57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28</v>
      </c>
      <c r="N889" t="n">
        <v>100</v>
      </c>
      <c r="O889" t="n">
        <v>32.37113402061856</v>
      </c>
    </row>
    <row r="890" hidden="1">
      <c r="A890" s="11" t="n">
        <v>46028</v>
      </c>
      <c r="B890" t="inlineStr">
        <is>
          <t>Lorena Dias de Araujo</t>
        </is>
      </c>
      <c r="C890" t="inlineStr">
        <is>
          <t>Técnico II</t>
        </is>
      </c>
      <c r="D890" t="n">
        <v>33</v>
      </c>
      <c r="E890" t="n">
        <v>32</v>
      </c>
      <c r="F890" t="n">
        <v>17.16</v>
      </c>
      <c r="G890" t="n">
        <v>0</v>
      </c>
      <c r="H890" t="n">
        <v>0</v>
      </c>
      <c r="I890" s="3" t="n">
        <v>0</v>
      </c>
      <c r="J890" s="3" t="n">
        <v>0</v>
      </c>
      <c r="K890" s="3" t="n">
        <v>0</v>
      </c>
      <c r="L890" s="3">
        <f>IF(K890&lt;-5,"CRÍTICO",IF(K890&lt;0,"ATENÇÃO",IF(K890&lt;=5,"BOM","EXCELENTE")))</f>
        <v/>
      </c>
      <c r="M890" t="n">
        <v>26</v>
      </c>
      <c r="N890" t="n">
        <v>98.31999999999999</v>
      </c>
      <c r="O890" t="n">
        <v>32.31850117096019</v>
      </c>
    </row>
    <row r="891" hidden="1">
      <c r="A891" s="11" t="n">
        <v>46028</v>
      </c>
      <c r="B891" t="inlineStr">
        <is>
          <t>Lucas Luiz Romero</t>
        </is>
      </c>
      <c r="C891" t="inlineStr">
        <is>
          <t>Técnico III</t>
        </is>
      </c>
      <c r="D891" t="n">
        <v>21</v>
      </c>
      <c r="E891" t="n">
        <v>16</v>
      </c>
      <c r="F891" t="n">
        <v>15.06</v>
      </c>
      <c r="G891" t="n">
        <v>0</v>
      </c>
      <c r="H891" t="n">
        <v>0</v>
      </c>
      <c r="I891" s="3">
        <f>E891+G891+H891</f>
        <v/>
      </c>
      <c r="J891" s="3">
        <f>ROUND(MIN(IF(C891="Técnico III",35,IF(C891="Técnico II",28,IF(C891="Técnico I",23,IF(C891="JR",20,IF(C891="Estágio",10,0))))),IF(C891="Técnico III",SUMIFS($D:$D,$A:$A,$A891,$B:$B,"&lt;&gt;Patrícia Karla de Sousa Araújo",$B:$B,"&lt;&gt;Lorena Dias de Araujo",$B:$B,"&lt;&gt;Lucas Luiz Romero")*(35/1083),IF(C891="Técnico II",SUMIFS($D:$D,$A:$A,$A891,$B:$B,"&lt;&gt;Patrícia Karla de Sousa Araújo",$B:$B,"&lt;&gt;Lorena Dias de Araujo",$B:$B,"&lt;&gt;Lucas Luiz Romero")*(28/1083),IF(C891="Técnico I",SUMIFS($D:$D,$A:$A,$A891,$B:$B,"&lt;&gt;Patrícia Karla de Sousa Araújo",$B:$B,"&lt;&gt;Lorena Dias de Araujo",$B:$B,"&lt;&gt;Lucas Luiz Romero")*(23/1083),IF(C891="JR",SUMIFS($D:$D,$A:$A,$A891,$B:$B,"&lt;&gt;Patrícia Karla de Sousa Araújo",$B:$B,"&lt;&gt;Lorena Dias de Araujo",$B:$B,"&lt;&gt;Lucas Luiz Romero")*(20/1083),IF(C891="Estágio",SUMIFS($D:$D,$A:$A,$A891,$B:$B,"&lt;&gt;Patrícia Karla de Sousa Araújo",$B:$B,"&lt;&gt;Lorena Dias de Araujo",$B:$B,"&lt;&gt;Lucas Luiz Romero")*(10/1083),0)))))),0)</f>
        <v/>
      </c>
      <c r="K891" s="3">
        <f>I891-J891</f>
        <v/>
      </c>
      <c r="L891" s="3">
        <f>IF(K891&lt;-5,"CRÍTICO",IF(K891&lt;0,"ATENÇÃO",IF(K891&lt;=5,"BOM","EXCELENTE")))</f>
        <v/>
      </c>
      <c r="M891" t="n">
        <v>13</v>
      </c>
      <c r="N891" t="n">
        <v>96.43000000000001</v>
      </c>
      <c r="O891" t="n">
        <v>27.01525054466231</v>
      </c>
    </row>
    <row r="892" hidden="1">
      <c r="A892" s="11" t="n">
        <v>46028</v>
      </c>
      <c r="B892" t="inlineStr">
        <is>
          <t>Luiz Fernando de Carvalho Junior</t>
        </is>
      </c>
      <c r="C892" t="inlineStr">
        <is>
          <t>Técnico I</t>
        </is>
      </c>
      <c r="D892" t="n">
        <v>21</v>
      </c>
      <c r="E892" t="n">
        <v>21</v>
      </c>
      <c r="F892" t="n">
        <v>29.07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19</v>
      </c>
      <c r="N892" t="n">
        <v>98.89</v>
      </c>
      <c r="O892" t="n">
        <v>28.02197802197802</v>
      </c>
    </row>
    <row r="893" hidden="1">
      <c r="A893" s="11" t="n">
        <v>46028</v>
      </c>
      <c r="B893" t="inlineStr">
        <is>
          <t>Maria Eduarda Sousa Costa</t>
        </is>
      </c>
      <c r="C893" t="inlineStr">
        <is>
          <t>Estágio</t>
        </is>
      </c>
      <c r="D893" t="n">
        <v>11</v>
      </c>
      <c r="E893" t="n">
        <v>10</v>
      </c>
      <c r="F893" t="n">
        <v>37.26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8</v>
      </c>
      <c r="N893" t="n">
        <v>100</v>
      </c>
      <c r="O893" t="n">
        <v>33.33333333333333</v>
      </c>
    </row>
    <row r="894" hidden="1">
      <c r="A894" s="11" t="n">
        <v>46028</v>
      </c>
      <c r="B894" t="inlineStr">
        <is>
          <t>Matheus Farias De Souza</t>
        </is>
      </c>
      <c r="C894" t="inlineStr">
        <is>
          <t>Técnico III</t>
        </is>
      </c>
      <c r="D894" t="n">
        <v>0</v>
      </c>
      <c r="E894" t="n">
        <v>0</v>
      </c>
      <c r="F894" t="n">
        <v>0</v>
      </c>
      <c r="G894" t="n">
        <v>0</v>
      </c>
      <c r="H894" t="n">
        <v>0</v>
      </c>
      <c r="I894" s="3" t="n">
        <v>0</v>
      </c>
      <c r="J894" s="3" t="n">
        <v>0</v>
      </c>
      <c r="K894" s="3" t="n">
        <v>0</v>
      </c>
      <c r="L894" s="3">
        <f>IF(K894&lt;-5,"CRÍTICO",IF(K894&lt;0,"ATENÇÃO",IF(K894&lt;=5,"BOM","EXCELENTE")))</f>
        <v/>
      </c>
      <c r="M894" t="n">
        <v>0</v>
      </c>
      <c r="N894" t="n">
        <v>100</v>
      </c>
      <c r="O894" t="n">
        <v>27.43362831858407</v>
      </c>
    </row>
    <row r="895" hidden="1">
      <c r="A895" s="11" t="n">
        <v>46028</v>
      </c>
      <c r="B895" t="inlineStr">
        <is>
          <t>Maysa Victoria Dias Moura</t>
        </is>
      </c>
      <c r="C895" t="inlineStr">
        <is>
          <t>Técnico III</t>
        </is>
      </c>
      <c r="D895" t="n">
        <v>49</v>
      </c>
      <c r="E895" t="n">
        <v>42</v>
      </c>
      <c r="F895" t="n">
        <v>10.4</v>
      </c>
      <c r="G895" t="n">
        <v>0</v>
      </c>
      <c r="H895" t="n">
        <v>0</v>
      </c>
      <c r="I895" s="3">
        <f>E895+G895+H895</f>
        <v/>
      </c>
      <c r="J895" s="3">
        <f>ROUND(MIN(IF(C895="Técnico III",35,IF(C895="Técnico II",28,IF(C895="Técnico I",23,IF(C895="JR",20,IF(C895="Estágio",10,0))))),IF(C895="Técnico III",SUMIFS($D:$D,$A:$A,$A895,$B:$B,"&lt;&gt;Patrícia Karla de Sousa Araújo",$B:$B,"&lt;&gt;Lorena Dias de Araujo",$B:$B,"&lt;&gt;Lucas Luiz Romero")*(35/1083),IF(C895="Técnico II",SUMIFS($D:$D,$A:$A,$A895,$B:$B,"&lt;&gt;Patrícia Karla de Sousa Araújo",$B:$B,"&lt;&gt;Lorena Dias de Araujo",$B:$B,"&lt;&gt;Lucas Luiz Romero")*(28/1083),IF(C895="Técnico I",SUMIFS($D:$D,$A:$A,$A895,$B:$B,"&lt;&gt;Patrícia Karla de Sousa Araújo",$B:$B,"&lt;&gt;Lorena Dias de Araujo",$B:$B,"&lt;&gt;Lucas Luiz Romero")*(23/1083),IF(C895="JR",SUMIFS($D:$D,$A:$A,$A895,$B:$B,"&lt;&gt;Patrícia Karla de Sousa Araújo",$B:$B,"&lt;&gt;Lorena Dias de Araujo",$B:$B,"&lt;&gt;Lucas Luiz Romero")*(20/1083),IF(C895="Estágio",SUMIFS($D:$D,$A:$A,$A895,$B:$B,"&lt;&gt;Patrícia Karla de Sousa Araújo",$B:$B,"&lt;&gt;Lorena Dias de Araujo",$B:$B,"&lt;&gt;Lucas Luiz Romero")*(10/1083),0)))))),0)</f>
        <v/>
      </c>
      <c r="K895" s="3">
        <f>I895-J895</f>
        <v/>
      </c>
      <c r="L895" s="3">
        <f>IF(K895&lt;-5,"CRÍTICO",IF(K895&lt;0,"ATENÇÃO",IF(K895&lt;=5,"BOM","EXCELENTE")))</f>
        <v/>
      </c>
      <c r="M895" t="n">
        <v>45</v>
      </c>
      <c r="N895" t="n">
        <v>98.65000000000001</v>
      </c>
      <c r="O895" t="n">
        <v>30.97826086956522</v>
      </c>
    </row>
    <row r="896" hidden="1">
      <c r="A896" s="11" t="n">
        <v>46028</v>
      </c>
      <c r="B896" t="inlineStr">
        <is>
          <t>Michelle G Santos</t>
        </is>
      </c>
      <c r="C896" t="inlineStr">
        <is>
          <t>Estágio</t>
        </is>
      </c>
      <c r="D896" t="n">
        <v>0</v>
      </c>
      <c r="E896" t="n">
        <v>0</v>
      </c>
      <c r="F896" t="n">
        <v>0</v>
      </c>
      <c r="G896" t="n">
        <v>0</v>
      </c>
      <c r="H896" t="n">
        <v>0</v>
      </c>
      <c r="I896" s="3" t="n">
        <v>0</v>
      </c>
      <c r="J896" s="3" t="n">
        <v>0</v>
      </c>
      <c r="K896" s="3" t="n">
        <v>0</v>
      </c>
      <c r="L896" s="3">
        <f>IF(K896&lt;-5,"CRÍTICO",IF(K896&lt;0,"ATENÇÃO",IF(K896&lt;=5,"BOM","EXCELENTE")))</f>
        <v/>
      </c>
      <c r="M896" t="n">
        <v>0</v>
      </c>
      <c r="N896" t="n">
        <v>100</v>
      </c>
      <c r="O896" t="n">
        <v>12</v>
      </c>
    </row>
    <row r="897" hidden="1">
      <c r="A897" s="11" t="n">
        <v>46028</v>
      </c>
      <c r="B897" t="inlineStr">
        <is>
          <t>Milena Sales</t>
        </is>
      </c>
      <c r="C897" t="inlineStr">
        <is>
          <t>JR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Patrícia Karla de Sousa Araújo</t>
        </is>
      </c>
      <c r="C898" t="inlineStr">
        <is>
          <t>Técnico II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97.56</v>
      </c>
      <c r="O898" t="n">
        <v>31.06796116504854</v>
      </c>
    </row>
    <row r="899" hidden="1">
      <c r="A899" s="11" t="n">
        <v>46028</v>
      </c>
      <c r="B899" t="inlineStr">
        <is>
          <t>Paulo Ricardo Santos</t>
        </is>
      </c>
      <c r="C899" t="inlineStr">
        <is>
          <t>JR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0</v>
      </c>
      <c r="O899" t="n">
        <v>0</v>
      </c>
    </row>
    <row r="900" hidden="1">
      <c r="A900" s="11" t="n">
        <v>46028</v>
      </c>
      <c r="B900" t="inlineStr">
        <is>
          <t>Pedro Luiz Mota Sousa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Quirino Diogo Leite Torres</t>
        </is>
      </c>
      <c r="C901" t="inlineStr">
        <is>
          <t>Estágio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Raane Batista Matos</t>
        </is>
      </c>
      <c r="C902" t="inlineStr">
        <is>
          <t>Técnico I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100</v>
      </c>
      <c r="O902" t="n">
        <v>53.84615384615385</v>
      </c>
    </row>
    <row r="903" hidden="1">
      <c r="A903" s="11" t="n">
        <v>46028</v>
      </c>
      <c r="B903" t="inlineStr">
        <is>
          <t>Rafael Gomes de Morais</t>
        </is>
      </c>
      <c r="C903" t="inlineStr">
        <is>
          <t>Técnico III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100</v>
      </c>
      <c r="O903" t="n">
        <v>44.05594405594406</v>
      </c>
    </row>
    <row r="904" hidden="1">
      <c r="A904" s="11" t="n">
        <v>46028</v>
      </c>
      <c r="B904" t="inlineStr">
        <is>
          <t>Sara Maria Monteiro Lopes</t>
        </is>
      </c>
      <c r="C904" t="inlineStr">
        <is>
          <t>Técnico I</t>
        </is>
      </c>
      <c r="D904" t="n">
        <v>15</v>
      </c>
      <c r="E904" t="n">
        <v>11</v>
      </c>
      <c r="F904" t="n">
        <v>27.36</v>
      </c>
      <c r="G904" t="n">
        <v>0</v>
      </c>
      <c r="H904" t="n">
        <v>0</v>
      </c>
      <c r="I904" s="3">
        <f>E904+G904+H904</f>
        <v/>
      </c>
      <c r="J904" s="3">
        <f>ROUND(MIN(IF(C904="Técnico III",35,IF(C904="Técnico II",28,IF(C904="Técnico I",23,IF(C904="JR",20,IF(C904="Estágio",10,0))))),IF(C904="Técnico III",SUMIFS($D:$D,$A:$A,$A904,$B:$B,"&lt;&gt;Patrícia Karla de Sousa Araújo",$B:$B,"&lt;&gt;Lorena Dias de Araujo",$B:$B,"&lt;&gt;Lucas Luiz Romero")*(35/1083),IF(C904="Técnico II",SUMIFS($D:$D,$A:$A,$A904,$B:$B,"&lt;&gt;Patrícia Karla de Sousa Araújo",$B:$B,"&lt;&gt;Lorena Dias de Araujo",$B:$B,"&lt;&gt;Lucas Luiz Romero")*(28/1083),IF(C904="Técnico I",SUMIFS($D:$D,$A:$A,$A904,$B:$B,"&lt;&gt;Patrícia Karla de Sousa Araújo",$B:$B,"&lt;&gt;Lorena Dias de Araujo",$B:$B,"&lt;&gt;Lucas Luiz Romero")*(23/1083),IF(C904="JR",SUMIFS($D:$D,$A:$A,$A904,$B:$B,"&lt;&gt;Patrícia Karla de Sousa Araújo",$B:$B,"&lt;&gt;Lorena Dias de Araujo",$B:$B,"&lt;&gt;Lucas Luiz Romero")*(20/1083),IF(C904="Estágio",SUMIFS($D:$D,$A:$A,$A904,$B:$B,"&lt;&gt;Patrícia Karla de Sousa Araújo",$B:$B,"&lt;&gt;Lorena Dias de Araujo",$B:$B,"&lt;&gt;Lucas Luiz Romero")*(10/1083),0)))))),0)</f>
        <v/>
      </c>
      <c r="K904" s="3">
        <f>I904-J904</f>
        <v/>
      </c>
      <c r="L904" s="3">
        <f>IF(K904&lt;-5,"CRÍTICO",IF(K904&lt;0,"ATENÇÃO",IF(K904&lt;=5,"BOM","EXCELENTE")))</f>
        <v/>
      </c>
      <c r="M904" t="n">
        <v>12</v>
      </c>
      <c r="N904" t="n">
        <v>100</v>
      </c>
      <c r="O904" t="n">
        <v>31.87250996015936</v>
      </c>
    </row>
    <row r="905" hidden="1">
      <c r="A905" s="11" t="n">
        <v>46028</v>
      </c>
      <c r="B905" t="inlineStr">
        <is>
          <t>Sarah Steffanie de Lima Borges</t>
        </is>
      </c>
      <c r="C905" t="inlineStr">
        <is>
          <t>Técnico III</t>
        </is>
      </c>
      <c r="D905" t="n">
        <v>29</v>
      </c>
      <c r="E905" t="n">
        <v>27</v>
      </c>
      <c r="F905" t="n">
        <v>18.4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25</v>
      </c>
      <c r="N905" t="n">
        <v>98.41</v>
      </c>
      <c r="O905" t="n">
        <v>29.22465208747515</v>
      </c>
    </row>
    <row r="906" hidden="1">
      <c r="A906" s="11" t="n">
        <v>46029</v>
      </c>
      <c r="B906" t="inlineStr">
        <is>
          <t>Alisson de Freitas Silva</t>
        </is>
      </c>
      <c r="C906" t="inlineStr">
        <is>
          <t>Técnico II</t>
        </is>
      </c>
      <c r="D906" t="n">
        <v>26</v>
      </c>
      <c r="E906" t="n">
        <v>23</v>
      </c>
      <c r="F906" t="n">
        <v>20.57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19</v>
      </c>
      <c r="N906" t="n">
        <v>96.81</v>
      </c>
      <c r="O906" t="n">
        <v>27.98053527980535</v>
      </c>
    </row>
    <row r="907" hidden="1">
      <c r="A907" s="11" t="n">
        <v>46029</v>
      </c>
      <c r="B907" t="inlineStr">
        <is>
          <t>Amanda Moura Ferreira</t>
        </is>
      </c>
      <c r="C907" t="inlineStr">
        <is>
          <t>Técnico III</t>
        </is>
      </c>
      <c r="D907" t="n">
        <v>0</v>
      </c>
      <c r="E907" t="n">
        <v>0</v>
      </c>
      <c r="F907" t="n">
        <v>0</v>
      </c>
      <c r="G907" t="n">
        <v>0</v>
      </c>
      <c r="H907" t="n">
        <v>0</v>
      </c>
      <c r="I907" s="3" t="n">
        <v>0</v>
      </c>
      <c r="J907" s="3" t="n">
        <v>0</v>
      </c>
      <c r="K907" s="3" t="n">
        <v>0</v>
      </c>
      <c r="L907" s="3">
        <f>IF(K907&lt;-5,"CRÍTICO",IF(K907&lt;0,"ATENÇÃO",IF(K907&lt;=5,"BOM","EXCELENTE")))</f>
        <v/>
      </c>
      <c r="M907" t="n">
        <v>26</v>
      </c>
      <c r="N907" t="n">
        <v>98.73</v>
      </c>
      <c r="O907" t="n">
        <v>35.75638506876228</v>
      </c>
    </row>
    <row r="908" hidden="1">
      <c r="A908" s="11" t="n">
        <v>46029</v>
      </c>
      <c r="B908" t="inlineStr">
        <is>
          <t>Ana Karollyne Souza Faria</t>
        </is>
      </c>
      <c r="C908" t="inlineStr">
        <is>
          <t>Técnico I</t>
        </is>
      </c>
      <c r="D908" t="n">
        <v>30</v>
      </c>
      <c r="E908" t="n">
        <v>25</v>
      </c>
      <c r="F908" t="n">
        <v>15.14</v>
      </c>
      <c r="G908" t="n">
        <v>0</v>
      </c>
      <c r="H908" t="n">
        <v>0</v>
      </c>
      <c r="I908" s="3">
        <f>E908+G908+H908</f>
        <v/>
      </c>
      <c r="J908" s="3">
        <f>ROUND(MIN(IF(C908="Técnico III",35,IF(C908="Técnico II",28,IF(C908="Técnico I",23,IF(C908="JR",20,IF(C908="Estágio",10,0))))),IF(C908="Técnico III",SUMIFS($D:$D,$A:$A,$A908,$B:$B,"&lt;&gt;Patrícia Karla de Sousa Araújo",$B:$B,"&lt;&gt;Lorena Dias de Araujo",$B:$B,"&lt;&gt;Lucas Luiz Romero")*(35/1083),IF(C908="Técnico II",SUMIFS($D:$D,$A:$A,$A908,$B:$B,"&lt;&gt;Patrícia Karla de Sousa Araújo",$B:$B,"&lt;&gt;Lorena Dias de Araujo",$B:$B,"&lt;&gt;Lucas Luiz Romero")*(28/1083),IF(C908="Técnico I",SUMIFS($D:$D,$A:$A,$A908,$B:$B,"&lt;&gt;Patrícia Karla de Sousa Araújo",$B:$B,"&lt;&gt;Lorena Dias de Araujo",$B:$B,"&lt;&gt;Lucas Luiz Romero")*(23/1083),IF(C908="JR",SUMIFS($D:$D,$A:$A,$A908,$B:$B,"&lt;&gt;Patrícia Karla de Sousa Araújo",$B:$B,"&lt;&gt;Lorena Dias de Araujo",$B:$B,"&lt;&gt;Lucas Luiz Romero")*(20/1083),IF(C908="Estágio",SUMIFS($D:$D,$A:$A,$A908,$B:$B,"&lt;&gt;Patrícia Karla de Sousa Araújo",$B:$B,"&lt;&gt;Lorena Dias de Araujo",$B:$B,"&lt;&gt;Lucas Luiz Romero")*(10/1083),0)))))),0)</f>
        <v/>
      </c>
      <c r="K908" s="3">
        <f>I908-J908</f>
        <v/>
      </c>
      <c r="L908" s="3">
        <f>IF(K908&lt;-5,"CRÍTICO",IF(K908&lt;0,"ATENÇÃO",IF(K908&lt;=5,"BOM","EXCELENTE")))</f>
        <v/>
      </c>
      <c r="M908" t="n">
        <v>24</v>
      </c>
      <c r="N908" t="n">
        <v>98.31999999999999</v>
      </c>
      <c r="O908" t="n">
        <v>26.76348547717842</v>
      </c>
    </row>
    <row r="909" hidden="1">
      <c r="A909" s="11" t="n">
        <v>46029</v>
      </c>
      <c r="B909" t="inlineStr">
        <is>
          <t>Ana Paula Da Luz Silva Aleixo</t>
        </is>
      </c>
      <c r="C909" t="inlineStr">
        <is>
          <t>Técnico III</t>
        </is>
      </c>
      <c r="D909" t="n">
        <v>31</v>
      </c>
      <c r="E909" t="n">
        <v>30</v>
      </c>
      <c r="F909" t="n">
        <v>20.06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28</v>
      </c>
      <c r="N909" t="n">
        <v>99.19</v>
      </c>
      <c r="O909" t="n">
        <v>27.63713080168776</v>
      </c>
    </row>
    <row r="910" hidden="1">
      <c r="A910" s="11" t="n">
        <v>46029</v>
      </c>
      <c r="B910" t="inlineStr">
        <is>
          <t>Anna Luiza Rezende Tavares</t>
        </is>
      </c>
      <c r="C910" t="inlineStr">
        <is>
          <t>Estágio</t>
        </is>
      </c>
      <c r="D910" t="n">
        <v>15</v>
      </c>
      <c r="E910" t="n">
        <v>14</v>
      </c>
      <c r="F910" t="n">
        <v>32.35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13</v>
      </c>
      <c r="N910" t="n">
        <v>100</v>
      </c>
      <c r="O910" t="n">
        <v>39.56834532374101</v>
      </c>
    </row>
    <row r="911" hidden="1">
      <c r="A911" s="11" t="n">
        <v>46029</v>
      </c>
      <c r="B911" t="inlineStr">
        <is>
          <t>Brenda de Menezes Silva</t>
        </is>
      </c>
      <c r="C911" t="inlineStr">
        <is>
          <t>Técnico II</t>
        </is>
      </c>
      <c r="D911" t="n">
        <v>31</v>
      </c>
      <c r="E911" t="n">
        <v>28</v>
      </c>
      <c r="F911" t="n">
        <v>20.12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26</v>
      </c>
      <c r="N911" t="n">
        <v>98.54000000000001</v>
      </c>
      <c r="O911" t="n">
        <v>28.54477611940299</v>
      </c>
    </row>
    <row r="912" hidden="1">
      <c r="A912" s="11" t="n">
        <v>46029</v>
      </c>
      <c r="B912" t="inlineStr">
        <is>
          <t>Carlos Mateus Cassimiro Nunes</t>
        </is>
      </c>
      <c r="C912" t="inlineStr">
        <is>
          <t>Técnico II</t>
        </is>
      </c>
      <c r="D912" t="n">
        <v>28</v>
      </c>
      <c r="E912" t="n">
        <v>23</v>
      </c>
      <c r="F912" t="n">
        <v>19.14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20</v>
      </c>
      <c r="N912" t="n">
        <v>100</v>
      </c>
      <c r="O912" t="n">
        <v>34.36692506459949</v>
      </c>
    </row>
    <row r="913" hidden="1">
      <c r="A913" s="11" t="n">
        <v>46029</v>
      </c>
      <c r="B913" t="inlineStr">
        <is>
          <t>Claudio de Sousa Velasco Filho</t>
        </is>
      </c>
      <c r="C913" t="inlineStr">
        <is>
          <t>Estágio</t>
        </is>
      </c>
      <c r="D913" t="n">
        <v>0</v>
      </c>
      <c r="E913" t="n">
        <v>0</v>
      </c>
      <c r="F913" t="n">
        <v>0</v>
      </c>
      <c r="G913" t="n">
        <v>0</v>
      </c>
      <c r="H913" t="n">
        <v>0</v>
      </c>
      <c r="I913" s="3" t="n">
        <v>0</v>
      </c>
      <c r="J913" s="3" t="n">
        <v>0</v>
      </c>
      <c r="K913" s="3" t="n">
        <v>0</v>
      </c>
      <c r="L913" s="3">
        <f>IF(K913&lt;-5,"CRÍTICO",IF(K913&lt;0,"ATENÇÃO",IF(K913&lt;=5,"BOM","EXCELENTE")))</f>
        <v/>
      </c>
      <c r="M913" t="n">
        <v>0</v>
      </c>
      <c r="N913" t="n">
        <v>0</v>
      </c>
      <c r="O913" t="n">
        <v>0</v>
      </c>
    </row>
    <row r="914" hidden="1">
      <c r="A914" s="11" t="n">
        <v>46029</v>
      </c>
      <c r="B914" t="inlineStr">
        <is>
          <t>Clessiane Pereira dos Santos</t>
        </is>
      </c>
      <c r="C914" t="inlineStr">
        <is>
          <t>Técnico I</t>
        </is>
      </c>
      <c r="D914" t="n">
        <v>17</v>
      </c>
      <c r="E914" t="n">
        <v>17</v>
      </c>
      <c r="F914" t="n">
        <v>30.57</v>
      </c>
      <c r="G914" t="n">
        <v>0</v>
      </c>
      <c r="H914" t="n">
        <v>0</v>
      </c>
      <c r="I914" s="3">
        <f>E914+G914+H914</f>
        <v/>
      </c>
      <c r="J914" s="3">
        <f>ROUND(MIN(IF(C914="Técnico III",35,IF(C914="Técnico II",28,IF(C914="Técnico I",23,IF(C914="JR",20,IF(C914="Estágio",10,0))))),IF(C914="Técnico III",SUMIFS($D:$D,$A:$A,$A914,$B:$B,"&lt;&gt;Patrícia Karla de Sousa Araújo",$B:$B,"&lt;&gt;Lorena Dias de Araujo",$B:$B,"&lt;&gt;Lucas Luiz Romero")*(35/1083),IF(C914="Técnico II",SUMIFS($D:$D,$A:$A,$A914,$B:$B,"&lt;&gt;Patrícia Karla de Sousa Araújo",$B:$B,"&lt;&gt;Lorena Dias de Araujo",$B:$B,"&lt;&gt;Lucas Luiz Romero")*(28/1083),IF(C914="Técnico I",SUMIFS($D:$D,$A:$A,$A914,$B:$B,"&lt;&gt;Patrícia Karla de Sousa Araújo",$B:$B,"&lt;&gt;Lorena Dias de Araujo",$B:$B,"&lt;&gt;Lucas Luiz Romero")*(23/1083),IF(C914="JR",SUMIFS($D:$D,$A:$A,$A914,$B:$B,"&lt;&gt;Patrícia Karla de Sousa Araújo",$B:$B,"&lt;&gt;Lorena Dias de Araujo",$B:$B,"&lt;&gt;Lucas Luiz Romero")*(20/1083),IF(C914="Estágio",SUMIFS($D:$D,$A:$A,$A914,$B:$B,"&lt;&gt;Patrícia Karla de Sousa Araújo",$B:$B,"&lt;&gt;Lorena Dias de Araujo",$B:$B,"&lt;&gt;Lucas Luiz Romero")*(10/1083),0)))))),0)</f>
        <v/>
      </c>
      <c r="K914" s="3">
        <f>I914-J914</f>
        <v/>
      </c>
      <c r="L914" s="3">
        <f>IF(K914&lt;-5,"CRÍTICO",IF(K914&lt;0,"ATENÇÃO",IF(K914&lt;=5,"BOM","EXCELENTE")))</f>
        <v/>
      </c>
      <c r="M914" t="n">
        <v>14</v>
      </c>
      <c r="N914" t="n">
        <v>100</v>
      </c>
      <c r="O914" t="n">
        <v>29.51807228915663</v>
      </c>
    </row>
    <row r="915" hidden="1">
      <c r="A915" s="11" t="n">
        <v>46029</v>
      </c>
      <c r="B915" t="inlineStr">
        <is>
          <t>Cristiane Ramos da Silva Rocha</t>
        </is>
      </c>
      <c r="C915" t="inlineStr">
        <is>
          <t>Técnico III</t>
        </is>
      </c>
      <c r="D915" t="n">
        <v>55</v>
      </c>
      <c r="E915" t="n">
        <v>45</v>
      </c>
      <c r="F915" t="n">
        <v>9.109999999999999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42</v>
      </c>
      <c r="N915" t="n">
        <v>97.45</v>
      </c>
      <c r="O915" t="n">
        <v>41.421143847487</v>
      </c>
    </row>
    <row r="916" hidden="1">
      <c r="A916" s="11" t="n">
        <v>46029</v>
      </c>
      <c r="B916" t="inlineStr">
        <is>
          <t>Damyllis Lorraine de Oliveira Gonçalves</t>
        </is>
      </c>
      <c r="C916" t="inlineStr">
        <is>
          <t>Técnico II</t>
        </is>
      </c>
      <c r="D916" t="n">
        <v>37</v>
      </c>
      <c r="E916" t="n">
        <v>33</v>
      </c>
      <c r="F916" t="n">
        <v>15.37</v>
      </c>
      <c r="G916" t="n">
        <v>0</v>
      </c>
      <c r="H916" t="n">
        <v>0</v>
      </c>
      <c r="I916" s="3" t="n">
        <v>0</v>
      </c>
      <c r="J916" s="3" t="n">
        <v>0</v>
      </c>
      <c r="K916" s="3" t="n">
        <v>0</v>
      </c>
      <c r="L916" s="3">
        <f>IF(K916&lt;-5,"CRÍTICO",IF(K916&lt;0,"ATENÇÃO",IF(K916&lt;=5,"BOM","EXCELENTE")))</f>
        <v/>
      </c>
      <c r="M916" t="n">
        <v>26</v>
      </c>
      <c r="N916" t="n">
        <v>96.58</v>
      </c>
      <c r="O916" t="n">
        <v>30.39647577092511</v>
      </c>
    </row>
    <row r="917" hidden="1">
      <c r="A917" s="11" t="n">
        <v>46029</v>
      </c>
      <c r="B917" t="inlineStr">
        <is>
          <t>Daniel Gomes da Silva</t>
        </is>
      </c>
      <c r="C917" t="inlineStr">
        <is>
          <t>Técnico I</t>
        </is>
      </c>
      <c r="D917" t="n">
        <v>27</v>
      </c>
      <c r="E917" t="n">
        <v>27</v>
      </c>
      <c r="F917" t="n">
        <v>21.4</v>
      </c>
      <c r="G917" t="n">
        <v>0</v>
      </c>
      <c r="H917" t="n">
        <v>0</v>
      </c>
      <c r="I917" s="3">
        <f>E917+G917+H917</f>
        <v/>
      </c>
      <c r="J917" s="3">
        <f>ROUND(MIN(IF(C917="Técnico III",35,IF(C917="Técnico II",28,IF(C917="Técnico I",23,IF(C917="JR",20,IF(C917="Estágio",10,0))))),IF(C917="Técnico III",SUMIFS($D:$D,$A:$A,$A917,$B:$B,"&lt;&gt;Patrícia Karla de Sousa Araújo",$B:$B,"&lt;&gt;Lorena Dias de Araujo",$B:$B,"&lt;&gt;Lucas Luiz Romero")*(35/1083),IF(C917="Técnico II",SUMIFS($D:$D,$A:$A,$A917,$B:$B,"&lt;&gt;Patrícia Karla de Sousa Araújo",$B:$B,"&lt;&gt;Lorena Dias de Araujo",$B:$B,"&lt;&gt;Lucas Luiz Romero")*(28/1083),IF(C917="Técnico I",SUMIFS($D:$D,$A:$A,$A917,$B:$B,"&lt;&gt;Patrícia Karla de Sousa Araújo",$B:$B,"&lt;&gt;Lorena Dias de Araujo",$B:$B,"&lt;&gt;Lucas Luiz Romero")*(23/1083),IF(C917="JR",SUMIFS($D:$D,$A:$A,$A917,$B:$B,"&lt;&gt;Patrícia Karla de Sousa Araújo",$B:$B,"&lt;&gt;Lorena Dias de Araujo",$B:$B,"&lt;&gt;Lucas Luiz Romero")*(20/1083),IF(C917="Estágio",SUMIFS($D:$D,$A:$A,$A917,$B:$B,"&lt;&gt;Patrícia Karla de Sousa Araújo",$B:$B,"&lt;&gt;Lorena Dias de Araujo",$B:$B,"&lt;&gt;Lucas Luiz Romero")*(10/1083),0)))))),0)</f>
        <v/>
      </c>
      <c r="K917" s="3">
        <f>I917-J917</f>
        <v/>
      </c>
      <c r="L917" s="3">
        <f>IF(K917&lt;-5,"CRÍTICO",IF(K917&lt;0,"ATENÇÃO",IF(K917&lt;=5,"BOM","EXCELENTE")))</f>
        <v/>
      </c>
      <c r="M917" t="n">
        <v>25</v>
      </c>
      <c r="N917" t="n">
        <v>100</v>
      </c>
      <c r="O917" t="n">
        <v>27.44282744282744</v>
      </c>
    </row>
    <row r="918" hidden="1">
      <c r="A918" s="11" t="n">
        <v>46029</v>
      </c>
      <c r="B918" t="inlineStr">
        <is>
          <t>Davylla Rodrigues Freitas Silva</t>
        </is>
      </c>
      <c r="C918" t="inlineStr">
        <is>
          <t>Técnico III</t>
        </is>
      </c>
      <c r="D918" t="n">
        <v>34</v>
      </c>
      <c r="E918" t="n">
        <v>33</v>
      </c>
      <c r="F918" t="n">
        <v>21.41</v>
      </c>
      <c r="G918" t="n">
        <v>0</v>
      </c>
      <c r="H918" t="n">
        <v>0</v>
      </c>
      <c r="I918" s="3" t="n">
        <v>0</v>
      </c>
      <c r="J918" s="3" t="n">
        <v>0</v>
      </c>
      <c r="K918" s="3" t="n">
        <v>0</v>
      </c>
      <c r="L918" s="3">
        <f>IF(K918&lt;-5,"CRÍTICO",IF(K918&lt;0,"ATENÇÃO",IF(K918&lt;=5,"BOM","EXCELENTE")))</f>
        <v/>
      </c>
      <c r="M918" t="n">
        <v>33</v>
      </c>
      <c r="N918" t="n">
        <v>99.48999999999999</v>
      </c>
      <c r="O918" t="n">
        <v>40.2</v>
      </c>
    </row>
    <row r="919" hidden="1">
      <c r="A919" s="11" t="n">
        <v>46029</v>
      </c>
      <c r="B919" t="inlineStr">
        <is>
          <t>Emilly Caylane Costa</t>
        </is>
      </c>
      <c r="C919" t="inlineStr">
        <is>
          <t>Estágio</t>
        </is>
      </c>
      <c r="D919" t="n">
        <v>0</v>
      </c>
      <c r="E919" t="n">
        <v>0</v>
      </c>
      <c r="F919" t="n">
        <v>0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0</v>
      </c>
      <c r="N919" t="n">
        <v>100</v>
      </c>
      <c r="O919" t="n">
        <v>25</v>
      </c>
    </row>
    <row r="920" hidden="1">
      <c r="A920" s="11" t="n">
        <v>46029</v>
      </c>
      <c r="B920" t="inlineStr">
        <is>
          <t>Emilly Kamilly Medeiros Miranda</t>
        </is>
      </c>
      <c r="C920" t="inlineStr">
        <is>
          <t>Técnico II</t>
        </is>
      </c>
      <c r="D920" t="n">
        <v>34</v>
      </c>
      <c r="E920" t="n">
        <v>33</v>
      </c>
      <c r="F920" t="n">
        <v>16.43</v>
      </c>
      <c r="G920" t="n">
        <v>0</v>
      </c>
      <c r="H920" t="n">
        <v>0</v>
      </c>
      <c r="I920" s="3">
        <f>E920+G920+H920</f>
        <v/>
      </c>
      <c r="J920" s="3">
        <f>ROUND(MIN(IF(C920="Técnico III",35,IF(C920="Técnico II",28,IF(C920="Técnico I",23,IF(C920="JR",20,IF(C920="Estágio",10,0))))),IF(C920="Técnico III",SUMIFS($D:$D,$A:$A,$A920,$B:$B,"&lt;&gt;Patrícia Karla de Sousa Araújo",$B:$B,"&lt;&gt;Lorena Dias de Araujo",$B:$B,"&lt;&gt;Lucas Luiz Romero")*(35/1083),IF(C920="Técnico II",SUMIFS($D:$D,$A:$A,$A920,$B:$B,"&lt;&gt;Patrícia Karla de Sousa Araújo",$B:$B,"&lt;&gt;Lorena Dias de Araujo",$B:$B,"&lt;&gt;Lucas Luiz Romero")*(28/1083),IF(C920="Técnico I",SUMIFS($D:$D,$A:$A,$A920,$B:$B,"&lt;&gt;Patrícia Karla de Sousa Araújo",$B:$B,"&lt;&gt;Lorena Dias de Araujo",$B:$B,"&lt;&gt;Lucas Luiz Romero")*(23/1083),IF(C920="JR",SUMIFS($D:$D,$A:$A,$A920,$B:$B,"&lt;&gt;Patrícia Karla de Sousa Araújo",$B:$B,"&lt;&gt;Lorena Dias de Araujo",$B:$B,"&lt;&gt;Lucas Luiz Romero")*(20/1083),IF(C920="Estágio",SUMIFS($D:$D,$A:$A,$A920,$B:$B,"&lt;&gt;Patrícia Karla de Sousa Araújo",$B:$B,"&lt;&gt;Lorena Dias de Araujo",$B:$B,"&lt;&gt;Lucas Luiz Romero")*(10/1083),0)))))),0)</f>
        <v/>
      </c>
      <c r="K920" s="3">
        <f>I920-J920</f>
        <v/>
      </c>
      <c r="L920" s="3">
        <f>IF(K920&lt;-5,"CRÍTICO",IF(K920&lt;0,"ATENÇÃO",IF(K920&lt;=5,"BOM","EXCELENTE")))</f>
        <v/>
      </c>
      <c r="M920" t="n">
        <v>27</v>
      </c>
      <c r="N920" t="n">
        <v>100</v>
      </c>
      <c r="O920" t="n">
        <v>34.15094339622641</v>
      </c>
    </row>
    <row r="921" hidden="1">
      <c r="A921" s="11" t="n">
        <v>46029</v>
      </c>
      <c r="B921" t="inlineStr">
        <is>
          <t>Francielson de Oliveira</t>
        </is>
      </c>
      <c r="C921" t="inlineStr">
        <is>
          <t>Técnico III</t>
        </is>
      </c>
      <c r="D921" t="n">
        <v>34</v>
      </c>
      <c r="E921" t="n">
        <v>31</v>
      </c>
      <c r="F921" t="n">
        <v>12.38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32</v>
      </c>
      <c r="N921" t="n">
        <v>100</v>
      </c>
      <c r="O921" t="n">
        <v>32.7313769751693</v>
      </c>
    </row>
    <row r="922" hidden="1">
      <c r="A922" s="11" t="n">
        <v>46029</v>
      </c>
      <c r="B922" t="inlineStr">
        <is>
          <t>Francilene Ferreira de Jesus</t>
        </is>
      </c>
      <c r="C922" t="inlineStr">
        <is>
          <t>Técnico II</t>
        </is>
      </c>
      <c r="D922" t="n">
        <v>33</v>
      </c>
      <c r="E922" t="n">
        <v>31</v>
      </c>
      <c r="F922" t="n">
        <v>25.16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29</v>
      </c>
      <c r="N922" t="n">
        <v>99.31</v>
      </c>
      <c r="O922" t="n">
        <v>30.96234309623431</v>
      </c>
    </row>
    <row r="923" hidden="1">
      <c r="A923" s="11" t="n">
        <v>46063</v>
      </c>
      <c r="B923" t="inlineStr">
        <is>
          <t>Gabriel Gomes de Andrade</t>
        </is>
      </c>
      <c r="C923" t="inlineStr">
        <is>
          <t>Técnico I</t>
        </is>
      </c>
      <c r="D923" t="n">
        <v>6</v>
      </c>
      <c r="E923" t="n">
        <v>6</v>
      </c>
      <c r="F923" t="n">
        <v>20.39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28</v>
      </c>
      <c r="N923" t="n">
        <v>96.67</v>
      </c>
      <c r="O923" t="n">
        <v>31.45161290322581</v>
      </c>
    </row>
    <row r="924" hidden="1">
      <c r="A924" s="11" t="n">
        <v>46029</v>
      </c>
      <c r="B924" t="inlineStr">
        <is>
          <t>Isabella Borges de Oliveira</t>
        </is>
      </c>
      <c r="C924" t="inlineStr">
        <is>
          <t>Técnico II</t>
        </is>
      </c>
      <c r="D924" t="n">
        <v>28</v>
      </c>
      <c r="E924" t="n">
        <v>25</v>
      </c>
      <c r="F924" t="n">
        <v>15.12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M924" t="n">
        <v>27</v>
      </c>
      <c r="N924" t="n">
        <v>100</v>
      </c>
      <c r="O924" t="n">
        <v>27.67676767676768</v>
      </c>
    </row>
    <row r="925" hidden="1">
      <c r="A925" s="11" t="n">
        <v>46029</v>
      </c>
      <c r="B925" t="inlineStr">
        <is>
          <t>Janaina Lima dos Reis Urany</t>
        </is>
      </c>
      <c r="C925" t="inlineStr">
        <is>
          <t>Técnico III</t>
        </is>
      </c>
      <c r="D925" t="n">
        <v>59</v>
      </c>
      <c r="E925" t="n">
        <v>53</v>
      </c>
      <c r="F925" t="n">
        <v>10.35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51</v>
      </c>
      <c r="N925" t="n">
        <v>100</v>
      </c>
      <c r="O925" t="n">
        <v>31.17723156532988</v>
      </c>
    </row>
    <row r="926" hidden="1">
      <c r="A926" s="11" t="n">
        <v>46029</v>
      </c>
      <c r="B926" t="inlineStr">
        <is>
          <t>Jaqueline Evangelista da Silva Martins</t>
        </is>
      </c>
      <c r="C926" t="inlineStr">
        <is>
          <t>Técnico III</t>
        </is>
      </c>
      <c r="D926" t="n">
        <v>30</v>
      </c>
      <c r="E926" t="n">
        <v>27</v>
      </c>
      <c r="F926" t="n">
        <v>12.23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24</v>
      </c>
      <c r="N926" t="n">
        <v>100</v>
      </c>
      <c r="O926" t="n">
        <v>27.60942760942761</v>
      </c>
    </row>
    <row r="927" hidden="1">
      <c r="A927" s="11" t="n">
        <v>46029</v>
      </c>
      <c r="B927" t="inlineStr">
        <is>
          <t>Jessica Faria da Silveira</t>
        </is>
      </c>
      <c r="C927" t="inlineStr">
        <is>
          <t>Técnico II</t>
        </is>
      </c>
      <c r="D927" t="n">
        <v>33</v>
      </c>
      <c r="E927" t="n">
        <v>27</v>
      </c>
      <c r="F927" t="n">
        <v>11.54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26</v>
      </c>
      <c r="N927" t="n">
        <v>96.40000000000001</v>
      </c>
      <c r="O927" t="n">
        <v>28.76404494382023</v>
      </c>
    </row>
    <row r="928" hidden="1">
      <c r="A928" s="11" t="n">
        <v>46029</v>
      </c>
      <c r="B928" t="inlineStr">
        <is>
          <t>Jéssica Fé Moura</t>
        </is>
      </c>
      <c r="C928" t="inlineStr">
        <is>
          <t>Técnico III</t>
        </is>
      </c>
      <c r="D928" t="n">
        <v>0</v>
      </c>
      <c r="E928" t="n">
        <v>0</v>
      </c>
      <c r="F928" t="n">
        <v>0</v>
      </c>
      <c r="G928" t="n">
        <v>0</v>
      </c>
      <c r="H928" t="n">
        <v>0</v>
      </c>
      <c r="I928" s="3" t="n">
        <v>0</v>
      </c>
      <c r="J928" s="3" t="n">
        <v>0</v>
      </c>
      <c r="K928" s="3" t="n">
        <v>0</v>
      </c>
      <c r="L928" s="3">
        <f>IF(K928&lt;-5,"CRÍTICO",IF(K928&lt;0,"ATENÇÃO",IF(K928&lt;=5,"BOM","EXCELENTE")))</f>
        <v/>
      </c>
      <c r="M928" t="n">
        <v>28</v>
      </c>
      <c r="N928" t="n">
        <v>100</v>
      </c>
      <c r="O928" t="n">
        <v>33.98058252427185</v>
      </c>
    </row>
    <row r="929" hidden="1">
      <c r="A929" s="11" t="n">
        <v>46029</v>
      </c>
      <c r="B929" t="inlineStr">
        <is>
          <t>Karina Gonçalves Martins</t>
        </is>
      </c>
      <c r="C929" t="inlineStr">
        <is>
          <t>JR</t>
        </is>
      </c>
      <c r="D929" t="n">
        <v>8</v>
      </c>
      <c r="E929" t="n">
        <v>8</v>
      </c>
      <c r="F929" t="n">
        <v>33.34</v>
      </c>
      <c r="G929" t="n">
        <v>0</v>
      </c>
      <c r="H929" t="n">
        <v>0</v>
      </c>
      <c r="I929" s="3">
        <f>E929+G929+H929</f>
        <v/>
      </c>
      <c r="J929" s="3">
        <f>ROUND(MIN(IF(C929="Técnico III",35,IF(C929="Técnico II",28,IF(C929="Técnico I",23,IF(C929="JR",20,IF(C929="Estágio",10,0))))),IF(C929="Técnico III",SUMIFS($D:$D,$A:$A,$A929,$B:$B,"&lt;&gt;Patrícia Karla de Sousa Araújo",$B:$B,"&lt;&gt;Lorena Dias de Araujo",$B:$B,"&lt;&gt;Lucas Luiz Romero")*(35/1083),IF(C929="Técnico II",SUMIFS($D:$D,$A:$A,$A929,$B:$B,"&lt;&gt;Patrícia Karla de Sousa Araújo",$B:$B,"&lt;&gt;Lorena Dias de Araujo",$B:$B,"&lt;&gt;Lucas Luiz Romero")*(28/1083),IF(C929="Técnico I",SUMIFS($D:$D,$A:$A,$A929,$B:$B,"&lt;&gt;Patrícia Karla de Sousa Araújo",$B:$B,"&lt;&gt;Lorena Dias de Araujo",$B:$B,"&lt;&gt;Lucas Luiz Romero")*(23/1083),IF(C929="JR",SUMIFS($D:$D,$A:$A,$A929,$B:$B,"&lt;&gt;Patrícia Karla de Sousa Araújo",$B:$B,"&lt;&gt;Lorena Dias de Araujo",$B:$B,"&lt;&gt;Lucas Luiz Romero")*(20/1083),IF(C929="Estágio",SUMIFS($D:$D,$A:$A,$A929,$B:$B,"&lt;&gt;Patrícia Karla de Sousa Araújo",$B:$B,"&lt;&gt;Lorena Dias de Araujo",$B:$B,"&lt;&gt;Lucas Luiz Romero")*(10/1083),0)))))),0)</f>
        <v/>
      </c>
      <c r="K929" s="3">
        <f>I929-J929</f>
        <v/>
      </c>
      <c r="L929" s="3">
        <f>IF(K929&lt;-5,"CRÍTICO",IF(K929&lt;0,"ATENÇÃO",IF(K929&lt;=5,"BOM","EXCELENTE")))</f>
        <v/>
      </c>
      <c r="M929" t="n">
        <v>7</v>
      </c>
      <c r="N929" t="n">
        <v>97.56</v>
      </c>
      <c r="O929" t="n">
        <v>32.51533742331289</v>
      </c>
    </row>
    <row r="930" hidden="1">
      <c r="A930" s="11" t="n">
        <v>46029</v>
      </c>
      <c r="B930" t="inlineStr">
        <is>
          <t>Kerollen Cristielly de Jesus Siqueira</t>
        </is>
      </c>
      <c r="C930" t="inlineStr">
        <is>
          <t>Técnico III</t>
        </is>
      </c>
      <c r="D930" t="n">
        <v>15</v>
      </c>
      <c r="E930" t="n">
        <v>15</v>
      </c>
      <c r="F930" t="n">
        <v>34.14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15</v>
      </c>
      <c r="N930" t="n">
        <v>97.11</v>
      </c>
      <c r="O930" t="n">
        <v>37.40831295843521</v>
      </c>
    </row>
    <row r="931" hidden="1">
      <c r="A931" s="11" t="n">
        <v>46029</v>
      </c>
      <c r="B931" t="inlineStr">
        <is>
          <t>Leandro de Souza Silva</t>
        </is>
      </c>
      <c r="C931" t="inlineStr">
        <is>
          <t>JR</t>
        </is>
      </c>
      <c r="D931" t="n">
        <v>0</v>
      </c>
      <c r="E931" t="n">
        <v>0</v>
      </c>
      <c r="F931" t="n">
        <v>0</v>
      </c>
      <c r="G931" t="n">
        <v>0</v>
      </c>
      <c r="H931" t="n">
        <v>0</v>
      </c>
      <c r="I931" s="3" t="n">
        <v>0</v>
      </c>
      <c r="J931" s="3" t="n">
        <v>0</v>
      </c>
      <c r="K931" s="3" t="n">
        <v>0</v>
      </c>
      <c r="L931" s="3">
        <f>IF(K931&lt;-5,"CRÍTICO",IF(K931&lt;0,"ATENÇÃO",IF(K931&lt;=5,"BOM","EXCELENTE")))</f>
        <v/>
      </c>
      <c r="M931" t="n">
        <v>0</v>
      </c>
      <c r="N931" t="n">
        <v>0</v>
      </c>
      <c r="O931" t="n">
        <v>0</v>
      </c>
    </row>
    <row r="932" hidden="1">
      <c r="A932" s="11" t="n">
        <v>46029</v>
      </c>
      <c r="B932" t="inlineStr">
        <is>
          <t>Leandro Oliveira de Sousa</t>
        </is>
      </c>
      <c r="C932" t="inlineStr">
        <is>
          <t>Técnico III</t>
        </is>
      </c>
      <c r="D932" t="n">
        <v>33</v>
      </c>
      <c r="E932" t="n">
        <v>30</v>
      </c>
      <c r="F932" t="n">
        <v>17.1</v>
      </c>
      <c r="G932" t="n">
        <v>0</v>
      </c>
      <c r="H932" t="n">
        <v>0</v>
      </c>
      <c r="I932" s="3">
        <f>E932+G932+H932</f>
        <v/>
      </c>
      <c r="J932" s="3">
        <f>ROUND(MIN(IF(C932="Técnico III",35,IF(C932="Técnico II",28,IF(C932="Técnico I",23,IF(C932="JR",20,IF(C932="Estágio",10,0))))),IF(C932="Técnico III",SUMIFS($D:$D,$A:$A,$A932,$B:$B,"&lt;&gt;Patrícia Karla de Sousa Araújo",$B:$B,"&lt;&gt;Lorena Dias de Araujo",$B:$B,"&lt;&gt;Lucas Luiz Romero")*(35/1083),IF(C932="Técnico II",SUMIFS($D:$D,$A:$A,$A932,$B:$B,"&lt;&gt;Patrícia Karla de Sousa Araújo",$B:$B,"&lt;&gt;Lorena Dias de Araujo",$B:$B,"&lt;&gt;Lucas Luiz Romero")*(28/1083),IF(C932="Técnico I",SUMIFS($D:$D,$A:$A,$A932,$B:$B,"&lt;&gt;Patrícia Karla de Sousa Araújo",$B:$B,"&lt;&gt;Lorena Dias de Araujo",$B:$B,"&lt;&gt;Lucas Luiz Romero")*(23/1083),IF(C932="JR",SUMIFS($D:$D,$A:$A,$A932,$B:$B,"&lt;&gt;Patrícia Karla de Sousa Araújo",$B:$B,"&lt;&gt;Lorena Dias de Araujo",$B:$B,"&lt;&gt;Lucas Luiz Romero")*(20/1083),IF(C932="Estágio",SUMIFS($D:$D,$A:$A,$A932,$B:$B,"&lt;&gt;Patrícia Karla de Sousa Araújo",$B:$B,"&lt;&gt;Lorena Dias de Araujo",$B:$B,"&lt;&gt;Lucas Luiz Romero")*(10/1083),0)))))),0)</f>
        <v/>
      </c>
      <c r="K932" s="3">
        <f>I932-J932</f>
        <v/>
      </c>
      <c r="L932" s="3">
        <f>IF(K932&lt;-5,"CRÍTICO",IF(K932&lt;0,"ATENÇÃO",IF(K932&lt;=5,"BOM","EXCELENTE")))</f>
        <v/>
      </c>
      <c r="M932" t="n">
        <v>33</v>
      </c>
      <c r="N932" t="n">
        <v>100</v>
      </c>
      <c r="O932" t="n">
        <v>30.47034764826176</v>
      </c>
    </row>
    <row r="933" hidden="1">
      <c r="A933" s="11" t="n">
        <v>46029</v>
      </c>
      <c r="B933" t="inlineStr">
        <is>
          <t>Lizandra Gomes Duarte</t>
        </is>
      </c>
      <c r="C933" t="inlineStr">
        <is>
          <t>Técnico II</t>
        </is>
      </c>
      <c r="D933" t="n">
        <v>29</v>
      </c>
      <c r="E933" t="n">
        <v>26</v>
      </c>
      <c r="F933" t="n">
        <v>20.34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23</v>
      </c>
      <c r="N933" t="n">
        <v>100</v>
      </c>
      <c r="O933" t="n">
        <v>32.37113402061856</v>
      </c>
    </row>
    <row r="934" hidden="1">
      <c r="A934" s="11" t="n">
        <v>46029</v>
      </c>
      <c r="B934" t="inlineStr">
        <is>
          <t>Lorena Dias de Araujo</t>
        </is>
      </c>
      <c r="C934" t="inlineStr">
        <is>
          <t>Técnico II</t>
        </is>
      </c>
      <c r="D934" t="n">
        <v>21</v>
      </c>
      <c r="E934" t="n">
        <v>21</v>
      </c>
      <c r="F934" t="n">
        <v>20.1</v>
      </c>
      <c r="G934" t="n">
        <v>0</v>
      </c>
      <c r="H934" t="n">
        <v>0</v>
      </c>
      <c r="I934" s="3" t="n">
        <v>0</v>
      </c>
      <c r="J934" s="3" t="n">
        <v>0</v>
      </c>
      <c r="K934" s="3" t="n">
        <v>0</v>
      </c>
      <c r="L934" s="3">
        <f>IF(K934&lt;-5,"CRÍTICO",IF(K934&lt;0,"ATENÇÃO",IF(K934&lt;=5,"BOM","EXCELENTE")))</f>
        <v/>
      </c>
      <c r="M934" t="n">
        <v>18</v>
      </c>
      <c r="N934" t="n">
        <v>98.31999999999999</v>
      </c>
      <c r="O934" t="n">
        <v>32.31850117096019</v>
      </c>
    </row>
    <row r="935" hidden="1">
      <c r="A935" s="11" t="n">
        <v>46029</v>
      </c>
      <c r="B935" t="inlineStr">
        <is>
          <t>Lucas Luiz Romero</t>
        </is>
      </c>
      <c r="C935" t="inlineStr">
        <is>
          <t>Técnico III</t>
        </is>
      </c>
      <c r="D935" t="n">
        <v>48</v>
      </c>
      <c r="E935" t="n">
        <v>43</v>
      </c>
      <c r="F935" t="n">
        <v>17.34</v>
      </c>
      <c r="G935" t="n">
        <v>0</v>
      </c>
      <c r="H935" t="n">
        <v>0</v>
      </c>
      <c r="I935" s="3">
        <f>E935+G935+H935</f>
        <v/>
      </c>
      <c r="J935" s="3">
        <f>ROUND(MIN(IF(C935="Técnico III",35,IF(C935="Técnico II",28,IF(C935="Técnico I",23,IF(C935="JR",20,IF(C935="Estágio",10,0))))),IF(C935="Técnico III",SUMIFS($D:$D,$A:$A,$A935,$B:$B,"&lt;&gt;Patrícia Karla de Sousa Araújo",$B:$B,"&lt;&gt;Lorena Dias de Araujo",$B:$B,"&lt;&gt;Lucas Luiz Romero")*(35/1083),IF(C935="Técnico II",SUMIFS($D:$D,$A:$A,$A935,$B:$B,"&lt;&gt;Patrícia Karla de Sousa Araújo",$B:$B,"&lt;&gt;Lorena Dias de Araujo",$B:$B,"&lt;&gt;Lucas Luiz Romero")*(28/1083),IF(C935="Técnico I",SUMIFS($D:$D,$A:$A,$A935,$B:$B,"&lt;&gt;Patrícia Karla de Sousa Araújo",$B:$B,"&lt;&gt;Lorena Dias de Araujo",$B:$B,"&lt;&gt;Lucas Luiz Romero")*(23/1083),IF(C935="JR",SUMIFS($D:$D,$A:$A,$A935,$B:$B,"&lt;&gt;Patrícia Karla de Sousa Araújo",$B:$B,"&lt;&gt;Lorena Dias de Araujo",$B:$B,"&lt;&gt;Lucas Luiz Romero")*(20/1083),IF(C935="Estágio",SUMIFS($D:$D,$A:$A,$A935,$B:$B,"&lt;&gt;Patrícia Karla de Sousa Araújo",$B:$B,"&lt;&gt;Lorena Dias de Araujo",$B:$B,"&lt;&gt;Lucas Luiz Romero")*(10/1083),0)))))),0)</f>
        <v/>
      </c>
      <c r="K935" s="3">
        <f>I935-J935</f>
        <v/>
      </c>
      <c r="L935" s="3">
        <f>IF(K935&lt;-5,"CRÍTICO",IF(K935&lt;0,"ATENÇÃO",IF(K935&lt;=5,"BOM","EXCELENTE")))</f>
        <v/>
      </c>
      <c r="M935" t="n">
        <v>39</v>
      </c>
      <c r="N935" t="n">
        <v>96.43000000000001</v>
      </c>
      <c r="O935" t="n">
        <v>27.01525054466231</v>
      </c>
    </row>
    <row r="936" hidden="1">
      <c r="A936" s="11" t="n">
        <v>46029</v>
      </c>
      <c r="B936" t="inlineStr">
        <is>
          <t>Luiz Fernando de Carvalho Junior</t>
        </is>
      </c>
      <c r="C936" t="inlineStr">
        <is>
          <t>Técnico I</t>
        </is>
      </c>
      <c r="D936" t="n">
        <v>26</v>
      </c>
      <c r="E936" t="n">
        <v>26</v>
      </c>
      <c r="F936" t="n">
        <v>20.06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22</v>
      </c>
      <c r="N936" t="n">
        <v>98.89</v>
      </c>
      <c r="O936" t="n">
        <v>28.02197802197802</v>
      </c>
    </row>
    <row r="937" hidden="1">
      <c r="A937" s="11" t="n">
        <v>46029</v>
      </c>
      <c r="B937" t="inlineStr">
        <is>
          <t>Maria Eduarda Sousa Costa</t>
        </is>
      </c>
      <c r="C937" t="inlineStr">
        <is>
          <t>Estágio</t>
        </is>
      </c>
      <c r="D937" t="n">
        <v>18</v>
      </c>
      <c r="E937" t="n">
        <v>17</v>
      </c>
      <c r="F937" t="n">
        <v>37.01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14</v>
      </c>
      <c r="N937" t="n">
        <v>100</v>
      </c>
      <c r="O937" t="n">
        <v>33.33333333333333</v>
      </c>
    </row>
    <row r="938" hidden="1">
      <c r="A938" s="11" t="n">
        <v>46029</v>
      </c>
      <c r="B938" t="inlineStr">
        <is>
          <t>Matheus Farias De Souza</t>
        </is>
      </c>
      <c r="C938" t="inlineStr">
        <is>
          <t>Técnico III</t>
        </is>
      </c>
      <c r="D938" t="n">
        <v>0</v>
      </c>
      <c r="E938" t="n">
        <v>0</v>
      </c>
      <c r="F938" t="n">
        <v>0</v>
      </c>
      <c r="G938" t="n">
        <v>0</v>
      </c>
      <c r="H938" t="n">
        <v>0</v>
      </c>
      <c r="I938" s="3" t="n">
        <v>0</v>
      </c>
      <c r="J938" s="3" t="n">
        <v>0</v>
      </c>
      <c r="K938" s="3" t="n">
        <v>0</v>
      </c>
      <c r="L938" s="3">
        <f>IF(K938&lt;-5,"CRÍTICO",IF(K938&lt;0,"ATENÇÃO",IF(K938&lt;=5,"BOM","EXCELENTE")))</f>
        <v/>
      </c>
      <c r="M938" t="n">
        <v>0</v>
      </c>
      <c r="N938" t="n">
        <v>100</v>
      </c>
      <c r="O938" t="n">
        <v>27.43362831858407</v>
      </c>
    </row>
    <row r="939" hidden="1">
      <c r="A939" s="11" t="n">
        <v>46029</v>
      </c>
      <c r="B939" t="inlineStr">
        <is>
          <t>Maysa Victoria Dias Moura</t>
        </is>
      </c>
      <c r="C939" t="inlineStr">
        <is>
          <t>Técnico III</t>
        </is>
      </c>
      <c r="D939" t="n">
        <v>32</v>
      </c>
      <c r="E939" t="n">
        <v>30</v>
      </c>
      <c r="F939" t="n">
        <v>20.05</v>
      </c>
      <c r="G939" t="n">
        <v>0</v>
      </c>
      <c r="H939" t="n">
        <v>0</v>
      </c>
      <c r="I939" s="3">
        <f>E939+G939+H939</f>
        <v/>
      </c>
      <c r="J939" s="3">
        <f>ROUND(MIN(IF(C939="Técnico III",35,IF(C939="Técnico II",28,IF(C939="Técnico I",23,IF(C939="JR",20,IF(C939="Estágio",10,0))))),IF(C939="Técnico III",SUMIFS($D:$D,$A:$A,$A939,$B:$B,"&lt;&gt;Patrícia Karla de Sousa Araújo",$B:$B,"&lt;&gt;Lorena Dias de Araujo",$B:$B,"&lt;&gt;Lucas Luiz Romero")*(35/1083),IF(C939="Técnico II",SUMIFS($D:$D,$A:$A,$A939,$B:$B,"&lt;&gt;Patrícia Karla de Sousa Araújo",$B:$B,"&lt;&gt;Lorena Dias de Araujo",$B:$B,"&lt;&gt;Lucas Luiz Romero")*(28/1083),IF(C939="Técnico I",SUMIFS($D:$D,$A:$A,$A939,$B:$B,"&lt;&gt;Patrícia Karla de Sousa Araújo",$B:$B,"&lt;&gt;Lorena Dias de Araujo",$B:$B,"&lt;&gt;Lucas Luiz Romero")*(23/1083),IF(C939="JR",SUMIFS($D:$D,$A:$A,$A939,$B:$B,"&lt;&gt;Patrícia Karla de Sousa Araújo",$B:$B,"&lt;&gt;Lorena Dias de Araujo",$B:$B,"&lt;&gt;Lucas Luiz Romero")*(20/1083),IF(C939="Estágio",SUMIFS($D:$D,$A:$A,$A939,$B:$B,"&lt;&gt;Patrícia Karla de Sousa Araújo",$B:$B,"&lt;&gt;Lorena Dias de Araujo",$B:$B,"&lt;&gt;Lucas Luiz Romero")*(10/1083),0)))))),0)</f>
        <v/>
      </c>
      <c r="K939" s="3">
        <f>I939-J939</f>
        <v/>
      </c>
      <c r="L939" s="3">
        <f>IF(K939&lt;-5,"CRÍTICO",IF(K939&lt;0,"ATENÇÃO",IF(K939&lt;=5,"BOM","EXCELENTE")))</f>
        <v/>
      </c>
      <c r="M939" t="n">
        <v>27</v>
      </c>
      <c r="N939" t="n">
        <v>98.65000000000001</v>
      </c>
      <c r="O939" t="n">
        <v>30.97826086956522</v>
      </c>
    </row>
    <row r="940" hidden="1">
      <c r="A940" s="11" t="n">
        <v>46029</v>
      </c>
      <c r="B940" t="inlineStr">
        <is>
          <t>Michelle G Santos</t>
        </is>
      </c>
      <c r="C940" t="inlineStr">
        <is>
          <t>Estágio</t>
        </is>
      </c>
      <c r="D940" t="n">
        <v>0</v>
      </c>
      <c r="E940" t="n">
        <v>0</v>
      </c>
      <c r="F940" t="n">
        <v>0</v>
      </c>
      <c r="G940" t="n">
        <v>0</v>
      </c>
      <c r="H940" t="n">
        <v>0</v>
      </c>
      <c r="I940" s="3" t="n">
        <v>0</v>
      </c>
      <c r="J940" s="3" t="n">
        <v>0</v>
      </c>
      <c r="K940" s="3" t="n">
        <v>0</v>
      </c>
      <c r="L940" s="3">
        <f>IF(K940&lt;-5,"CRÍTICO",IF(K940&lt;0,"ATENÇÃO",IF(K940&lt;=5,"BOM","EXCELENTE")))</f>
        <v/>
      </c>
      <c r="M940" t="n">
        <v>0</v>
      </c>
      <c r="N940" t="n">
        <v>100</v>
      </c>
      <c r="O940" t="n">
        <v>12</v>
      </c>
    </row>
    <row r="941" hidden="1">
      <c r="A941" s="11" t="n">
        <v>46029</v>
      </c>
      <c r="B941" t="inlineStr">
        <is>
          <t>Milena Sales</t>
        </is>
      </c>
      <c r="C941" t="inlineStr">
        <is>
          <t>JR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Patrícia Karla de Sousa Araújo</t>
        </is>
      </c>
      <c r="C942" t="inlineStr">
        <is>
          <t>Técnico II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97.56</v>
      </c>
      <c r="O942" t="n">
        <v>31.06796116504854</v>
      </c>
    </row>
    <row r="943" hidden="1">
      <c r="A943" s="11" t="n">
        <v>46029</v>
      </c>
      <c r="B943" t="inlineStr">
        <is>
          <t>Paulo Ricardo Santos</t>
        </is>
      </c>
      <c r="C943" t="inlineStr">
        <is>
          <t>JR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0</v>
      </c>
      <c r="O943" t="n">
        <v>0</v>
      </c>
    </row>
    <row r="944" hidden="1">
      <c r="A944" s="11" t="n">
        <v>46029</v>
      </c>
      <c r="B944" t="inlineStr">
        <is>
          <t>Pedro Luiz Mota Sousa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Quirino Diogo Leite Torres</t>
        </is>
      </c>
      <c r="C945" t="inlineStr">
        <is>
          <t>Estágio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Raane Batista Matos</t>
        </is>
      </c>
      <c r="C946" t="inlineStr">
        <is>
          <t>Técnico I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100</v>
      </c>
      <c r="O946" t="n">
        <v>53.84615384615385</v>
      </c>
    </row>
    <row r="947" hidden="1">
      <c r="A947" s="11" t="n">
        <v>46029</v>
      </c>
      <c r="B947" t="inlineStr">
        <is>
          <t>Rafael Gomes de Morais</t>
        </is>
      </c>
      <c r="C947" t="inlineStr">
        <is>
          <t>Técnico III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100</v>
      </c>
      <c r="O947" t="n">
        <v>44.05594405594406</v>
      </c>
    </row>
    <row r="948" hidden="1">
      <c r="A948" s="11" t="n">
        <v>46029</v>
      </c>
      <c r="B948" t="inlineStr">
        <is>
          <t>Sara Maria Monteiro Lopes</t>
        </is>
      </c>
      <c r="C948" t="inlineStr">
        <is>
          <t>Técnico I</t>
        </is>
      </c>
      <c r="D948" t="n">
        <v>18</v>
      </c>
      <c r="E948" t="n">
        <v>17</v>
      </c>
      <c r="F948" t="n">
        <v>30.15</v>
      </c>
      <c r="G948" t="n">
        <v>0</v>
      </c>
      <c r="H948" t="n">
        <v>0</v>
      </c>
      <c r="I948" s="3">
        <f>E948+G948+H948</f>
        <v/>
      </c>
      <c r="J948" s="3">
        <f>ROUND(MIN(IF(C948="Técnico III",35,IF(C948="Técnico II",28,IF(C948="Técnico I",23,IF(C948="JR",20,IF(C948="Estágio",10,0))))),IF(C948="Técnico III",SUMIFS($D:$D,$A:$A,$A948,$B:$B,"&lt;&gt;Patrícia Karla de Sousa Araújo",$B:$B,"&lt;&gt;Lorena Dias de Araujo",$B:$B,"&lt;&gt;Lucas Luiz Romero")*(35/1083),IF(C948="Técnico II",SUMIFS($D:$D,$A:$A,$A948,$B:$B,"&lt;&gt;Patrícia Karla de Sousa Araújo",$B:$B,"&lt;&gt;Lorena Dias de Araujo",$B:$B,"&lt;&gt;Lucas Luiz Romero")*(28/1083),IF(C948="Técnico I",SUMIFS($D:$D,$A:$A,$A948,$B:$B,"&lt;&gt;Patrícia Karla de Sousa Araújo",$B:$B,"&lt;&gt;Lorena Dias de Araujo",$B:$B,"&lt;&gt;Lucas Luiz Romero")*(23/1083),IF(C948="JR",SUMIFS($D:$D,$A:$A,$A948,$B:$B,"&lt;&gt;Patrícia Karla de Sousa Araújo",$B:$B,"&lt;&gt;Lorena Dias de Araujo",$B:$B,"&lt;&gt;Lucas Luiz Romero")*(20/1083),IF(C948="Estágio",SUMIFS($D:$D,$A:$A,$A948,$B:$B,"&lt;&gt;Patrícia Karla de Sousa Araújo",$B:$B,"&lt;&gt;Lorena Dias de Araujo",$B:$B,"&lt;&gt;Lucas Luiz Romero")*(10/1083),0)))))),0)</f>
        <v/>
      </c>
      <c r="K948" s="3">
        <f>I948-J948</f>
        <v/>
      </c>
      <c r="L948" s="3">
        <f>IF(K948&lt;-5,"CRÍTICO",IF(K948&lt;0,"ATENÇÃO",IF(K948&lt;=5,"BOM","EXCELENTE")))</f>
        <v/>
      </c>
      <c r="M948" t="n">
        <v>16</v>
      </c>
      <c r="N948" t="n">
        <v>100</v>
      </c>
      <c r="O948" t="n">
        <v>31.87250996015936</v>
      </c>
    </row>
    <row r="949" hidden="1">
      <c r="A949" s="11" t="n">
        <v>46029</v>
      </c>
      <c r="B949" t="inlineStr">
        <is>
          <t>Sarah Steffanie de Lima Borges</t>
        </is>
      </c>
      <c r="C949" t="inlineStr">
        <is>
          <t>Técnico III</t>
        </is>
      </c>
      <c r="D949" t="n">
        <v>30</v>
      </c>
      <c r="E949" t="n">
        <v>26</v>
      </c>
      <c r="F949" t="n">
        <v>18.53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23</v>
      </c>
      <c r="N949" t="n">
        <v>98.41</v>
      </c>
      <c r="O949" t="n">
        <v>29.22465208747515</v>
      </c>
    </row>
    <row r="950" hidden="1">
      <c r="A950" s="11" t="n">
        <v>46030</v>
      </c>
      <c r="B950" t="inlineStr">
        <is>
          <t>Alisson de Freitas Silva</t>
        </is>
      </c>
      <c r="C950" t="inlineStr">
        <is>
          <t>Técnico II</t>
        </is>
      </c>
      <c r="D950" t="n">
        <v>33</v>
      </c>
      <c r="E950" t="n">
        <v>27</v>
      </c>
      <c r="F950" t="n">
        <v>9.06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21</v>
      </c>
      <c r="N950" t="n">
        <v>96.81</v>
      </c>
      <c r="O950" t="n">
        <v>27.98053527980535</v>
      </c>
    </row>
    <row r="951" hidden="1">
      <c r="A951" s="11" t="n">
        <v>46030</v>
      </c>
      <c r="B951" t="inlineStr">
        <is>
          <t>Amanda Moura Ferreira</t>
        </is>
      </c>
      <c r="C951" t="inlineStr">
        <is>
          <t>Técnico III</t>
        </is>
      </c>
      <c r="D951" t="n">
        <v>0</v>
      </c>
      <c r="E951" t="n">
        <v>0</v>
      </c>
      <c r="F951" t="n">
        <v>0</v>
      </c>
      <c r="G951" t="n">
        <v>0</v>
      </c>
      <c r="H951" t="n">
        <v>0</v>
      </c>
      <c r="I951" s="3" t="n">
        <v>0</v>
      </c>
      <c r="J951" s="3" t="n">
        <v>0</v>
      </c>
      <c r="K951" s="3" t="n">
        <v>0</v>
      </c>
      <c r="L951" s="3">
        <f>IF(K951&lt;-5,"CRÍTICO",IF(K951&lt;0,"ATENÇÃO",IF(K951&lt;=5,"BOM","EXCELENTE")))</f>
        <v/>
      </c>
      <c r="M951" t="n">
        <v>23</v>
      </c>
      <c r="N951" t="n">
        <v>98.73</v>
      </c>
      <c r="O951" t="n">
        <v>35.75638506876228</v>
      </c>
    </row>
    <row r="952" hidden="1">
      <c r="A952" s="11" t="n">
        <v>46030</v>
      </c>
      <c r="B952" t="inlineStr">
        <is>
          <t>Ana Karollyne Souza Faria</t>
        </is>
      </c>
      <c r="C952" t="inlineStr">
        <is>
          <t>Técnico I</t>
        </is>
      </c>
      <c r="D952" t="n">
        <v>21</v>
      </c>
      <c r="E952" t="n">
        <v>17</v>
      </c>
      <c r="F952" t="n">
        <v>22.09</v>
      </c>
      <c r="G952" t="n">
        <v>0</v>
      </c>
      <c r="H952" t="n">
        <v>0</v>
      </c>
      <c r="I952" s="3">
        <f>E952+G952+H952</f>
        <v/>
      </c>
      <c r="J952" s="3">
        <f>ROUND(MIN(IF(C952="Técnico III",35,IF(C952="Técnico II",28,IF(C952="Técnico I",23,IF(C952="JR",20,IF(C952="Estágio",10,0))))),IF(C952="Técnico III",SUMIFS($D:$D,$A:$A,$A952,$B:$B,"&lt;&gt;Patrícia Karla de Sousa Araújo",$B:$B,"&lt;&gt;Lorena Dias de Araujo",$B:$B,"&lt;&gt;Lucas Luiz Romero")*(35/1083),IF(C952="Técnico II",SUMIFS($D:$D,$A:$A,$A952,$B:$B,"&lt;&gt;Patrícia Karla de Sousa Araújo",$B:$B,"&lt;&gt;Lorena Dias de Araujo",$B:$B,"&lt;&gt;Lucas Luiz Romero")*(28/1083),IF(C952="Técnico I",SUMIFS($D:$D,$A:$A,$A952,$B:$B,"&lt;&gt;Patrícia Karla de Sousa Araújo",$B:$B,"&lt;&gt;Lorena Dias de Araujo",$B:$B,"&lt;&gt;Lucas Luiz Romero")*(23/1083),IF(C952="JR",SUMIFS($D:$D,$A:$A,$A952,$B:$B,"&lt;&gt;Patrícia Karla de Sousa Araújo",$B:$B,"&lt;&gt;Lorena Dias de Araujo",$B:$B,"&lt;&gt;Lucas Luiz Romero")*(20/1083),IF(C952="Estágio",SUMIFS($D:$D,$A:$A,$A952,$B:$B,"&lt;&gt;Patrícia Karla de Sousa Araújo",$B:$B,"&lt;&gt;Lorena Dias de Araujo",$B:$B,"&lt;&gt;Lucas Luiz Romero")*(10/1083),0)))))),0)</f>
        <v/>
      </c>
      <c r="K952" s="3">
        <f>I952-J952</f>
        <v/>
      </c>
      <c r="L952" s="3">
        <f>IF(K952&lt;-5,"CRÍTICO",IF(K952&lt;0,"ATENÇÃO",IF(K952&lt;=5,"BOM","EXCELENTE")))</f>
        <v/>
      </c>
      <c r="M952" t="n">
        <v>17</v>
      </c>
      <c r="N952" t="n">
        <v>98.31999999999999</v>
      </c>
      <c r="O952" t="n">
        <v>26.76348547717842</v>
      </c>
    </row>
    <row r="953" hidden="1">
      <c r="A953" s="11" t="n">
        <v>46030</v>
      </c>
      <c r="B953" t="inlineStr">
        <is>
          <t>Ana Paula Da Luz Silva Aleixo</t>
        </is>
      </c>
      <c r="C953" t="inlineStr">
        <is>
          <t>Técnico III</t>
        </is>
      </c>
      <c r="D953" t="n">
        <v>45</v>
      </c>
      <c r="E953" t="n">
        <v>41</v>
      </c>
      <c r="F953" t="n">
        <v>13.52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36</v>
      </c>
      <c r="N953" t="n">
        <v>99.19</v>
      </c>
      <c r="O953" t="n">
        <v>27.63713080168776</v>
      </c>
    </row>
    <row r="954" hidden="1">
      <c r="A954" s="11" t="n">
        <v>46030</v>
      </c>
      <c r="B954" t="inlineStr">
        <is>
          <t>Anna Luiza Rezende Tavares</t>
        </is>
      </c>
      <c r="C954" t="inlineStr">
        <is>
          <t>Estágio</t>
        </is>
      </c>
      <c r="D954" t="n">
        <v>9</v>
      </c>
      <c r="E954" t="n">
        <v>9</v>
      </c>
      <c r="F954" t="n">
        <v>38.53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7</v>
      </c>
      <c r="N954" t="n">
        <v>100</v>
      </c>
      <c r="O954" t="n">
        <v>39.56834532374101</v>
      </c>
    </row>
    <row r="955" hidden="1">
      <c r="A955" s="11" t="n">
        <v>46030</v>
      </c>
      <c r="B955" t="inlineStr">
        <is>
          <t>Brenda de Menezes Silva</t>
        </is>
      </c>
      <c r="C955" t="inlineStr">
        <is>
          <t>Técnico II</t>
        </is>
      </c>
      <c r="D955" t="n">
        <v>34</v>
      </c>
      <c r="E955" t="n">
        <v>31</v>
      </c>
      <c r="F955" t="n">
        <v>16.59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31</v>
      </c>
      <c r="N955" t="n">
        <v>98.54000000000001</v>
      </c>
      <c r="O955" t="n">
        <v>28.54477611940299</v>
      </c>
    </row>
    <row r="956" hidden="1">
      <c r="A956" s="11" t="n">
        <v>46030</v>
      </c>
      <c r="B956" t="inlineStr">
        <is>
          <t>Carlos Mateus Cassimiro Nunes</t>
        </is>
      </c>
      <c r="C956" t="inlineStr">
        <is>
          <t>Técnico II</t>
        </is>
      </c>
      <c r="D956" t="n">
        <v>16</v>
      </c>
      <c r="E956" t="n">
        <v>16</v>
      </c>
      <c r="F956" t="n">
        <v>24.05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16</v>
      </c>
      <c r="N956" t="n">
        <v>100</v>
      </c>
      <c r="O956" t="n">
        <v>34.36692506459949</v>
      </c>
    </row>
    <row r="957" hidden="1">
      <c r="A957" s="11" t="n">
        <v>46030</v>
      </c>
      <c r="B957" t="inlineStr">
        <is>
          <t>Claudio de Sousa Velasco Filho</t>
        </is>
      </c>
      <c r="C957" t="inlineStr">
        <is>
          <t>Estágio</t>
        </is>
      </c>
      <c r="D957" t="n">
        <v>0</v>
      </c>
      <c r="E957" t="n">
        <v>0</v>
      </c>
      <c r="F957" t="n">
        <v>0</v>
      </c>
      <c r="G957" t="n">
        <v>0</v>
      </c>
      <c r="H957" t="n">
        <v>0</v>
      </c>
      <c r="I957" s="3" t="n">
        <v>0</v>
      </c>
      <c r="J957" s="3" t="n">
        <v>0</v>
      </c>
      <c r="K957" s="3" t="n">
        <v>0</v>
      </c>
      <c r="L957" s="3">
        <f>IF(K957&lt;-5,"CRÍTICO",IF(K957&lt;0,"ATENÇÃO",IF(K957&lt;=5,"BOM","EXCELENTE")))</f>
        <v/>
      </c>
      <c r="M957" t="n">
        <v>0</v>
      </c>
      <c r="N957" t="n">
        <v>0</v>
      </c>
      <c r="O957" t="n">
        <v>0</v>
      </c>
    </row>
    <row r="958" hidden="1">
      <c r="A958" s="11" t="n">
        <v>46030</v>
      </c>
      <c r="B958" t="inlineStr">
        <is>
          <t>Clessiane Pereira dos Santos</t>
        </is>
      </c>
      <c r="C958" t="inlineStr">
        <is>
          <t>Técnico I</t>
        </is>
      </c>
      <c r="D958" t="n">
        <v>30</v>
      </c>
      <c r="E958" t="n">
        <v>29</v>
      </c>
      <c r="F958" t="n">
        <v>18.4</v>
      </c>
      <c r="G958" t="n">
        <v>0</v>
      </c>
      <c r="H958" t="n">
        <v>0</v>
      </c>
      <c r="I958" s="3">
        <f>E958+G958+H958</f>
        <v/>
      </c>
      <c r="J958" s="3">
        <f>ROUND(MIN(IF(C958="Técnico III",35,IF(C958="Técnico II",28,IF(C958="Técnico I",23,IF(C958="JR",20,IF(C958="Estágio",10,0))))),IF(C958="Técnico III",SUMIFS($D:$D,$A:$A,$A958,$B:$B,"&lt;&gt;Patrícia Karla de Sousa Araújo",$B:$B,"&lt;&gt;Lorena Dias de Araujo",$B:$B,"&lt;&gt;Lucas Luiz Romero")*(35/1083),IF(C958="Técnico II",SUMIFS($D:$D,$A:$A,$A958,$B:$B,"&lt;&gt;Patrícia Karla de Sousa Araújo",$B:$B,"&lt;&gt;Lorena Dias de Araujo",$B:$B,"&lt;&gt;Lucas Luiz Romero")*(28/1083),IF(C958="Técnico I",SUMIFS($D:$D,$A:$A,$A958,$B:$B,"&lt;&gt;Patrícia Karla de Sousa Araújo",$B:$B,"&lt;&gt;Lorena Dias de Araujo",$B:$B,"&lt;&gt;Lucas Luiz Romero")*(23/1083),IF(C958="JR",SUMIFS($D:$D,$A:$A,$A958,$B:$B,"&lt;&gt;Patrícia Karla de Sousa Araújo",$B:$B,"&lt;&gt;Lorena Dias de Araujo",$B:$B,"&lt;&gt;Lucas Luiz Romero")*(20/1083),IF(C958="Estágio",SUMIFS($D:$D,$A:$A,$A958,$B:$B,"&lt;&gt;Patrícia Karla de Sousa Araújo",$B:$B,"&lt;&gt;Lorena Dias de Araujo",$B:$B,"&lt;&gt;Lucas Luiz Romero")*(10/1083),0)))))),0)</f>
        <v/>
      </c>
      <c r="K958" s="3">
        <f>I958-J958</f>
        <v/>
      </c>
      <c r="L958" s="3">
        <f>IF(K958&lt;-5,"CRÍTICO",IF(K958&lt;0,"ATENÇÃO",IF(K958&lt;=5,"BOM","EXCELENTE")))</f>
        <v/>
      </c>
      <c r="M958" t="n">
        <v>22</v>
      </c>
      <c r="N958" t="n">
        <v>100</v>
      </c>
      <c r="O958" t="n">
        <v>29.51807228915663</v>
      </c>
    </row>
    <row r="959" hidden="1">
      <c r="A959" s="11" t="n">
        <v>46030</v>
      </c>
      <c r="B959" t="inlineStr">
        <is>
          <t>Cristiane Ramos da Silva Rocha</t>
        </is>
      </c>
      <c r="C959" t="inlineStr">
        <is>
          <t>Técnico III</t>
        </is>
      </c>
      <c r="D959" t="n">
        <v>32</v>
      </c>
      <c r="E959" t="n">
        <v>29</v>
      </c>
      <c r="F959" t="n">
        <v>17.01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29</v>
      </c>
      <c r="N959" t="n">
        <v>97.45</v>
      </c>
      <c r="O959" t="n">
        <v>41.421143847487</v>
      </c>
    </row>
    <row r="960" hidden="1">
      <c r="A960" s="11" t="n">
        <v>46030</v>
      </c>
      <c r="B960" t="inlineStr">
        <is>
          <t>Damyllis Lorraine de Oliveira Gonçalves</t>
        </is>
      </c>
      <c r="C960" t="inlineStr">
        <is>
          <t>Técnico II</t>
        </is>
      </c>
      <c r="D960" t="n">
        <v>33</v>
      </c>
      <c r="E960" t="n">
        <v>28</v>
      </c>
      <c r="F960" t="n">
        <v>17.26</v>
      </c>
      <c r="G960" t="n">
        <v>0</v>
      </c>
      <c r="H960" t="n">
        <v>0</v>
      </c>
      <c r="I960" s="3" t="n">
        <v>0</v>
      </c>
      <c r="J960" s="3" t="n">
        <v>0</v>
      </c>
      <c r="K960" s="3" t="n">
        <v>0</v>
      </c>
      <c r="L960" s="3">
        <f>IF(K960&lt;-5,"CRÍTICO",IF(K960&lt;0,"ATENÇÃO",IF(K960&lt;=5,"BOM","EXCELENTE")))</f>
        <v/>
      </c>
      <c r="M960" t="n">
        <v>23</v>
      </c>
      <c r="N960" t="n">
        <v>96.58</v>
      </c>
      <c r="O960" t="n">
        <v>30.39647577092511</v>
      </c>
    </row>
    <row r="961" hidden="1">
      <c r="A961" s="11" t="n">
        <v>46030</v>
      </c>
      <c r="B961" t="inlineStr">
        <is>
          <t>Daniel Gomes da Silva</t>
        </is>
      </c>
      <c r="C961" t="inlineStr">
        <is>
          <t>Técnico I</t>
        </is>
      </c>
      <c r="D961" t="n">
        <v>24</v>
      </c>
      <c r="E961" t="n">
        <v>24</v>
      </c>
      <c r="F961" t="n">
        <v>22.02</v>
      </c>
      <c r="G961" t="n">
        <v>0</v>
      </c>
      <c r="H961" t="n">
        <v>0</v>
      </c>
      <c r="I961" s="3">
        <f>E961+G961+H961</f>
        <v/>
      </c>
      <c r="J961" s="3">
        <f>ROUND(MIN(IF(C961="Técnico III",35,IF(C961="Técnico II",28,IF(C961="Técnico I",23,IF(C961="JR",20,IF(C961="Estágio",10,0))))),IF(C961="Técnico III",SUMIFS($D:$D,$A:$A,$A961,$B:$B,"&lt;&gt;Patrícia Karla de Sousa Araújo",$B:$B,"&lt;&gt;Lorena Dias de Araujo",$B:$B,"&lt;&gt;Lucas Luiz Romero")*(35/1083),IF(C961="Técnico II",SUMIFS($D:$D,$A:$A,$A961,$B:$B,"&lt;&gt;Patrícia Karla de Sousa Araújo",$B:$B,"&lt;&gt;Lorena Dias de Araujo",$B:$B,"&lt;&gt;Lucas Luiz Romero")*(28/1083),IF(C961="Técnico I",SUMIFS($D:$D,$A:$A,$A961,$B:$B,"&lt;&gt;Patrícia Karla de Sousa Araújo",$B:$B,"&lt;&gt;Lorena Dias de Araujo",$B:$B,"&lt;&gt;Lucas Luiz Romero")*(23/1083),IF(C961="JR",SUMIFS($D:$D,$A:$A,$A961,$B:$B,"&lt;&gt;Patrícia Karla de Sousa Araújo",$B:$B,"&lt;&gt;Lorena Dias de Araujo",$B:$B,"&lt;&gt;Lucas Luiz Romero")*(20/1083),IF(C961="Estágio",SUMIFS($D:$D,$A:$A,$A961,$B:$B,"&lt;&gt;Patrícia Karla de Sousa Araújo",$B:$B,"&lt;&gt;Lorena Dias de Araujo",$B:$B,"&lt;&gt;Lucas Luiz Romero")*(10/1083),0)))))),0)</f>
        <v/>
      </c>
      <c r="K961" s="3">
        <f>I961-J961</f>
        <v/>
      </c>
      <c r="L961" s="3">
        <f>IF(K961&lt;-5,"CRÍTICO",IF(K961&lt;0,"ATENÇÃO",IF(K961&lt;=5,"BOM","EXCELENTE")))</f>
        <v/>
      </c>
      <c r="M961" t="n">
        <v>22</v>
      </c>
      <c r="N961" t="n">
        <v>100</v>
      </c>
      <c r="O961" t="n">
        <v>27.44282744282744</v>
      </c>
    </row>
    <row r="962" hidden="1">
      <c r="A962" s="11" t="n">
        <v>46030</v>
      </c>
      <c r="B962" t="inlineStr">
        <is>
          <t>Davylla Rodrigues Freitas Silva</t>
        </is>
      </c>
      <c r="C962" t="inlineStr">
        <is>
          <t>Técnico III</t>
        </is>
      </c>
      <c r="D962" t="n">
        <v>29</v>
      </c>
      <c r="E962" t="n">
        <v>28</v>
      </c>
      <c r="F962" t="n">
        <v>26.59</v>
      </c>
      <c r="G962" t="n">
        <v>0</v>
      </c>
      <c r="H962" t="n">
        <v>0</v>
      </c>
      <c r="I962" s="3" t="n">
        <v>0</v>
      </c>
      <c r="J962" s="3" t="n">
        <v>0</v>
      </c>
      <c r="K962" s="3" t="n">
        <v>0</v>
      </c>
      <c r="L962" s="3">
        <f>IF(K962&lt;-5,"CRÍTICO",IF(K962&lt;0,"ATENÇÃO",IF(K962&lt;=5,"BOM","EXCELENTE")))</f>
        <v/>
      </c>
      <c r="M962" t="n">
        <v>28</v>
      </c>
      <c r="N962" t="n">
        <v>99.48999999999999</v>
      </c>
      <c r="O962" t="n">
        <v>40.2</v>
      </c>
    </row>
    <row r="963" hidden="1">
      <c r="A963" s="11" t="n">
        <v>46030</v>
      </c>
      <c r="B963" t="inlineStr">
        <is>
          <t>Emilly Caylane Costa</t>
        </is>
      </c>
      <c r="C963" t="inlineStr">
        <is>
          <t>Estágio</t>
        </is>
      </c>
      <c r="D963" t="n">
        <v>0</v>
      </c>
      <c r="E963" t="n">
        <v>0</v>
      </c>
      <c r="F963" t="n">
        <v>0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0</v>
      </c>
      <c r="N963" t="n">
        <v>100</v>
      </c>
      <c r="O963" t="n">
        <v>25</v>
      </c>
    </row>
    <row r="964" hidden="1">
      <c r="A964" s="11" t="n">
        <v>46030</v>
      </c>
      <c r="B964" t="inlineStr">
        <is>
          <t>Emilly Kamilly Medeiros Miranda</t>
        </is>
      </c>
      <c r="C964" t="inlineStr">
        <is>
          <t>Técnico II</t>
        </is>
      </c>
      <c r="D964" t="n">
        <v>28</v>
      </c>
      <c r="E964" t="n">
        <v>26</v>
      </c>
      <c r="F964" t="n">
        <v>14.1</v>
      </c>
      <c r="G964" t="n">
        <v>0</v>
      </c>
      <c r="H964" t="n">
        <v>0</v>
      </c>
      <c r="I964" s="3">
        <f>E964+G964+H964</f>
        <v/>
      </c>
      <c r="J964" s="3">
        <f>ROUND(MIN(IF(C964="Técnico III",35,IF(C964="Técnico II",28,IF(C964="Técnico I",23,IF(C964="JR",20,IF(C964="Estágio",10,0))))),IF(C964="Técnico III",SUMIFS($D:$D,$A:$A,$A964,$B:$B,"&lt;&gt;Patrícia Karla de Sousa Araújo",$B:$B,"&lt;&gt;Lorena Dias de Araujo",$B:$B,"&lt;&gt;Lucas Luiz Romero")*(35/1083),IF(C964="Técnico II",SUMIFS($D:$D,$A:$A,$A964,$B:$B,"&lt;&gt;Patrícia Karla de Sousa Araújo",$B:$B,"&lt;&gt;Lorena Dias de Araujo",$B:$B,"&lt;&gt;Lucas Luiz Romero")*(28/1083),IF(C964="Técnico I",SUMIFS($D:$D,$A:$A,$A964,$B:$B,"&lt;&gt;Patrícia Karla de Sousa Araújo",$B:$B,"&lt;&gt;Lorena Dias de Araujo",$B:$B,"&lt;&gt;Lucas Luiz Romero")*(23/1083),IF(C964="JR",SUMIFS($D:$D,$A:$A,$A964,$B:$B,"&lt;&gt;Patrícia Karla de Sousa Araújo",$B:$B,"&lt;&gt;Lorena Dias de Araujo",$B:$B,"&lt;&gt;Lucas Luiz Romero")*(20/1083),IF(C964="Estágio",SUMIFS($D:$D,$A:$A,$A964,$B:$B,"&lt;&gt;Patrícia Karla de Sousa Araújo",$B:$B,"&lt;&gt;Lorena Dias de Araujo",$B:$B,"&lt;&gt;Lucas Luiz Romero")*(10/1083),0)))))),0)</f>
        <v/>
      </c>
      <c r="K964" s="3">
        <f>I964-J964</f>
        <v/>
      </c>
      <c r="L964" s="3">
        <f>IF(K964&lt;-5,"CRÍTICO",IF(K964&lt;0,"ATENÇÃO",IF(K964&lt;=5,"BOM","EXCELENTE")))</f>
        <v/>
      </c>
      <c r="M964" t="n">
        <v>26</v>
      </c>
      <c r="N964" t="n">
        <v>100</v>
      </c>
      <c r="O964" t="n">
        <v>34.15094339622641</v>
      </c>
    </row>
    <row r="965" hidden="1">
      <c r="A965" s="11" t="n">
        <v>46030</v>
      </c>
      <c r="B965" t="inlineStr">
        <is>
          <t>Francielson de Oliveira</t>
        </is>
      </c>
      <c r="C965" t="inlineStr">
        <is>
          <t>Técnico III</t>
        </is>
      </c>
      <c r="D965" t="n">
        <v>18</v>
      </c>
      <c r="E965" t="n">
        <v>15</v>
      </c>
      <c r="F965" t="n">
        <v>15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17</v>
      </c>
      <c r="N965" t="n">
        <v>100</v>
      </c>
      <c r="O965" t="n">
        <v>32.7313769751693</v>
      </c>
    </row>
    <row r="966" hidden="1">
      <c r="A966" s="11" t="n">
        <v>46030</v>
      </c>
      <c r="B966" t="inlineStr">
        <is>
          <t>Francilene Ferreira de Jesus</t>
        </is>
      </c>
      <c r="C966" t="inlineStr">
        <is>
          <t>Técnico II</t>
        </is>
      </c>
      <c r="D966" t="n">
        <v>38</v>
      </c>
      <c r="E966" t="n">
        <v>33</v>
      </c>
      <c r="F966" t="n">
        <v>15.26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32</v>
      </c>
      <c r="N966" t="n">
        <v>99.31</v>
      </c>
      <c r="O966" t="n">
        <v>30.96234309623431</v>
      </c>
    </row>
    <row r="967" hidden="1">
      <c r="A967" s="11" t="n">
        <v>46064</v>
      </c>
      <c r="B967" t="inlineStr">
        <is>
          <t>Gabriel Gomes de Andrade</t>
        </is>
      </c>
      <c r="C967" t="inlineStr">
        <is>
          <t>Técnico I</t>
        </is>
      </c>
      <c r="D967" t="n">
        <v>2</v>
      </c>
      <c r="E967" t="n">
        <v>2</v>
      </c>
      <c r="F967" t="n">
        <v>37.04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28</v>
      </c>
      <c r="N967" t="n">
        <v>96.67</v>
      </c>
      <c r="O967" t="n">
        <v>31.45161290322581</v>
      </c>
    </row>
    <row r="968" hidden="1">
      <c r="A968" s="11" t="n">
        <v>46030</v>
      </c>
      <c r="B968" t="inlineStr">
        <is>
          <t>Isabella Borges de Oliveira</t>
        </is>
      </c>
      <c r="C968" t="inlineStr">
        <is>
          <t>Técnico II</t>
        </is>
      </c>
      <c r="D968" t="n">
        <v>37</v>
      </c>
      <c r="E968" t="n">
        <v>36</v>
      </c>
      <c r="F968" t="n">
        <v>15.06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t="n">
        <v>28</v>
      </c>
      <c r="N968" t="n">
        <v>100</v>
      </c>
      <c r="O968" t="n">
        <v>27.67676767676768</v>
      </c>
    </row>
    <row r="969" hidden="1">
      <c r="A969" s="11" t="n">
        <v>46030</v>
      </c>
      <c r="B969" t="inlineStr">
        <is>
          <t>Janaina Lima dos Reis Urany</t>
        </is>
      </c>
      <c r="C969" t="inlineStr">
        <is>
          <t>Técnico III</t>
        </is>
      </c>
      <c r="D969" t="n">
        <v>51</v>
      </c>
      <c r="E969" t="n">
        <v>44</v>
      </c>
      <c r="F969" t="n">
        <v>11.53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42</v>
      </c>
      <c r="N969" t="n">
        <v>100</v>
      </c>
      <c r="O969" t="n">
        <v>31.17723156532988</v>
      </c>
    </row>
    <row r="970" hidden="1">
      <c r="A970" s="11" t="n">
        <v>46030</v>
      </c>
      <c r="B970" t="inlineStr">
        <is>
          <t>Jaqueline Evangelista da Silva Martins</t>
        </is>
      </c>
      <c r="C970" t="inlineStr">
        <is>
          <t>Técnico III</t>
        </is>
      </c>
      <c r="D970" t="n">
        <v>22</v>
      </c>
      <c r="E970" t="n">
        <v>21</v>
      </c>
      <c r="F970" t="n">
        <v>15.46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16</v>
      </c>
      <c r="N970" t="n">
        <v>100</v>
      </c>
      <c r="O970" t="n">
        <v>27.60942760942761</v>
      </c>
    </row>
    <row r="971" hidden="1">
      <c r="A971" s="11" t="n">
        <v>46030</v>
      </c>
      <c r="B971" t="inlineStr">
        <is>
          <t>Jessica Faria da Silveira</t>
        </is>
      </c>
      <c r="C971" t="inlineStr">
        <is>
          <t>Técnico II</t>
        </is>
      </c>
      <c r="D971" t="n">
        <v>24</v>
      </c>
      <c r="E971" t="n">
        <v>22</v>
      </c>
      <c r="F971" t="n">
        <v>23.45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22</v>
      </c>
      <c r="N971" t="n">
        <v>96.40000000000001</v>
      </c>
      <c r="O971" t="n">
        <v>28.76404494382023</v>
      </c>
    </row>
    <row r="972" hidden="1">
      <c r="A972" s="11" t="n">
        <v>46030</v>
      </c>
      <c r="B972" t="inlineStr">
        <is>
          <t>Jéssica Fé Moura</t>
        </is>
      </c>
      <c r="C972" t="inlineStr">
        <is>
          <t>Técnico III</t>
        </is>
      </c>
      <c r="D972" t="n">
        <v>0</v>
      </c>
      <c r="E972" t="n">
        <v>0</v>
      </c>
      <c r="F972" t="n">
        <v>0</v>
      </c>
      <c r="G972" t="n">
        <v>0</v>
      </c>
      <c r="H972" t="n">
        <v>0</v>
      </c>
      <c r="I972" s="3" t="n">
        <v>0</v>
      </c>
      <c r="J972" s="3" t="n">
        <v>0</v>
      </c>
      <c r="K972" s="3" t="n">
        <v>0</v>
      </c>
      <c r="L972" s="3">
        <f>IF(K972&lt;-5,"CRÍTICO",IF(K972&lt;0,"ATENÇÃO",IF(K972&lt;=5,"BOM","EXCELENTE")))</f>
        <v/>
      </c>
      <c r="M972" t="n">
        <v>25</v>
      </c>
      <c r="N972" t="n">
        <v>100</v>
      </c>
      <c r="O972" t="n">
        <v>33.98058252427185</v>
      </c>
    </row>
    <row r="973" hidden="1">
      <c r="A973" s="11" t="n">
        <v>46030</v>
      </c>
      <c r="B973" t="inlineStr">
        <is>
          <t>Karina Gonçalves Martins</t>
        </is>
      </c>
      <c r="C973" t="inlineStr">
        <is>
          <t>JR</t>
        </is>
      </c>
      <c r="D973" t="n">
        <v>8</v>
      </c>
      <c r="E973" t="n">
        <v>8</v>
      </c>
      <c r="F973" t="n">
        <v>16.42</v>
      </c>
      <c r="G973" t="n">
        <v>0</v>
      </c>
      <c r="H973" t="n">
        <v>0</v>
      </c>
      <c r="I973" s="3">
        <f>E973+G973+H973</f>
        <v/>
      </c>
      <c r="J973" s="3">
        <f>ROUND(MIN(IF(C973="Técnico III",35,IF(C973="Técnico II",28,IF(C973="Técnico I",23,IF(C973="JR",20,IF(C973="Estágio",10,0))))),IF(C973="Técnico III",SUMIFS($D:$D,$A:$A,$A973,$B:$B,"&lt;&gt;Patrícia Karla de Sousa Araújo",$B:$B,"&lt;&gt;Lorena Dias de Araujo",$B:$B,"&lt;&gt;Lucas Luiz Romero")*(35/1083),IF(C973="Técnico II",SUMIFS($D:$D,$A:$A,$A973,$B:$B,"&lt;&gt;Patrícia Karla de Sousa Araújo",$B:$B,"&lt;&gt;Lorena Dias de Araujo",$B:$B,"&lt;&gt;Lucas Luiz Romero")*(28/1083),IF(C973="Técnico I",SUMIFS($D:$D,$A:$A,$A973,$B:$B,"&lt;&gt;Patrícia Karla de Sousa Araújo",$B:$B,"&lt;&gt;Lorena Dias de Araujo",$B:$B,"&lt;&gt;Lucas Luiz Romero")*(23/1083),IF(C973="JR",SUMIFS($D:$D,$A:$A,$A973,$B:$B,"&lt;&gt;Patrícia Karla de Sousa Araújo",$B:$B,"&lt;&gt;Lorena Dias de Araujo",$B:$B,"&lt;&gt;Lucas Luiz Romero")*(20/1083),IF(C973="Estágio",SUMIFS($D:$D,$A:$A,$A973,$B:$B,"&lt;&gt;Patrícia Karla de Sousa Araújo",$B:$B,"&lt;&gt;Lorena Dias de Araujo",$B:$B,"&lt;&gt;Lucas Luiz Romero")*(10/1083),0)))))),0)</f>
        <v/>
      </c>
      <c r="K973" s="3">
        <f>I973-J973</f>
        <v/>
      </c>
      <c r="L973" s="3">
        <f>IF(K973&lt;-5,"CRÍTICO",IF(K973&lt;0,"ATENÇÃO",IF(K973&lt;=5,"BOM","EXCELENTE")))</f>
        <v/>
      </c>
      <c r="M973" t="n">
        <v>8</v>
      </c>
      <c r="N973" t="n">
        <v>97.56</v>
      </c>
      <c r="O973" t="n">
        <v>32.51533742331289</v>
      </c>
    </row>
    <row r="974" hidden="1">
      <c r="A974" s="11" t="n">
        <v>46030</v>
      </c>
      <c r="B974" t="inlineStr">
        <is>
          <t>Kerollen Cristielly de Jesus Siqueira</t>
        </is>
      </c>
      <c r="C974" t="inlineStr">
        <is>
          <t>Técnico III</t>
        </is>
      </c>
      <c r="D974" t="n">
        <v>24</v>
      </c>
      <c r="E974" t="n">
        <v>22</v>
      </c>
      <c r="F974" t="n">
        <v>17.37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21</v>
      </c>
      <c r="N974" t="n">
        <v>97.11</v>
      </c>
      <c r="O974" t="n">
        <v>37.40831295843521</v>
      </c>
    </row>
    <row r="975" hidden="1">
      <c r="A975" s="11" t="n">
        <v>46030</v>
      </c>
      <c r="B975" t="inlineStr">
        <is>
          <t>Leandro de Souza Silva</t>
        </is>
      </c>
      <c r="C975" t="inlineStr">
        <is>
          <t>JR</t>
        </is>
      </c>
      <c r="D975" t="n">
        <v>0</v>
      </c>
      <c r="E975" t="n">
        <v>0</v>
      </c>
      <c r="F975" t="n">
        <v>0</v>
      </c>
      <c r="G975" t="n">
        <v>0</v>
      </c>
      <c r="H975" t="n">
        <v>0</v>
      </c>
      <c r="I975" s="3" t="n">
        <v>0</v>
      </c>
      <c r="J975" s="3" t="n">
        <v>0</v>
      </c>
      <c r="K975" s="3" t="n">
        <v>0</v>
      </c>
      <c r="L975" s="3">
        <f>IF(K975&lt;-5,"CRÍTICO",IF(K975&lt;0,"ATENÇÃO",IF(K975&lt;=5,"BOM","EXCELENTE")))</f>
        <v/>
      </c>
      <c r="M975" t="n">
        <v>0</v>
      </c>
      <c r="N975" t="n">
        <v>0</v>
      </c>
      <c r="O975" t="n">
        <v>0</v>
      </c>
    </row>
    <row r="976" hidden="1">
      <c r="A976" s="11" t="n">
        <v>46030</v>
      </c>
      <c r="B976" t="inlineStr">
        <is>
          <t>Leandro Oliveira de Sousa</t>
        </is>
      </c>
      <c r="C976" t="inlineStr">
        <is>
          <t>Técnico III</t>
        </is>
      </c>
      <c r="D976" t="n">
        <v>34</v>
      </c>
      <c r="E976" t="n">
        <v>29</v>
      </c>
      <c r="F976" t="n">
        <v>14.16</v>
      </c>
      <c r="G976" t="n">
        <v>0</v>
      </c>
      <c r="H976" t="n">
        <v>0</v>
      </c>
      <c r="I976" s="3">
        <f>E976+G976+H976</f>
        <v/>
      </c>
      <c r="J976" s="3">
        <f>ROUND(MIN(IF(C976="Técnico III",35,IF(C976="Técnico II",28,IF(C976="Técnico I",23,IF(C976="JR",20,IF(C976="Estágio",10,0))))),IF(C976="Técnico III",SUMIFS($D:$D,$A:$A,$A976,$B:$B,"&lt;&gt;Patrícia Karla de Sousa Araújo",$B:$B,"&lt;&gt;Lorena Dias de Araujo",$B:$B,"&lt;&gt;Lucas Luiz Romero")*(35/1083),IF(C976="Técnico II",SUMIFS($D:$D,$A:$A,$A976,$B:$B,"&lt;&gt;Patrícia Karla de Sousa Araújo",$B:$B,"&lt;&gt;Lorena Dias de Araujo",$B:$B,"&lt;&gt;Lucas Luiz Romero")*(28/1083),IF(C976="Técnico I",SUMIFS($D:$D,$A:$A,$A976,$B:$B,"&lt;&gt;Patrícia Karla de Sousa Araújo",$B:$B,"&lt;&gt;Lorena Dias de Araujo",$B:$B,"&lt;&gt;Lucas Luiz Romero")*(23/1083),IF(C976="JR",SUMIFS($D:$D,$A:$A,$A976,$B:$B,"&lt;&gt;Patrícia Karla de Sousa Araújo",$B:$B,"&lt;&gt;Lorena Dias de Araujo",$B:$B,"&lt;&gt;Lucas Luiz Romero")*(20/1083),IF(C976="Estágio",SUMIFS($D:$D,$A:$A,$A976,$B:$B,"&lt;&gt;Patrícia Karla de Sousa Araújo",$B:$B,"&lt;&gt;Lorena Dias de Araujo",$B:$B,"&lt;&gt;Lucas Luiz Romero")*(10/1083),0)))))),0)</f>
        <v/>
      </c>
      <c r="K976" s="3">
        <f>I976-J976</f>
        <v/>
      </c>
      <c r="L976" s="3">
        <f>IF(K976&lt;-5,"CRÍTICO",IF(K976&lt;0,"ATENÇÃO",IF(K976&lt;=5,"BOM","EXCELENTE")))</f>
        <v/>
      </c>
      <c r="M976" t="n">
        <v>31</v>
      </c>
      <c r="N976" t="n">
        <v>100</v>
      </c>
      <c r="O976" t="n">
        <v>30.47034764826176</v>
      </c>
    </row>
    <row r="977" hidden="1">
      <c r="A977" s="11" t="n">
        <v>46030</v>
      </c>
      <c r="B977" t="inlineStr">
        <is>
          <t>Lizandra Gomes Duarte</t>
        </is>
      </c>
      <c r="C977" t="inlineStr">
        <is>
          <t>Técnico II</t>
        </is>
      </c>
      <c r="D977" t="n">
        <v>32</v>
      </c>
      <c r="E977" t="n">
        <v>31</v>
      </c>
      <c r="F977" t="n">
        <v>19.15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18</v>
      </c>
      <c r="N977" t="n">
        <v>100</v>
      </c>
      <c r="O977" t="n">
        <v>32.37113402061856</v>
      </c>
    </row>
    <row r="978" hidden="1">
      <c r="A978" s="11" t="n">
        <v>46030</v>
      </c>
      <c r="B978" t="inlineStr">
        <is>
          <t>Lorena Dias de Araujo</t>
        </is>
      </c>
      <c r="C978" t="inlineStr">
        <is>
          <t>Técnico II</t>
        </is>
      </c>
      <c r="D978" t="n">
        <v>28</v>
      </c>
      <c r="E978" t="n">
        <v>27</v>
      </c>
      <c r="F978" t="n">
        <v>20.25</v>
      </c>
      <c r="G978" t="n">
        <v>0</v>
      </c>
      <c r="H978" t="n">
        <v>0</v>
      </c>
      <c r="I978" s="3" t="n">
        <v>0</v>
      </c>
      <c r="J978" s="3" t="n">
        <v>0</v>
      </c>
      <c r="K978" s="3" t="n">
        <v>0</v>
      </c>
      <c r="L978" s="3">
        <f>IF(K978&lt;-5,"CRÍTICO",IF(K978&lt;0,"ATENÇÃO",IF(K978&lt;=5,"BOM","EXCELENTE")))</f>
        <v/>
      </c>
      <c r="M978" t="n">
        <v>20</v>
      </c>
      <c r="N978" t="n">
        <v>98.31999999999999</v>
      </c>
      <c r="O978" t="n">
        <v>32.31850117096019</v>
      </c>
    </row>
    <row r="979" hidden="1">
      <c r="A979" s="11" t="n">
        <v>46030</v>
      </c>
      <c r="B979" t="inlineStr">
        <is>
          <t>Lucas Luiz Romero</t>
        </is>
      </c>
      <c r="C979" t="inlineStr">
        <is>
          <t>Técnico III</t>
        </is>
      </c>
      <c r="D979" t="n">
        <v>46</v>
      </c>
      <c r="E979" t="n">
        <v>31</v>
      </c>
      <c r="F979" t="n">
        <v>8.48</v>
      </c>
      <c r="G979" t="n">
        <v>0</v>
      </c>
      <c r="H979" t="n">
        <v>0</v>
      </c>
      <c r="I979" s="3">
        <f>E979+G979+H979</f>
        <v/>
      </c>
      <c r="J979" s="3">
        <f>ROUND(MIN(IF(C979="Técnico III",35,IF(C979="Técnico II",28,IF(C979="Técnico I",23,IF(C979="JR",20,IF(C979="Estágio",10,0))))),IF(C979="Técnico III",SUMIFS($D:$D,$A:$A,$A979,$B:$B,"&lt;&gt;Patrícia Karla de Sousa Araújo",$B:$B,"&lt;&gt;Lorena Dias de Araujo",$B:$B,"&lt;&gt;Lucas Luiz Romero")*(35/1083),IF(C979="Técnico II",SUMIFS($D:$D,$A:$A,$A979,$B:$B,"&lt;&gt;Patrícia Karla de Sousa Araújo",$B:$B,"&lt;&gt;Lorena Dias de Araujo",$B:$B,"&lt;&gt;Lucas Luiz Romero")*(28/1083),IF(C979="Técnico I",SUMIFS($D:$D,$A:$A,$A979,$B:$B,"&lt;&gt;Patrícia Karla de Sousa Araújo",$B:$B,"&lt;&gt;Lorena Dias de Araujo",$B:$B,"&lt;&gt;Lucas Luiz Romero")*(23/1083),IF(C979="JR",SUMIFS($D:$D,$A:$A,$A979,$B:$B,"&lt;&gt;Patrícia Karla de Sousa Araújo",$B:$B,"&lt;&gt;Lorena Dias de Araujo",$B:$B,"&lt;&gt;Lucas Luiz Romero")*(20/1083),IF(C979="Estágio",SUMIFS($D:$D,$A:$A,$A979,$B:$B,"&lt;&gt;Patrícia Karla de Sousa Araújo",$B:$B,"&lt;&gt;Lorena Dias de Araujo",$B:$B,"&lt;&gt;Lucas Luiz Romero")*(10/1083),0)))))),0)</f>
        <v/>
      </c>
      <c r="K979" s="3">
        <f>I979-J979</f>
        <v/>
      </c>
      <c r="L979" s="3">
        <f>IF(K979&lt;-5,"CRÍTICO",IF(K979&lt;0,"ATENÇÃO",IF(K979&lt;=5,"BOM","EXCELENTE")))</f>
        <v/>
      </c>
      <c r="M979" t="n">
        <v>29</v>
      </c>
      <c r="N979" t="n">
        <v>96.43000000000001</v>
      </c>
      <c r="O979" t="n">
        <v>27.01525054466231</v>
      </c>
    </row>
    <row r="980" hidden="1">
      <c r="A980" s="11" t="n">
        <v>46030</v>
      </c>
      <c r="B980" t="inlineStr">
        <is>
          <t>Luiz Fernando de Carvalho Junior</t>
        </is>
      </c>
      <c r="C980" t="inlineStr">
        <is>
          <t>Técnico I</t>
        </is>
      </c>
      <c r="D980" t="n">
        <v>15</v>
      </c>
      <c r="E980" t="n">
        <v>14</v>
      </c>
      <c r="F980" t="n">
        <v>34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16</v>
      </c>
      <c r="N980" t="n">
        <v>98.89</v>
      </c>
      <c r="O980" t="n">
        <v>28.02197802197802</v>
      </c>
    </row>
    <row r="981" hidden="1">
      <c r="A981" s="11" t="n">
        <v>46030</v>
      </c>
      <c r="B981" t="inlineStr">
        <is>
          <t>Maria Eduarda Sousa Costa</t>
        </is>
      </c>
      <c r="C981" t="inlineStr">
        <is>
          <t>Estágio</t>
        </is>
      </c>
      <c r="D981" t="n">
        <v>12</v>
      </c>
      <c r="E981" t="n">
        <v>12</v>
      </c>
      <c r="F981" t="n">
        <v>51.49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10</v>
      </c>
      <c r="N981" t="n">
        <v>100</v>
      </c>
      <c r="O981" t="n">
        <v>33.33333333333333</v>
      </c>
    </row>
    <row r="982" hidden="1">
      <c r="A982" s="11" t="n">
        <v>46030</v>
      </c>
      <c r="B982" t="inlineStr">
        <is>
          <t>Matheus Farias De Souza</t>
        </is>
      </c>
      <c r="C982" t="inlineStr">
        <is>
          <t>Técnico III</t>
        </is>
      </c>
      <c r="D982" t="n">
        <v>0</v>
      </c>
      <c r="E982" t="n">
        <v>0</v>
      </c>
      <c r="F982" t="n">
        <v>0</v>
      </c>
      <c r="G982" t="n">
        <v>0</v>
      </c>
      <c r="H982" t="n">
        <v>0</v>
      </c>
      <c r="I982" s="3" t="n">
        <v>0</v>
      </c>
      <c r="J982" s="3" t="n">
        <v>0</v>
      </c>
      <c r="K982" s="3" t="n">
        <v>0</v>
      </c>
      <c r="L982" s="3">
        <f>IF(K982&lt;-5,"CRÍTICO",IF(K982&lt;0,"ATENÇÃO",IF(K982&lt;=5,"BOM","EXCELENTE")))</f>
        <v/>
      </c>
      <c r="M982" t="n">
        <v>0</v>
      </c>
      <c r="N982" t="n">
        <v>100</v>
      </c>
      <c r="O982" t="n">
        <v>27.43362831858407</v>
      </c>
    </row>
    <row r="983" hidden="1">
      <c r="A983" s="11" t="n">
        <v>46030</v>
      </c>
      <c r="B983" t="inlineStr">
        <is>
          <t>Maysa Victoria Dias Moura</t>
        </is>
      </c>
      <c r="C983" t="inlineStr">
        <is>
          <t>Técnico III</t>
        </is>
      </c>
      <c r="D983" t="n">
        <v>35</v>
      </c>
      <c r="E983" t="n">
        <v>32</v>
      </c>
      <c r="F983" t="n">
        <v>16.46</v>
      </c>
      <c r="G983" t="n">
        <v>0</v>
      </c>
      <c r="H983" t="n">
        <v>0</v>
      </c>
      <c r="I983" s="3">
        <f>E983+G983+H983</f>
        <v/>
      </c>
      <c r="J983" s="3">
        <f>ROUND(MIN(IF(C983="Técnico III",35,IF(C983="Técnico II",28,IF(C983="Técnico I",23,IF(C983="JR",20,IF(C983="Estágio",10,0))))),IF(C983="Técnico III",SUMIFS($D:$D,$A:$A,$A983,$B:$B,"&lt;&gt;Patrícia Karla de Sousa Araújo",$B:$B,"&lt;&gt;Lorena Dias de Araujo",$B:$B,"&lt;&gt;Lucas Luiz Romero")*(35/1083),IF(C983="Técnico II",SUMIFS($D:$D,$A:$A,$A983,$B:$B,"&lt;&gt;Patrícia Karla de Sousa Araújo",$B:$B,"&lt;&gt;Lorena Dias de Araujo",$B:$B,"&lt;&gt;Lucas Luiz Romero")*(28/1083),IF(C983="Técnico I",SUMIFS($D:$D,$A:$A,$A983,$B:$B,"&lt;&gt;Patrícia Karla de Sousa Araújo",$B:$B,"&lt;&gt;Lorena Dias de Araujo",$B:$B,"&lt;&gt;Lucas Luiz Romero")*(23/1083),IF(C983="JR",SUMIFS($D:$D,$A:$A,$A983,$B:$B,"&lt;&gt;Patrícia Karla de Sousa Araújo",$B:$B,"&lt;&gt;Lorena Dias de Araujo",$B:$B,"&lt;&gt;Lucas Luiz Romero")*(20/1083),IF(C983="Estágio",SUMIFS($D:$D,$A:$A,$A983,$B:$B,"&lt;&gt;Patrícia Karla de Sousa Araújo",$B:$B,"&lt;&gt;Lorena Dias de Araujo",$B:$B,"&lt;&gt;Lucas Luiz Romero")*(10/1083),0)))))),0)</f>
        <v/>
      </c>
      <c r="K983" s="3">
        <f>I983-J983</f>
        <v/>
      </c>
      <c r="L983" s="3">
        <f>IF(K983&lt;-5,"CRÍTICO",IF(K983&lt;0,"ATENÇÃO",IF(K983&lt;=5,"BOM","EXCELENTE")))</f>
        <v/>
      </c>
      <c r="M983" t="n">
        <v>24</v>
      </c>
      <c r="N983" t="n">
        <v>98.65000000000001</v>
      </c>
      <c r="O983" t="n">
        <v>30.97826086956522</v>
      </c>
    </row>
    <row r="984" hidden="1">
      <c r="A984" s="11" t="n">
        <v>46030</v>
      </c>
      <c r="B984" t="inlineStr">
        <is>
          <t>Michelle G Santos</t>
        </is>
      </c>
      <c r="C984" t="inlineStr">
        <is>
          <t>Estágio</t>
        </is>
      </c>
      <c r="D984" t="n">
        <v>0</v>
      </c>
      <c r="E984" t="n">
        <v>0</v>
      </c>
      <c r="F984" t="n">
        <v>0</v>
      </c>
      <c r="G984" t="n">
        <v>0</v>
      </c>
      <c r="H984" t="n">
        <v>0</v>
      </c>
      <c r="I984" s="3" t="n">
        <v>0</v>
      </c>
      <c r="J984" s="3" t="n">
        <v>0</v>
      </c>
      <c r="K984" s="3" t="n">
        <v>0</v>
      </c>
      <c r="L984" s="3">
        <f>IF(K984&lt;-5,"CRÍTICO",IF(K984&lt;0,"ATENÇÃO",IF(K984&lt;=5,"BOM","EXCELENTE")))</f>
        <v/>
      </c>
      <c r="M984" t="n">
        <v>0</v>
      </c>
      <c r="N984" t="n">
        <v>100</v>
      </c>
      <c r="O984" t="n">
        <v>12</v>
      </c>
    </row>
    <row r="985" hidden="1">
      <c r="A985" s="11" t="n">
        <v>46030</v>
      </c>
      <c r="B985" t="inlineStr">
        <is>
          <t>Milena Sales</t>
        </is>
      </c>
      <c r="C985" t="inlineStr">
        <is>
          <t>JR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Patrícia Karla de Sousa Araújo</t>
        </is>
      </c>
      <c r="C986" t="inlineStr">
        <is>
          <t>Técnico II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97.56</v>
      </c>
      <c r="O986" t="n">
        <v>31.06796116504854</v>
      </c>
    </row>
    <row r="987" hidden="1">
      <c r="A987" s="11" t="n">
        <v>46030</v>
      </c>
      <c r="B987" t="inlineStr">
        <is>
          <t>Paulo Ricardo Santos</t>
        </is>
      </c>
      <c r="C987" t="inlineStr">
        <is>
          <t>JR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0</v>
      </c>
      <c r="O987" t="n">
        <v>0</v>
      </c>
    </row>
    <row r="988" hidden="1">
      <c r="A988" s="11" t="n">
        <v>46030</v>
      </c>
      <c r="B988" t="inlineStr">
        <is>
          <t>Pedro Luiz Mota Sousa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Quirino Diogo Leite Torres</t>
        </is>
      </c>
      <c r="C989" t="inlineStr">
        <is>
          <t>Estágio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Raane Batista Matos</t>
        </is>
      </c>
      <c r="C990" t="inlineStr">
        <is>
          <t>Técnico I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100</v>
      </c>
      <c r="O990" t="n">
        <v>53.84615384615385</v>
      </c>
    </row>
    <row r="991" hidden="1">
      <c r="A991" s="11" t="n">
        <v>46030</v>
      </c>
      <c r="B991" t="inlineStr">
        <is>
          <t>Rafael Gomes de Morais</t>
        </is>
      </c>
      <c r="C991" t="inlineStr">
        <is>
          <t>Técnico III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100</v>
      </c>
      <c r="O991" t="n">
        <v>44.05594405594406</v>
      </c>
    </row>
    <row r="992" hidden="1">
      <c r="A992" s="11" t="n">
        <v>46030</v>
      </c>
      <c r="B992" t="inlineStr">
        <is>
          <t>Sara Maria Monteiro Lopes</t>
        </is>
      </c>
      <c r="C992" t="inlineStr">
        <is>
          <t>Técnico I</t>
        </is>
      </c>
      <c r="D992" t="n">
        <v>10</v>
      </c>
      <c r="E992" t="n">
        <v>10</v>
      </c>
      <c r="F992" t="n">
        <v>42.21</v>
      </c>
      <c r="G992" t="n">
        <v>0</v>
      </c>
      <c r="H992" t="n">
        <v>0</v>
      </c>
      <c r="I992" s="3">
        <f>E992+G992+H992</f>
        <v/>
      </c>
      <c r="J992" s="3">
        <f>ROUND(MIN(IF(C992="Técnico III",35,IF(C992="Técnico II",28,IF(C992="Técnico I",23,IF(C992="JR",20,IF(C992="Estágio",10,0))))),IF(C992="Técnico III",SUMIFS($D:$D,$A:$A,$A992,$B:$B,"&lt;&gt;Patrícia Karla de Sousa Araújo",$B:$B,"&lt;&gt;Lorena Dias de Araujo",$B:$B,"&lt;&gt;Lucas Luiz Romero")*(35/1083),IF(C992="Técnico II",SUMIFS($D:$D,$A:$A,$A992,$B:$B,"&lt;&gt;Patrícia Karla de Sousa Araújo",$B:$B,"&lt;&gt;Lorena Dias de Araujo",$B:$B,"&lt;&gt;Lucas Luiz Romero")*(28/1083),IF(C992="Técnico I",SUMIFS($D:$D,$A:$A,$A992,$B:$B,"&lt;&gt;Patrícia Karla de Sousa Araújo",$B:$B,"&lt;&gt;Lorena Dias de Araujo",$B:$B,"&lt;&gt;Lucas Luiz Romero")*(23/1083),IF(C992="JR",SUMIFS($D:$D,$A:$A,$A992,$B:$B,"&lt;&gt;Patrícia Karla de Sousa Araújo",$B:$B,"&lt;&gt;Lorena Dias de Araujo",$B:$B,"&lt;&gt;Lucas Luiz Romero")*(20/1083),IF(C992="Estágio",SUMIFS($D:$D,$A:$A,$A992,$B:$B,"&lt;&gt;Patrícia Karla de Sousa Araújo",$B:$B,"&lt;&gt;Lorena Dias de Araujo",$B:$B,"&lt;&gt;Lucas Luiz Romero")*(10/1083),0)))))),0)</f>
        <v/>
      </c>
      <c r="K992" s="3">
        <f>I992-J992</f>
        <v/>
      </c>
      <c r="L992" s="3">
        <f>IF(K992&lt;-5,"CRÍTICO",IF(K992&lt;0,"ATENÇÃO",IF(K992&lt;=5,"BOM","EXCELENTE")))</f>
        <v/>
      </c>
      <c r="M992" t="n">
        <v>8</v>
      </c>
      <c r="N992" t="n">
        <v>100</v>
      </c>
      <c r="O992" t="n">
        <v>31.87250996015936</v>
      </c>
    </row>
    <row r="993" hidden="1">
      <c r="A993" s="11" t="n">
        <v>46030</v>
      </c>
      <c r="B993" t="inlineStr">
        <is>
          <t>Sarah Steffanie de Lima Borges</t>
        </is>
      </c>
      <c r="C993" t="inlineStr">
        <is>
          <t>Técnico III</t>
        </is>
      </c>
      <c r="D993" t="n">
        <v>27</v>
      </c>
      <c r="E993" t="n">
        <v>26</v>
      </c>
      <c r="F993" t="n">
        <v>18.43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24</v>
      </c>
      <c r="N993" t="n">
        <v>98.41</v>
      </c>
      <c r="O993" t="n">
        <v>29.22465208747515</v>
      </c>
    </row>
    <row r="994" hidden="1">
      <c r="A994" s="11" t="n">
        <v>46031</v>
      </c>
      <c r="B994" t="inlineStr">
        <is>
          <t>Alisson de Freitas Silva</t>
        </is>
      </c>
      <c r="C994" t="inlineStr">
        <is>
          <t>Técnico II</t>
        </is>
      </c>
      <c r="D994" t="n">
        <v>22</v>
      </c>
      <c r="E994" t="n">
        <v>19</v>
      </c>
      <c r="F994" t="n">
        <v>22.01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10</v>
      </c>
      <c r="N994" t="n">
        <v>96.81</v>
      </c>
      <c r="O994" t="n">
        <v>27.98053527980535</v>
      </c>
    </row>
    <row r="995" hidden="1">
      <c r="A995" s="11" t="n">
        <v>46031</v>
      </c>
      <c r="B995" t="inlineStr">
        <is>
          <t>Amanda Moura Ferreira</t>
        </is>
      </c>
      <c r="C995" t="inlineStr">
        <is>
          <t>Técnico III</t>
        </is>
      </c>
      <c r="D995" t="n">
        <v>0</v>
      </c>
      <c r="E995" t="n">
        <v>0</v>
      </c>
      <c r="F995" t="n">
        <v>0</v>
      </c>
      <c r="G995" t="n">
        <v>0</v>
      </c>
      <c r="H995" t="n">
        <v>0</v>
      </c>
      <c r="I995" s="3" t="n">
        <v>0</v>
      </c>
      <c r="J995" s="3" t="n">
        <v>0</v>
      </c>
      <c r="K995" s="3" t="n">
        <v>0</v>
      </c>
      <c r="L995" s="3">
        <f>IF(K995&lt;-5,"CRÍTICO",IF(K995&lt;0,"ATENÇÃO",IF(K995&lt;=5,"BOM","EXCELENTE")))</f>
        <v/>
      </c>
      <c r="M995" t="n">
        <v>28</v>
      </c>
      <c r="N995" t="n">
        <v>98.73</v>
      </c>
      <c r="O995" t="n">
        <v>35.75638506876228</v>
      </c>
    </row>
    <row r="996" hidden="1">
      <c r="A996" s="11" t="n">
        <v>46031</v>
      </c>
      <c r="B996" t="inlineStr">
        <is>
          <t>Ana Karollyne Souza Faria</t>
        </is>
      </c>
      <c r="C996" t="inlineStr">
        <is>
          <t>Técnico I</t>
        </is>
      </c>
      <c r="D996" t="n">
        <v>27</v>
      </c>
      <c r="E996" t="n">
        <v>23</v>
      </c>
      <c r="F996" t="n">
        <v>15.41</v>
      </c>
      <c r="G996" t="n">
        <v>0</v>
      </c>
      <c r="H996" t="n">
        <v>0</v>
      </c>
      <c r="I996" s="3">
        <f>E996+G996+H996</f>
        <v/>
      </c>
      <c r="J996" s="3">
        <f>ROUND(MIN(IF(C996="Técnico III",35,IF(C996="Técnico II",28,IF(C996="Técnico I",23,IF(C996="JR",20,IF(C996="Estágio",10,0))))),IF(C996="Técnico III",SUMIFS($D:$D,$A:$A,$A996,$B:$B,"&lt;&gt;Patrícia Karla de Sousa Araújo",$B:$B,"&lt;&gt;Lorena Dias de Araujo",$B:$B,"&lt;&gt;Lucas Luiz Romero")*(35/1083),IF(C996="Técnico II",SUMIFS($D:$D,$A:$A,$A996,$B:$B,"&lt;&gt;Patrícia Karla de Sousa Araújo",$B:$B,"&lt;&gt;Lorena Dias de Araujo",$B:$B,"&lt;&gt;Lucas Luiz Romero")*(28/1083),IF(C996="Técnico I",SUMIFS($D:$D,$A:$A,$A996,$B:$B,"&lt;&gt;Patrícia Karla de Sousa Araújo",$B:$B,"&lt;&gt;Lorena Dias de Araujo",$B:$B,"&lt;&gt;Lucas Luiz Romero")*(23/1083),IF(C996="JR",SUMIFS($D:$D,$A:$A,$A996,$B:$B,"&lt;&gt;Patrícia Karla de Sousa Araújo",$B:$B,"&lt;&gt;Lorena Dias de Araujo",$B:$B,"&lt;&gt;Lucas Luiz Romero")*(20/1083),IF(C996="Estágio",SUMIFS($D:$D,$A:$A,$A996,$B:$B,"&lt;&gt;Patrícia Karla de Sousa Araújo",$B:$B,"&lt;&gt;Lorena Dias de Araujo",$B:$B,"&lt;&gt;Lucas Luiz Romero")*(10/1083),0)))))),0)</f>
        <v/>
      </c>
      <c r="K996" s="3">
        <f>I996-J996</f>
        <v/>
      </c>
      <c r="L996" s="3">
        <f>IF(K996&lt;-5,"CRÍTICO",IF(K996&lt;0,"ATENÇÃO",IF(K996&lt;=5,"BOM","EXCELENTE")))</f>
        <v/>
      </c>
      <c r="M996" t="n">
        <v>25</v>
      </c>
      <c r="N996" t="n">
        <v>98.31999999999999</v>
      </c>
      <c r="O996" t="n">
        <v>26.76348547717842</v>
      </c>
    </row>
    <row r="997" hidden="1">
      <c r="A997" s="11" t="n">
        <v>46031</v>
      </c>
      <c r="B997" t="inlineStr">
        <is>
          <t>Ana Paula Da Luz Silva Aleixo</t>
        </is>
      </c>
      <c r="C997" t="inlineStr">
        <is>
          <t>Técnico III</t>
        </is>
      </c>
      <c r="D997" t="n">
        <v>27</v>
      </c>
      <c r="E997" t="n">
        <v>24</v>
      </c>
      <c r="F997" t="n">
        <v>15.19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22</v>
      </c>
      <c r="N997" t="n">
        <v>99.19</v>
      </c>
      <c r="O997" t="n">
        <v>27.63713080168776</v>
      </c>
    </row>
    <row r="998" hidden="1">
      <c r="A998" s="11" t="n">
        <v>46031</v>
      </c>
      <c r="B998" t="inlineStr">
        <is>
          <t>Anna Luiza Rezende Tavares</t>
        </is>
      </c>
      <c r="C998" t="inlineStr">
        <is>
          <t>Estágio</t>
        </is>
      </c>
      <c r="D998" t="n">
        <v>12</v>
      </c>
      <c r="E998" t="n">
        <v>11</v>
      </c>
      <c r="F998" t="n">
        <v>30.49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9</v>
      </c>
      <c r="N998" t="n">
        <v>100</v>
      </c>
      <c r="O998" t="n">
        <v>39.56834532374101</v>
      </c>
    </row>
    <row r="999" hidden="1">
      <c r="A999" s="11" t="n">
        <v>46031</v>
      </c>
      <c r="B999" t="inlineStr">
        <is>
          <t>Brenda de Menezes Silva</t>
        </is>
      </c>
      <c r="C999" t="inlineStr">
        <is>
          <t>Técnico II</t>
        </is>
      </c>
      <c r="D999" t="n">
        <v>17</v>
      </c>
      <c r="E999" t="n">
        <v>16</v>
      </c>
      <c r="F999" t="n">
        <v>18.34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16</v>
      </c>
      <c r="N999" t="n">
        <v>98.54000000000001</v>
      </c>
      <c r="O999" t="n">
        <v>28.54477611940299</v>
      </c>
    </row>
    <row r="1000" hidden="1">
      <c r="A1000" s="11" t="n">
        <v>46031</v>
      </c>
      <c r="B1000" t="inlineStr">
        <is>
          <t>Carlos Mateus Cassimiro Nunes</t>
        </is>
      </c>
      <c r="C1000" t="inlineStr">
        <is>
          <t>Técnico II</t>
        </is>
      </c>
      <c r="D1000" t="n">
        <v>18</v>
      </c>
      <c r="E1000" t="n">
        <v>16</v>
      </c>
      <c r="F1000" t="n">
        <v>30.06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34.36692506459949</v>
      </c>
    </row>
    <row r="1001" hidden="1">
      <c r="A1001" s="11" t="n">
        <v>46031</v>
      </c>
      <c r="B1001" t="inlineStr">
        <is>
          <t>Claudio de Sousa Velasco Filho</t>
        </is>
      </c>
      <c r="C1001" t="inlineStr">
        <is>
          <t>Estágio</t>
        </is>
      </c>
      <c r="D1001" t="n">
        <v>0</v>
      </c>
      <c r="E1001" t="n">
        <v>0</v>
      </c>
      <c r="F1001" t="n">
        <v>0</v>
      </c>
      <c r="G1001" t="n">
        <v>0</v>
      </c>
      <c r="H1001" t="n">
        <v>0</v>
      </c>
      <c r="I1001" s="3" t="n">
        <v>0</v>
      </c>
      <c r="J1001" s="3" t="n">
        <v>0</v>
      </c>
      <c r="K1001" s="3" t="n">
        <v>0</v>
      </c>
      <c r="L1001" s="3">
        <f>IF(K1001&lt;-5,"CRÍTICO",IF(K1001&lt;0,"ATENÇÃO",IF(K1001&lt;=5,"BOM","EXCELENTE")))</f>
        <v/>
      </c>
      <c r="M1001" t="n">
        <v>0</v>
      </c>
      <c r="N1001" t="n">
        <v>0</v>
      </c>
      <c r="O1001" t="n">
        <v>0</v>
      </c>
    </row>
    <row r="1002" hidden="1">
      <c r="A1002" s="11" t="n">
        <v>46031</v>
      </c>
      <c r="B1002" t="inlineStr">
        <is>
          <t>Clessiane Pereira dos Santos</t>
        </is>
      </c>
      <c r="C1002" t="inlineStr">
        <is>
          <t>Técnico I</t>
        </is>
      </c>
      <c r="D1002" t="n">
        <v>15</v>
      </c>
      <c r="E1002" t="n">
        <v>15</v>
      </c>
      <c r="F1002" t="n">
        <v>37.02</v>
      </c>
      <c r="G1002" t="n">
        <v>0</v>
      </c>
      <c r="H1002" t="n">
        <v>0</v>
      </c>
      <c r="I1002" s="3">
        <f>E1002+G1002+H1002</f>
        <v/>
      </c>
      <c r="J1002" s="3">
        <f>ROUND(MIN(IF(C1002="Técnico III",35,IF(C1002="Técnico II",28,IF(C1002="Técnico I",23,IF(C1002="JR",20,IF(C1002="Estágio",10,0))))),IF(C1002="Técnico III",SUMIFS($D:$D,$A:$A,$A1002,$B:$B,"&lt;&gt;Patrícia Karla de Sousa Araújo",$B:$B,"&lt;&gt;Lorena Dias de Araujo",$B:$B,"&lt;&gt;Lucas Luiz Romero")*(35/1083),IF(C1002="Técnico II",SUMIFS($D:$D,$A:$A,$A1002,$B:$B,"&lt;&gt;Patrícia Karla de Sousa Araújo",$B:$B,"&lt;&gt;Lorena Dias de Araujo",$B:$B,"&lt;&gt;Lucas Luiz Romero")*(28/1083),IF(C1002="Técnico I",SUMIFS($D:$D,$A:$A,$A1002,$B:$B,"&lt;&gt;Patrícia Karla de Sousa Araújo",$B:$B,"&lt;&gt;Lorena Dias de Araujo",$B:$B,"&lt;&gt;Lucas Luiz Romero")*(23/1083),IF(C1002="JR",SUMIFS($D:$D,$A:$A,$A1002,$B:$B,"&lt;&gt;Patrícia Karla de Sousa Araújo",$B:$B,"&lt;&gt;Lorena Dias de Araujo",$B:$B,"&lt;&gt;Lucas Luiz Romero")*(20/1083),IF(C1002="Estágio",SUMIFS($D:$D,$A:$A,$A1002,$B:$B,"&lt;&gt;Patrícia Karla de Sousa Araújo",$B:$B,"&lt;&gt;Lorena Dias de Araujo",$B:$B,"&lt;&gt;Lucas Luiz Romero")*(10/1083),0)))))),0)</f>
        <v/>
      </c>
      <c r="K1002" s="3">
        <f>I1002-J1002</f>
        <v/>
      </c>
      <c r="L1002" s="3">
        <f>IF(K1002&lt;-5,"CRÍTICO",IF(K1002&lt;0,"ATENÇÃO",IF(K1002&lt;=5,"BOM","EXCELENTE")))</f>
        <v/>
      </c>
      <c r="M1002" t="n">
        <v>14</v>
      </c>
      <c r="N1002" t="n">
        <v>100</v>
      </c>
      <c r="O1002" t="n">
        <v>29.51807228915663</v>
      </c>
    </row>
    <row r="1003" hidden="1">
      <c r="A1003" s="11" t="n">
        <v>46031</v>
      </c>
      <c r="B1003" t="inlineStr">
        <is>
          <t>Cristiane Ramos da Silva Rocha</t>
        </is>
      </c>
      <c r="C1003" t="inlineStr">
        <is>
          <t>Técnico III</t>
        </is>
      </c>
      <c r="D1003" t="n">
        <v>31</v>
      </c>
      <c r="E1003" t="n">
        <v>27</v>
      </c>
      <c r="F1003" t="n">
        <v>11.49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27</v>
      </c>
      <c r="N1003" t="n">
        <v>97.45</v>
      </c>
      <c r="O1003" t="n">
        <v>41.421143847487</v>
      </c>
    </row>
    <row r="1004" hidden="1">
      <c r="A1004" s="11" t="n">
        <v>46031</v>
      </c>
      <c r="B1004" t="inlineStr">
        <is>
          <t>Damyllis Lorraine de Oliveira Gonçalves</t>
        </is>
      </c>
      <c r="C1004" t="inlineStr">
        <is>
          <t>Técnico II</t>
        </is>
      </c>
      <c r="D1004" t="n">
        <v>26</v>
      </c>
      <c r="E1004" t="n">
        <v>18</v>
      </c>
      <c r="F1004" t="n">
        <v>15.06</v>
      </c>
      <c r="G1004" t="n">
        <v>0</v>
      </c>
      <c r="H1004" t="n">
        <v>0</v>
      </c>
      <c r="I1004" s="3" t="n">
        <v>0</v>
      </c>
      <c r="J1004" s="3" t="n">
        <v>0</v>
      </c>
      <c r="K1004" s="3" t="n">
        <v>0</v>
      </c>
      <c r="L1004" s="3">
        <f>IF(K1004&lt;-5,"CRÍTICO",IF(K1004&lt;0,"ATENÇÃO",IF(K1004&lt;=5,"BOM","EXCELENTE")))</f>
        <v/>
      </c>
      <c r="M1004" t="n">
        <v>15</v>
      </c>
      <c r="N1004" t="n">
        <v>96.58</v>
      </c>
      <c r="O1004" t="n">
        <v>30.39647577092511</v>
      </c>
    </row>
    <row r="1005" hidden="1">
      <c r="A1005" s="11" t="n">
        <v>46031</v>
      </c>
      <c r="B1005" t="inlineStr">
        <is>
          <t>Daniel Gomes da Silva</t>
        </is>
      </c>
      <c r="C1005" t="inlineStr">
        <is>
          <t>Técnico I</t>
        </is>
      </c>
      <c r="D1005" t="n">
        <v>20</v>
      </c>
      <c r="E1005" t="n">
        <v>20</v>
      </c>
      <c r="F1005" t="n">
        <v>25.59</v>
      </c>
      <c r="G1005" t="n">
        <v>0</v>
      </c>
      <c r="H1005" t="n">
        <v>0</v>
      </c>
      <c r="I1005" s="3">
        <f>E1005+G1005+H1005</f>
        <v/>
      </c>
      <c r="J1005" s="3">
        <f>ROUND(MIN(IF(C1005="Técnico III",35,IF(C1005="Técnico II",28,IF(C1005="Técnico I",23,IF(C1005="JR",20,IF(C1005="Estágio",10,0))))),IF(C1005="Técnico III",SUMIFS($D:$D,$A:$A,$A1005,$B:$B,"&lt;&gt;Patrícia Karla de Sousa Araújo",$B:$B,"&lt;&gt;Lorena Dias de Araujo",$B:$B,"&lt;&gt;Lucas Luiz Romero")*(35/1083),IF(C1005="Técnico II",SUMIFS($D:$D,$A:$A,$A1005,$B:$B,"&lt;&gt;Patrícia Karla de Sousa Araújo",$B:$B,"&lt;&gt;Lorena Dias de Araujo",$B:$B,"&lt;&gt;Lucas Luiz Romero")*(28/1083),IF(C1005="Técnico I",SUMIFS($D:$D,$A:$A,$A1005,$B:$B,"&lt;&gt;Patrícia Karla de Sousa Araújo",$B:$B,"&lt;&gt;Lorena Dias de Araujo",$B:$B,"&lt;&gt;Lucas Luiz Romero")*(23/1083),IF(C1005="JR",SUMIFS($D:$D,$A:$A,$A1005,$B:$B,"&lt;&gt;Patrícia Karla de Sousa Araújo",$B:$B,"&lt;&gt;Lorena Dias de Araujo",$B:$B,"&lt;&gt;Lucas Luiz Romero")*(20/1083),IF(C1005="Estágio",SUMIFS($D:$D,$A:$A,$A1005,$B:$B,"&lt;&gt;Patrícia Karla de Sousa Araújo",$B:$B,"&lt;&gt;Lorena Dias de Araujo",$B:$B,"&lt;&gt;Lucas Luiz Romero")*(10/1083),0)))))),0)</f>
        <v/>
      </c>
      <c r="K1005" s="3">
        <f>I1005-J1005</f>
        <v/>
      </c>
      <c r="L1005" s="3">
        <f>IF(K1005&lt;-5,"CRÍTICO",IF(K1005&lt;0,"ATENÇÃO",IF(K1005&lt;=5,"BOM","EXCELENTE")))</f>
        <v/>
      </c>
      <c r="M1005" t="n">
        <v>22</v>
      </c>
      <c r="N1005" t="n">
        <v>100</v>
      </c>
      <c r="O1005" t="n">
        <v>27.44282744282744</v>
      </c>
    </row>
    <row r="1006" hidden="1">
      <c r="A1006" s="11" t="n">
        <v>46031</v>
      </c>
      <c r="B1006" t="inlineStr">
        <is>
          <t>Davylla Rodrigues Freitas Silva</t>
        </is>
      </c>
      <c r="C1006" t="inlineStr">
        <is>
          <t>Técnico III</t>
        </is>
      </c>
      <c r="D1006" t="n">
        <v>19</v>
      </c>
      <c r="E1006" t="n">
        <v>18</v>
      </c>
      <c r="F1006" t="n">
        <v>25.36</v>
      </c>
      <c r="G1006" t="n">
        <v>0</v>
      </c>
      <c r="H1006" t="n">
        <v>0</v>
      </c>
      <c r="I1006" s="3" t="n">
        <v>0</v>
      </c>
      <c r="J1006" s="3" t="n">
        <v>0</v>
      </c>
      <c r="K1006" s="3" t="n">
        <v>0</v>
      </c>
      <c r="L1006" s="3">
        <f>IF(K1006&lt;-5,"CRÍTICO",IF(K1006&lt;0,"ATENÇÃO",IF(K1006&lt;=5,"BOM","EXCELENTE")))</f>
        <v/>
      </c>
      <c r="M1006" t="n">
        <v>18</v>
      </c>
      <c r="N1006" t="n">
        <v>99.48999999999999</v>
      </c>
      <c r="O1006" t="n">
        <v>40.2</v>
      </c>
    </row>
    <row r="1007" hidden="1">
      <c r="A1007" s="11" t="n">
        <v>46031</v>
      </c>
      <c r="B1007" t="inlineStr">
        <is>
          <t>Emilly Caylane Costa</t>
        </is>
      </c>
      <c r="C1007" t="inlineStr">
        <is>
          <t>Estágio</t>
        </is>
      </c>
      <c r="D1007" t="n">
        <v>0</v>
      </c>
      <c r="E1007" t="n">
        <v>0</v>
      </c>
      <c r="F1007" t="n">
        <v>0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0</v>
      </c>
      <c r="N1007" t="n">
        <v>100</v>
      </c>
      <c r="O1007" t="n">
        <v>25</v>
      </c>
    </row>
    <row r="1008" hidden="1">
      <c r="A1008" s="11" t="n">
        <v>46031</v>
      </c>
      <c r="B1008" t="inlineStr">
        <is>
          <t>Emilly Kamilly Medeiros Miranda</t>
        </is>
      </c>
      <c r="C1008" t="inlineStr">
        <is>
          <t>Técnico II</t>
        </is>
      </c>
      <c r="D1008" t="n">
        <v>27</v>
      </c>
      <c r="E1008" t="n">
        <v>24</v>
      </c>
      <c r="F1008" t="n">
        <v>22.01</v>
      </c>
      <c r="G1008" t="n">
        <v>0</v>
      </c>
      <c r="H1008" t="n">
        <v>0</v>
      </c>
      <c r="I1008" s="3">
        <f>E1008+G1008+H1008</f>
        <v/>
      </c>
      <c r="J1008" s="3">
        <f>ROUND(MIN(IF(C1008="Técnico III",35,IF(C1008="Técnico II",28,IF(C1008="Técnico I",23,IF(C1008="JR",20,IF(C1008="Estágio",10,0))))),IF(C1008="Técnico III",SUMIFS($D:$D,$A:$A,$A1008,$B:$B,"&lt;&gt;Patrícia Karla de Sousa Araújo",$B:$B,"&lt;&gt;Lorena Dias de Araujo",$B:$B,"&lt;&gt;Lucas Luiz Romero")*(35/1083),IF(C1008="Técnico II",SUMIFS($D:$D,$A:$A,$A1008,$B:$B,"&lt;&gt;Patrícia Karla de Sousa Araújo",$B:$B,"&lt;&gt;Lorena Dias de Araujo",$B:$B,"&lt;&gt;Lucas Luiz Romero")*(28/1083),IF(C1008="Técnico I",SUMIFS($D:$D,$A:$A,$A1008,$B:$B,"&lt;&gt;Patrícia Karla de Sousa Araújo",$B:$B,"&lt;&gt;Lorena Dias de Araujo",$B:$B,"&lt;&gt;Lucas Luiz Romero")*(23/1083),IF(C1008="JR",SUMIFS($D:$D,$A:$A,$A1008,$B:$B,"&lt;&gt;Patrícia Karla de Sousa Araújo",$B:$B,"&lt;&gt;Lorena Dias de Araujo",$B:$B,"&lt;&gt;Lucas Luiz Romero")*(20/1083),IF(C1008="Estágio",SUMIFS($D:$D,$A:$A,$A1008,$B:$B,"&lt;&gt;Patrícia Karla de Sousa Araújo",$B:$B,"&lt;&gt;Lorena Dias de Araujo",$B:$B,"&lt;&gt;Lucas Luiz Romero")*(10/1083),0)))))),0)</f>
        <v/>
      </c>
      <c r="K1008" s="3">
        <f>I1008-J1008</f>
        <v/>
      </c>
      <c r="L1008" s="3">
        <f>IF(K1008&lt;-5,"CRÍTICO",IF(K1008&lt;0,"ATENÇÃO",IF(K1008&lt;=5,"BOM","EXCELENTE")))</f>
        <v/>
      </c>
      <c r="M1008" t="n">
        <v>17</v>
      </c>
      <c r="N1008" t="n">
        <v>100</v>
      </c>
      <c r="O1008" t="n">
        <v>34.15094339622641</v>
      </c>
    </row>
    <row r="1009" hidden="1">
      <c r="A1009" s="11" t="n">
        <v>46031</v>
      </c>
      <c r="B1009" t="inlineStr">
        <is>
          <t>Francielson de Oliveira</t>
        </is>
      </c>
      <c r="C1009" t="inlineStr">
        <is>
          <t>Técnico III</t>
        </is>
      </c>
      <c r="D1009" t="n">
        <v>21</v>
      </c>
      <c r="E1009" t="n">
        <v>19</v>
      </c>
      <c r="F1009" t="n">
        <v>16.53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18</v>
      </c>
      <c r="N1009" t="n">
        <v>100</v>
      </c>
      <c r="O1009" t="n">
        <v>32.7313769751693</v>
      </c>
    </row>
    <row r="1010" hidden="1">
      <c r="A1010" s="11" t="n">
        <v>46031</v>
      </c>
      <c r="B1010" t="inlineStr">
        <is>
          <t>Francilene Ferreira de Jesus</t>
        </is>
      </c>
      <c r="C1010" t="inlineStr">
        <is>
          <t>Técnico II</t>
        </is>
      </c>
      <c r="D1010" t="n">
        <v>30</v>
      </c>
      <c r="E1010" t="n">
        <v>25</v>
      </c>
      <c r="F1010" t="n">
        <v>15.23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24</v>
      </c>
      <c r="N1010" t="n">
        <v>99.31</v>
      </c>
      <c r="O1010" t="n">
        <v>30.96234309623431</v>
      </c>
    </row>
    <row r="1011" hidden="1">
      <c r="A1011" s="11" t="n">
        <v>46065</v>
      </c>
      <c r="B1011" t="inlineStr">
        <is>
          <t>Gabriel Gomes de Andrade</t>
        </is>
      </c>
      <c r="C1011" t="inlineStr">
        <is>
          <t>Técnico I</t>
        </is>
      </c>
      <c r="D1011" t="n">
        <v>5</v>
      </c>
      <c r="E1011" t="n">
        <v>5</v>
      </c>
      <c r="F1011" t="n">
        <v>30.56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22</v>
      </c>
      <c r="N1011" t="n">
        <v>96.67</v>
      </c>
      <c r="O1011" t="n">
        <v>31.45161290322581</v>
      </c>
    </row>
    <row r="1012" hidden="1">
      <c r="A1012" s="11" t="n">
        <v>46031</v>
      </c>
      <c r="B1012" t="inlineStr">
        <is>
          <t>Isabella Borges de Oliveira</t>
        </is>
      </c>
      <c r="C1012" t="inlineStr">
        <is>
          <t>Técnico II</t>
        </is>
      </c>
      <c r="D1012" t="n">
        <v>29</v>
      </c>
      <c r="E1012" t="n">
        <v>26</v>
      </c>
      <c r="F1012" t="n">
        <v>15.04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t="n">
        <v>23</v>
      </c>
      <c r="N1012" t="n">
        <v>100</v>
      </c>
      <c r="O1012" t="n">
        <v>27.67676767676768</v>
      </c>
    </row>
    <row r="1013" hidden="1">
      <c r="A1013" s="11" t="n">
        <v>46031</v>
      </c>
      <c r="B1013" t="inlineStr">
        <is>
          <t>Janaina Lima dos Reis Urany</t>
        </is>
      </c>
      <c r="C1013" t="inlineStr">
        <is>
          <t>Técnico III</t>
        </is>
      </c>
      <c r="D1013" t="n">
        <v>29</v>
      </c>
      <c r="E1013" t="n">
        <v>27</v>
      </c>
      <c r="F1013" t="n">
        <v>17.24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28</v>
      </c>
      <c r="N1013" t="n">
        <v>100</v>
      </c>
      <c r="O1013" t="n">
        <v>31.17723156532988</v>
      </c>
    </row>
    <row r="1014" hidden="1">
      <c r="A1014" s="11" t="n">
        <v>46031</v>
      </c>
      <c r="B1014" t="inlineStr">
        <is>
          <t>Jaqueline Evangelista da Silva Martins</t>
        </is>
      </c>
      <c r="C1014" t="inlineStr">
        <is>
          <t>Técnico III</t>
        </is>
      </c>
      <c r="D1014" t="n">
        <v>22</v>
      </c>
      <c r="E1014" t="n">
        <v>21</v>
      </c>
      <c r="F1014" t="n">
        <v>12.38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21</v>
      </c>
      <c r="N1014" t="n">
        <v>100</v>
      </c>
      <c r="O1014" t="n">
        <v>27.60942760942761</v>
      </c>
    </row>
    <row r="1015" hidden="1">
      <c r="A1015" s="11" t="n">
        <v>46031</v>
      </c>
      <c r="B1015" t="inlineStr">
        <is>
          <t>Jessica Faria da Silveira</t>
        </is>
      </c>
      <c r="C1015" t="inlineStr">
        <is>
          <t>Técnico II</t>
        </is>
      </c>
      <c r="D1015" t="n">
        <v>25</v>
      </c>
      <c r="E1015" t="n">
        <v>19</v>
      </c>
      <c r="F1015" t="n">
        <v>17.03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19</v>
      </c>
      <c r="N1015" t="n">
        <v>96.40000000000001</v>
      </c>
      <c r="O1015" t="n">
        <v>28.76404494382023</v>
      </c>
    </row>
    <row r="1016" hidden="1">
      <c r="A1016" s="11" t="n">
        <v>46031</v>
      </c>
      <c r="B1016" t="inlineStr">
        <is>
          <t>Jéssica Fé Moura</t>
        </is>
      </c>
      <c r="C1016" t="inlineStr">
        <is>
          <t>Técnico III</t>
        </is>
      </c>
      <c r="D1016" t="n">
        <v>0</v>
      </c>
      <c r="E1016" t="n">
        <v>0</v>
      </c>
      <c r="F1016" t="n">
        <v>0</v>
      </c>
      <c r="G1016" t="n">
        <v>0</v>
      </c>
      <c r="H1016" t="n">
        <v>0</v>
      </c>
      <c r="I1016" s="3" t="n">
        <v>0</v>
      </c>
      <c r="J1016" s="3" t="n">
        <v>0</v>
      </c>
      <c r="K1016" s="3" t="n">
        <v>0</v>
      </c>
      <c r="L1016" s="3">
        <f>IF(K1016&lt;-5,"CRÍTICO",IF(K1016&lt;0,"ATENÇÃO",IF(K1016&lt;=5,"BOM","EXCELENTE")))</f>
        <v/>
      </c>
      <c r="M1016" t="n">
        <v>15</v>
      </c>
      <c r="N1016" t="n">
        <v>100</v>
      </c>
      <c r="O1016" t="n">
        <v>33.98058252427185</v>
      </c>
    </row>
    <row r="1017" hidden="1">
      <c r="A1017" s="11" t="n">
        <v>46031</v>
      </c>
      <c r="B1017" t="inlineStr">
        <is>
          <t>Karina Gonçalves Martins</t>
        </is>
      </c>
      <c r="C1017" t="inlineStr">
        <is>
          <t>JR</t>
        </is>
      </c>
      <c r="D1017" t="n">
        <v>8</v>
      </c>
      <c r="E1017" t="n">
        <v>8</v>
      </c>
      <c r="F1017" t="n">
        <v>26.49</v>
      </c>
      <c r="G1017" t="n">
        <v>0</v>
      </c>
      <c r="H1017" t="n">
        <v>0</v>
      </c>
      <c r="I1017" s="3">
        <f>E1017+G1017+H1017</f>
        <v/>
      </c>
      <c r="J1017" s="3">
        <f>ROUND(MIN(IF(C1017="Técnico III",35,IF(C1017="Técnico II",28,IF(C1017="Técnico I",23,IF(C1017="JR",20,IF(C1017="Estágio",10,0))))),IF(C1017="Técnico III",SUMIFS($D:$D,$A:$A,$A1017,$B:$B,"&lt;&gt;Patrícia Karla de Sousa Araújo",$B:$B,"&lt;&gt;Lorena Dias de Araujo",$B:$B,"&lt;&gt;Lucas Luiz Romero")*(35/1083),IF(C1017="Técnico II",SUMIFS($D:$D,$A:$A,$A1017,$B:$B,"&lt;&gt;Patrícia Karla de Sousa Araújo",$B:$B,"&lt;&gt;Lorena Dias de Araujo",$B:$B,"&lt;&gt;Lucas Luiz Romero")*(28/1083),IF(C1017="Técnico I",SUMIFS($D:$D,$A:$A,$A1017,$B:$B,"&lt;&gt;Patrícia Karla de Sousa Araújo",$B:$B,"&lt;&gt;Lorena Dias de Araujo",$B:$B,"&lt;&gt;Lucas Luiz Romero")*(23/1083),IF(C1017="JR",SUMIFS($D:$D,$A:$A,$A1017,$B:$B,"&lt;&gt;Patrícia Karla de Sousa Araújo",$B:$B,"&lt;&gt;Lorena Dias de Araujo",$B:$B,"&lt;&gt;Lucas Luiz Romero")*(20/1083),IF(C1017="Estágio",SUMIFS($D:$D,$A:$A,$A1017,$B:$B,"&lt;&gt;Patrícia Karla de Sousa Araújo",$B:$B,"&lt;&gt;Lorena Dias de Araujo",$B:$B,"&lt;&gt;Lucas Luiz Romero")*(10/1083),0)))))),0)</f>
        <v/>
      </c>
      <c r="K1017" s="3">
        <f>I1017-J1017</f>
        <v/>
      </c>
      <c r="L1017" s="3">
        <f>IF(K1017&lt;-5,"CRÍTICO",IF(K1017&lt;0,"ATENÇÃO",IF(K1017&lt;=5,"BOM","EXCELENTE")))</f>
        <v/>
      </c>
      <c r="M1017" t="n">
        <v>8</v>
      </c>
      <c r="N1017" t="n">
        <v>97.56</v>
      </c>
      <c r="O1017" t="n">
        <v>32.51533742331289</v>
      </c>
    </row>
    <row r="1018" hidden="1">
      <c r="A1018" s="11" t="n">
        <v>46031</v>
      </c>
      <c r="B1018" t="inlineStr">
        <is>
          <t>Kerollen Cristielly de Jesus Siqueira</t>
        </is>
      </c>
      <c r="C1018" t="inlineStr">
        <is>
          <t>Técnico III</t>
        </is>
      </c>
      <c r="D1018" t="n">
        <v>21</v>
      </c>
      <c r="E1018" t="n">
        <v>19</v>
      </c>
      <c r="F1018" t="n">
        <v>15.59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18</v>
      </c>
      <c r="N1018" t="n">
        <v>97.11</v>
      </c>
      <c r="O1018" t="n">
        <v>37.40831295843521</v>
      </c>
    </row>
    <row r="1019" hidden="1">
      <c r="A1019" s="11" t="n">
        <v>46031</v>
      </c>
      <c r="B1019" t="inlineStr">
        <is>
          <t>Leandro de Souza Silva</t>
        </is>
      </c>
      <c r="C1019" t="inlineStr">
        <is>
          <t>JR</t>
        </is>
      </c>
      <c r="D1019" t="n">
        <v>0</v>
      </c>
      <c r="E1019" t="n">
        <v>0</v>
      </c>
      <c r="F1019" t="n">
        <v>0</v>
      </c>
      <c r="G1019" t="n">
        <v>0</v>
      </c>
      <c r="H1019" t="n">
        <v>0</v>
      </c>
      <c r="I1019" s="3" t="n">
        <v>0</v>
      </c>
      <c r="J1019" s="3" t="n">
        <v>0</v>
      </c>
      <c r="K1019" s="3" t="n">
        <v>0</v>
      </c>
      <c r="L1019" s="3">
        <f>IF(K1019&lt;-5,"CRÍTICO",IF(K1019&lt;0,"ATENÇÃO",IF(K1019&lt;=5,"BOM","EXCELENTE")))</f>
        <v/>
      </c>
      <c r="M1019" t="n">
        <v>0</v>
      </c>
      <c r="N1019" t="n">
        <v>0</v>
      </c>
      <c r="O1019" t="n">
        <v>0</v>
      </c>
    </row>
    <row r="1020" hidden="1">
      <c r="A1020" s="11" t="n">
        <v>46031</v>
      </c>
      <c r="B1020" t="inlineStr">
        <is>
          <t>Leandro Oliveira de Sousa</t>
        </is>
      </c>
      <c r="C1020" t="inlineStr">
        <is>
          <t>Técnico III</t>
        </is>
      </c>
      <c r="D1020" t="n">
        <v>28</v>
      </c>
      <c r="E1020" t="n">
        <v>24</v>
      </c>
      <c r="F1020" t="n">
        <v>15.43</v>
      </c>
      <c r="G1020" t="n">
        <v>0</v>
      </c>
      <c r="H1020" t="n">
        <v>0</v>
      </c>
      <c r="I1020" s="3">
        <f>E1020+G1020+H1020</f>
        <v/>
      </c>
      <c r="J1020" s="3">
        <f>ROUND(MIN(IF(C1020="Técnico III",35,IF(C1020="Técnico II",28,IF(C1020="Técnico I",23,IF(C1020="JR",20,IF(C1020="Estágio",10,0))))),IF(C1020="Técnico III",SUMIFS($D:$D,$A:$A,$A1020,$B:$B,"&lt;&gt;Patrícia Karla de Sousa Araújo",$B:$B,"&lt;&gt;Lorena Dias de Araujo",$B:$B,"&lt;&gt;Lucas Luiz Romero")*(35/1083),IF(C1020="Técnico II",SUMIFS($D:$D,$A:$A,$A1020,$B:$B,"&lt;&gt;Patrícia Karla de Sousa Araújo",$B:$B,"&lt;&gt;Lorena Dias de Araujo",$B:$B,"&lt;&gt;Lucas Luiz Romero")*(28/1083),IF(C1020="Técnico I",SUMIFS($D:$D,$A:$A,$A1020,$B:$B,"&lt;&gt;Patrícia Karla de Sousa Araújo",$B:$B,"&lt;&gt;Lorena Dias de Araujo",$B:$B,"&lt;&gt;Lucas Luiz Romero")*(23/1083),IF(C1020="JR",SUMIFS($D:$D,$A:$A,$A1020,$B:$B,"&lt;&gt;Patrícia Karla de Sousa Araújo",$B:$B,"&lt;&gt;Lorena Dias de Araujo",$B:$B,"&lt;&gt;Lucas Luiz Romero")*(20/1083),IF(C1020="Estágio",SUMIFS($D:$D,$A:$A,$A1020,$B:$B,"&lt;&gt;Patrícia Karla de Sousa Araújo",$B:$B,"&lt;&gt;Lorena Dias de Araujo",$B:$B,"&lt;&gt;Lucas Luiz Romero")*(10/1083),0)))))),0)</f>
        <v/>
      </c>
      <c r="K1020" s="3">
        <f>I1020-J1020</f>
        <v/>
      </c>
      <c r="L1020" s="3">
        <f>IF(K1020&lt;-5,"CRÍTICO",IF(K1020&lt;0,"ATENÇÃO",IF(K1020&lt;=5,"BOM","EXCELENTE")))</f>
        <v/>
      </c>
      <c r="M1020" t="n">
        <v>26</v>
      </c>
      <c r="N1020" t="n">
        <v>100</v>
      </c>
      <c r="O1020" t="n">
        <v>30.47034764826176</v>
      </c>
    </row>
    <row r="1021" hidden="1">
      <c r="A1021" s="11" t="n">
        <v>46031</v>
      </c>
      <c r="B1021" t="inlineStr">
        <is>
          <t>Lizandra Gomes Duarte</t>
        </is>
      </c>
      <c r="C1021" t="inlineStr">
        <is>
          <t>Técnico II</t>
        </is>
      </c>
      <c r="D1021" t="n">
        <v>30</v>
      </c>
      <c r="E1021" t="n">
        <v>28</v>
      </c>
      <c r="F1021" t="n">
        <v>18.45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24</v>
      </c>
      <c r="N1021" t="n">
        <v>100</v>
      </c>
      <c r="O1021" t="n">
        <v>32.37113402061856</v>
      </c>
    </row>
    <row r="1022" hidden="1">
      <c r="A1022" s="11" t="n">
        <v>46031</v>
      </c>
      <c r="B1022" t="inlineStr">
        <is>
          <t>Lorena Dias de Araujo</t>
        </is>
      </c>
      <c r="C1022" t="inlineStr">
        <is>
          <t>Técnico II</t>
        </is>
      </c>
      <c r="D1022" t="n">
        <v>21</v>
      </c>
      <c r="E1022" t="n">
        <v>17</v>
      </c>
      <c r="F1022" t="n">
        <v>17.12</v>
      </c>
      <c r="G1022" t="n">
        <v>0</v>
      </c>
      <c r="H1022" t="n">
        <v>0</v>
      </c>
      <c r="I1022" s="3" t="n">
        <v>0</v>
      </c>
      <c r="J1022" s="3" t="n">
        <v>0</v>
      </c>
      <c r="K1022" s="3" t="n">
        <v>0</v>
      </c>
      <c r="L1022" s="3">
        <f>IF(K1022&lt;-5,"CRÍTICO",IF(K1022&lt;0,"ATENÇÃO",IF(K1022&lt;=5,"BOM","EXCELENTE")))</f>
        <v/>
      </c>
      <c r="M1022" t="n">
        <v>16</v>
      </c>
      <c r="N1022" t="n">
        <v>98.31999999999999</v>
      </c>
      <c r="O1022" t="n">
        <v>32.31850117096019</v>
      </c>
    </row>
    <row r="1023" hidden="1">
      <c r="A1023" s="11" t="n">
        <v>46031</v>
      </c>
      <c r="B1023" t="inlineStr">
        <is>
          <t>Lucas Luiz Romero</t>
        </is>
      </c>
      <c r="C1023" t="inlineStr">
        <is>
          <t>Técnico III</t>
        </is>
      </c>
      <c r="D1023" t="n">
        <v>44</v>
      </c>
      <c r="E1023" t="n">
        <v>34</v>
      </c>
      <c r="F1023" t="n">
        <v>12.04</v>
      </c>
      <c r="G1023" t="n">
        <v>0</v>
      </c>
      <c r="H1023" t="n">
        <v>0</v>
      </c>
      <c r="I1023" s="3">
        <f>E1023+G1023+H1023</f>
        <v/>
      </c>
      <c r="J1023" s="3">
        <f>ROUND(MIN(IF(C1023="Técnico III",35,IF(C1023="Técnico II",28,IF(C1023="Técnico I",23,IF(C1023="JR",20,IF(C1023="Estágio",10,0))))),IF(C1023="Técnico III",SUMIFS($D:$D,$A:$A,$A1023,$B:$B,"&lt;&gt;Patrícia Karla de Sousa Araújo",$B:$B,"&lt;&gt;Lorena Dias de Araujo",$B:$B,"&lt;&gt;Lucas Luiz Romero")*(35/1083),IF(C1023="Técnico II",SUMIFS($D:$D,$A:$A,$A1023,$B:$B,"&lt;&gt;Patrícia Karla de Sousa Araújo",$B:$B,"&lt;&gt;Lorena Dias de Araujo",$B:$B,"&lt;&gt;Lucas Luiz Romero")*(28/1083),IF(C1023="Técnico I",SUMIFS($D:$D,$A:$A,$A1023,$B:$B,"&lt;&gt;Patrícia Karla de Sousa Araújo",$B:$B,"&lt;&gt;Lorena Dias de Araujo",$B:$B,"&lt;&gt;Lucas Luiz Romero")*(23/1083),IF(C1023="JR",SUMIFS($D:$D,$A:$A,$A1023,$B:$B,"&lt;&gt;Patrícia Karla de Sousa Araújo",$B:$B,"&lt;&gt;Lorena Dias de Araujo",$B:$B,"&lt;&gt;Lucas Luiz Romero")*(20/1083),IF(C1023="Estágio",SUMIFS($D:$D,$A:$A,$A1023,$B:$B,"&lt;&gt;Patrícia Karla de Sousa Araújo",$B:$B,"&lt;&gt;Lorena Dias de Araujo",$B:$B,"&lt;&gt;Lucas Luiz Romero")*(10/1083),0)))))),0)</f>
        <v/>
      </c>
      <c r="K1023" s="3">
        <f>I1023-J1023</f>
        <v/>
      </c>
      <c r="L1023" s="3">
        <f>IF(K1023&lt;-5,"CRÍTICO",IF(K1023&lt;0,"ATENÇÃO",IF(K1023&lt;=5,"BOM","EXCELENTE")))</f>
        <v/>
      </c>
      <c r="M1023" t="n">
        <v>29</v>
      </c>
      <c r="N1023" t="n">
        <v>96.43000000000001</v>
      </c>
      <c r="O1023" t="n">
        <v>27.01525054466231</v>
      </c>
    </row>
    <row r="1024" hidden="1">
      <c r="A1024" s="11" t="n">
        <v>46031</v>
      </c>
      <c r="B1024" t="inlineStr">
        <is>
          <t>Luiz Fernando de Carvalho Junior</t>
        </is>
      </c>
      <c r="C1024" t="inlineStr">
        <is>
          <t>Técnico I</t>
        </is>
      </c>
      <c r="D1024" t="n">
        <v>14</v>
      </c>
      <c r="E1024" t="n">
        <v>14</v>
      </c>
      <c r="F1024" t="n">
        <v>30.13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12</v>
      </c>
      <c r="N1024" t="n">
        <v>98.89</v>
      </c>
      <c r="O1024" t="n">
        <v>28.02197802197802</v>
      </c>
    </row>
    <row r="1025" hidden="1">
      <c r="A1025" s="11" t="n">
        <v>46031</v>
      </c>
      <c r="B1025" t="inlineStr">
        <is>
          <t>Maria Eduarda Sousa Costa</t>
        </is>
      </c>
      <c r="C1025" t="inlineStr">
        <is>
          <t>Estágio</t>
        </is>
      </c>
      <c r="D1025" t="n">
        <v>12</v>
      </c>
      <c r="E1025" t="n">
        <v>10</v>
      </c>
      <c r="F1025" t="n">
        <v>21.46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8</v>
      </c>
      <c r="N1025" t="n">
        <v>100</v>
      </c>
      <c r="O1025" t="n">
        <v>33.33333333333333</v>
      </c>
    </row>
    <row r="1026" hidden="1">
      <c r="A1026" s="11" t="n">
        <v>46031</v>
      </c>
      <c r="B1026" t="inlineStr">
        <is>
          <t>Matheus Farias De Souza</t>
        </is>
      </c>
      <c r="C1026" t="inlineStr">
        <is>
          <t>Técnico III</t>
        </is>
      </c>
      <c r="D1026" t="n">
        <v>0</v>
      </c>
      <c r="E1026" t="n">
        <v>0</v>
      </c>
      <c r="F1026" t="n">
        <v>0</v>
      </c>
      <c r="G1026" t="n">
        <v>0</v>
      </c>
      <c r="H1026" t="n">
        <v>0</v>
      </c>
      <c r="I1026" s="3" t="n">
        <v>0</v>
      </c>
      <c r="J1026" s="3" t="n">
        <v>0</v>
      </c>
      <c r="K1026" s="3" t="n">
        <v>0</v>
      </c>
      <c r="L1026" s="3">
        <f>IF(K1026&lt;-5,"CRÍTICO",IF(K1026&lt;0,"ATENÇÃO",IF(K1026&lt;=5,"BOM","EXCELENTE")))</f>
        <v/>
      </c>
      <c r="M1026" t="n">
        <v>0</v>
      </c>
      <c r="N1026" t="n">
        <v>100</v>
      </c>
      <c r="O1026" t="n">
        <v>27.43362831858407</v>
      </c>
    </row>
    <row r="1027" hidden="1">
      <c r="A1027" s="11" t="n">
        <v>46031</v>
      </c>
      <c r="B1027" t="inlineStr">
        <is>
          <t>Maysa Victoria Dias Moura</t>
        </is>
      </c>
      <c r="C1027" t="inlineStr">
        <is>
          <t>Técnico III</t>
        </is>
      </c>
      <c r="D1027" t="n">
        <v>37</v>
      </c>
      <c r="E1027" t="n">
        <v>29</v>
      </c>
      <c r="F1027" t="n">
        <v>8.359999999999999</v>
      </c>
      <c r="G1027" t="n">
        <v>0</v>
      </c>
      <c r="H1027" t="n">
        <v>0</v>
      </c>
      <c r="I1027" s="3">
        <f>E1027+G1027+H1027</f>
        <v/>
      </c>
      <c r="J1027" s="3">
        <f>ROUND(MIN(IF(C1027="Técnico III",35,IF(C1027="Técnico II",28,IF(C1027="Técnico I",23,IF(C1027="JR",20,IF(C1027="Estágio",10,0))))),IF(C1027="Técnico III",SUMIFS($D:$D,$A:$A,$A1027,$B:$B,"&lt;&gt;Patrícia Karla de Sousa Araújo",$B:$B,"&lt;&gt;Lorena Dias de Araujo",$B:$B,"&lt;&gt;Lucas Luiz Romero")*(35/1083),IF(C1027="Técnico II",SUMIFS($D:$D,$A:$A,$A1027,$B:$B,"&lt;&gt;Patrícia Karla de Sousa Araújo",$B:$B,"&lt;&gt;Lorena Dias de Araujo",$B:$B,"&lt;&gt;Lucas Luiz Romero")*(28/1083),IF(C1027="Técnico I",SUMIFS($D:$D,$A:$A,$A1027,$B:$B,"&lt;&gt;Patrícia Karla de Sousa Araújo",$B:$B,"&lt;&gt;Lorena Dias de Araujo",$B:$B,"&lt;&gt;Lucas Luiz Romero")*(23/1083),IF(C1027="JR",SUMIFS($D:$D,$A:$A,$A1027,$B:$B,"&lt;&gt;Patrícia Karla de Sousa Araújo",$B:$B,"&lt;&gt;Lorena Dias de Araujo",$B:$B,"&lt;&gt;Lucas Luiz Romero")*(20/1083),IF(C1027="Estágio",SUMIFS($D:$D,$A:$A,$A1027,$B:$B,"&lt;&gt;Patrícia Karla de Sousa Araújo",$B:$B,"&lt;&gt;Lorena Dias de Araujo",$B:$B,"&lt;&gt;Lucas Luiz Romero")*(10/1083),0)))))),0)</f>
        <v/>
      </c>
      <c r="K1027" s="3">
        <f>I1027-J1027</f>
        <v/>
      </c>
      <c r="L1027" s="3">
        <f>IF(K1027&lt;-5,"CRÍTICO",IF(K1027&lt;0,"ATENÇÃO",IF(K1027&lt;=5,"BOM","EXCELENTE")))</f>
        <v/>
      </c>
      <c r="M1027" t="n">
        <v>24</v>
      </c>
      <c r="N1027" t="n">
        <v>98.65000000000001</v>
      </c>
      <c r="O1027" t="n">
        <v>30.97826086956522</v>
      </c>
    </row>
    <row r="1028" hidden="1">
      <c r="A1028" s="11" t="n">
        <v>46031</v>
      </c>
      <c r="B1028" t="inlineStr">
        <is>
          <t>Michelle G Santos</t>
        </is>
      </c>
      <c r="C1028" t="inlineStr">
        <is>
          <t>Estágio</t>
        </is>
      </c>
      <c r="D1028" t="n">
        <v>0</v>
      </c>
      <c r="E1028" t="n">
        <v>0</v>
      </c>
      <c r="F1028" t="n">
        <v>0</v>
      </c>
      <c r="G1028" t="n">
        <v>0</v>
      </c>
      <c r="H1028" t="n">
        <v>0</v>
      </c>
      <c r="I1028" s="3" t="n">
        <v>0</v>
      </c>
      <c r="J1028" s="3" t="n">
        <v>0</v>
      </c>
      <c r="K1028" s="3" t="n">
        <v>0</v>
      </c>
      <c r="L1028" s="3">
        <f>IF(K1028&lt;-5,"CRÍTICO",IF(K1028&lt;0,"ATENÇÃO",IF(K1028&lt;=5,"BOM","EXCELENTE")))</f>
        <v/>
      </c>
      <c r="M1028" t="n">
        <v>0</v>
      </c>
      <c r="N1028" t="n">
        <v>100</v>
      </c>
      <c r="O1028" t="n">
        <v>12</v>
      </c>
    </row>
    <row r="1029" hidden="1">
      <c r="A1029" s="11" t="n">
        <v>46031</v>
      </c>
      <c r="B1029" t="inlineStr">
        <is>
          <t>Milena Sales</t>
        </is>
      </c>
      <c r="C1029" t="inlineStr">
        <is>
          <t>JR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Patrícia Karla de Sousa Araújo</t>
        </is>
      </c>
      <c r="C1030" t="inlineStr">
        <is>
          <t>Técnico II</t>
        </is>
      </c>
      <c r="D1030" t="n">
        <v>24</v>
      </c>
      <c r="E1030" t="n">
        <v>20</v>
      </c>
      <c r="F1030" t="n">
        <v>12.24</v>
      </c>
      <c r="G1030" t="n">
        <v>0</v>
      </c>
      <c r="H1030" t="n">
        <v>0</v>
      </c>
      <c r="I1030" s="3">
        <f>E1030+G1030+H1030</f>
        <v/>
      </c>
      <c r="J1030" s="3">
        <f>ROUND(MIN(IF(C1030="Técnico III",35,IF(C1030="Técnico II",28,IF(C1030="Técnico I",23,IF(C1030="JR",20,IF(C1030="Estágio",10,0))))),IF(C1030="Técnico III",SUMIFS($D:$D,$A:$A,$A1030,$B:$B,"&lt;&gt;Patrícia Karla de Sousa Araújo",$B:$B,"&lt;&gt;Lorena Dias de Araujo",$B:$B,"&lt;&gt;Lucas Luiz Romero")*(35/1083),IF(C1030="Técnico II",SUMIFS($D:$D,$A:$A,$A1030,$B:$B,"&lt;&gt;Patrícia Karla de Sousa Araújo",$B:$B,"&lt;&gt;Lorena Dias de Araujo",$B:$B,"&lt;&gt;Lucas Luiz Romero")*(28/1083),IF(C1030="Técnico I",SUMIFS($D:$D,$A:$A,$A1030,$B:$B,"&lt;&gt;Patrícia Karla de Sousa Araújo",$B:$B,"&lt;&gt;Lorena Dias de Araujo",$B:$B,"&lt;&gt;Lucas Luiz Romero")*(23/1083),IF(C1030="JR",SUMIFS($D:$D,$A:$A,$A1030,$B:$B,"&lt;&gt;Patrícia Karla de Sousa Araújo",$B:$B,"&lt;&gt;Lorena Dias de Araujo",$B:$B,"&lt;&gt;Lucas Luiz Romero")*(20/1083),IF(C1030="Estágio",SUMIFS($D:$D,$A:$A,$A1030,$B:$B,"&lt;&gt;Patrícia Karla de Sousa Araújo",$B:$B,"&lt;&gt;Lorena Dias de Araujo",$B:$B,"&lt;&gt;Lucas Luiz Romero")*(10/1083),0)))))),0)</f>
        <v/>
      </c>
      <c r="K1030" s="3">
        <f>I1030-J1030</f>
        <v/>
      </c>
      <c r="L1030" s="3">
        <f>IF(K1030&lt;-5,"CRÍTICO",IF(K1030&lt;0,"ATENÇÃO",IF(K1030&lt;=5,"BOM","EXCELENTE")))</f>
        <v/>
      </c>
      <c r="M1030" t="n">
        <v>15</v>
      </c>
      <c r="N1030" t="n">
        <v>97.56</v>
      </c>
      <c r="O1030" t="n">
        <v>31.06796116504854</v>
      </c>
    </row>
    <row r="1031" hidden="1">
      <c r="A1031" s="11" t="n">
        <v>46031</v>
      </c>
      <c r="B1031" t="inlineStr">
        <is>
          <t>Paulo Ricardo Santos</t>
        </is>
      </c>
      <c r="C1031" t="inlineStr">
        <is>
          <t>JR</t>
        </is>
      </c>
      <c r="D1031" t="n">
        <v>0</v>
      </c>
      <c r="E1031" t="n">
        <v>0</v>
      </c>
      <c r="F1031" t="n">
        <v>0</v>
      </c>
      <c r="G1031" t="n">
        <v>0</v>
      </c>
      <c r="H1031" t="n">
        <v>0</v>
      </c>
      <c r="I1031" s="3" t="n">
        <v>0</v>
      </c>
      <c r="J1031" s="3" t="n">
        <v>0</v>
      </c>
      <c r="K1031" s="3" t="n">
        <v>0</v>
      </c>
      <c r="L1031" s="3">
        <f>IF(K1031&lt;-5,"CRÍTICO",IF(K1031&lt;0,"ATENÇÃO",IF(K1031&lt;=5,"BOM","EXCELENTE")))</f>
        <v/>
      </c>
      <c r="M1031" t="n">
        <v>0</v>
      </c>
      <c r="N1031" t="n">
        <v>0</v>
      </c>
      <c r="O1031" t="n">
        <v>0</v>
      </c>
    </row>
    <row r="1032" hidden="1">
      <c r="A1032" s="11" t="n">
        <v>46031</v>
      </c>
      <c r="B1032" t="inlineStr">
        <is>
          <t>Pedro Luiz Mota Sousa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Quirino Diogo Leite Torres</t>
        </is>
      </c>
      <c r="C1033" t="inlineStr">
        <is>
          <t>Estágio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Raane Batista Matos</t>
        </is>
      </c>
      <c r="C1034" t="inlineStr">
        <is>
          <t>Técnico I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100</v>
      </c>
      <c r="O1034" t="n">
        <v>53.84615384615385</v>
      </c>
    </row>
    <row r="1035" hidden="1">
      <c r="A1035" s="11" t="n">
        <v>46031</v>
      </c>
      <c r="B1035" t="inlineStr">
        <is>
          <t>Rafael Gomes de Morais</t>
        </is>
      </c>
      <c r="C1035" t="inlineStr">
        <is>
          <t>Técnico III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100</v>
      </c>
      <c r="O1035" t="n">
        <v>44.05594405594406</v>
      </c>
    </row>
    <row r="1036" hidden="1">
      <c r="A1036" s="11" t="n">
        <v>46031</v>
      </c>
      <c r="B1036" t="inlineStr">
        <is>
          <t>Sara Maria Monteiro Lopes</t>
        </is>
      </c>
      <c r="C1036" t="inlineStr">
        <is>
          <t>Técnico I</t>
        </is>
      </c>
      <c r="D1036" t="n">
        <v>17</v>
      </c>
      <c r="E1036" t="n">
        <v>16</v>
      </c>
      <c r="F1036" t="n">
        <v>24.06</v>
      </c>
      <c r="G1036" t="n">
        <v>0</v>
      </c>
      <c r="H1036" t="n">
        <v>0</v>
      </c>
      <c r="I1036" s="3">
        <f>E1036+G1036+H1036</f>
        <v/>
      </c>
      <c r="J1036" s="3">
        <f>ROUND(MIN(IF(C1036="Técnico III",35,IF(C1036="Técnico II",28,IF(C1036="Técnico I",23,IF(C1036="JR",20,IF(C1036="Estágio",10,0))))),IF(C1036="Técnico III",SUMIFS($D:$D,$A:$A,$A1036,$B:$B,"&lt;&gt;Patrícia Karla de Sousa Araújo",$B:$B,"&lt;&gt;Lorena Dias de Araujo",$B:$B,"&lt;&gt;Lucas Luiz Romero")*(35/1083),IF(C1036="Técnico II",SUMIFS($D:$D,$A:$A,$A1036,$B:$B,"&lt;&gt;Patrícia Karla de Sousa Araújo",$B:$B,"&lt;&gt;Lorena Dias de Araujo",$B:$B,"&lt;&gt;Lucas Luiz Romero")*(28/1083),IF(C1036="Técnico I",SUMIFS($D:$D,$A:$A,$A1036,$B:$B,"&lt;&gt;Patrícia Karla de Sousa Araújo",$B:$B,"&lt;&gt;Lorena Dias de Araujo",$B:$B,"&lt;&gt;Lucas Luiz Romero")*(23/1083),IF(C1036="JR",SUMIFS($D:$D,$A:$A,$A1036,$B:$B,"&lt;&gt;Patrícia Karla de Sousa Araújo",$B:$B,"&lt;&gt;Lorena Dias de Araujo",$B:$B,"&lt;&gt;Lucas Luiz Romero")*(20/1083),IF(C1036="Estágio",SUMIFS($D:$D,$A:$A,$A1036,$B:$B,"&lt;&gt;Patrícia Karla de Sousa Araújo",$B:$B,"&lt;&gt;Lorena Dias de Araujo",$B:$B,"&lt;&gt;Lucas Luiz Romero")*(10/1083),0)))))),0)</f>
        <v/>
      </c>
      <c r="K1036" s="3">
        <f>I1036-J1036</f>
        <v/>
      </c>
      <c r="L1036" s="3">
        <f>IF(K1036&lt;-5,"CRÍTICO",IF(K1036&lt;0,"ATENÇÃO",IF(K1036&lt;=5,"BOM","EXCELENTE")))</f>
        <v/>
      </c>
      <c r="M1036" t="n">
        <v>16</v>
      </c>
      <c r="N1036" t="n">
        <v>100</v>
      </c>
      <c r="O1036" t="n">
        <v>31.87250996015936</v>
      </c>
    </row>
    <row r="1037" hidden="1">
      <c r="A1037" s="11" t="n">
        <v>46031</v>
      </c>
      <c r="B1037" t="inlineStr">
        <is>
          <t>Sarah Steffanie de Lima Borges</t>
        </is>
      </c>
      <c r="C1037" t="inlineStr">
        <is>
          <t>Técnico III</t>
        </is>
      </c>
      <c r="D1037" t="n">
        <v>27</v>
      </c>
      <c r="E1037" t="n">
        <v>27</v>
      </c>
      <c r="F1037" t="n">
        <v>16.42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24</v>
      </c>
      <c r="N1037" t="n">
        <v>98.41</v>
      </c>
      <c r="O1037" t="n">
        <v>29.22465208747515</v>
      </c>
    </row>
    <row r="1038" hidden="1">
      <c r="A1038" s="11" t="n">
        <v>46034</v>
      </c>
      <c r="B1038" t="inlineStr">
        <is>
          <t>Alisson de Freitas Silva</t>
        </is>
      </c>
      <c r="C1038" t="inlineStr">
        <is>
          <t>Técnico II</t>
        </is>
      </c>
      <c r="D1038" t="n">
        <v>23</v>
      </c>
      <c r="E1038" t="n">
        <v>19</v>
      </c>
      <c r="F1038" t="n">
        <v>19.11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16</v>
      </c>
      <c r="N1038" t="n">
        <v>96.81</v>
      </c>
      <c r="O1038" t="n">
        <v>27.98053527980535</v>
      </c>
    </row>
    <row r="1039" hidden="1">
      <c r="A1039" s="11" t="n">
        <v>46034</v>
      </c>
      <c r="B1039" t="inlineStr">
        <is>
          <t>Amanda Moura Ferreira</t>
        </is>
      </c>
      <c r="C1039" t="inlineStr">
        <is>
          <t>Técnico III</t>
        </is>
      </c>
      <c r="D1039" t="n">
        <v>0</v>
      </c>
      <c r="E1039" t="n">
        <v>0</v>
      </c>
      <c r="F1039" t="n">
        <v>0</v>
      </c>
      <c r="G1039" t="n">
        <v>0</v>
      </c>
      <c r="H1039" t="n">
        <v>0</v>
      </c>
      <c r="I1039" s="3" t="n">
        <v>0</v>
      </c>
      <c r="J1039" s="3" t="n">
        <v>0</v>
      </c>
      <c r="K1039" s="3" t="n">
        <v>0</v>
      </c>
      <c r="L1039" s="3">
        <f>IF(K1039&lt;-5,"CRÍTICO",IF(K1039&lt;0,"ATENÇÃO",IF(K1039&lt;=5,"BOM","EXCELENTE")))</f>
        <v/>
      </c>
      <c r="M1039" t="n">
        <v>23</v>
      </c>
      <c r="N1039" t="n">
        <v>98.73</v>
      </c>
      <c r="O1039" t="n">
        <v>35.75638506876228</v>
      </c>
    </row>
    <row r="1040" hidden="1">
      <c r="A1040" s="11" t="n">
        <v>46034</v>
      </c>
      <c r="B1040" t="inlineStr">
        <is>
          <t>Ana Karollyne Souza Faria</t>
        </is>
      </c>
      <c r="C1040" t="inlineStr">
        <is>
          <t>Técnico I</t>
        </is>
      </c>
      <c r="D1040" t="n">
        <v>29</v>
      </c>
      <c r="E1040" t="n">
        <v>28</v>
      </c>
      <c r="F1040" t="n">
        <v>22.38</v>
      </c>
      <c r="G1040" t="n">
        <v>0</v>
      </c>
      <c r="H1040" t="n">
        <v>0</v>
      </c>
      <c r="I1040" s="3">
        <f>E1040+G1040+H1040</f>
        <v/>
      </c>
      <c r="J1040" s="3">
        <f>ROUND(MIN(IF(C1040="Técnico III",35,IF(C1040="Técnico II",28,IF(C1040="Técnico I",23,IF(C1040="JR",20,IF(C1040="Estágio",10,0))))),IF(C1040="Técnico III",SUMIFS($D:$D,$A:$A,$A1040,$B:$B,"&lt;&gt;Patrícia Karla de Sousa Araújo",$B:$B,"&lt;&gt;Lorena Dias de Araujo",$B:$B,"&lt;&gt;Lucas Luiz Romero")*(35/1083),IF(C1040="Técnico II",SUMIFS($D:$D,$A:$A,$A1040,$B:$B,"&lt;&gt;Patrícia Karla de Sousa Araújo",$B:$B,"&lt;&gt;Lorena Dias de Araujo",$B:$B,"&lt;&gt;Lucas Luiz Romero")*(28/1083),IF(C1040="Técnico I",SUMIFS($D:$D,$A:$A,$A1040,$B:$B,"&lt;&gt;Patrícia Karla de Sousa Araújo",$B:$B,"&lt;&gt;Lorena Dias de Araujo",$B:$B,"&lt;&gt;Lucas Luiz Romero")*(23/1083),IF(C1040="JR",SUMIFS($D:$D,$A:$A,$A1040,$B:$B,"&lt;&gt;Patrícia Karla de Sousa Araújo",$B:$B,"&lt;&gt;Lorena Dias de Araujo",$B:$B,"&lt;&gt;Lucas Luiz Romero")*(20/1083),IF(C1040="Estágio",SUMIFS($D:$D,$A:$A,$A1040,$B:$B,"&lt;&gt;Patrícia Karla de Sousa Araújo",$B:$B,"&lt;&gt;Lorena Dias de Araujo",$B:$B,"&lt;&gt;Lucas Luiz Romero")*(10/1083),0)))))),0)</f>
        <v/>
      </c>
      <c r="K1040" s="3">
        <f>I1040-J1040</f>
        <v/>
      </c>
      <c r="L1040" s="3">
        <f>IF(K1040&lt;-5,"CRÍTICO",IF(K1040&lt;0,"ATENÇÃO",IF(K1040&lt;=5,"BOM","EXCELENTE")))</f>
        <v/>
      </c>
      <c r="M1040" t="n">
        <v>20</v>
      </c>
      <c r="N1040" t="n">
        <v>98.31999999999999</v>
      </c>
      <c r="O1040" t="n">
        <v>26.76348547717842</v>
      </c>
    </row>
    <row r="1041" hidden="1">
      <c r="A1041" s="11" t="n">
        <v>46034</v>
      </c>
      <c r="B1041" t="inlineStr">
        <is>
          <t>Ana Paula Da Luz Silva Aleixo</t>
        </is>
      </c>
      <c r="C1041" t="inlineStr">
        <is>
          <t>Técnico III</t>
        </is>
      </c>
      <c r="D1041" t="n">
        <v>33</v>
      </c>
      <c r="E1041" t="n">
        <v>30</v>
      </c>
      <c r="F1041" t="n">
        <v>16.41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24</v>
      </c>
      <c r="N1041" t="n">
        <v>99.19</v>
      </c>
      <c r="O1041" t="n">
        <v>27.63713080168776</v>
      </c>
    </row>
    <row r="1042" hidden="1">
      <c r="A1042" s="11" t="n">
        <v>46034</v>
      </c>
      <c r="B1042" t="inlineStr">
        <is>
          <t>Anna Luiza Rezende Tavares</t>
        </is>
      </c>
      <c r="C1042" t="inlineStr">
        <is>
          <t>Estágio</t>
        </is>
      </c>
      <c r="D1042" t="n">
        <v>7</v>
      </c>
      <c r="E1042" t="n">
        <v>7</v>
      </c>
      <c r="F1042" t="n">
        <v>41.4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5</v>
      </c>
      <c r="N1042" t="n">
        <v>100</v>
      </c>
      <c r="O1042" t="n">
        <v>39.56834532374101</v>
      </c>
    </row>
    <row r="1043" hidden="1">
      <c r="A1043" s="11" t="n">
        <v>46034</v>
      </c>
      <c r="B1043" t="inlineStr">
        <is>
          <t>Brenda de Menezes Silva</t>
        </is>
      </c>
      <c r="C1043" t="inlineStr">
        <is>
          <t>Técnico II</t>
        </is>
      </c>
      <c r="D1043" t="n">
        <v>38</v>
      </c>
      <c r="E1043" t="n">
        <v>30</v>
      </c>
      <c r="F1043" t="n">
        <v>15.37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32</v>
      </c>
      <c r="N1043" t="n">
        <v>98.54000000000001</v>
      </c>
      <c r="O1043" t="n">
        <v>28.54477611940299</v>
      </c>
    </row>
    <row r="1044" hidden="1">
      <c r="A1044" s="11" t="n">
        <v>46034</v>
      </c>
      <c r="B1044" t="inlineStr">
        <is>
          <t>Carlos Mateus Cassimiro Nunes</t>
        </is>
      </c>
      <c r="C1044" t="inlineStr">
        <is>
          <t>Técnico II</t>
        </is>
      </c>
      <c r="D1044" t="n">
        <v>11</v>
      </c>
      <c r="E1044" t="n">
        <v>11</v>
      </c>
      <c r="F1044" t="n">
        <v>58.32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12</v>
      </c>
      <c r="N1044" t="n">
        <v>100</v>
      </c>
      <c r="O1044" t="n">
        <v>34.36692506459949</v>
      </c>
    </row>
    <row r="1045" hidden="1">
      <c r="A1045" s="11" t="n">
        <v>46034</v>
      </c>
      <c r="B1045" t="inlineStr">
        <is>
          <t>Claudio de Sousa Velasco Filho</t>
        </is>
      </c>
      <c r="C1045" t="inlineStr">
        <is>
          <t>Estágio</t>
        </is>
      </c>
      <c r="D1045" t="n">
        <v>0</v>
      </c>
      <c r="E1045" t="n">
        <v>0</v>
      </c>
      <c r="F1045" t="n">
        <v>0</v>
      </c>
      <c r="G1045" t="n">
        <v>0</v>
      </c>
      <c r="H1045" t="n">
        <v>0</v>
      </c>
      <c r="I1045" s="3" t="n">
        <v>0</v>
      </c>
      <c r="J1045" s="3" t="n">
        <v>0</v>
      </c>
      <c r="K1045" s="3" t="n">
        <v>0</v>
      </c>
      <c r="L1045" s="3">
        <f>IF(K1045&lt;-5,"CRÍTICO",IF(K1045&lt;0,"ATENÇÃO",IF(K1045&lt;=5,"BOM","EXCELENTE")))</f>
        <v/>
      </c>
      <c r="M1045" t="n">
        <v>0</v>
      </c>
      <c r="N1045" t="n">
        <v>0</v>
      </c>
      <c r="O1045" t="n">
        <v>0</v>
      </c>
    </row>
    <row r="1046" hidden="1">
      <c r="A1046" s="11" t="n">
        <v>46034</v>
      </c>
      <c r="B1046" t="inlineStr">
        <is>
          <t>Clessiane Pereira dos Santos</t>
        </is>
      </c>
      <c r="C1046" t="inlineStr">
        <is>
          <t>Técnico I</t>
        </is>
      </c>
      <c r="D1046" t="n">
        <v>21</v>
      </c>
      <c r="E1046" t="n">
        <v>19</v>
      </c>
      <c r="F1046" t="n">
        <v>30.21</v>
      </c>
      <c r="G1046" t="n">
        <v>0</v>
      </c>
      <c r="H1046" t="n">
        <v>0</v>
      </c>
      <c r="I1046" s="3">
        <f>E1046+G1046+H1046</f>
        <v/>
      </c>
      <c r="J1046" s="3">
        <f>ROUND(MIN(IF(C1046="Técnico III",35,IF(C1046="Técnico II",28,IF(C1046="Técnico I",23,IF(C1046="JR",20,IF(C1046="Estágio",10,0))))),IF(C1046="Técnico III",SUMIFS($D:$D,$A:$A,$A1046,$B:$B,"&lt;&gt;Patrícia Karla de Sousa Araújo",$B:$B,"&lt;&gt;Lorena Dias de Araujo",$B:$B,"&lt;&gt;Lucas Luiz Romero")*(35/1083),IF(C1046="Técnico II",SUMIFS($D:$D,$A:$A,$A1046,$B:$B,"&lt;&gt;Patrícia Karla de Sousa Araújo",$B:$B,"&lt;&gt;Lorena Dias de Araujo",$B:$B,"&lt;&gt;Lucas Luiz Romero")*(28/1083),IF(C1046="Técnico I",SUMIFS($D:$D,$A:$A,$A1046,$B:$B,"&lt;&gt;Patrícia Karla de Sousa Araújo",$B:$B,"&lt;&gt;Lorena Dias de Araujo",$B:$B,"&lt;&gt;Lucas Luiz Romero")*(23/1083),IF(C1046="JR",SUMIFS($D:$D,$A:$A,$A1046,$B:$B,"&lt;&gt;Patrícia Karla de Sousa Araújo",$B:$B,"&lt;&gt;Lorena Dias de Araujo",$B:$B,"&lt;&gt;Lucas Luiz Romero")*(20/1083),IF(C1046="Estágio",SUMIFS($D:$D,$A:$A,$A1046,$B:$B,"&lt;&gt;Patrícia Karla de Sousa Araújo",$B:$B,"&lt;&gt;Lorena Dias de Araujo",$B:$B,"&lt;&gt;Lucas Luiz Romero")*(10/1083),0)))))),0)</f>
        <v/>
      </c>
      <c r="K1046" s="3">
        <f>I1046-J1046</f>
        <v/>
      </c>
      <c r="L1046" s="3">
        <f>IF(K1046&lt;-5,"CRÍTICO",IF(K1046&lt;0,"ATENÇÃO",IF(K1046&lt;=5,"BOM","EXCELENTE")))</f>
        <v/>
      </c>
      <c r="M1046" t="n">
        <v>15</v>
      </c>
      <c r="N1046" t="n">
        <v>100</v>
      </c>
      <c r="O1046" t="n">
        <v>29.51807228915663</v>
      </c>
    </row>
    <row r="1047" hidden="1">
      <c r="A1047" s="11" t="n">
        <v>46034</v>
      </c>
      <c r="B1047" t="inlineStr">
        <is>
          <t>Cristiane Ramos da Silva Rocha</t>
        </is>
      </c>
      <c r="C1047" t="inlineStr">
        <is>
          <t>Técnico III</t>
        </is>
      </c>
      <c r="D1047" t="n">
        <v>35</v>
      </c>
      <c r="E1047" t="n">
        <v>28</v>
      </c>
      <c r="F1047" t="n">
        <v>10.58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27</v>
      </c>
      <c r="N1047" t="n">
        <v>97.45</v>
      </c>
      <c r="O1047" t="n">
        <v>41.421143847487</v>
      </c>
    </row>
    <row r="1048" hidden="1">
      <c r="A1048" s="11" t="n">
        <v>46034</v>
      </c>
      <c r="B1048" t="inlineStr">
        <is>
          <t>Damyllis Lorraine de Oliveira Gonçalves</t>
        </is>
      </c>
      <c r="C1048" t="inlineStr">
        <is>
          <t>Técnico II</t>
        </is>
      </c>
      <c r="D1048" t="n">
        <v>31</v>
      </c>
      <c r="E1048" t="n">
        <v>20</v>
      </c>
      <c r="F1048" t="n">
        <v>15.46</v>
      </c>
      <c r="G1048" t="n">
        <v>0</v>
      </c>
      <c r="H1048" t="n">
        <v>0</v>
      </c>
      <c r="I1048" s="3" t="n">
        <v>0</v>
      </c>
      <c r="J1048" s="3" t="n">
        <v>0</v>
      </c>
      <c r="K1048" s="3" t="n">
        <v>0</v>
      </c>
      <c r="L1048" s="3">
        <f>IF(K1048&lt;-5,"CRÍTICO",IF(K1048&lt;0,"ATENÇÃO",IF(K1048&lt;=5,"BOM","EXCELENTE")))</f>
        <v/>
      </c>
      <c r="M1048" t="n">
        <v>21</v>
      </c>
      <c r="N1048" t="n">
        <v>96.58</v>
      </c>
      <c r="O1048" t="n">
        <v>30.39647577092511</v>
      </c>
    </row>
    <row r="1049" hidden="1">
      <c r="A1049" s="11" t="n">
        <v>46034</v>
      </c>
      <c r="B1049" t="inlineStr">
        <is>
          <t>Daniel Gomes da Silva</t>
        </is>
      </c>
      <c r="C1049" t="inlineStr">
        <is>
          <t>Técnico I</t>
        </is>
      </c>
      <c r="D1049" t="n">
        <v>32</v>
      </c>
      <c r="E1049" t="n">
        <v>32</v>
      </c>
      <c r="F1049" t="n">
        <v>16.51</v>
      </c>
      <c r="G1049" t="n">
        <v>0</v>
      </c>
      <c r="H1049" t="n">
        <v>0</v>
      </c>
      <c r="I1049" s="3">
        <f>E1049+G1049+H1049</f>
        <v/>
      </c>
      <c r="J1049" s="3">
        <f>ROUND(MIN(IF(C1049="Técnico III",35,IF(C1049="Técnico II",28,IF(C1049="Técnico I",23,IF(C1049="JR",20,IF(C1049="Estágio",10,0))))),IF(C1049="Técnico III",SUMIFS($D:$D,$A:$A,$A1049,$B:$B,"&lt;&gt;Patrícia Karla de Sousa Araújo",$B:$B,"&lt;&gt;Lorena Dias de Araujo",$B:$B,"&lt;&gt;Lucas Luiz Romero")*(35/1083),IF(C1049="Técnico II",SUMIFS($D:$D,$A:$A,$A1049,$B:$B,"&lt;&gt;Patrícia Karla de Sousa Araújo",$B:$B,"&lt;&gt;Lorena Dias de Araujo",$B:$B,"&lt;&gt;Lucas Luiz Romero")*(28/1083),IF(C1049="Técnico I",SUMIFS($D:$D,$A:$A,$A1049,$B:$B,"&lt;&gt;Patrícia Karla de Sousa Araújo",$B:$B,"&lt;&gt;Lorena Dias de Araujo",$B:$B,"&lt;&gt;Lucas Luiz Romero")*(23/1083),IF(C1049="JR",SUMIFS($D:$D,$A:$A,$A1049,$B:$B,"&lt;&gt;Patrícia Karla de Sousa Araújo",$B:$B,"&lt;&gt;Lorena Dias de Araujo",$B:$B,"&lt;&gt;Lucas Luiz Romero")*(20/1083),IF(C1049="Estágio",SUMIFS($D:$D,$A:$A,$A1049,$B:$B,"&lt;&gt;Patrícia Karla de Sousa Araújo",$B:$B,"&lt;&gt;Lorena Dias de Araujo",$B:$B,"&lt;&gt;Lucas Luiz Romero")*(10/1083),0)))))),0)</f>
        <v/>
      </c>
      <c r="K1049" s="3">
        <f>I1049-J1049</f>
        <v/>
      </c>
      <c r="L1049" s="3">
        <f>IF(K1049&lt;-5,"CRÍTICO",IF(K1049&lt;0,"ATENÇÃO",IF(K1049&lt;=5,"BOM","EXCELENTE")))</f>
        <v/>
      </c>
      <c r="M1049" t="n">
        <v>38</v>
      </c>
      <c r="N1049" t="n">
        <v>100</v>
      </c>
      <c r="O1049" t="n">
        <v>27.44282744282744</v>
      </c>
    </row>
    <row r="1050" hidden="1">
      <c r="A1050" s="11" t="n">
        <v>46034</v>
      </c>
      <c r="B1050" t="inlineStr">
        <is>
          <t>Davylla Rodrigues Freitas Silva</t>
        </is>
      </c>
      <c r="C1050" t="inlineStr">
        <is>
          <t>Técnico III</t>
        </is>
      </c>
      <c r="D1050" t="n">
        <v>19</v>
      </c>
      <c r="E1050" t="n">
        <v>17</v>
      </c>
      <c r="F1050" t="n">
        <v>30.09</v>
      </c>
      <c r="G1050" t="n">
        <v>0</v>
      </c>
      <c r="H1050" t="n">
        <v>0</v>
      </c>
      <c r="I1050" s="3" t="n">
        <v>0</v>
      </c>
      <c r="J1050" s="3" t="n">
        <v>0</v>
      </c>
      <c r="K1050" s="3" t="n">
        <v>0</v>
      </c>
      <c r="L1050" s="3">
        <f>IF(K1050&lt;-5,"CRÍTICO",IF(K1050&lt;0,"ATENÇÃO",IF(K1050&lt;=5,"BOM","EXCELENTE")))</f>
        <v/>
      </c>
      <c r="M1050" t="n">
        <v>18</v>
      </c>
      <c r="N1050" t="n">
        <v>99.48999999999999</v>
      </c>
      <c r="O1050" t="n">
        <v>40.2</v>
      </c>
    </row>
    <row r="1051" hidden="1">
      <c r="A1051" s="11" t="n">
        <v>46034</v>
      </c>
      <c r="B1051" t="inlineStr">
        <is>
          <t>Emilly Caylane Costa</t>
        </is>
      </c>
      <c r="C1051" t="inlineStr">
        <is>
          <t>Estágio</t>
        </is>
      </c>
      <c r="D1051" t="n">
        <v>0</v>
      </c>
      <c r="E1051" t="n">
        <v>0</v>
      </c>
      <c r="F1051" t="n">
        <v>0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0</v>
      </c>
      <c r="N1051" t="n">
        <v>100</v>
      </c>
      <c r="O1051" t="n">
        <v>25</v>
      </c>
    </row>
    <row r="1052" hidden="1">
      <c r="A1052" s="11" t="n">
        <v>46034</v>
      </c>
      <c r="B1052" t="inlineStr">
        <is>
          <t>Emilly Kamilly Medeiros Miranda</t>
        </is>
      </c>
      <c r="C1052" t="inlineStr">
        <is>
          <t>Técnico II</t>
        </is>
      </c>
      <c r="D1052" t="n">
        <v>28</v>
      </c>
      <c r="E1052" t="n">
        <v>28</v>
      </c>
      <c r="F1052" t="n">
        <v>17.05</v>
      </c>
      <c r="G1052" t="n">
        <v>0</v>
      </c>
      <c r="H1052" t="n">
        <v>0</v>
      </c>
      <c r="I1052" s="3">
        <f>E1052+G1052+H1052</f>
        <v/>
      </c>
      <c r="J1052" s="3">
        <f>ROUND(MIN(IF(C1052="Técnico III",35,IF(C1052="Técnico II",28,IF(C1052="Técnico I",23,IF(C1052="JR",20,IF(C1052="Estágio",10,0))))),IF(C1052="Técnico III",SUMIFS($D:$D,$A:$A,$A1052,$B:$B,"&lt;&gt;Patrícia Karla de Sousa Araújo",$B:$B,"&lt;&gt;Lorena Dias de Araujo",$B:$B,"&lt;&gt;Lucas Luiz Romero")*(35/1083),IF(C1052="Técnico II",SUMIFS($D:$D,$A:$A,$A1052,$B:$B,"&lt;&gt;Patrícia Karla de Sousa Araújo",$B:$B,"&lt;&gt;Lorena Dias de Araujo",$B:$B,"&lt;&gt;Lucas Luiz Romero")*(28/1083),IF(C1052="Técnico I",SUMIFS($D:$D,$A:$A,$A1052,$B:$B,"&lt;&gt;Patrícia Karla de Sousa Araújo",$B:$B,"&lt;&gt;Lorena Dias de Araujo",$B:$B,"&lt;&gt;Lucas Luiz Romero")*(23/1083),IF(C1052="JR",SUMIFS($D:$D,$A:$A,$A1052,$B:$B,"&lt;&gt;Patrícia Karla de Sousa Araújo",$B:$B,"&lt;&gt;Lorena Dias de Araujo",$B:$B,"&lt;&gt;Lucas Luiz Romero")*(20/1083),IF(C1052="Estágio",SUMIFS($D:$D,$A:$A,$A1052,$B:$B,"&lt;&gt;Patrícia Karla de Sousa Araújo",$B:$B,"&lt;&gt;Lorena Dias de Araujo",$B:$B,"&lt;&gt;Lucas Luiz Romero")*(10/1083),0)))))),0)</f>
        <v/>
      </c>
      <c r="K1052" s="3">
        <f>I1052-J1052</f>
        <v/>
      </c>
      <c r="L1052" s="3">
        <f>IF(K1052&lt;-5,"CRÍTICO",IF(K1052&lt;0,"ATENÇÃO",IF(K1052&lt;=5,"BOM","EXCELENTE")))</f>
        <v/>
      </c>
      <c r="M1052" t="n">
        <v>25</v>
      </c>
      <c r="N1052" t="n">
        <v>100</v>
      </c>
      <c r="O1052" t="n">
        <v>34.15094339622641</v>
      </c>
    </row>
    <row r="1053" hidden="1">
      <c r="A1053" s="11" t="n">
        <v>46034</v>
      </c>
      <c r="B1053" t="inlineStr">
        <is>
          <t>Francielson de Oliveira</t>
        </is>
      </c>
      <c r="C1053" t="inlineStr">
        <is>
          <t>Técnico III</t>
        </is>
      </c>
      <c r="D1053" t="n">
        <v>19</v>
      </c>
      <c r="E1053" t="n">
        <v>16</v>
      </c>
      <c r="F1053" t="n">
        <v>15.49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17</v>
      </c>
      <c r="N1053" t="n">
        <v>100</v>
      </c>
      <c r="O1053" t="n">
        <v>32.7313769751693</v>
      </c>
    </row>
    <row r="1054" hidden="1">
      <c r="A1054" s="11" t="n">
        <v>46034</v>
      </c>
      <c r="B1054" t="inlineStr">
        <is>
          <t>Francilene Ferreira de Jesus</t>
        </is>
      </c>
      <c r="C1054" t="inlineStr">
        <is>
          <t>Técnico II</t>
        </is>
      </c>
      <c r="D1054" t="n">
        <v>21</v>
      </c>
      <c r="E1054" t="n">
        <v>21</v>
      </c>
      <c r="F1054" t="n">
        <v>33.55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16</v>
      </c>
      <c r="N1054" t="n">
        <v>99.31</v>
      </c>
      <c r="O1054" t="n">
        <v>30.96234309623431</v>
      </c>
    </row>
    <row r="1055" hidden="1">
      <c r="A1055" s="11" t="n">
        <v>46066</v>
      </c>
      <c r="B1055" t="inlineStr">
        <is>
          <t>Gabriel Gomes de Andrade</t>
        </is>
      </c>
      <c r="C1055" t="inlineStr">
        <is>
          <t>Técnico I</t>
        </is>
      </c>
      <c r="D1055" t="n">
        <v>1</v>
      </c>
      <c r="E1055" t="n">
        <v>1</v>
      </c>
      <c r="F1055" t="n">
        <v>40.4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14</v>
      </c>
      <c r="N1055" t="n">
        <v>96.67</v>
      </c>
      <c r="O1055" t="n">
        <v>31.45161290322581</v>
      </c>
    </row>
    <row r="1056" hidden="1">
      <c r="A1056" s="11" t="n">
        <v>46034</v>
      </c>
      <c r="B1056" t="inlineStr">
        <is>
          <t>Isabella Borges de Oliveira</t>
        </is>
      </c>
      <c r="C1056" t="inlineStr">
        <is>
          <t>Técnico II</t>
        </is>
      </c>
      <c r="D1056" t="n">
        <v>26</v>
      </c>
      <c r="E1056" t="n">
        <v>25</v>
      </c>
      <c r="F1056" t="n">
        <v>17.17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t="n">
        <v>19</v>
      </c>
      <c r="N1056" t="n">
        <v>100</v>
      </c>
      <c r="O1056" t="n">
        <v>27.67676767676768</v>
      </c>
    </row>
    <row r="1057" hidden="1">
      <c r="A1057" s="11" t="n">
        <v>46034</v>
      </c>
      <c r="B1057" t="inlineStr">
        <is>
          <t>Janaina Lima dos Reis Urany</t>
        </is>
      </c>
      <c r="C1057" t="inlineStr">
        <is>
          <t>Técnico III</t>
        </is>
      </c>
      <c r="D1057" t="n">
        <v>37</v>
      </c>
      <c r="E1057" t="n">
        <v>34</v>
      </c>
      <c r="F1057" t="n">
        <v>17.27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33</v>
      </c>
      <c r="N1057" t="n">
        <v>100</v>
      </c>
      <c r="O1057" t="n">
        <v>31.17723156532988</v>
      </c>
    </row>
    <row r="1058" hidden="1">
      <c r="A1058" s="11" t="n">
        <v>46034</v>
      </c>
      <c r="B1058" t="inlineStr">
        <is>
          <t>Jaqueline Evangelista da Silva Martins</t>
        </is>
      </c>
      <c r="C1058" t="inlineStr">
        <is>
          <t>Técnico III</t>
        </is>
      </c>
      <c r="D1058" t="n">
        <v>1</v>
      </c>
      <c r="E1058" t="n">
        <v>1</v>
      </c>
      <c r="F1058" t="n">
        <v>31.49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1</v>
      </c>
      <c r="N1058" t="n">
        <v>100</v>
      </c>
      <c r="O1058" t="n">
        <v>27.60942760942761</v>
      </c>
    </row>
    <row r="1059" hidden="1">
      <c r="A1059" s="11" t="n">
        <v>46034</v>
      </c>
      <c r="B1059" t="inlineStr">
        <is>
          <t>Jessica Faria da Silveira</t>
        </is>
      </c>
      <c r="C1059" t="inlineStr">
        <is>
          <t>Técnico II</t>
        </is>
      </c>
      <c r="D1059" t="n">
        <v>34</v>
      </c>
      <c r="E1059" t="n">
        <v>24</v>
      </c>
      <c r="F1059" t="n">
        <v>16.5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21</v>
      </c>
      <c r="N1059" t="n">
        <v>96.40000000000001</v>
      </c>
      <c r="O1059" t="n">
        <v>28.76404494382023</v>
      </c>
    </row>
    <row r="1060" hidden="1">
      <c r="A1060" s="11" t="n">
        <v>46034</v>
      </c>
      <c r="B1060" t="inlineStr">
        <is>
          <t>Jéssica Fé Moura</t>
        </is>
      </c>
      <c r="C1060" t="inlineStr">
        <is>
          <t>Técnico III</t>
        </is>
      </c>
      <c r="D1060" t="n">
        <v>0</v>
      </c>
      <c r="E1060" t="n">
        <v>0</v>
      </c>
      <c r="F1060" t="n">
        <v>0</v>
      </c>
      <c r="G1060" t="n">
        <v>0</v>
      </c>
      <c r="H1060" t="n">
        <v>0</v>
      </c>
      <c r="I1060" s="3" t="n">
        <v>0</v>
      </c>
      <c r="J1060" s="3" t="n">
        <v>0</v>
      </c>
      <c r="K1060" s="3" t="n">
        <v>0</v>
      </c>
      <c r="L1060" s="3">
        <f>IF(K1060&lt;-5,"CRÍTICO",IF(K1060&lt;0,"ATENÇÃO",IF(K1060&lt;=5,"BOM","EXCELENTE")))</f>
        <v/>
      </c>
      <c r="M1060" t="n">
        <v>14</v>
      </c>
      <c r="N1060" t="n">
        <v>100</v>
      </c>
      <c r="O1060" t="n">
        <v>33.98058252427185</v>
      </c>
    </row>
    <row r="1061" hidden="1">
      <c r="A1061" s="11" t="n">
        <v>46034</v>
      </c>
      <c r="B1061" t="inlineStr">
        <is>
          <t>Karina Gonçalves Martins</t>
        </is>
      </c>
      <c r="C1061" t="inlineStr">
        <is>
          <t>JR</t>
        </is>
      </c>
      <c r="D1061" t="n">
        <v>11</v>
      </c>
      <c r="E1061" t="n">
        <v>11</v>
      </c>
      <c r="F1061" t="n">
        <v>17.1</v>
      </c>
      <c r="G1061" t="n">
        <v>0</v>
      </c>
      <c r="H1061" t="n">
        <v>0</v>
      </c>
      <c r="I1061" s="3">
        <f>E1061+G1061+H1061</f>
        <v/>
      </c>
      <c r="J1061" s="3">
        <f>ROUND(MIN(IF(C1061="Técnico III",35,IF(C1061="Técnico II",28,IF(C1061="Técnico I",23,IF(C1061="JR",20,IF(C1061="Estágio",10,0))))),IF(C1061="Técnico III",SUMIFS($D:$D,$A:$A,$A1061,$B:$B,"&lt;&gt;Patrícia Karla de Sousa Araújo",$B:$B,"&lt;&gt;Lorena Dias de Araujo",$B:$B,"&lt;&gt;Lucas Luiz Romero")*(35/1083),IF(C1061="Técnico II",SUMIFS($D:$D,$A:$A,$A1061,$B:$B,"&lt;&gt;Patrícia Karla de Sousa Araújo",$B:$B,"&lt;&gt;Lorena Dias de Araujo",$B:$B,"&lt;&gt;Lucas Luiz Romero")*(28/1083),IF(C1061="Técnico I",SUMIFS($D:$D,$A:$A,$A1061,$B:$B,"&lt;&gt;Patrícia Karla de Sousa Araújo",$B:$B,"&lt;&gt;Lorena Dias de Araujo",$B:$B,"&lt;&gt;Lucas Luiz Romero")*(23/1083),IF(C1061="JR",SUMIFS($D:$D,$A:$A,$A1061,$B:$B,"&lt;&gt;Patrícia Karla de Sousa Araújo",$B:$B,"&lt;&gt;Lorena Dias de Araujo",$B:$B,"&lt;&gt;Lucas Luiz Romero")*(20/1083),IF(C1061="Estágio",SUMIFS($D:$D,$A:$A,$A1061,$B:$B,"&lt;&gt;Patrícia Karla de Sousa Araújo",$B:$B,"&lt;&gt;Lorena Dias de Araujo",$B:$B,"&lt;&gt;Lucas Luiz Romero")*(10/1083),0)))))),0)</f>
        <v/>
      </c>
      <c r="K1061" s="3">
        <f>I1061-J1061</f>
        <v/>
      </c>
      <c r="L1061" s="3">
        <f>IF(K1061&lt;-5,"CRÍTICO",IF(K1061&lt;0,"ATENÇÃO",IF(K1061&lt;=5,"BOM","EXCELENTE")))</f>
        <v/>
      </c>
      <c r="M1061" t="n">
        <v>11</v>
      </c>
      <c r="N1061" t="n">
        <v>97.56</v>
      </c>
      <c r="O1061" t="n">
        <v>32.51533742331289</v>
      </c>
    </row>
    <row r="1062" hidden="1">
      <c r="A1062" s="11" t="n">
        <v>46034</v>
      </c>
      <c r="B1062" t="inlineStr">
        <is>
          <t>Kerollen Cristielly de Jesus Siqueira</t>
        </is>
      </c>
      <c r="C1062" t="inlineStr">
        <is>
          <t>Técnico III</t>
        </is>
      </c>
      <c r="D1062" t="n">
        <v>1</v>
      </c>
      <c r="E1062" t="n">
        <v>1</v>
      </c>
      <c r="F1062" t="n">
        <v>15.48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29</v>
      </c>
      <c r="N1062" t="n">
        <v>97.11</v>
      </c>
      <c r="O1062" t="n">
        <v>37.40831295843521</v>
      </c>
    </row>
    <row r="1063" hidden="1">
      <c r="A1063" s="11" t="n">
        <v>46034</v>
      </c>
      <c r="B1063" t="inlineStr">
        <is>
          <t>Leandro de Souza Silva</t>
        </is>
      </c>
      <c r="C1063" t="inlineStr">
        <is>
          <t>JR</t>
        </is>
      </c>
      <c r="D1063" t="n">
        <v>0</v>
      </c>
      <c r="E1063" t="n">
        <v>0</v>
      </c>
      <c r="F1063" t="n">
        <v>0</v>
      </c>
      <c r="G1063" t="n">
        <v>0</v>
      </c>
      <c r="H1063" t="n">
        <v>0</v>
      </c>
      <c r="I1063" s="3" t="n">
        <v>0</v>
      </c>
      <c r="J1063" s="3" t="n">
        <v>0</v>
      </c>
      <c r="K1063" s="3" t="n">
        <v>0</v>
      </c>
      <c r="L1063" s="3">
        <f>IF(K1063&lt;-5,"CRÍTICO",IF(K1063&lt;0,"ATENÇÃO",IF(K1063&lt;=5,"BOM","EXCELENTE")))</f>
        <v/>
      </c>
      <c r="M1063" t="n">
        <v>0</v>
      </c>
      <c r="N1063" t="n">
        <v>0</v>
      </c>
      <c r="O1063" t="n">
        <v>0</v>
      </c>
    </row>
    <row r="1064" hidden="1">
      <c r="A1064" s="11" t="n">
        <v>46034</v>
      </c>
      <c r="B1064" t="inlineStr">
        <is>
          <t>Leandro Oliveira de Sousa</t>
        </is>
      </c>
      <c r="C1064" t="inlineStr">
        <is>
          <t>Técnico III</t>
        </is>
      </c>
      <c r="D1064" t="n">
        <v>29</v>
      </c>
      <c r="E1064" t="n">
        <v>26</v>
      </c>
      <c r="F1064" t="n">
        <v>13.35</v>
      </c>
      <c r="G1064" t="n">
        <v>0</v>
      </c>
      <c r="H1064" t="n">
        <v>0</v>
      </c>
      <c r="I1064" s="3">
        <f>E1064+G1064+H1064</f>
        <v/>
      </c>
      <c r="J1064" s="3">
        <f>ROUND(MIN(IF(C1064="Técnico III",35,IF(C1064="Técnico II",28,IF(C1064="Técnico I",23,IF(C1064="JR",20,IF(C1064="Estágio",10,0))))),IF(C1064="Técnico III",SUMIFS($D:$D,$A:$A,$A1064,$B:$B,"&lt;&gt;Patrícia Karla de Sousa Araújo",$B:$B,"&lt;&gt;Lorena Dias de Araujo",$B:$B,"&lt;&gt;Lucas Luiz Romero")*(35/1083),IF(C1064="Técnico II",SUMIFS($D:$D,$A:$A,$A1064,$B:$B,"&lt;&gt;Patrícia Karla de Sousa Araújo",$B:$B,"&lt;&gt;Lorena Dias de Araujo",$B:$B,"&lt;&gt;Lucas Luiz Romero")*(28/1083),IF(C1064="Técnico I",SUMIFS($D:$D,$A:$A,$A1064,$B:$B,"&lt;&gt;Patrícia Karla de Sousa Araújo",$B:$B,"&lt;&gt;Lorena Dias de Araujo",$B:$B,"&lt;&gt;Lucas Luiz Romero")*(23/1083),IF(C1064="JR",SUMIFS($D:$D,$A:$A,$A1064,$B:$B,"&lt;&gt;Patrícia Karla de Sousa Araújo",$B:$B,"&lt;&gt;Lorena Dias de Araujo",$B:$B,"&lt;&gt;Lucas Luiz Romero")*(20/1083),IF(C1064="Estágio",SUMIFS($D:$D,$A:$A,$A1064,$B:$B,"&lt;&gt;Patrícia Karla de Sousa Araújo",$B:$B,"&lt;&gt;Lorena Dias de Araujo",$B:$B,"&lt;&gt;Lucas Luiz Romero")*(10/1083),0)))))),0)</f>
        <v/>
      </c>
      <c r="K1064" s="3">
        <f>I1064-J1064</f>
        <v/>
      </c>
      <c r="L1064" s="3">
        <f>IF(K1064&lt;-5,"CRÍTICO",IF(K1064&lt;0,"ATENÇÃO",IF(K1064&lt;=5,"BOM","EXCELENTE")))</f>
        <v/>
      </c>
      <c r="M1064" t="n">
        <v>28</v>
      </c>
      <c r="N1064" t="n">
        <v>100</v>
      </c>
      <c r="O1064" t="n">
        <v>30.47034764826176</v>
      </c>
    </row>
    <row r="1065" hidden="1">
      <c r="A1065" s="11" t="n">
        <v>46034</v>
      </c>
      <c r="B1065" t="inlineStr">
        <is>
          <t>Lizandra Gomes Duarte</t>
        </is>
      </c>
      <c r="C1065" t="inlineStr">
        <is>
          <t>Técnico II</t>
        </is>
      </c>
      <c r="D1065" t="n">
        <v>26</v>
      </c>
      <c r="E1065" t="n">
        <v>25</v>
      </c>
      <c r="F1065" t="n">
        <v>20.58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22</v>
      </c>
      <c r="N1065" t="n">
        <v>100</v>
      </c>
      <c r="O1065" t="n">
        <v>32.37113402061856</v>
      </c>
    </row>
    <row r="1066" hidden="1">
      <c r="A1066" s="11" t="n">
        <v>46034</v>
      </c>
      <c r="B1066" t="inlineStr">
        <is>
          <t>Lorena Dias de Araujo</t>
        </is>
      </c>
      <c r="C1066" t="inlineStr">
        <is>
          <t>Técnico II</t>
        </is>
      </c>
      <c r="D1066" t="n">
        <v>14</v>
      </c>
      <c r="E1066" t="n">
        <v>14</v>
      </c>
      <c r="F1066" t="n">
        <v>25.14</v>
      </c>
      <c r="G1066" t="n">
        <v>0</v>
      </c>
      <c r="H1066" t="n">
        <v>0</v>
      </c>
      <c r="I1066" s="3" t="n">
        <v>0</v>
      </c>
      <c r="J1066" s="3" t="n">
        <v>0</v>
      </c>
      <c r="K1066" s="3" t="n">
        <v>0</v>
      </c>
      <c r="L1066" s="3">
        <f>IF(K1066&lt;-5,"CRÍTICO",IF(K1066&lt;0,"ATENÇÃO",IF(K1066&lt;=5,"BOM","EXCELENTE")))</f>
        <v/>
      </c>
      <c r="M1066" t="n">
        <v>14</v>
      </c>
      <c r="N1066" t="n">
        <v>98.31999999999999</v>
      </c>
      <c r="O1066" t="n">
        <v>32.31850117096019</v>
      </c>
    </row>
    <row r="1067" hidden="1">
      <c r="A1067" s="11" t="n">
        <v>46034</v>
      </c>
      <c r="B1067" t="inlineStr">
        <is>
          <t>Lucas Luiz Romero</t>
        </is>
      </c>
      <c r="C1067" t="inlineStr">
        <is>
          <t>Técnico III</t>
        </is>
      </c>
      <c r="D1067" t="n">
        <v>37</v>
      </c>
      <c r="E1067" t="n">
        <v>27</v>
      </c>
      <c r="F1067" t="n">
        <v>10.15</v>
      </c>
      <c r="G1067" t="n">
        <v>0</v>
      </c>
      <c r="H1067" t="n">
        <v>0</v>
      </c>
      <c r="I1067" s="3">
        <f>E1067+G1067+H1067</f>
        <v/>
      </c>
      <c r="J1067" s="3">
        <f>ROUND(MIN(IF(C1067="Técnico III",35,IF(C1067="Técnico II",28,IF(C1067="Técnico I",23,IF(C1067="JR",20,IF(C1067="Estágio",10,0))))),IF(C1067="Técnico III",SUMIFS($D:$D,$A:$A,$A1067,$B:$B,"&lt;&gt;Patrícia Karla de Sousa Araújo",$B:$B,"&lt;&gt;Lorena Dias de Araujo",$B:$B,"&lt;&gt;Lucas Luiz Romero")*(35/1083),IF(C1067="Técnico II",SUMIFS($D:$D,$A:$A,$A1067,$B:$B,"&lt;&gt;Patrícia Karla de Sousa Araújo",$B:$B,"&lt;&gt;Lorena Dias de Araujo",$B:$B,"&lt;&gt;Lucas Luiz Romero")*(28/1083),IF(C1067="Técnico I",SUMIFS($D:$D,$A:$A,$A1067,$B:$B,"&lt;&gt;Patrícia Karla de Sousa Araújo",$B:$B,"&lt;&gt;Lorena Dias de Araujo",$B:$B,"&lt;&gt;Lucas Luiz Romero")*(23/1083),IF(C1067="JR",SUMIFS($D:$D,$A:$A,$A1067,$B:$B,"&lt;&gt;Patrícia Karla de Sousa Araújo",$B:$B,"&lt;&gt;Lorena Dias de Araujo",$B:$B,"&lt;&gt;Lucas Luiz Romero")*(20/1083),IF(C1067="Estágio",SUMIFS($D:$D,$A:$A,$A1067,$B:$B,"&lt;&gt;Patrícia Karla de Sousa Araújo",$B:$B,"&lt;&gt;Lorena Dias de Araujo",$B:$B,"&lt;&gt;Lucas Luiz Romero")*(10/1083),0)))))),0)</f>
        <v/>
      </c>
      <c r="K1067" s="3">
        <f>I1067-J1067</f>
        <v/>
      </c>
      <c r="L1067" s="3">
        <f>IF(K1067&lt;-5,"CRÍTICO",IF(K1067&lt;0,"ATENÇÃO",IF(K1067&lt;=5,"BOM","EXCELENTE")))</f>
        <v/>
      </c>
      <c r="M1067" t="n">
        <v>25</v>
      </c>
      <c r="N1067" t="n">
        <v>96.43000000000001</v>
      </c>
      <c r="O1067" t="n">
        <v>27.01525054466231</v>
      </c>
    </row>
    <row r="1068" hidden="1">
      <c r="A1068" s="11" t="n">
        <v>46034</v>
      </c>
      <c r="B1068" t="inlineStr">
        <is>
          <t>Luiz Fernando de Carvalho Junior</t>
        </is>
      </c>
      <c r="C1068" t="inlineStr">
        <is>
          <t>Técnico I</t>
        </is>
      </c>
      <c r="D1068" t="n">
        <v>20</v>
      </c>
      <c r="E1068" t="n">
        <v>19</v>
      </c>
      <c r="F1068" t="n">
        <v>18.59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18</v>
      </c>
      <c r="N1068" t="n">
        <v>98.89</v>
      </c>
      <c r="O1068" t="n">
        <v>28.02197802197802</v>
      </c>
    </row>
    <row r="1069" hidden="1">
      <c r="A1069" s="11" t="n">
        <v>46034</v>
      </c>
      <c r="B1069" t="inlineStr">
        <is>
          <t>Maria Eduarda Sousa Costa</t>
        </is>
      </c>
      <c r="C1069" t="inlineStr">
        <is>
          <t>Estágio</t>
        </is>
      </c>
      <c r="D1069" t="n">
        <v>4</v>
      </c>
      <c r="E1069" t="n">
        <v>4</v>
      </c>
      <c r="F1069" t="n">
        <v>96.56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4</v>
      </c>
      <c r="N1069" t="n">
        <v>100</v>
      </c>
      <c r="O1069" t="n">
        <v>33.33333333333333</v>
      </c>
    </row>
    <row r="1070" hidden="1">
      <c r="A1070" s="11" t="n">
        <v>46034</v>
      </c>
      <c r="B1070" t="inlineStr">
        <is>
          <t>Matheus Farias De Souza</t>
        </is>
      </c>
      <c r="C1070" t="inlineStr">
        <is>
          <t>Técnico III</t>
        </is>
      </c>
      <c r="D1070" t="n">
        <v>0</v>
      </c>
      <c r="E1070" t="n">
        <v>0</v>
      </c>
      <c r="F1070" t="n">
        <v>0</v>
      </c>
      <c r="G1070" t="n">
        <v>0</v>
      </c>
      <c r="H1070" t="n">
        <v>0</v>
      </c>
      <c r="I1070" s="3" t="n">
        <v>0</v>
      </c>
      <c r="J1070" s="3" t="n">
        <v>0</v>
      </c>
      <c r="K1070" s="3" t="n">
        <v>0</v>
      </c>
      <c r="L1070" s="3">
        <f>IF(K1070&lt;-5,"CRÍTICO",IF(K1070&lt;0,"ATENÇÃO",IF(K1070&lt;=5,"BOM","EXCELENTE")))</f>
        <v/>
      </c>
      <c r="M1070" t="n">
        <v>0</v>
      </c>
      <c r="N1070" t="n">
        <v>100</v>
      </c>
      <c r="O1070" t="n">
        <v>27.43362831858407</v>
      </c>
    </row>
    <row r="1071" hidden="1">
      <c r="A1071" s="11" t="n">
        <v>46034</v>
      </c>
      <c r="B1071" t="inlineStr">
        <is>
          <t>Maysa Victoria Dias Moura</t>
        </is>
      </c>
      <c r="C1071" t="inlineStr">
        <is>
          <t>Técnico III</t>
        </is>
      </c>
      <c r="D1071" t="n">
        <v>35</v>
      </c>
      <c r="E1071" t="n">
        <v>30</v>
      </c>
      <c r="F1071" t="n">
        <v>15.19</v>
      </c>
      <c r="G1071" t="n">
        <v>0</v>
      </c>
      <c r="H1071" t="n">
        <v>0</v>
      </c>
      <c r="I1071" s="3">
        <f>E1071+G1071+H1071</f>
        <v/>
      </c>
      <c r="J1071" s="3">
        <f>ROUND(MIN(IF(C1071="Técnico III",35,IF(C1071="Técnico II",28,IF(C1071="Técnico I",23,IF(C1071="JR",20,IF(C1071="Estágio",10,0))))),IF(C1071="Técnico III",SUMIFS($D:$D,$A:$A,$A1071,$B:$B,"&lt;&gt;Patrícia Karla de Sousa Araújo",$B:$B,"&lt;&gt;Lorena Dias de Araujo",$B:$B,"&lt;&gt;Lucas Luiz Romero")*(35/1083),IF(C1071="Técnico II",SUMIFS($D:$D,$A:$A,$A1071,$B:$B,"&lt;&gt;Patrícia Karla de Sousa Araújo",$B:$B,"&lt;&gt;Lorena Dias de Araujo",$B:$B,"&lt;&gt;Lucas Luiz Romero")*(28/1083),IF(C1071="Técnico I",SUMIFS($D:$D,$A:$A,$A1071,$B:$B,"&lt;&gt;Patrícia Karla de Sousa Araújo",$B:$B,"&lt;&gt;Lorena Dias de Araujo",$B:$B,"&lt;&gt;Lucas Luiz Romero")*(23/1083),IF(C1071="JR",SUMIFS($D:$D,$A:$A,$A1071,$B:$B,"&lt;&gt;Patrícia Karla de Sousa Araújo",$B:$B,"&lt;&gt;Lorena Dias de Araujo",$B:$B,"&lt;&gt;Lucas Luiz Romero")*(20/1083),IF(C1071="Estágio",SUMIFS($D:$D,$A:$A,$A1071,$B:$B,"&lt;&gt;Patrícia Karla de Sousa Araújo",$B:$B,"&lt;&gt;Lorena Dias de Araujo",$B:$B,"&lt;&gt;Lucas Luiz Romero")*(10/1083),0)))))),0)</f>
        <v/>
      </c>
      <c r="K1071" s="3">
        <f>I1071-J1071</f>
        <v/>
      </c>
      <c r="L1071" s="3">
        <f>IF(K1071&lt;-5,"CRÍTICO",IF(K1071&lt;0,"ATENÇÃO",IF(K1071&lt;=5,"BOM","EXCELENTE")))</f>
        <v/>
      </c>
      <c r="M1071" t="n">
        <v>30</v>
      </c>
      <c r="N1071" t="n">
        <v>98.65000000000001</v>
      </c>
      <c r="O1071" t="n">
        <v>30.97826086956522</v>
      </c>
    </row>
    <row r="1072" hidden="1">
      <c r="A1072" s="11" t="n">
        <v>46034</v>
      </c>
      <c r="B1072" t="inlineStr">
        <is>
          <t>Michelle G Santos</t>
        </is>
      </c>
      <c r="C1072" t="inlineStr">
        <is>
          <t>Estágio</t>
        </is>
      </c>
      <c r="D1072" t="n">
        <v>0</v>
      </c>
      <c r="E1072" t="n">
        <v>0</v>
      </c>
      <c r="F1072" t="n">
        <v>0</v>
      </c>
      <c r="G1072" t="n">
        <v>0</v>
      </c>
      <c r="H1072" t="n">
        <v>0</v>
      </c>
      <c r="I1072" s="3" t="n">
        <v>0</v>
      </c>
      <c r="J1072" s="3" t="n">
        <v>0</v>
      </c>
      <c r="K1072" s="3" t="n">
        <v>0</v>
      </c>
      <c r="L1072" s="3">
        <f>IF(K1072&lt;-5,"CRÍTICO",IF(K1072&lt;0,"ATENÇÃO",IF(K1072&lt;=5,"BOM","EXCELENTE")))</f>
        <v/>
      </c>
      <c r="M1072" t="n">
        <v>0</v>
      </c>
      <c r="N1072" t="n">
        <v>100</v>
      </c>
      <c r="O1072" t="n">
        <v>12</v>
      </c>
    </row>
    <row r="1073" hidden="1">
      <c r="A1073" s="11" t="n">
        <v>46034</v>
      </c>
      <c r="B1073" t="inlineStr">
        <is>
          <t>Milena Sales</t>
        </is>
      </c>
      <c r="C1073" t="inlineStr">
        <is>
          <t>JR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Patrícia Karla de Sousa Araújo</t>
        </is>
      </c>
      <c r="C1074" t="inlineStr">
        <is>
          <t>Técnico II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97.56</v>
      </c>
      <c r="O1074" t="n">
        <v>31.06796116504854</v>
      </c>
    </row>
    <row r="1075" hidden="1">
      <c r="A1075" s="11" t="n">
        <v>46034</v>
      </c>
      <c r="B1075" t="inlineStr">
        <is>
          <t>Paulo Ricardo Santos</t>
        </is>
      </c>
      <c r="C1075" t="inlineStr">
        <is>
          <t>JR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0</v>
      </c>
      <c r="O1075" t="n">
        <v>0</v>
      </c>
    </row>
    <row r="1076" hidden="1">
      <c r="A1076" s="11" t="n">
        <v>46034</v>
      </c>
      <c r="B1076" t="inlineStr">
        <is>
          <t>Pedro Luiz Mota Sousa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Quirino Diogo Leite Torres</t>
        </is>
      </c>
      <c r="C1077" t="inlineStr">
        <is>
          <t>Estágio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Raane Batista Matos</t>
        </is>
      </c>
      <c r="C1078" t="inlineStr">
        <is>
          <t>Técnico I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100</v>
      </c>
      <c r="O1078" t="n">
        <v>53.84615384615385</v>
      </c>
    </row>
    <row r="1079" hidden="1">
      <c r="A1079" s="11" t="n">
        <v>46034</v>
      </c>
      <c r="B1079" t="inlineStr">
        <is>
          <t>Rafael Gomes de Morais</t>
        </is>
      </c>
      <c r="C1079" t="inlineStr">
        <is>
          <t>Técnico III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100</v>
      </c>
      <c r="O1079" t="n">
        <v>44.05594405594406</v>
      </c>
    </row>
    <row r="1080" hidden="1">
      <c r="A1080" s="11" t="n">
        <v>46034</v>
      </c>
      <c r="B1080" t="inlineStr">
        <is>
          <t>Sara Maria Monteiro Lopes</t>
        </is>
      </c>
      <c r="C1080" t="inlineStr">
        <is>
          <t>Técnico I</t>
        </is>
      </c>
      <c r="D1080" t="n">
        <v>17</v>
      </c>
      <c r="E1080" t="n">
        <v>16</v>
      </c>
      <c r="F1080" t="n">
        <v>27.23</v>
      </c>
      <c r="G1080" t="n">
        <v>0</v>
      </c>
      <c r="H1080" t="n">
        <v>0</v>
      </c>
      <c r="I1080" s="3">
        <f>E1080+G1080+H1080</f>
        <v/>
      </c>
      <c r="J1080" s="3">
        <f>ROUND(MIN(IF(C1080="Técnico III",35,IF(C1080="Técnico II",28,IF(C1080="Técnico I",23,IF(C1080="JR",20,IF(C1080="Estágio",10,0))))),IF(C1080="Técnico III",SUMIFS($D:$D,$A:$A,$A1080,$B:$B,"&lt;&gt;Patrícia Karla de Sousa Araújo",$B:$B,"&lt;&gt;Lorena Dias de Araujo",$B:$B,"&lt;&gt;Lucas Luiz Romero")*(35/1083),IF(C1080="Técnico II",SUMIFS($D:$D,$A:$A,$A1080,$B:$B,"&lt;&gt;Patrícia Karla de Sousa Araújo",$B:$B,"&lt;&gt;Lorena Dias de Araujo",$B:$B,"&lt;&gt;Lucas Luiz Romero")*(28/1083),IF(C1080="Técnico I",SUMIFS($D:$D,$A:$A,$A1080,$B:$B,"&lt;&gt;Patrícia Karla de Sousa Araújo",$B:$B,"&lt;&gt;Lorena Dias de Araujo",$B:$B,"&lt;&gt;Lucas Luiz Romero")*(23/1083),IF(C1080="JR",SUMIFS($D:$D,$A:$A,$A1080,$B:$B,"&lt;&gt;Patrícia Karla de Sousa Araújo",$B:$B,"&lt;&gt;Lorena Dias de Araujo",$B:$B,"&lt;&gt;Lucas Luiz Romero")*(20/1083),IF(C1080="Estágio",SUMIFS($D:$D,$A:$A,$A1080,$B:$B,"&lt;&gt;Patrícia Karla de Sousa Araújo",$B:$B,"&lt;&gt;Lorena Dias de Araujo",$B:$B,"&lt;&gt;Lucas Luiz Romero")*(10/1083),0)))))),0)</f>
        <v/>
      </c>
      <c r="K1080" s="3">
        <f>I1080-J1080</f>
        <v/>
      </c>
      <c r="L1080" s="3">
        <f>IF(K1080&lt;-5,"CRÍTICO",IF(K1080&lt;0,"ATENÇÃO",IF(K1080&lt;=5,"BOM","EXCELENTE")))</f>
        <v/>
      </c>
      <c r="M1080" t="n">
        <v>13</v>
      </c>
      <c r="N1080" t="n">
        <v>100</v>
      </c>
      <c r="O1080" t="n">
        <v>31.87250996015936</v>
      </c>
    </row>
    <row r="1081" hidden="1">
      <c r="A1081" s="11" t="n">
        <v>46034</v>
      </c>
      <c r="B1081" t="inlineStr">
        <is>
          <t>Sarah Steffanie de Lima Borges</t>
        </is>
      </c>
      <c r="C1081" t="inlineStr">
        <is>
          <t>Técnico III</t>
        </is>
      </c>
      <c r="D1081" t="n">
        <v>20</v>
      </c>
      <c r="E1081" t="n">
        <v>20</v>
      </c>
      <c r="F1081" t="n">
        <v>23.24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20</v>
      </c>
      <c r="N1081" t="n">
        <v>98.41</v>
      </c>
      <c r="O1081" t="n">
        <v>29.22465208747515</v>
      </c>
    </row>
    <row r="1082" hidden="1">
      <c r="A1082" s="11" t="n">
        <v>46035</v>
      </c>
      <c r="B1082" t="inlineStr">
        <is>
          <t>Alisson de Freitas Silva</t>
        </is>
      </c>
      <c r="C1082" t="inlineStr">
        <is>
          <t>Técnico II</t>
        </is>
      </c>
      <c r="D1082" t="n">
        <v>29</v>
      </c>
      <c r="E1082" t="n">
        <v>26</v>
      </c>
      <c r="F1082" t="n">
        <v>23.34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96.81</v>
      </c>
      <c r="O1082" t="n">
        <v>27.98053527980535</v>
      </c>
    </row>
    <row r="1083" hidden="1">
      <c r="A1083" s="11" t="n">
        <v>46035</v>
      </c>
      <c r="B1083" t="inlineStr">
        <is>
          <t>Amanda Moura Ferreira</t>
        </is>
      </c>
      <c r="C1083" t="inlineStr">
        <is>
          <t>Técnico III</t>
        </is>
      </c>
      <c r="D1083" t="n">
        <v>0</v>
      </c>
      <c r="E1083" t="n">
        <v>0</v>
      </c>
      <c r="F1083" t="n">
        <v>0</v>
      </c>
      <c r="G1083" t="n">
        <v>0</v>
      </c>
      <c r="H1083" t="n">
        <v>0</v>
      </c>
      <c r="I1083" s="3" t="n">
        <v>0</v>
      </c>
      <c r="J1083" s="3" t="n">
        <v>0</v>
      </c>
      <c r="K1083" s="3" t="n">
        <v>0</v>
      </c>
      <c r="L1083" s="3">
        <f>IF(K1083&lt;-5,"CRÍTICO",IF(K1083&lt;0,"ATENÇÃO",IF(K1083&lt;=5,"BOM","EXCELENTE")))</f>
        <v/>
      </c>
      <c r="M1083" t="n">
        <v>15</v>
      </c>
      <c r="N1083" t="n">
        <v>98.73</v>
      </c>
      <c r="O1083" t="n">
        <v>35.75638506876228</v>
      </c>
    </row>
    <row r="1084" hidden="1">
      <c r="A1084" s="11" t="n">
        <v>46035</v>
      </c>
      <c r="B1084" t="inlineStr">
        <is>
          <t>Ana Karollyne Souza Faria</t>
        </is>
      </c>
      <c r="C1084" t="inlineStr">
        <is>
          <t>Técnico I</t>
        </is>
      </c>
      <c r="D1084" t="n">
        <v>26</v>
      </c>
      <c r="E1084" t="n">
        <v>21</v>
      </c>
      <c r="F1084" t="n">
        <v>19.16</v>
      </c>
      <c r="G1084" t="n">
        <v>0</v>
      </c>
      <c r="H1084" t="n">
        <v>0</v>
      </c>
      <c r="I1084" s="3">
        <f>E1084+G1084+H1084</f>
        <v/>
      </c>
      <c r="J1084" s="3">
        <f>ROUND(MIN(IF(C1084="Técnico III",35,IF(C1084="Técnico II",28,IF(C1084="Técnico I",23,IF(C1084="JR",20,IF(C1084="Estágio",10,0))))),IF(C1084="Técnico III",SUMIFS($D:$D,$A:$A,$A1084,$B:$B,"&lt;&gt;Patrícia Karla de Sousa Araújo",$B:$B,"&lt;&gt;Lorena Dias de Araujo",$B:$B,"&lt;&gt;Lucas Luiz Romero")*(35/1083),IF(C1084="Técnico II",SUMIFS($D:$D,$A:$A,$A1084,$B:$B,"&lt;&gt;Patrícia Karla de Sousa Araújo",$B:$B,"&lt;&gt;Lorena Dias de Araujo",$B:$B,"&lt;&gt;Lucas Luiz Romero")*(28/1083),IF(C1084="Técnico I",SUMIFS($D:$D,$A:$A,$A1084,$B:$B,"&lt;&gt;Patrícia Karla de Sousa Araújo",$B:$B,"&lt;&gt;Lorena Dias de Araujo",$B:$B,"&lt;&gt;Lucas Luiz Romero")*(23/1083),IF(C1084="JR",SUMIFS($D:$D,$A:$A,$A1084,$B:$B,"&lt;&gt;Patrícia Karla de Sousa Araújo",$B:$B,"&lt;&gt;Lorena Dias de Araujo",$B:$B,"&lt;&gt;Lucas Luiz Romero")*(20/1083),IF(C1084="Estágio",SUMIFS($D:$D,$A:$A,$A1084,$B:$B,"&lt;&gt;Patrícia Karla de Sousa Araújo",$B:$B,"&lt;&gt;Lorena Dias de Araujo",$B:$B,"&lt;&gt;Lucas Luiz Romero")*(10/1083),0)))))),0)</f>
        <v/>
      </c>
      <c r="K1084" s="3">
        <f>I1084-J1084</f>
        <v/>
      </c>
      <c r="L1084" s="3">
        <f>IF(K1084&lt;-5,"CRÍTICO",IF(K1084&lt;0,"ATENÇÃO",IF(K1084&lt;=5,"BOM","EXCELENTE")))</f>
        <v/>
      </c>
      <c r="M1084" t="n">
        <v>22</v>
      </c>
      <c r="N1084" t="n">
        <v>98.31999999999999</v>
      </c>
      <c r="O1084" t="n">
        <v>26.76348547717842</v>
      </c>
    </row>
    <row r="1085" hidden="1">
      <c r="A1085" s="11" t="n">
        <v>46035</v>
      </c>
      <c r="B1085" t="inlineStr">
        <is>
          <t>Ana Paula Da Luz Silva Aleixo</t>
        </is>
      </c>
      <c r="C1085" t="inlineStr">
        <is>
          <t>Técnico III</t>
        </is>
      </c>
      <c r="D1085" t="n">
        <v>22</v>
      </c>
      <c r="E1085" t="n">
        <v>19</v>
      </c>
      <c r="F1085" t="n">
        <v>22.28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16</v>
      </c>
      <c r="N1085" t="n">
        <v>99.19</v>
      </c>
      <c r="O1085" t="n">
        <v>27.63713080168776</v>
      </c>
    </row>
    <row r="1086" hidden="1">
      <c r="A1086" s="11" t="n">
        <v>46035</v>
      </c>
      <c r="B1086" t="inlineStr">
        <is>
          <t>Anna Luiza Rezende Tavares</t>
        </is>
      </c>
      <c r="C1086" t="inlineStr">
        <is>
          <t>Estágio</t>
        </is>
      </c>
      <c r="D1086" t="n">
        <v>0</v>
      </c>
      <c r="E1086" t="n">
        <v>0</v>
      </c>
      <c r="F1086" t="n">
        <v>0</v>
      </c>
      <c r="G1086" t="n">
        <v>0</v>
      </c>
      <c r="H1086" t="n">
        <v>0</v>
      </c>
      <c r="I1086" s="3" t="n">
        <v>0</v>
      </c>
      <c r="J1086" s="3" t="n">
        <v>0</v>
      </c>
      <c r="K1086" s="3" t="n">
        <v>0</v>
      </c>
      <c r="L1086" s="3">
        <f>IF(K1086&lt;-5,"CRÍTICO",IF(K1086&lt;0,"ATENÇÃO",IF(K1086&lt;=5,"BOM","EXCELENTE")))</f>
        <v/>
      </c>
      <c r="M1086" t="n">
        <v>0</v>
      </c>
      <c r="N1086" t="n">
        <v>100</v>
      </c>
      <c r="O1086" t="n">
        <v>39.56834532374101</v>
      </c>
    </row>
    <row r="1087" hidden="1">
      <c r="A1087" s="11" t="n">
        <v>46035</v>
      </c>
      <c r="B1087" t="inlineStr">
        <is>
          <t>Brenda de Menezes Silva</t>
        </is>
      </c>
      <c r="C1087" t="inlineStr">
        <is>
          <t>Técnico II</t>
        </is>
      </c>
      <c r="D1087" t="n">
        <v>30</v>
      </c>
      <c r="E1087" t="n">
        <v>26</v>
      </c>
      <c r="F1087" t="n">
        <v>17.39</v>
      </c>
      <c r="G1087" t="n">
        <v>0</v>
      </c>
      <c r="H1087" t="n">
        <v>0</v>
      </c>
      <c r="I1087" s="3">
        <f>E1087+G1087+H1087</f>
        <v/>
      </c>
      <c r="J1087" s="3">
        <f>ROUND(MIN(IF(C1087="Técnico III",35,IF(C1087="Técnico II",28,IF(C1087="Técnico I",23,IF(C1087="JR",20,IF(C1087="Estágio",10,0))))),IF(C1087="Técnico III",SUMIFS($D:$D,$A:$A,$A1087,$B:$B,"&lt;&gt;Patrícia Karla de Sousa Araújo",$B:$B,"&lt;&gt;Lorena Dias de Araujo",$B:$B,"&lt;&gt;Lucas Luiz Romero")*(35/1083),IF(C1087="Técnico II",SUMIFS($D:$D,$A:$A,$A1087,$B:$B,"&lt;&gt;Patrícia Karla de Sousa Araújo",$B:$B,"&lt;&gt;Lorena Dias de Araujo",$B:$B,"&lt;&gt;Lucas Luiz Romero")*(28/1083),IF(C1087="Técnico I",SUMIFS($D:$D,$A:$A,$A1087,$B:$B,"&lt;&gt;Patrícia Karla de Sousa Araújo",$B:$B,"&lt;&gt;Lorena Dias de Araujo",$B:$B,"&lt;&gt;Lucas Luiz Romero")*(23/1083),IF(C1087="JR",SUMIFS($D:$D,$A:$A,$A1087,$B:$B,"&lt;&gt;Patrícia Karla de Sousa Araújo",$B:$B,"&lt;&gt;Lorena Dias de Araujo",$B:$B,"&lt;&gt;Lucas Luiz Romero")*(20/1083),IF(C1087="Estágio",SUMIFS($D:$D,$A:$A,$A1087,$B:$B,"&lt;&gt;Patrícia Karla de Sousa Araújo",$B:$B,"&lt;&gt;Lorena Dias de Araujo",$B:$B,"&lt;&gt;Lucas Luiz Romero")*(10/1083),0)))))),0)</f>
        <v/>
      </c>
      <c r="K1087" s="3">
        <f>I1087-J1087</f>
        <v/>
      </c>
      <c r="L1087" s="3">
        <f>IF(K1087&lt;-5,"CRÍTICO",IF(K1087&lt;0,"ATENÇÃO",IF(K1087&lt;=5,"BOM","EXCELENTE")))</f>
        <v/>
      </c>
      <c r="M1087" t="n">
        <v>25</v>
      </c>
      <c r="N1087" t="n">
        <v>98.54000000000001</v>
      </c>
      <c r="O1087" t="n">
        <v>28.54477611940299</v>
      </c>
    </row>
    <row r="1088" hidden="1">
      <c r="A1088" s="11" t="n">
        <v>46035</v>
      </c>
      <c r="B1088" t="inlineStr">
        <is>
          <t>Carlos Mateus Cassimiro Nunes</t>
        </is>
      </c>
      <c r="C1088" t="inlineStr">
        <is>
          <t>Técnico II</t>
        </is>
      </c>
      <c r="D1088" t="n">
        <v>25</v>
      </c>
      <c r="E1088" t="n">
        <v>24</v>
      </c>
      <c r="F1088" t="n">
        <v>25.12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23</v>
      </c>
      <c r="N1088" t="n">
        <v>100</v>
      </c>
      <c r="O1088" t="n">
        <v>34.36692506459949</v>
      </c>
    </row>
    <row r="1089" hidden="1">
      <c r="A1089" s="11" t="n">
        <v>46035</v>
      </c>
      <c r="B1089" t="inlineStr">
        <is>
          <t>Claudio de Sousa Velasco Filho</t>
        </is>
      </c>
      <c r="C1089" t="inlineStr">
        <is>
          <t>Estágio</t>
        </is>
      </c>
      <c r="D1089" t="n">
        <v>0</v>
      </c>
      <c r="E1089" t="n">
        <v>0</v>
      </c>
      <c r="F1089" t="n">
        <v>0</v>
      </c>
      <c r="G1089" t="n">
        <v>0</v>
      </c>
      <c r="H1089" t="n">
        <v>0</v>
      </c>
      <c r="I1089" s="3" t="n">
        <v>0</v>
      </c>
      <c r="J1089" s="3" t="n">
        <v>0</v>
      </c>
      <c r="K1089" s="3" t="n">
        <v>0</v>
      </c>
      <c r="L1089" s="3">
        <f>IF(K1089&lt;-5,"CRÍTICO",IF(K1089&lt;0,"ATENÇÃO",IF(K1089&lt;=5,"BOM","EXCELENTE")))</f>
        <v/>
      </c>
      <c r="M1089" t="n">
        <v>0</v>
      </c>
      <c r="N1089" t="n">
        <v>0</v>
      </c>
      <c r="O1089" t="n">
        <v>0</v>
      </c>
    </row>
    <row r="1090" hidden="1">
      <c r="A1090" s="11" t="n">
        <v>46035</v>
      </c>
      <c r="B1090" t="inlineStr">
        <is>
          <t>Clessiane Pereira dos Santos</t>
        </is>
      </c>
      <c r="C1090" t="inlineStr">
        <is>
          <t>Técnico I</t>
        </is>
      </c>
      <c r="D1090" t="n">
        <v>17</v>
      </c>
      <c r="E1090" t="n">
        <v>17</v>
      </c>
      <c r="F1090" t="n">
        <v>27.32</v>
      </c>
      <c r="G1090" t="n">
        <v>0</v>
      </c>
      <c r="H1090" t="n">
        <v>0</v>
      </c>
      <c r="I1090" s="3">
        <f>E1090+G1090+H1090</f>
        <v/>
      </c>
      <c r="J1090" s="3">
        <f>ROUND(MIN(IF(C1090="Técnico III",35,IF(C1090="Técnico II",28,IF(C1090="Técnico I",23,IF(C1090="JR",20,IF(C1090="Estágio",10,0))))),IF(C1090="Técnico III",SUMIFS($D:$D,$A:$A,$A1090,$B:$B,"&lt;&gt;Patrícia Karla de Sousa Araújo",$B:$B,"&lt;&gt;Lorena Dias de Araujo",$B:$B,"&lt;&gt;Lucas Luiz Romero")*(35/1083),IF(C1090="Técnico II",SUMIFS($D:$D,$A:$A,$A1090,$B:$B,"&lt;&gt;Patrícia Karla de Sousa Araújo",$B:$B,"&lt;&gt;Lorena Dias de Araujo",$B:$B,"&lt;&gt;Lucas Luiz Romero")*(28/1083),IF(C1090="Técnico I",SUMIFS($D:$D,$A:$A,$A1090,$B:$B,"&lt;&gt;Patrícia Karla de Sousa Araújo",$B:$B,"&lt;&gt;Lorena Dias de Araujo",$B:$B,"&lt;&gt;Lucas Luiz Romero")*(23/1083),IF(C1090="JR",SUMIFS($D:$D,$A:$A,$A1090,$B:$B,"&lt;&gt;Patrícia Karla de Sousa Araújo",$B:$B,"&lt;&gt;Lorena Dias de Araujo",$B:$B,"&lt;&gt;Lucas Luiz Romero")*(20/1083),IF(C1090="Estágio",SUMIFS($D:$D,$A:$A,$A1090,$B:$B,"&lt;&gt;Patrícia Karla de Sousa Araújo",$B:$B,"&lt;&gt;Lorena Dias de Araujo",$B:$B,"&lt;&gt;Lucas Luiz Romero")*(10/1083),0)))))),0)</f>
        <v/>
      </c>
      <c r="K1090" s="3">
        <f>I1090-J1090</f>
        <v/>
      </c>
      <c r="L1090" s="3">
        <f>IF(K1090&lt;-5,"CRÍTICO",IF(K1090&lt;0,"ATENÇÃO",IF(K1090&lt;=5,"BOM","EXCELENTE")))</f>
        <v/>
      </c>
      <c r="M1090" t="n">
        <v>13</v>
      </c>
      <c r="N1090" t="n">
        <v>100</v>
      </c>
      <c r="O1090" t="n">
        <v>29.51807228915663</v>
      </c>
    </row>
    <row r="1091" hidden="1">
      <c r="A1091" s="11" t="n">
        <v>46035</v>
      </c>
      <c r="B1091" t="inlineStr">
        <is>
          <t>Cristiane Ramos da Silva Rocha</t>
        </is>
      </c>
      <c r="C1091" t="inlineStr">
        <is>
          <t>Técnico III</t>
        </is>
      </c>
      <c r="D1091" t="n">
        <v>36</v>
      </c>
      <c r="E1091" t="n">
        <v>35</v>
      </c>
      <c r="F1091" t="n">
        <v>15.3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28</v>
      </c>
      <c r="N1091" t="n">
        <v>97.45</v>
      </c>
      <c r="O1091" t="n">
        <v>41.421143847487</v>
      </c>
    </row>
    <row r="1092" hidden="1">
      <c r="A1092" s="11" t="n">
        <v>46035</v>
      </c>
      <c r="B1092" t="inlineStr">
        <is>
          <t>Damyllis Lorraine de Oliveira Gonçalves</t>
        </is>
      </c>
      <c r="C1092" t="inlineStr">
        <is>
          <t>Técnico II</t>
        </is>
      </c>
      <c r="D1092" t="n">
        <v>30</v>
      </c>
      <c r="E1092" t="n">
        <v>24</v>
      </c>
      <c r="F1092" t="n">
        <v>17.15</v>
      </c>
      <c r="G1092" t="n">
        <v>0</v>
      </c>
      <c r="H1092" t="n">
        <v>0</v>
      </c>
      <c r="I1092" s="3" t="n">
        <v>0</v>
      </c>
      <c r="J1092" s="3" t="n">
        <v>0</v>
      </c>
      <c r="K1092" s="3" t="n">
        <v>0</v>
      </c>
      <c r="L1092" s="3">
        <f>IF(K1092&lt;-5,"CRÍTICO",IF(K1092&lt;0,"ATENÇÃO",IF(K1092&lt;=5,"BOM","EXCELENTE")))</f>
        <v/>
      </c>
      <c r="M1092" t="n">
        <v>17</v>
      </c>
      <c r="N1092" t="n">
        <v>96.58</v>
      </c>
      <c r="O1092" t="n">
        <v>30.39647577092511</v>
      </c>
    </row>
    <row r="1093" hidden="1">
      <c r="A1093" s="11" t="n">
        <v>46035</v>
      </c>
      <c r="B1093" t="inlineStr">
        <is>
          <t>Daniel Gomes da Silva</t>
        </is>
      </c>
      <c r="C1093" t="inlineStr">
        <is>
          <t>Técnico I</t>
        </is>
      </c>
      <c r="D1093" t="n">
        <v>25</v>
      </c>
      <c r="E1093" t="n">
        <v>25</v>
      </c>
      <c r="F1093" t="n">
        <v>21.5</v>
      </c>
      <c r="G1093" t="n">
        <v>0</v>
      </c>
      <c r="H1093" t="n">
        <v>0</v>
      </c>
      <c r="I1093" s="3">
        <f>E1093+G1093+H1093</f>
        <v/>
      </c>
      <c r="J1093" s="3">
        <f>ROUND(MIN(IF(C1093="Técnico III",35,IF(C1093="Técnico II",28,IF(C1093="Técnico I",23,IF(C1093="JR",20,IF(C1093="Estágio",10,0))))),IF(C1093="Técnico III",SUMIFS($D:$D,$A:$A,$A1093,$B:$B,"&lt;&gt;Patrícia Karla de Sousa Araújo",$B:$B,"&lt;&gt;Lorena Dias de Araujo",$B:$B,"&lt;&gt;Lucas Luiz Romero")*(35/1083),IF(C1093="Técnico II",SUMIFS($D:$D,$A:$A,$A1093,$B:$B,"&lt;&gt;Patrícia Karla de Sousa Araújo",$B:$B,"&lt;&gt;Lorena Dias de Araujo",$B:$B,"&lt;&gt;Lucas Luiz Romero")*(28/1083),IF(C1093="Técnico I",SUMIFS($D:$D,$A:$A,$A1093,$B:$B,"&lt;&gt;Patrícia Karla de Sousa Araújo",$B:$B,"&lt;&gt;Lorena Dias de Araujo",$B:$B,"&lt;&gt;Lucas Luiz Romero")*(23/1083),IF(C1093="JR",SUMIFS($D:$D,$A:$A,$A1093,$B:$B,"&lt;&gt;Patrícia Karla de Sousa Araújo",$B:$B,"&lt;&gt;Lorena Dias de Araujo",$B:$B,"&lt;&gt;Lucas Luiz Romero")*(20/1083),IF(C1093="Estágio",SUMIFS($D:$D,$A:$A,$A1093,$B:$B,"&lt;&gt;Patrícia Karla de Sousa Araújo",$B:$B,"&lt;&gt;Lorena Dias de Araujo",$B:$B,"&lt;&gt;Lucas Luiz Romero")*(10/1083),0)))))),0)</f>
        <v/>
      </c>
      <c r="K1093" s="3">
        <f>I1093-J1093</f>
        <v/>
      </c>
      <c r="L1093" s="3">
        <f>IF(K1093&lt;-5,"CRÍTICO",IF(K1093&lt;0,"ATENÇÃO",IF(K1093&lt;=5,"BOM","EXCELENTE")))</f>
        <v/>
      </c>
      <c r="M1093" t="n">
        <v>26</v>
      </c>
      <c r="N1093" t="n">
        <v>100</v>
      </c>
      <c r="O1093" t="n">
        <v>27.44282744282744</v>
      </c>
    </row>
    <row r="1094" hidden="1">
      <c r="A1094" s="11" t="n">
        <v>46035</v>
      </c>
      <c r="B1094" t="inlineStr">
        <is>
          <t>Davylla Rodrigues Freitas Silva</t>
        </is>
      </c>
      <c r="C1094" t="inlineStr">
        <is>
          <t>Técnico III</t>
        </is>
      </c>
      <c r="D1094" t="n">
        <v>29</v>
      </c>
      <c r="E1094" t="n">
        <v>29</v>
      </c>
      <c r="F1094" t="n">
        <v>23.57</v>
      </c>
      <c r="G1094" t="n">
        <v>0</v>
      </c>
      <c r="H1094" t="n">
        <v>0</v>
      </c>
      <c r="I1094" s="3" t="n">
        <v>0</v>
      </c>
      <c r="J1094" s="3" t="n">
        <v>0</v>
      </c>
      <c r="K1094" s="3" t="n">
        <v>0</v>
      </c>
      <c r="L1094" s="3">
        <f>IF(K1094&lt;-5,"CRÍTICO",IF(K1094&lt;0,"ATENÇÃO",IF(K1094&lt;=5,"BOM","EXCELENTE")))</f>
        <v/>
      </c>
      <c r="M1094" t="n">
        <v>29</v>
      </c>
      <c r="N1094" t="n">
        <v>99.48999999999999</v>
      </c>
      <c r="O1094" t="n">
        <v>40.2</v>
      </c>
    </row>
    <row r="1095" hidden="1">
      <c r="A1095" s="11" t="n">
        <v>46035</v>
      </c>
      <c r="B1095" t="inlineStr">
        <is>
          <t>Emilly Caylane Costa</t>
        </is>
      </c>
      <c r="C1095" t="inlineStr">
        <is>
          <t>Estágio</t>
        </is>
      </c>
      <c r="D1095" t="n">
        <v>0</v>
      </c>
      <c r="E1095" t="n">
        <v>0</v>
      </c>
      <c r="F1095" t="n">
        <v>0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0</v>
      </c>
      <c r="N1095" t="n">
        <v>100</v>
      </c>
      <c r="O1095" t="n">
        <v>25</v>
      </c>
    </row>
    <row r="1096" hidden="1">
      <c r="A1096" s="11" t="n">
        <v>46035</v>
      </c>
      <c r="B1096" t="inlineStr">
        <is>
          <t>Emilly Kamilly Medeiros Miranda</t>
        </is>
      </c>
      <c r="C1096" t="inlineStr">
        <is>
          <t>Técnico II</t>
        </is>
      </c>
      <c r="D1096" t="n">
        <v>39</v>
      </c>
      <c r="E1096" t="n">
        <v>35</v>
      </c>
      <c r="F1096" t="n">
        <v>17.18</v>
      </c>
      <c r="G1096" t="n">
        <v>0</v>
      </c>
      <c r="H1096" t="n">
        <v>0</v>
      </c>
      <c r="I1096" s="3">
        <f>E1096+G1096+H1096</f>
        <v/>
      </c>
      <c r="J1096" s="3">
        <f>ROUND(MIN(IF(C1096="Técnico III",35,IF(C1096="Técnico II",28,IF(C1096="Técnico I",23,IF(C1096="JR",20,IF(C1096="Estágio",10,0))))),IF(C1096="Técnico III",SUMIFS($D:$D,$A:$A,$A1096,$B:$B,"&lt;&gt;Patrícia Karla de Sousa Araújo",$B:$B,"&lt;&gt;Lorena Dias de Araujo",$B:$B,"&lt;&gt;Lucas Luiz Romero")*(35/1083),IF(C1096="Técnico II",SUMIFS($D:$D,$A:$A,$A1096,$B:$B,"&lt;&gt;Patrícia Karla de Sousa Araújo",$B:$B,"&lt;&gt;Lorena Dias de Araujo",$B:$B,"&lt;&gt;Lucas Luiz Romero")*(28/1083),IF(C1096="Técnico I",SUMIFS($D:$D,$A:$A,$A1096,$B:$B,"&lt;&gt;Patrícia Karla de Sousa Araújo",$B:$B,"&lt;&gt;Lorena Dias de Araujo",$B:$B,"&lt;&gt;Lucas Luiz Romero")*(23/1083),IF(C1096="JR",SUMIFS($D:$D,$A:$A,$A1096,$B:$B,"&lt;&gt;Patrícia Karla de Sousa Araújo",$B:$B,"&lt;&gt;Lorena Dias de Araujo",$B:$B,"&lt;&gt;Lucas Luiz Romero")*(20/1083),IF(C1096="Estágio",SUMIFS($D:$D,$A:$A,$A1096,$B:$B,"&lt;&gt;Patrícia Karla de Sousa Araújo",$B:$B,"&lt;&gt;Lorena Dias de Araujo",$B:$B,"&lt;&gt;Lucas Luiz Romero")*(10/1083),0)))))),0)</f>
        <v/>
      </c>
      <c r="K1096" s="3">
        <f>I1096-J1096</f>
        <v/>
      </c>
      <c r="L1096" s="3">
        <f>IF(K1096&lt;-5,"CRÍTICO",IF(K1096&lt;0,"ATENÇÃO",IF(K1096&lt;=5,"BOM","EXCELENTE")))</f>
        <v/>
      </c>
      <c r="M1096" t="n">
        <v>32</v>
      </c>
      <c r="N1096" t="n">
        <v>100</v>
      </c>
      <c r="O1096" t="n">
        <v>34.15094339622641</v>
      </c>
    </row>
    <row r="1097" hidden="1">
      <c r="A1097" s="11" t="n">
        <v>46035</v>
      </c>
      <c r="B1097" t="inlineStr">
        <is>
          <t>Francielson de Oliveira</t>
        </is>
      </c>
      <c r="C1097" t="inlineStr">
        <is>
          <t>Técnico III</t>
        </is>
      </c>
      <c r="D1097" t="n">
        <v>22</v>
      </c>
      <c r="E1097" t="n">
        <v>21</v>
      </c>
      <c r="F1097" t="n">
        <v>18.4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19</v>
      </c>
      <c r="N1097" t="n">
        <v>100</v>
      </c>
      <c r="O1097" t="n">
        <v>32.7313769751693</v>
      </c>
    </row>
    <row r="1098" hidden="1">
      <c r="A1098" s="11" t="n">
        <v>46035</v>
      </c>
      <c r="B1098" t="inlineStr">
        <is>
          <t>Francilene Ferreira de Jesus</t>
        </is>
      </c>
      <c r="C1098" t="inlineStr">
        <is>
          <t>Técnico II</t>
        </is>
      </c>
      <c r="D1098" t="n">
        <v>31</v>
      </c>
      <c r="E1098" t="n">
        <v>30</v>
      </c>
      <c r="F1098" t="n">
        <v>22.04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25</v>
      </c>
      <c r="N1098" t="n">
        <v>99.31</v>
      </c>
      <c r="O1098" t="n">
        <v>30.96234309623431</v>
      </c>
    </row>
    <row r="1099" hidden="1">
      <c r="A1099" s="11" t="n">
        <v>46069</v>
      </c>
      <c r="B1099" t="inlineStr">
        <is>
          <t>Gabriel Gomes de Andrade</t>
        </is>
      </c>
      <c r="C1099" t="inlineStr">
        <is>
          <t>Técnico I</t>
        </is>
      </c>
      <c r="D1099" t="n">
        <v>6</v>
      </c>
      <c r="E1099" t="n">
        <v>5</v>
      </c>
      <c r="F1099" t="n">
        <v>27.03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5</v>
      </c>
      <c r="N1099" t="n">
        <v>96.67</v>
      </c>
      <c r="O1099" t="n">
        <v>31.45161290322581</v>
      </c>
    </row>
    <row r="1100" hidden="1">
      <c r="A1100" s="11" t="n">
        <v>46035</v>
      </c>
      <c r="B1100" t="inlineStr">
        <is>
          <t>Isabella Borges de Oliveira</t>
        </is>
      </c>
      <c r="C1100" t="inlineStr">
        <is>
          <t>Técnico II</t>
        </is>
      </c>
      <c r="D1100" t="n">
        <v>32</v>
      </c>
      <c r="E1100" t="n">
        <v>32</v>
      </c>
      <c r="F1100" t="n">
        <v>20.41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t="n">
        <v>29</v>
      </c>
      <c r="N1100" t="n">
        <v>100</v>
      </c>
      <c r="O1100" t="n">
        <v>27.67676767676768</v>
      </c>
    </row>
    <row r="1101" hidden="1">
      <c r="A1101" s="11" t="n">
        <v>46035</v>
      </c>
      <c r="B1101" t="inlineStr">
        <is>
          <t>Janaina Lima dos Reis Urany</t>
        </is>
      </c>
      <c r="C1101" t="inlineStr">
        <is>
          <t>Técnico III</t>
        </is>
      </c>
      <c r="D1101" t="n">
        <v>47</v>
      </c>
      <c r="E1101" t="n">
        <v>44</v>
      </c>
      <c r="F1101" t="n">
        <v>15.07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43</v>
      </c>
      <c r="N1101" t="n">
        <v>100</v>
      </c>
      <c r="O1101" t="n">
        <v>31.17723156532988</v>
      </c>
    </row>
    <row r="1102" hidden="1">
      <c r="A1102" s="11" t="n">
        <v>46035</v>
      </c>
      <c r="B1102" t="inlineStr">
        <is>
          <t>Jaqueline Evangelista da Silva Martins</t>
        </is>
      </c>
      <c r="C1102" t="inlineStr">
        <is>
          <t>Técnico III</t>
        </is>
      </c>
      <c r="D1102" t="n">
        <v>21</v>
      </c>
      <c r="E1102" t="n">
        <v>20</v>
      </c>
      <c r="F1102" t="n">
        <v>13.52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18</v>
      </c>
      <c r="N1102" t="n">
        <v>100</v>
      </c>
      <c r="O1102" t="n">
        <v>27.60942760942761</v>
      </c>
    </row>
    <row r="1103" hidden="1">
      <c r="A1103" s="11" t="n">
        <v>46035</v>
      </c>
      <c r="B1103" t="inlineStr">
        <is>
          <t>Jessica Faria da Silveira</t>
        </is>
      </c>
      <c r="C1103" t="inlineStr">
        <is>
          <t>Técnico II</t>
        </is>
      </c>
      <c r="D1103" t="n">
        <v>28</v>
      </c>
      <c r="E1103" t="n">
        <v>21</v>
      </c>
      <c r="F1103" t="n">
        <v>10.59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21</v>
      </c>
      <c r="N1103" t="n">
        <v>96.40000000000001</v>
      </c>
      <c r="O1103" t="n">
        <v>28.76404494382023</v>
      </c>
    </row>
    <row r="1104" hidden="1">
      <c r="A1104" s="11" t="n">
        <v>46035</v>
      </c>
      <c r="B1104" t="inlineStr">
        <is>
          <t>Jéssica Fé Moura</t>
        </is>
      </c>
      <c r="C1104" t="inlineStr">
        <is>
          <t>Técnico III</t>
        </is>
      </c>
      <c r="D1104" t="n">
        <v>0</v>
      </c>
      <c r="E1104" t="n">
        <v>0</v>
      </c>
      <c r="F1104" t="n">
        <v>0</v>
      </c>
      <c r="G1104" t="n">
        <v>0</v>
      </c>
      <c r="H1104" t="n">
        <v>0</v>
      </c>
      <c r="I1104" s="3" t="n">
        <v>0</v>
      </c>
      <c r="J1104" s="3" t="n">
        <v>0</v>
      </c>
      <c r="K1104" s="3" t="n">
        <v>0</v>
      </c>
      <c r="L1104" s="3">
        <f>IF(K1104&lt;-5,"CRÍTICO",IF(K1104&lt;0,"ATENÇÃO",IF(K1104&lt;=5,"BOM","EXCELENTE")))</f>
        <v/>
      </c>
      <c r="M1104" t="n">
        <v>13</v>
      </c>
      <c r="N1104" t="n">
        <v>100</v>
      </c>
      <c r="O1104" t="n">
        <v>33.98058252427185</v>
      </c>
    </row>
    <row r="1105" hidden="1">
      <c r="A1105" s="11" t="n">
        <v>46035</v>
      </c>
      <c r="B1105" t="inlineStr">
        <is>
          <t>Karina Gonçalves Martins</t>
        </is>
      </c>
      <c r="C1105" t="inlineStr">
        <is>
          <t>JR</t>
        </is>
      </c>
      <c r="D1105" t="n">
        <v>5</v>
      </c>
      <c r="E1105" t="n">
        <v>5</v>
      </c>
      <c r="F1105" t="n">
        <v>55.15</v>
      </c>
      <c r="G1105" t="n">
        <v>0</v>
      </c>
      <c r="H1105" t="n">
        <v>0</v>
      </c>
      <c r="I1105" s="3">
        <f>E1105+G1105+H1105</f>
        <v/>
      </c>
      <c r="J1105" s="3">
        <f>ROUND(MIN(IF(C1105="Técnico III",35,IF(C1105="Técnico II",28,IF(C1105="Técnico I",23,IF(C1105="JR",20,IF(C1105="Estágio",10,0))))),IF(C1105="Técnico III",SUMIFS($D:$D,$A:$A,$A1105,$B:$B,"&lt;&gt;Patrícia Karla de Sousa Araújo",$B:$B,"&lt;&gt;Lorena Dias de Araujo",$B:$B,"&lt;&gt;Lucas Luiz Romero")*(35/1083),IF(C1105="Técnico II",SUMIFS($D:$D,$A:$A,$A1105,$B:$B,"&lt;&gt;Patrícia Karla de Sousa Araújo",$B:$B,"&lt;&gt;Lorena Dias de Araujo",$B:$B,"&lt;&gt;Lucas Luiz Romero")*(28/1083),IF(C1105="Técnico I",SUMIFS($D:$D,$A:$A,$A1105,$B:$B,"&lt;&gt;Patrícia Karla de Sousa Araújo",$B:$B,"&lt;&gt;Lorena Dias de Araujo",$B:$B,"&lt;&gt;Lucas Luiz Romero")*(23/1083),IF(C1105="JR",SUMIFS($D:$D,$A:$A,$A1105,$B:$B,"&lt;&gt;Patrícia Karla de Sousa Araújo",$B:$B,"&lt;&gt;Lorena Dias de Araujo",$B:$B,"&lt;&gt;Lucas Luiz Romero")*(20/1083),IF(C1105="Estágio",SUMIFS($D:$D,$A:$A,$A1105,$B:$B,"&lt;&gt;Patrícia Karla de Sousa Araújo",$B:$B,"&lt;&gt;Lorena Dias de Araujo",$B:$B,"&lt;&gt;Lucas Luiz Romero")*(10/1083),0)))))),0)</f>
        <v/>
      </c>
      <c r="K1105" s="3">
        <f>I1105-J1105</f>
        <v/>
      </c>
      <c r="L1105" s="3">
        <f>IF(K1105&lt;-5,"CRÍTICO",IF(K1105&lt;0,"ATENÇÃO",IF(K1105&lt;=5,"BOM","EXCELENTE")))</f>
        <v/>
      </c>
      <c r="M1105" t="n">
        <v>5</v>
      </c>
      <c r="N1105" t="n">
        <v>97.56</v>
      </c>
      <c r="O1105" t="n">
        <v>32.51533742331289</v>
      </c>
    </row>
    <row r="1106" hidden="1">
      <c r="A1106" s="11" t="n">
        <v>46035</v>
      </c>
      <c r="B1106" t="inlineStr">
        <is>
          <t>Kerollen Cristielly de Jesus Siqueira</t>
        </is>
      </c>
      <c r="C1106" t="inlineStr">
        <is>
          <t>Técnico III</t>
        </is>
      </c>
      <c r="D1106" t="n">
        <v>23</v>
      </c>
      <c r="E1106" t="n">
        <v>23</v>
      </c>
      <c r="F1106" t="n">
        <v>22.39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18</v>
      </c>
      <c r="N1106" t="n">
        <v>97.11</v>
      </c>
      <c r="O1106" t="n">
        <v>37.40831295843521</v>
      </c>
    </row>
    <row r="1107" hidden="1">
      <c r="A1107" s="11" t="n">
        <v>46035</v>
      </c>
      <c r="B1107" t="inlineStr">
        <is>
          <t>Leandro de Souza Silva</t>
        </is>
      </c>
      <c r="C1107" t="inlineStr">
        <is>
          <t>JR</t>
        </is>
      </c>
      <c r="D1107" t="n">
        <v>0</v>
      </c>
      <c r="E1107" t="n">
        <v>0</v>
      </c>
      <c r="F1107" t="n">
        <v>0</v>
      </c>
      <c r="G1107" t="n">
        <v>0</v>
      </c>
      <c r="H1107" t="n">
        <v>0</v>
      </c>
      <c r="I1107" s="3" t="n">
        <v>0</v>
      </c>
      <c r="J1107" s="3" t="n">
        <v>0</v>
      </c>
      <c r="K1107" s="3" t="n">
        <v>0</v>
      </c>
      <c r="L1107" s="3">
        <f>IF(K1107&lt;-5,"CRÍTICO",IF(K1107&lt;0,"ATENÇÃO",IF(K1107&lt;=5,"BOM","EXCELENTE")))</f>
        <v/>
      </c>
      <c r="M1107" t="n">
        <v>0</v>
      </c>
      <c r="N1107" t="n">
        <v>0</v>
      </c>
      <c r="O1107" t="n">
        <v>0</v>
      </c>
    </row>
    <row r="1108" hidden="1">
      <c r="A1108" s="11" t="n">
        <v>46035</v>
      </c>
      <c r="B1108" t="inlineStr">
        <is>
          <t>Leandro Oliveira de Sousa</t>
        </is>
      </c>
      <c r="C1108" t="inlineStr">
        <is>
          <t>Técnico III</t>
        </is>
      </c>
      <c r="D1108" t="n">
        <v>26</v>
      </c>
      <c r="E1108" t="n">
        <v>25</v>
      </c>
      <c r="F1108" t="n">
        <v>20.39</v>
      </c>
      <c r="G1108" t="n">
        <v>0</v>
      </c>
      <c r="H1108" t="n">
        <v>0</v>
      </c>
      <c r="I1108" s="3">
        <f>E1108+G1108+H1108</f>
        <v/>
      </c>
      <c r="J1108" s="3">
        <f>ROUND(MIN(IF(C1108="Técnico III",35,IF(C1108="Técnico II",28,IF(C1108="Técnico I",23,IF(C1108="JR",20,IF(C1108="Estágio",10,0))))),IF(C1108="Técnico III",SUMIFS($D:$D,$A:$A,$A1108,$B:$B,"&lt;&gt;Patrícia Karla de Sousa Araújo",$B:$B,"&lt;&gt;Lorena Dias de Araujo",$B:$B,"&lt;&gt;Lucas Luiz Romero")*(35/1083),IF(C1108="Técnico II",SUMIFS($D:$D,$A:$A,$A1108,$B:$B,"&lt;&gt;Patrícia Karla de Sousa Araújo",$B:$B,"&lt;&gt;Lorena Dias de Araujo",$B:$B,"&lt;&gt;Lucas Luiz Romero")*(28/1083),IF(C1108="Técnico I",SUMIFS($D:$D,$A:$A,$A1108,$B:$B,"&lt;&gt;Patrícia Karla de Sousa Araújo",$B:$B,"&lt;&gt;Lorena Dias de Araujo",$B:$B,"&lt;&gt;Lucas Luiz Romero")*(23/1083),IF(C1108="JR",SUMIFS($D:$D,$A:$A,$A1108,$B:$B,"&lt;&gt;Patrícia Karla de Sousa Araújo",$B:$B,"&lt;&gt;Lorena Dias de Araujo",$B:$B,"&lt;&gt;Lucas Luiz Romero")*(20/1083),IF(C1108="Estágio",SUMIFS($D:$D,$A:$A,$A1108,$B:$B,"&lt;&gt;Patrícia Karla de Sousa Araújo",$B:$B,"&lt;&gt;Lorena Dias de Araujo",$B:$B,"&lt;&gt;Lucas Luiz Romero")*(10/1083),0)))))),0)</f>
        <v/>
      </c>
      <c r="K1108" s="3">
        <f>I1108-J1108</f>
        <v/>
      </c>
      <c r="L1108" s="3">
        <f>IF(K1108&lt;-5,"CRÍTICO",IF(K1108&lt;0,"ATENÇÃO",IF(K1108&lt;=5,"BOM","EXCELENTE")))</f>
        <v/>
      </c>
      <c r="M1108" t="n">
        <v>20</v>
      </c>
      <c r="N1108" t="n">
        <v>100</v>
      </c>
      <c r="O1108" t="n">
        <v>30.47034764826176</v>
      </c>
    </row>
    <row r="1109" hidden="1">
      <c r="A1109" s="11" t="n">
        <v>46035</v>
      </c>
      <c r="B1109" t="inlineStr">
        <is>
          <t>Lizandra Gomes Duarte</t>
        </is>
      </c>
      <c r="C1109" t="inlineStr">
        <is>
          <t>Técnico II</t>
        </is>
      </c>
      <c r="D1109" t="n">
        <v>15</v>
      </c>
      <c r="E1109" t="n">
        <v>15</v>
      </c>
      <c r="F1109" t="n">
        <v>18.41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10</v>
      </c>
      <c r="N1109" t="n">
        <v>100</v>
      </c>
      <c r="O1109" t="n">
        <v>32.37113402061856</v>
      </c>
    </row>
    <row r="1110" hidden="1">
      <c r="A1110" s="11" t="n">
        <v>46035</v>
      </c>
      <c r="B1110" t="inlineStr">
        <is>
          <t>Lorena Dias de Araujo</t>
        </is>
      </c>
      <c r="C1110" t="inlineStr">
        <is>
          <t>Técnico II</t>
        </is>
      </c>
      <c r="D1110" t="n">
        <v>23</v>
      </c>
      <c r="E1110" t="n">
        <v>20</v>
      </c>
      <c r="F1110" t="n">
        <v>20.24</v>
      </c>
      <c r="G1110" t="n">
        <v>0</v>
      </c>
      <c r="H1110" t="n">
        <v>0</v>
      </c>
      <c r="I1110" s="3" t="n">
        <v>0</v>
      </c>
      <c r="J1110" s="3" t="n">
        <v>0</v>
      </c>
      <c r="K1110" s="3" t="n">
        <v>0</v>
      </c>
      <c r="L1110" s="3">
        <f>IF(K1110&lt;-5,"CRÍTICO",IF(K1110&lt;0,"ATENÇÃO",IF(K1110&lt;=5,"BOM","EXCELENTE")))</f>
        <v/>
      </c>
      <c r="M1110" t="n">
        <v>18</v>
      </c>
      <c r="N1110" t="n">
        <v>98.31999999999999</v>
      </c>
      <c r="O1110" t="n">
        <v>32.31850117096019</v>
      </c>
    </row>
    <row r="1111" hidden="1">
      <c r="A1111" s="11" t="n">
        <v>46035</v>
      </c>
      <c r="B1111" t="inlineStr">
        <is>
          <t>Lucas Luiz Romero</t>
        </is>
      </c>
      <c r="C1111" t="inlineStr">
        <is>
          <t>Técnico III</t>
        </is>
      </c>
      <c r="D1111" t="n">
        <v>35</v>
      </c>
      <c r="E1111" t="n">
        <v>29</v>
      </c>
      <c r="F1111" t="n">
        <v>16.43</v>
      </c>
      <c r="G1111" t="n">
        <v>0</v>
      </c>
      <c r="H1111" t="n">
        <v>0</v>
      </c>
      <c r="I1111" s="3">
        <f>E1111+G1111+H1111</f>
        <v/>
      </c>
      <c r="J1111" s="3">
        <f>ROUND(MIN(IF(C1111="Técnico III",35,IF(C1111="Técnico II",28,IF(C1111="Técnico I",23,IF(C1111="JR",20,IF(C1111="Estágio",10,0))))),IF(C1111="Técnico III",SUMIFS($D:$D,$A:$A,$A1111,$B:$B,"&lt;&gt;Patrícia Karla de Sousa Araújo",$B:$B,"&lt;&gt;Lorena Dias de Araujo",$B:$B,"&lt;&gt;Lucas Luiz Romero")*(35/1083),IF(C1111="Técnico II",SUMIFS($D:$D,$A:$A,$A1111,$B:$B,"&lt;&gt;Patrícia Karla de Sousa Araújo",$B:$B,"&lt;&gt;Lorena Dias de Araujo",$B:$B,"&lt;&gt;Lucas Luiz Romero")*(28/1083),IF(C1111="Técnico I",SUMIFS($D:$D,$A:$A,$A1111,$B:$B,"&lt;&gt;Patrícia Karla de Sousa Araújo",$B:$B,"&lt;&gt;Lorena Dias de Araujo",$B:$B,"&lt;&gt;Lucas Luiz Romero")*(23/1083),IF(C1111="JR",SUMIFS($D:$D,$A:$A,$A1111,$B:$B,"&lt;&gt;Patrícia Karla de Sousa Araújo",$B:$B,"&lt;&gt;Lorena Dias de Araujo",$B:$B,"&lt;&gt;Lucas Luiz Romero")*(20/1083),IF(C1111="Estágio",SUMIFS($D:$D,$A:$A,$A1111,$B:$B,"&lt;&gt;Patrícia Karla de Sousa Araújo",$B:$B,"&lt;&gt;Lorena Dias de Araujo",$B:$B,"&lt;&gt;Lucas Luiz Romero")*(10/1083),0)))))),0)</f>
        <v/>
      </c>
      <c r="K1111" s="3">
        <f>I1111-J1111</f>
        <v/>
      </c>
      <c r="L1111" s="3">
        <f>IF(K1111&lt;-5,"CRÍTICO",IF(K1111&lt;0,"ATENÇÃO",IF(K1111&lt;=5,"BOM","EXCELENTE")))</f>
        <v/>
      </c>
      <c r="M1111" t="n">
        <v>18</v>
      </c>
      <c r="N1111" t="n">
        <v>96.43000000000001</v>
      </c>
      <c r="O1111" t="n">
        <v>27.01525054466231</v>
      </c>
    </row>
    <row r="1112" hidden="1">
      <c r="A1112" s="11" t="n">
        <v>46035</v>
      </c>
      <c r="B1112" t="inlineStr">
        <is>
          <t>Luiz Fernando de Carvalho Junior</t>
        </is>
      </c>
      <c r="C1112" t="inlineStr">
        <is>
          <t>Técnico I</t>
        </is>
      </c>
      <c r="D1112" t="n">
        <v>14</v>
      </c>
      <c r="E1112" t="n">
        <v>13</v>
      </c>
      <c r="F1112" t="n">
        <v>33.42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12</v>
      </c>
      <c r="N1112" t="n">
        <v>98.89</v>
      </c>
      <c r="O1112" t="n">
        <v>28.02197802197802</v>
      </c>
    </row>
    <row r="1113" hidden="1">
      <c r="A1113" s="11" t="n">
        <v>46035</v>
      </c>
      <c r="B1113" t="inlineStr">
        <is>
          <t>Maria Eduarda Sousa Costa</t>
        </is>
      </c>
      <c r="C1113" t="inlineStr">
        <is>
          <t>Estágio</t>
        </is>
      </c>
      <c r="D1113" t="n">
        <v>7</v>
      </c>
      <c r="E1113" t="n">
        <v>6</v>
      </c>
      <c r="F1113" t="n">
        <v>42.32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3</v>
      </c>
      <c r="N1113" t="n">
        <v>100</v>
      </c>
      <c r="O1113" t="n">
        <v>33.33333333333333</v>
      </c>
    </row>
    <row r="1114" hidden="1">
      <c r="A1114" s="11" t="n">
        <v>46035</v>
      </c>
      <c r="B1114" t="inlineStr">
        <is>
          <t>Matheus Farias De Souza</t>
        </is>
      </c>
      <c r="C1114" t="inlineStr">
        <is>
          <t>Técnico III</t>
        </is>
      </c>
      <c r="D1114" t="n">
        <v>0</v>
      </c>
      <c r="E1114" t="n">
        <v>0</v>
      </c>
      <c r="F1114" t="n">
        <v>0</v>
      </c>
      <c r="G1114" t="n">
        <v>0</v>
      </c>
      <c r="H1114" t="n">
        <v>0</v>
      </c>
      <c r="I1114" s="3" t="n">
        <v>0</v>
      </c>
      <c r="J1114" s="3" t="n">
        <v>0</v>
      </c>
      <c r="K1114" s="3" t="n">
        <v>0</v>
      </c>
      <c r="L1114" s="3">
        <f>IF(K1114&lt;-5,"CRÍTICO",IF(K1114&lt;0,"ATENÇÃO",IF(K1114&lt;=5,"BOM","EXCELENTE")))</f>
        <v/>
      </c>
      <c r="M1114" t="n">
        <v>0</v>
      </c>
      <c r="N1114" t="n">
        <v>100</v>
      </c>
      <c r="O1114" t="n">
        <v>27.43362831858407</v>
      </c>
    </row>
    <row r="1115" hidden="1">
      <c r="A1115" s="11" t="n">
        <v>46035</v>
      </c>
      <c r="B1115" t="inlineStr">
        <is>
          <t>Maysa Victoria Dias Moura</t>
        </is>
      </c>
      <c r="C1115" t="inlineStr">
        <is>
          <t>Técnico III</t>
        </is>
      </c>
      <c r="D1115" t="n">
        <v>35</v>
      </c>
      <c r="E1115" t="n">
        <v>32</v>
      </c>
      <c r="F1115" t="n">
        <v>10.59</v>
      </c>
      <c r="G1115" t="n">
        <v>0</v>
      </c>
      <c r="H1115" t="n">
        <v>0</v>
      </c>
      <c r="I1115" s="3">
        <f>E1115+G1115+H1115</f>
        <v/>
      </c>
      <c r="J1115" s="3">
        <f>ROUND(MIN(IF(C1115="Técnico III",35,IF(C1115="Técnico II",28,IF(C1115="Técnico I",23,IF(C1115="JR",20,IF(C1115="Estágio",10,0))))),IF(C1115="Técnico III",SUMIFS($D:$D,$A:$A,$A1115,$B:$B,"&lt;&gt;Patrícia Karla de Sousa Araújo",$B:$B,"&lt;&gt;Lorena Dias de Araujo",$B:$B,"&lt;&gt;Lucas Luiz Romero")*(35/1083),IF(C1115="Técnico II",SUMIFS($D:$D,$A:$A,$A1115,$B:$B,"&lt;&gt;Patrícia Karla de Sousa Araújo",$B:$B,"&lt;&gt;Lorena Dias de Araujo",$B:$B,"&lt;&gt;Lucas Luiz Romero")*(28/1083),IF(C1115="Técnico I",SUMIFS($D:$D,$A:$A,$A1115,$B:$B,"&lt;&gt;Patrícia Karla de Sousa Araújo",$B:$B,"&lt;&gt;Lorena Dias de Araujo",$B:$B,"&lt;&gt;Lucas Luiz Romero")*(23/1083),IF(C1115="JR",SUMIFS($D:$D,$A:$A,$A1115,$B:$B,"&lt;&gt;Patrícia Karla de Sousa Araújo",$B:$B,"&lt;&gt;Lorena Dias de Araujo",$B:$B,"&lt;&gt;Lucas Luiz Romero")*(20/1083),IF(C1115="Estágio",SUMIFS($D:$D,$A:$A,$A1115,$B:$B,"&lt;&gt;Patrícia Karla de Sousa Araújo",$B:$B,"&lt;&gt;Lorena Dias de Araujo",$B:$B,"&lt;&gt;Lucas Luiz Romero")*(10/1083),0)))))),0)</f>
        <v/>
      </c>
      <c r="K1115" s="3">
        <f>I1115-J1115</f>
        <v/>
      </c>
      <c r="L1115" s="3">
        <f>IF(K1115&lt;-5,"CRÍTICO",IF(K1115&lt;0,"ATENÇÃO",IF(K1115&lt;=5,"BOM","EXCELENTE")))</f>
        <v/>
      </c>
      <c r="M1115" t="n">
        <v>29</v>
      </c>
      <c r="N1115" t="n">
        <v>98.65000000000001</v>
      </c>
      <c r="O1115" t="n">
        <v>30.97826086956522</v>
      </c>
    </row>
    <row r="1116" hidden="1">
      <c r="A1116" s="11" t="n">
        <v>46035</v>
      </c>
      <c r="B1116" t="inlineStr">
        <is>
          <t>Michelle G Santos</t>
        </is>
      </c>
      <c r="C1116" t="inlineStr">
        <is>
          <t>Estágio</t>
        </is>
      </c>
      <c r="D1116" t="n">
        <v>0</v>
      </c>
      <c r="E1116" t="n">
        <v>0</v>
      </c>
      <c r="F1116" t="n">
        <v>0</v>
      </c>
      <c r="G1116" t="n">
        <v>0</v>
      </c>
      <c r="H1116" t="n">
        <v>0</v>
      </c>
      <c r="I1116" s="3" t="n">
        <v>0</v>
      </c>
      <c r="J1116" s="3" t="n">
        <v>0</v>
      </c>
      <c r="K1116" s="3" t="n">
        <v>0</v>
      </c>
      <c r="L1116" s="3">
        <f>IF(K1116&lt;-5,"CRÍTICO",IF(K1116&lt;0,"ATENÇÃO",IF(K1116&lt;=5,"BOM","EXCELENTE")))</f>
        <v/>
      </c>
      <c r="M1116" t="n">
        <v>0</v>
      </c>
      <c r="N1116" t="n">
        <v>100</v>
      </c>
      <c r="O1116" t="n">
        <v>12</v>
      </c>
    </row>
    <row r="1117" hidden="1">
      <c r="A1117" s="11" t="n">
        <v>46035</v>
      </c>
      <c r="B1117" t="inlineStr">
        <is>
          <t>Milena Sales</t>
        </is>
      </c>
      <c r="C1117" t="inlineStr">
        <is>
          <t>JR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Patrícia Karla de Sousa Araújo</t>
        </is>
      </c>
      <c r="C1118" t="inlineStr">
        <is>
          <t>Técnico II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97.56</v>
      </c>
      <c r="O1118" t="n">
        <v>31.06796116504854</v>
      </c>
    </row>
    <row r="1119" hidden="1">
      <c r="A1119" s="11" t="n">
        <v>46035</v>
      </c>
      <c r="B1119" t="inlineStr">
        <is>
          <t>Paulo Ricardo Santos</t>
        </is>
      </c>
      <c r="C1119" t="inlineStr">
        <is>
          <t>JR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0</v>
      </c>
      <c r="O1119" t="n">
        <v>0</v>
      </c>
    </row>
    <row r="1120" hidden="1">
      <c r="A1120" s="11" t="n">
        <v>46035</v>
      </c>
      <c r="B1120" t="inlineStr">
        <is>
          <t>Pedro Luiz Mota Sousa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Quirino Diogo Leite Torres</t>
        </is>
      </c>
      <c r="C1121" t="inlineStr">
        <is>
          <t>Estágio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Raane Batista Matos</t>
        </is>
      </c>
      <c r="C1122" t="inlineStr">
        <is>
          <t>Técnico I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100</v>
      </c>
      <c r="O1122" t="n">
        <v>53.84615384615385</v>
      </c>
    </row>
    <row r="1123" hidden="1">
      <c r="A1123" s="11" t="n">
        <v>46035</v>
      </c>
      <c r="B1123" t="inlineStr">
        <is>
          <t>Rafael Gomes de Morais</t>
        </is>
      </c>
      <c r="C1123" t="inlineStr">
        <is>
          <t>Técnico III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100</v>
      </c>
      <c r="O1123" t="n">
        <v>44.05594405594406</v>
      </c>
    </row>
    <row r="1124" hidden="1">
      <c r="A1124" s="11" t="n">
        <v>46035</v>
      </c>
      <c r="B1124" t="inlineStr">
        <is>
          <t>Sara Maria Monteiro Lopes</t>
        </is>
      </c>
      <c r="C1124" t="inlineStr">
        <is>
          <t>Técnico I</t>
        </is>
      </c>
      <c r="D1124" t="n">
        <v>9</v>
      </c>
      <c r="E1124" t="n">
        <v>9</v>
      </c>
      <c r="F1124" t="n">
        <v>69.09999999999999</v>
      </c>
      <c r="G1124" t="n">
        <v>0</v>
      </c>
      <c r="H1124" t="n">
        <v>0</v>
      </c>
      <c r="I1124" s="3">
        <f>E1124+G1124+H1124</f>
        <v/>
      </c>
      <c r="J1124" s="3">
        <f>ROUND(MIN(IF(C1124="Técnico III",35,IF(C1124="Técnico II",28,IF(C1124="Técnico I",23,IF(C1124="JR",20,IF(C1124="Estágio",10,0))))),IF(C1124="Técnico III",SUMIFS($D:$D,$A:$A,$A1124,$B:$B,"&lt;&gt;Patrícia Karla de Sousa Araújo",$B:$B,"&lt;&gt;Lorena Dias de Araujo",$B:$B,"&lt;&gt;Lucas Luiz Romero")*(35/1083),IF(C1124="Técnico II",SUMIFS($D:$D,$A:$A,$A1124,$B:$B,"&lt;&gt;Patrícia Karla de Sousa Araújo",$B:$B,"&lt;&gt;Lorena Dias de Araujo",$B:$B,"&lt;&gt;Lucas Luiz Romero")*(28/1083),IF(C1124="Técnico I",SUMIFS($D:$D,$A:$A,$A1124,$B:$B,"&lt;&gt;Patrícia Karla de Sousa Araújo",$B:$B,"&lt;&gt;Lorena Dias de Araujo",$B:$B,"&lt;&gt;Lucas Luiz Romero")*(23/1083),IF(C1124="JR",SUMIFS($D:$D,$A:$A,$A1124,$B:$B,"&lt;&gt;Patrícia Karla de Sousa Araújo",$B:$B,"&lt;&gt;Lorena Dias de Araujo",$B:$B,"&lt;&gt;Lucas Luiz Romero")*(20/1083),IF(C1124="Estágio",SUMIFS($D:$D,$A:$A,$A1124,$B:$B,"&lt;&gt;Patrícia Karla de Sousa Araújo",$B:$B,"&lt;&gt;Lorena Dias de Araujo",$B:$B,"&lt;&gt;Lucas Luiz Romero")*(10/1083),0)))))),0)</f>
        <v/>
      </c>
      <c r="K1124" s="3">
        <f>I1124-J1124</f>
        <v/>
      </c>
      <c r="L1124" s="3">
        <f>IF(K1124&lt;-5,"CRÍTICO",IF(K1124&lt;0,"ATENÇÃO",IF(K1124&lt;=5,"BOM","EXCELENTE")))</f>
        <v/>
      </c>
      <c r="M1124" t="n">
        <v>8</v>
      </c>
      <c r="N1124" t="n">
        <v>100</v>
      </c>
      <c r="O1124" t="n">
        <v>31.87250996015936</v>
      </c>
    </row>
    <row r="1125" hidden="1">
      <c r="A1125" s="11" t="n">
        <v>46035</v>
      </c>
      <c r="B1125" t="inlineStr">
        <is>
          <t>Sarah Steffanie de Lima Borges</t>
        </is>
      </c>
      <c r="C1125" t="inlineStr">
        <is>
          <t>Técnico III</t>
        </is>
      </c>
      <c r="D1125" t="n">
        <v>28</v>
      </c>
      <c r="E1125" t="n">
        <v>25</v>
      </c>
      <c r="F1125" t="n">
        <v>14.14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19</v>
      </c>
      <c r="N1125" t="n">
        <v>98.41</v>
      </c>
      <c r="O1125" t="n">
        <v>29.22465208747515</v>
      </c>
    </row>
    <row r="1126" hidden="1">
      <c r="A1126" s="11" t="n">
        <v>46036</v>
      </c>
      <c r="B1126" t="inlineStr">
        <is>
          <t>Alisson de Freitas Silva</t>
        </is>
      </c>
      <c r="C1126" t="inlineStr">
        <is>
          <t>Técnico II</t>
        </is>
      </c>
      <c r="D1126" t="n">
        <v>18</v>
      </c>
      <c r="E1126" t="n">
        <v>15</v>
      </c>
      <c r="F1126" t="n">
        <v>27.01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17</v>
      </c>
      <c r="N1126" t="n">
        <v>96.81</v>
      </c>
      <c r="O1126" t="n">
        <v>27.98053527980535</v>
      </c>
    </row>
    <row r="1127" hidden="1">
      <c r="A1127" s="11" t="n">
        <v>46036</v>
      </c>
      <c r="B1127" t="inlineStr">
        <is>
          <t>Amanda Moura Ferreira</t>
        </is>
      </c>
      <c r="C1127" t="inlineStr">
        <is>
          <t>Técnico III</t>
        </is>
      </c>
      <c r="D1127" t="n">
        <v>0</v>
      </c>
      <c r="E1127" t="n">
        <v>0</v>
      </c>
      <c r="F1127" t="n">
        <v>0</v>
      </c>
      <c r="G1127" t="n">
        <v>0</v>
      </c>
      <c r="H1127" t="n">
        <v>0</v>
      </c>
      <c r="I1127" s="3" t="n">
        <v>0</v>
      </c>
      <c r="J1127" s="3" t="n">
        <v>0</v>
      </c>
      <c r="K1127" s="3" t="n">
        <v>0</v>
      </c>
      <c r="L1127" s="3">
        <f>IF(K1127&lt;-5,"CRÍTICO",IF(K1127&lt;0,"ATENÇÃO",IF(K1127&lt;=5,"BOM","EXCELENTE")))</f>
        <v/>
      </c>
      <c r="M1127" t="n">
        <v>20</v>
      </c>
      <c r="N1127" t="n">
        <v>98.73</v>
      </c>
      <c r="O1127" t="n">
        <v>35.75638506876228</v>
      </c>
    </row>
    <row r="1128" hidden="1">
      <c r="A1128" s="11" t="n">
        <v>46036</v>
      </c>
      <c r="B1128" t="inlineStr">
        <is>
          <t>Ana Karollyne Souza Faria</t>
        </is>
      </c>
      <c r="C1128" t="inlineStr">
        <is>
          <t>Técnico I</t>
        </is>
      </c>
      <c r="D1128" t="n">
        <v>21</v>
      </c>
      <c r="E1128" t="n">
        <v>20</v>
      </c>
      <c r="F1128" t="n">
        <v>30.51</v>
      </c>
      <c r="G1128" t="n">
        <v>0</v>
      </c>
      <c r="H1128" t="n">
        <v>0</v>
      </c>
      <c r="I1128" s="3">
        <f>E1128+G1128+H1128</f>
        <v/>
      </c>
      <c r="J1128" s="3">
        <f>ROUND(MIN(IF(C1128="Técnico III",35,IF(C1128="Técnico II",28,IF(C1128="Técnico I",23,IF(C1128="JR",20,IF(C1128="Estágio",10,0))))),IF(C1128="Técnico III",SUMIFS($D:$D,$A:$A,$A1128,$B:$B,"&lt;&gt;Patrícia Karla de Sousa Araújo",$B:$B,"&lt;&gt;Lorena Dias de Araujo",$B:$B,"&lt;&gt;Lucas Luiz Romero")*(35/1083),IF(C1128="Técnico II",SUMIFS($D:$D,$A:$A,$A1128,$B:$B,"&lt;&gt;Patrícia Karla de Sousa Araújo",$B:$B,"&lt;&gt;Lorena Dias de Araujo",$B:$B,"&lt;&gt;Lucas Luiz Romero")*(28/1083),IF(C1128="Técnico I",SUMIFS($D:$D,$A:$A,$A1128,$B:$B,"&lt;&gt;Patrícia Karla de Sousa Araújo",$B:$B,"&lt;&gt;Lorena Dias de Araujo",$B:$B,"&lt;&gt;Lucas Luiz Romero")*(23/1083),IF(C1128="JR",SUMIFS($D:$D,$A:$A,$A1128,$B:$B,"&lt;&gt;Patrícia Karla de Sousa Araújo",$B:$B,"&lt;&gt;Lorena Dias de Araujo",$B:$B,"&lt;&gt;Lucas Luiz Romero")*(20/1083),IF(C1128="Estágio",SUMIFS($D:$D,$A:$A,$A1128,$B:$B,"&lt;&gt;Patrícia Karla de Sousa Araújo",$B:$B,"&lt;&gt;Lorena Dias de Araujo",$B:$B,"&lt;&gt;Lucas Luiz Romero")*(10/1083),0)))))),0)</f>
        <v/>
      </c>
      <c r="K1128" s="3">
        <f>I1128-J1128</f>
        <v/>
      </c>
      <c r="L1128" s="3">
        <f>IF(K1128&lt;-5,"CRÍTICO",IF(K1128&lt;0,"ATENÇÃO",IF(K1128&lt;=5,"BOM","EXCELENTE")))</f>
        <v/>
      </c>
      <c r="M1128" t="n">
        <v>19</v>
      </c>
      <c r="N1128" t="n">
        <v>98.31999999999999</v>
      </c>
      <c r="O1128" t="n">
        <v>26.76348547717842</v>
      </c>
    </row>
    <row r="1129" hidden="1">
      <c r="A1129" s="11" t="n">
        <v>46036</v>
      </c>
      <c r="B1129" t="inlineStr">
        <is>
          <t>Ana Paula Da Luz Silva Aleixo</t>
        </is>
      </c>
      <c r="C1129" t="inlineStr">
        <is>
          <t>Técnico III</t>
        </is>
      </c>
      <c r="D1129" t="n">
        <v>6</v>
      </c>
      <c r="E1129" t="n">
        <v>6</v>
      </c>
      <c r="F1129" t="n">
        <v>23.54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4</v>
      </c>
      <c r="N1129" t="n">
        <v>99.19</v>
      </c>
      <c r="O1129" t="n">
        <v>27.63713080168776</v>
      </c>
    </row>
    <row r="1130" hidden="1">
      <c r="A1130" s="11" t="n">
        <v>46036</v>
      </c>
      <c r="B1130" t="inlineStr">
        <is>
          <t>Anna Luiza Rezende Tavares</t>
        </is>
      </c>
      <c r="C1130" t="inlineStr">
        <is>
          <t>Estágio</t>
        </is>
      </c>
      <c r="D1130" t="n">
        <v>9</v>
      </c>
      <c r="E1130" t="n">
        <v>9</v>
      </c>
      <c r="F1130" t="n">
        <v>49.18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7</v>
      </c>
      <c r="N1130" t="n">
        <v>100</v>
      </c>
      <c r="O1130" t="n">
        <v>39.56834532374101</v>
      </c>
    </row>
    <row r="1131" hidden="1">
      <c r="A1131" s="11" t="n">
        <v>46036</v>
      </c>
      <c r="B1131" t="inlineStr">
        <is>
          <t>Brenda de Menezes Silva</t>
        </is>
      </c>
      <c r="C1131" t="inlineStr">
        <is>
          <t>Técnico II</t>
        </is>
      </c>
      <c r="D1131" t="n">
        <v>30</v>
      </c>
      <c r="E1131" t="n">
        <v>27</v>
      </c>
      <c r="F1131" t="n">
        <v>20.06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26</v>
      </c>
      <c r="N1131" t="n">
        <v>98.54000000000001</v>
      </c>
      <c r="O1131" t="n">
        <v>28.54477611940299</v>
      </c>
    </row>
    <row r="1132" hidden="1">
      <c r="A1132" s="11" t="n">
        <v>46036</v>
      </c>
      <c r="B1132" t="inlineStr">
        <is>
          <t>Carlos Mateus Cassimiro Nunes</t>
        </is>
      </c>
      <c r="C1132" t="inlineStr">
        <is>
          <t>Técnico II</t>
        </is>
      </c>
      <c r="D1132" t="n">
        <v>25</v>
      </c>
      <c r="E1132" t="n">
        <v>23</v>
      </c>
      <c r="F1132" t="n">
        <v>22.36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24</v>
      </c>
      <c r="N1132" t="n">
        <v>100</v>
      </c>
      <c r="O1132" t="n">
        <v>34.36692506459949</v>
      </c>
    </row>
    <row r="1133" hidden="1">
      <c r="A1133" s="11" t="n">
        <v>46036</v>
      </c>
      <c r="B1133" t="inlineStr">
        <is>
          <t>Claudio de Sousa Velasco Filho</t>
        </is>
      </c>
      <c r="C1133" t="inlineStr">
        <is>
          <t>Estágio</t>
        </is>
      </c>
      <c r="D1133" t="n">
        <v>0</v>
      </c>
      <c r="E1133" t="n">
        <v>0</v>
      </c>
      <c r="F1133" t="n">
        <v>0</v>
      </c>
      <c r="G1133" t="n">
        <v>0</v>
      </c>
      <c r="H1133" t="n">
        <v>0</v>
      </c>
      <c r="I1133" s="3" t="n">
        <v>0</v>
      </c>
      <c r="J1133" s="3" t="n">
        <v>0</v>
      </c>
      <c r="K1133" s="3" t="n">
        <v>0</v>
      </c>
      <c r="L1133" s="3">
        <f>IF(K1133&lt;-5,"CRÍTICO",IF(K1133&lt;0,"ATENÇÃO",IF(K1133&lt;=5,"BOM","EXCELENTE")))</f>
        <v/>
      </c>
      <c r="M1133" t="n">
        <v>0</v>
      </c>
      <c r="N1133" t="n">
        <v>0</v>
      </c>
      <c r="O1133" t="n">
        <v>0</v>
      </c>
    </row>
    <row r="1134" hidden="1">
      <c r="A1134" s="11" t="n">
        <v>46036</v>
      </c>
      <c r="B1134" t="inlineStr">
        <is>
          <t>Clessiane Pereira dos Santos</t>
        </is>
      </c>
      <c r="C1134" t="inlineStr">
        <is>
          <t>Técnico I</t>
        </is>
      </c>
      <c r="D1134" t="n">
        <v>16</v>
      </c>
      <c r="E1134" t="n">
        <v>16</v>
      </c>
      <c r="F1134" t="n">
        <v>29.13</v>
      </c>
      <c r="G1134" t="n">
        <v>0</v>
      </c>
      <c r="H1134" t="n">
        <v>0</v>
      </c>
      <c r="I1134" s="3">
        <f>E1134+G1134+H1134</f>
        <v/>
      </c>
      <c r="J1134" s="3">
        <f>ROUND(MIN(IF(C1134="Técnico III",35,IF(C1134="Técnico II",28,IF(C1134="Técnico I",23,IF(C1134="JR",20,IF(C1134="Estágio",10,0))))),IF(C1134="Técnico III",SUMIFS($D:$D,$A:$A,$A1134,$B:$B,"&lt;&gt;Patrícia Karla de Sousa Araújo",$B:$B,"&lt;&gt;Lorena Dias de Araujo",$B:$B,"&lt;&gt;Lucas Luiz Romero")*(35/1083),IF(C1134="Técnico II",SUMIFS($D:$D,$A:$A,$A1134,$B:$B,"&lt;&gt;Patrícia Karla de Sousa Araújo",$B:$B,"&lt;&gt;Lorena Dias de Araujo",$B:$B,"&lt;&gt;Lucas Luiz Romero")*(28/1083),IF(C1134="Técnico I",SUMIFS($D:$D,$A:$A,$A1134,$B:$B,"&lt;&gt;Patrícia Karla de Sousa Araújo",$B:$B,"&lt;&gt;Lorena Dias de Araujo",$B:$B,"&lt;&gt;Lucas Luiz Romero")*(23/1083),IF(C1134="JR",SUMIFS($D:$D,$A:$A,$A1134,$B:$B,"&lt;&gt;Patrícia Karla de Sousa Araújo",$B:$B,"&lt;&gt;Lorena Dias de Araujo",$B:$B,"&lt;&gt;Lucas Luiz Romero")*(20/1083),IF(C1134="Estágio",SUMIFS($D:$D,$A:$A,$A1134,$B:$B,"&lt;&gt;Patrícia Karla de Sousa Araújo",$B:$B,"&lt;&gt;Lorena Dias de Araujo",$B:$B,"&lt;&gt;Lucas Luiz Romero")*(10/1083),0)))))),0)</f>
        <v/>
      </c>
      <c r="K1134" s="3">
        <f>I1134-J1134</f>
        <v/>
      </c>
      <c r="L1134" s="3">
        <f>IF(K1134&lt;-5,"CRÍTICO",IF(K1134&lt;0,"ATENÇÃO",IF(K1134&lt;=5,"BOM","EXCELENTE")))</f>
        <v/>
      </c>
      <c r="M1134" t="n">
        <v>14</v>
      </c>
      <c r="N1134" t="n">
        <v>100</v>
      </c>
      <c r="O1134" t="n">
        <v>29.51807228915663</v>
      </c>
    </row>
    <row r="1135" hidden="1">
      <c r="A1135" s="11" t="n">
        <v>46036</v>
      </c>
      <c r="B1135" t="inlineStr">
        <is>
          <t>Cristiane Ramos da Silva Rocha</t>
        </is>
      </c>
      <c r="C1135" t="inlineStr">
        <is>
          <t>Técnico III</t>
        </is>
      </c>
      <c r="D1135" t="n">
        <v>35</v>
      </c>
      <c r="E1135" t="n">
        <v>32</v>
      </c>
      <c r="F1135" t="n">
        <v>15.37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28</v>
      </c>
      <c r="N1135" t="n">
        <v>97.45</v>
      </c>
      <c r="O1135" t="n">
        <v>41.421143847487</v>
      </c>
    </row>
    <row r="1136" hidden="1">
      <c r="A1136" s="11" t="n">
        <v>46036</v>
      </c>
      <c r="B1136" t="inlineStr">
        <is>
          <t>Damyllis Lorraine de Oliveira Gonçalves</t>
        </is>
      </c>
      <c r="C1136" t="inlineStr">
        <is>
          <t>Técnico II</t>
        </is>
      </c>
      <c r="D1136" t="n">
        <v>20</v>
      </c>
      <c r="E1136" t="n">
        <v>13</v>
      </c>
      <c r="F1136" t="n">
        <v>27.1</v>
      </c>
      <c r="G1136" t="n">
        <v>0</v>
      </c>
      <c r="H1136" t="n">
        <v>0</v>
      </c>
      <c r="I1136" s="3" t="n">
        <v>0</v>
      </c>
      <c r="J1136" s="3" t="n">
        <v>0</v>
      </c>
      <c r="K1136" s="3" t="n">
        <v>0</v>
      </c>
      <c r="L1136" s="3">
        <f>IF(K1136&lt;-5,"CRÍTICO",IF(K1136&lt;0,"ATENÇÃO",IF(K1136&lt;=5,"BOM","EXCELENTE")))</f>
        <v/>
      </c>
      <c r="M1136" t="n">
        <v>12</v>
      </c>
      <c r="N1136" t="n">
        <v>96.58</v>
      </c>
      <c r="O1136" t="n">
        <v>30.39647577092511</v>
      </c>
    </row>
    <row r="1137" hidden="1">
      <c r="A1137" s="11" t="n">
        <v>46036</v>
      </c>
      <c r="B1137" t="inlineStr">
        <is>
          <t>Daniel Gomes da Silva</t>
        </is>
      </c>
      <c r="C1137" t="inlineStr">
        <is>
          <t>Técnico I</t>
        </is>
      </c>
      <c r="D1137" t="n">
        <v>22</v>
      </c>
      <c r="E1137" t="n">
        <v>22</v>
      </c>
      <c r="F1137" t="n">
        <v>18.22</v>
      </c>
      <c r="G1137" t="n">
        <v>0</v>
      </c>
      <c r="H1137" t="n">
        <v>0</v>
      </c>
      <c r="I1137" s="3">
        <f>E1137+G1137+H1137</f>
        <v/>
      </c>
      <c r="J1137" s="3">
        <f>ROUND(MIN(IF(C1137="Técnico III",35,IF(C1137="Técnico II",28,IF(C1137="Técnico I",23,IF(C1137="JR",20,IF(C1137="Estágio",10,0))))),IF(C1137="Técnico III",SUMIFS($D:$D,$A:$A,$A1137,$B:$B,"&lt;&gt;Patrícia Karla de Sousa Araújo",$B:$B,"&lt;&gt;Lorena Dias de Araujo",$B:$B,"&lt;&gt;Lucas Luiz Romero")*(35/1083),IF(C1137="Técnico II",SUMIFS($D:$D,$A:$A,$A1137,$B:$B,"&lt;&gt;Patrícia Karla de Sousa Araújo",$B:$B,"&lt;&gt;Lorena Dias de Araujo",$B:$B,"&lt;&gt;Lucas Luiz Romero")*(28/1083),IF(C1137="Técnico I",SUMIFS($D:$D,$A:$A,$A1137,$B:$B,"&lt;&gt;Patrícia Karla de Sousa Araújo",$B:$B,"&lt;&gt;Lorena Dias de Araujo",$B:$B,"&lt;&gt;Lucas Luiz Romero")*(23/1083),IF(C1137="JR",SUMIFS($D:$D,$A:$A,$A1137,$B:$B,"&lt;&gt;Patrícia Karla de Sousa Araújo",$B:$B,"&lt;&gt;Lorena Dias de Araujo",$B:$B,"&lt;&gt;Lucas Luiz Romero")*(20/1083),IF(C1137="Estágio",SUMIFS($D:$D,$A:$A,$A1137,$B:$B,"&lt;&gt;Patrícia Karla de Sousa Araújo",$B:$B,"&lt;&gt;Lorena Dias de Araujo",$B:$B,"&lt;&gt;Lucas Luiz Romero")*(10/1083),0)))))),0)</f>
        <v/>
      </c>
      <c r="K1137" s="3">
        <f>I1137-J1137</f>
        <v/>
      </c>
      <c r="L1137" s="3">
        <f>IF(K1137&lt;-5,"CRÍTICO",IF(K1137&lt;0,"ATENÇÃO",IF(K1137&lt;=5,"BOM","EXCELENTE")))</f>
        <v/>
      </c>
      <c r="M1137" t="n">
        <v>28</v>
      </c>
      <c r="N1137" t="n">
        <v>100</v>
      </c>
      <c r="O1137" t="n">
        <v>27.44282744282744</v>
      </c>
    </row>
    <row r="1138" hidden="1">
      <c r="A1138" s="11" t="n">
        <v>46036</v>
      </c>
      <c r="B1138" t="inlineStr">
        <is>
          <t>Davylla Rodrigues Freitas Silva</t>
        </is>
      </c>
      <c r="C1138" t="inlineStr">
        <is>
          <t>Técnico III</t>
        </is>
      </c>
      <c r="D1138" t="n">
        <v>28</v>
      </c>
      <c r="E1138" t="n">
        <v>28</v>
      </c>
      <c r="F1138" t="n">
        <v>22.34</v>
      </c>
      <c r="G1138" t="n">
        <v>0</v>
      </c>
      <c r="H1138" t="n">
        <v>0</v>
      </c>
      <c r="I1138" s="3" t="n">
        <v>0</v>
      </c>
      <c r="J1138" s="3" t="n">
        <v>0</v>
      </c>
      <c r="K1138" s="3" t="n">
        <v>0</v>
      </c>
      <c r="L1138" s="3">
        <f>IF(K1138&lt;-5,"CRÍTICO",IF(K1138&lt;0,"ATENÇÃO",IF(K1138&lt;=5,"BOM","EXCELENTE")))</f>
        <v/>
      </c>
      <c r="M1138" t="n">
        <v>27</v>
      </c>
      <c r="N1138" t="n">
        <v>99.48999999999999</v>
      </c>
      <c r="O1138" t="n">
        <v>40.2</v>
      </c>
    </row>
    <row r="1139" hidden="1">
      <c r="A1139" s="11" t="n">
        <v>46036</v>
      </c>
      <c r="B1139" t="inlineStr">
        <is>
          <t>Emilly Caylane Costa</t>
        </is>
      </c>
      <c r="C1139" t="inlineStr">
        <is>
          <t>Estágio</t>
        </is>
      </c>
      <c r="D1139" t="n">
        <v>0</v>
      </c>
      <c r="E1139" t="n">
        <v>0</v>
      </c>
      <c r="F1139" t="n">
        <v>0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0</v>
      </c>
      <c r="N1139" t="n">
        <v>100</v>
      </c>
      <c r="O1139" t="n">
        <v>25</v>
      </c>
    </row>
    <row r="1140" hidden="1">
      <c r="A1140" s="11" t="n">
        <v>46036</v>
      </c>
      <c r="B1140" t="inlineStr">
        <is>
          <t>Emilly Kamilly Medeiros Miranda</t>
        </is>
      </c>
      <c r="C1140" t="inlineStr">
        <is>
          <t>Técnico II</t>
        </is>
      </c>
      <c r="D1140" t="n">
        <v>24</v>
      </c>
      <c r="E1140" t="n">
        <v>21</v>
      </c>
      <c r="F1140" t="n">
        <v>20.02</v>
      </c>
      <c r="G1140" t="n">
        <v>0</v>
      </c>
      <c r="H1140" t="n">
        <v>0</v>
      </c>
      <c r="I1140" s="3">
        <f>E1140+G1140+H1140</f>
        <v/>
      </c>
      <c r="J1140" s="3">
        <f>ROUND(MIN(IF(C1140="Técnico III",35,IF(C1140="Técnico II",28,IF(C1140="Técnico I",23,IF(C1140="JR",20,IF(C1140="Estágio",10,0))))),IF(C1140="Técnico III",SUMIFS($D:$D,$A:$A,$A1140,$B:$B,"&lt;&gt;Patrícia Karla de Sousa Araújo",$B:$B,"&lt;&gt;Lorena Dias de Araujo",$B:$B,"&lt;&gt;Lucas Luiz Romero")*(35/1083),IF(C1140="Técnico II",SUMIFS($D:$D,$A:$A,$A1140,$B:$B,"&lt;&gt;Patrícia Karla de Sousa Araújo",$B:$B,"&lt;&gt;Lorena Dias de Araujo",$B:$B,"&lt;&gt;Lucas Luiz Romero")*(28/1083),IF(C1140="Técnico I",SUMIFS($D:$D,$A:$A,$A1140,$B:$B,"&lt;&gt;Patrícia Karla de Sousa Araújo",$B:$B,"&lt;&gt;Lorena Dias de Araujo",$B:$B,"&lt;&gt;Lucas Luiz Romero")*(23/1083),IF(C1140="JR",SUMIFS($D:$D,$A:$A,$A1140,$B:$B,"&lt;&gt;Patrícia Karla de Sousa Araújo",$B:$B,"&lt;&gt;Lorena Dias de Araujo",$B:$B,"&lt;&gt;Lucas Luiz Romero")*(20/1083),IF(C1140="Estágio",SUMIFS($D:$D,$A:$A,$A1140,$B:$B,"&lt;&gt;Patrícia Karla de Sousa Araújo",$B:$B,"&lt;&gt;Lorena Dias de Araujo",$B:$B,"&lt;&gt;Lucas Luiz Romero")*(10/1083),0)))))),0)</f>
        <v/>
      </c>
      <c r="K1140" s="3">
        <f>I1140-J1140</f>
        <v/>
      </c>
      <c r="L1140" s="3">
        <f>IF(K1140&lt;-5,"CRÍTICO",IF(K1140&lt;0,"ATENÇÃO",IF(K1140&lt;=5,"BOM","EXCELENTE")))</f>
        <v/>
      </c>
      <c r="M1140" t="n">
        <v>22</v>
      </c>
      <c r="N1140" t="n">
        <v>100</v>
      </c>
      <c r="O1140" t="n">
        <v>34.15094339622641</v>
      </c>
    </row>
    <row r="1141" hidden="1">
      <c r="A1141" s="11" t="n">
        <v>46036</v>
      </c>
      <c r="B1141" t="inlineStr">
        <is>
          <t>Francielson de Oliveira</t>
        </is>
      </c>
      <c r="C1141" t="inlineStr">
        <is>
          <t>Técnico III</t>
        </is>
      </c>
      <c r="D1141" t="n">
        <v>15</v>
      </c>
      <c r="E1141" t="n">
        <v>13</v>
      </c>
      <c r="F1141" t="n">
        <v>18.46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10</v>
      </c>
      <c r="N1141" t="n">
        <v>100</v>
      </c>
      <c r="O1141" t="n">
        <v>32.7313769751693</v>
      </c>
    </row>
    <row r="1142" hidden="1">
      <c r="A1142" s="11" t="n">
        <v>46036</v>
      </c>
      <c r="B1142" t="inlineStr">
        <is>
          <t>Francilene Ferreira de Jesus</t>
        </is>
      </c>
      <c r="C1142" t="inlineStr">
        <is>
          <t>Técnico II</t>
        </is>
      </c>
      <c r="D1142" t="n">
        <v>18</v>
      </c>
      <c r="E1142" t="n">
        <v>18</v>
      </c>
      <c r="F1142" t="n">
        <v>25.05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16</v>
      </c>
      <c r="N1142" t="n">
        <v>99.31</v>
      </c>
      <c r="O1142" t="n">
        <v>30.96234309623431</v>
      </c>
    </row>
    <row r="1143" hidden="1">
      <c r="A1143" s="11" t="n">
        <v>46070</v>
      </c>
      <c r="B1143" t="inlineStr">
        <is>
          <t>Gabriel Gomes de Andrade</t>
        </is>
      </c>
      <c r="C1143" t="inlineStr">
        <is>
          <t>Técnico I</t>
        </is>
      </c>
      <c r="D1143" t="n">
        <v>0</v>
      </c>
      <c r="E1143" t="n">
        <v>0</v>
      </c>
      <c r="F1143" t="n">
        <v>0</v>
      </c>
      <c r="G1143" t="n">
        <v>0</v>
      </c>
      <c r="H1143" t="n">
        <v>0</v>
      </c>
      <c r="I1143" s="3" t="n">
        <v>0</v>
      </c>
      <c r="J1143" s="3" t="n">
        <v>0</v>
      </c>
      <c r="K1143" s="3" t="n">
        <v>0</v>
      </c>
      <c r="L1143" s="3">
        <f>IF(K1143&lt;-5,"CRÍTICO",IF(K1143&lt;0,"ATENÇÃO",IF(K1143&lt;=5,"BOM","EXCELENTE")))</f>
        <v/>
      </c>
      <c r="M1143" t="n">
        <v>0</v>
      </c>
      <c r="N1143" t="n">
        <v>96.67</v>
      </c>
      <c r="O1143" t="n">
        <v>31.45161290322581</v>
      </c>
    </row>
    <row r="1144" hidden="1">
      <c r="A1144" s="11" t="n">
        <v>46036</v>
      </c>
      <c r="B1144" t="inlineStr">
        <is>
          <t>Isabella Borges de Oliveira</t>
        </is>
      </c>
      <c r="C1144" t="inlineStr">
        <is>
          <t>Técnico II</t>
        </is>
      </c>
      <c r="D1144" t="n">
        <v>31</v>
      </c>
      <c r="E1144" t="n">
        <v>29</v>
      </c>
      <c r="F1144" t="n">
        <v>20.33</v>
      </c>
      <c r="G1144" t="n">
        <v>0</v>
      </c>
      <c r="H1144" t="n">
        <v>0</v>
      </c>
      <c r="I1144" s="3">
        <f>E1144+G1144+H1144</f>
        <v/>
      </c>
      <c r="J1144" s="3">
        <f>ROUND(MIN(IF(C1144="Técnico III",35,IF(C1144="Técnico II",28,IF(C1144="Técnico I",23,IF(C1144="JR",20,IF(C1144="Estágio",10,0))))),IF(C1144="Técnico III",SUMIFS($D:$D,$A:$A,$A1144,$B:$B,"&lt;&gt;Patrícia Karla de Sousa Araújo",$B:$B,"&lt;&gt;Lorena Dias de Araujo",$B:$B,"&lt;&gt;Lucas Luiz Romero")*(35/1083),IF(C1144="Técnico II",SUMIFS($D:$D,$A:$A,$A1144,$B:$B,"&lt;&gt;Patrícia Karla de Sousa Araújo",$B:$B,"&lt;&gt;Lorena Dias de Araujo",$B:$B,"&lt;&gt;Lucas Luiz Romero")*(28/1083),IF(C1144="Técnico I",SUMIFS($D:$D,$A:$A,$A1144,$B:$B,"&lt;&gt;Patrícia Karla de Sousa Araújo",$B:$B,"&lt;&gt;Lorena Dias de Araujo",$B:$B,"&lt;&gt;Lucas Luiz Romero")*(23/1083),IF(C1144="JR",SUMIFS($D:$D,$A:$A,$A1144,$B:$B,"&lt;&gt;Patrícia Karla de Sousa Araújo",$B:$B,"&lt;&gt;Lorena Dias de Araujo",$B:$B,"&lt;&gt;Lucas Luiz Romero")*(20/1083),IF(C1144="Estágio",SUMIFS($D:$D,$A:$A,$A1144,$B:$B,"&lt;&gt;Patrícia Karla de Sousa Araújo",$B:$B,"&lt;&gt;Lorena Dias de Araujo",$B:$B,"&lt;&gt;Lucas Luiz Romero")*(10/1083),0)))))),0)</f>
        <v/>
      </c>
      <c r="K1144" s="3">
        <f>I1144-J1144</f>
        <v/>
      </c>
      <c r="L1144" s="3">
        <f>IF(K1144&lt;-5,"CRÍTICO",IF(K1144&lt;0,"ATENÇÃO",IF(K1144&lt;=5,"BOM","EXCELENTE")))</f>
        <v/>
      </c>
      <c r="M1144" t="n">
        <v>22</v>
      </c>
      <c r="N1144" t="n">
        <v>100</v>
      </c>
      <c r="O1144" t="n">
        <v>27.67676767676768</v>
      </c>
    </row>
    <row r="1145" hidden="1">
      <c r="A1145" s="11" t="n">
        <v>46036</v>
      </c>
      <c r="B1145" t="inlineStr">
        <is>
          <t>Janaina Lima dos Reis Urany</t>
        </is>
      </c>
      <c r="C1145" t="inlineStr">
        <is>
          <t>Técnico III</t>
        </is>
      </c>
      <c r="D1145" t="n">
        <v>37</v>
      </c>
      <c r="E1145" t="n">
        <v>33</v>
      </c>
      <c r="F1145" t="n">
        <v>18.26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32</v>
      </c>
      <c r="N1145" t="n">
        <v>100</v>
      </c>
      <c r="O1145" t="n">
        <v>31.17723156532988</v>
      </c>
    </row>
    <row r="1146" hidden="1">
      <c r="A1146" s="11" t="n">
        <v>46036</v>
      </c>
      <c r="B1146" t="inlineStr">
        <is>
          <t>Jaqueline Evangelista da Silva Martins</t>
        </is>
      </c>
      <c r="C1146" t="inlineStr">
        <is>
          <t>Técnico III</t>
        </is>
      </c>
      <c r="D1146" t="n">
        <v>21</v>
      </c>
      <c r="E1146" t="n">
        <v>17</v>
      </c>
      <c r="F1146" t="n">
        <v>8.35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16</v>
      </c>
      <c r="N1146" t="n">
        <v>100</v>
      </c>
      <c r="O1146" t="n">
        <v>27.60942760942761</v>
      </c>
    </row>
    <row r="1147" hidden="1">
      <c r="A1147" s="11" t="n">
        <v>46036</v>
      </c>
      <c r="B1147" t="inlineStr">
        <is>
          <t>Jessica Faria da Silveira</t>
        </is>
      </c>
      <c r="C1147" t="inlineStr">
        <is>
          <t>Técnico II</t>
        </is>
      </c>
      <c r="D1147" t="n">
        <v>30</v>
      </c>
      <c r="E1147" t="n">
        <v>24</v>
      </c>
      <c r="F1147" t="n">
        <v>13.22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23</v>
      </c>
      <c r="N1147" t="n">
        <v>96.40000000000001</v>
      </c>
      <c r="O1147" t="n">
        <v>28.76404494382023</v>
      </c>
    </row>
    <row r="1148" hidden="1">
      <c r="A1148" s="11" t="n">
        <v>46036</v>
      </c>
      <c r="B1148" t="inlineStr">
        <is>
          <t>Jéssica Fé Moura</t>
        </is>
      </c>
      <c r="C1148" t="inlineStr">
        <is>
          <t>Técnico III</t>
        </is>
      </c>
      <c r="D1148" t="n">
        <v>0</v>
      </c>
      <c r="E1148" t="n">
        <v>0</v>
      </c>
      <c r="F1148" t="n">
        <v>0</v>
      </c>
      <c r="G1148" t="n">
        <v>0</v>
      </c>
      <c r="H1148" t="n">
        <v>0</v>
      </c>
      <c r="I1148" s="3" t="n">
        <v>0</v>
      </c>
      <c r="J1148" s="3" t="n">
        <v>0</v>
      </c>
      <c r="K1148" s="3" t="n">
        <v>0</v>
      </c>
      <c r="L1148" s="3">
        <f>IF(K1148&lt;-5,"CRÍTICO",IF(K1148&lt;0,"ATENÇÃO",IF(K1148&lt;=5,"BOM","EXCELENTE")))</f>
        <v/>
      </c>
      <c r="M1148" t="n">
        <v>20</v>
      </c>
      <c r="N1148" t="n">
        <v>100</v>
      </c>
      <c r="O1148" t="n">
        <v>33.98058252427185</v>
      </c>
    </row>
    <row r="1149" hidden="1">
      <c r="A1149" s="11" t="n">
        <v>46036</v>
      </c>
      <c r="B1149" t="inlineStr">
        <is>
          <t>Karina Gonçalves Martins</t>
        </is>
      </c>
      <c r="C1149" t="inlineStr">
        <is>
          <t>JR</t>
        </is>
      </c>
      <c r="D1149" t="n">
        <v>4</v>
      </c>
      <c r="E1149" t="n">
        <v>4</v>
      </c>
      <c r="F1149" t="n">
        <v>87.34</v>
      </c>
      <c r="G1149" t="n">
        <v>0</v>
      </c>
      <c r="H1149" t="n">
        <v>0</v>
      </c>
      <c r="I1149" s="3">
        <f>E1149+G1149+H1149</f>
        <v/>
      </c>
      <c r="J1149" s="3">
        <f>ROUND(MIN(IF(C1149="Técnico III",35,IF(C1149="Técnico II",28,IF(C1149="Técnico I",23,IF(C1149="JR",20,IF(C1149="Estágio",10,0))))),IF(C1149="Técnico III",SUMIFS($D:$D,$A:$A,$A1149,$B:$B,"&lt;&gt;Patrícia Karla de Sousa Araújo",$B:$B,"&lt;&gt;Lorena Dias de Araujo",$B:$B,"&lt;&gt;Lucas Luiz Romero")*(35/1083),IF(C1149="Técnico II",SUMIFS($D:$D,$A:$A,$A1149,$B:$B,"&lt;&gt;Patrícia Karla de Sousa Araújo",$B:$B,"&lt;&gt;Lorena Dias de Araujo",$B:$B,"&lt;&gt;Lucas Luiz Romero")*(28/1083),IF(C1149="Técnico I",SUMIFS($D:$D,$A:$A,$A1149,$B:$B,"&lt;&gt;Patrícia Karla de Sousa Araújo",$B:$B,"&lt;&gt;Lorena Dias de Araujo",$B:$B,"&lt;&gt;Lucas Luiz Romero")*(23/1083),IF(C1149="JR",SUMIFS($D:$D,$A:$A,$A1149,$B:$B,"&lt;&gt;Patrícia Karla de Sousa Araújo",$B:$B,"&lt;&gt;Lorena Dias de Araujo",$B:$B,"&lt;&gt;Lucas Luiz Romero")*(20/1083),IF(C1149="Estágio",SUMIFS($D:$D,$A:$A,$A1149,$B:$B,"&lt;&gt;Patrícia Karla de Sousa Araújo",$B:$B,"&lt;&gt;Lorena Dias de Araujo",$B:$B,"&lt;&gt;Lucas Luiz Romero")*(10/1083),0)))))),0)</f>
        <v/>
      </c>
      <c r="K1149" s="3">
        <f>I1149-J1149</f>
        <v/>
      </c>
      <c r="L1149" s="3">
        <f>IF(K1149&lt;-5,"CRÍTICO",IF(K1149&lt;0,"ATENÇÃO",IF(K1149&lt;=5,"BOM","EXCELENTE")))</f>
        <v/>
      </c>
      <c r="M1149" t="n">
        <v>3</v>
      </c>
      <c r="N1149" t="n">
        <v>97.56</v>
      </c>
      <c r="O1149" t="n">
        <v>32.51533742331289</v>
      </c>
    </row>
    <row r="1150" hidden="1">
      <c r="A1150" s="11" t="n">
        <v>46036</v>
      </c>
      <c r="B1150" t="inlineStr">
        <is>
          <t>Kerollen Cristielly de Jesus Siqueira</t>
        </is>
      </c>
      <c r="C1150" t="inlineStr">
        <is>
          <t>Técnico III</t>
        </is>
      </c>
      <c r="D1150" t="n">
        <v>18</v>
      </c>
      <c r="E1150" t="n">
        <v>17</v>
      </c>
      <c r="F1150" t="n">
        <v>27.03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24</v>
      </c>
      <c r="N1150" t="n">
        <v>97.11</v>
      </c>
      <c r="O1150" t="n">
        <v>37.40831295843521</v>
      </c>
    </row>
    <row r="1151" hidden="1">
      <c r="A1151" s="11" t="n">
        <v>46036</v>
      </c>
      <c r="B1151" t="inlineStr">
        <is>
          <t>Leandro de Souza Silva</t>
        </is>
      </c>
      <c r="C1151" t="inlineStr">
        <is>
          <t>JR</t>
        </is>
      </c>
      <c r="D1151" t="n">
        <v>0</v>
      </c>
      <c r="E1151" t="n">
        <v>0</v>
      </c>
      <c r="F1151" t="n">
        <v>0</v>
      </c>
      <c r="G1151" t="n">
        <v>0</v>
      </c>
      <c r="H1151" t="n">
        <v>0</v>
      </c>
      <c r="I1151" s="3" t="n">
        <v>0</v>
      </c>
      <c r="J1151" s="3" t="n">
        <v>0</v>
      </c>
      <c r="K1151" s="3" t="n">
        <v>0</v>
      </c>
      <c r="L1151" s="3">
        <f>IF(K1151&lt;-5,"CRÍTICO",IF(K1151&lt;0,"ATENÇÃO",IF(K1151&lt;=5,"BOM","EXCELENTE")))</f>
        <v/>
      </c>
      <c r="M1151" t="n">
        <v>0</v>
      </c>
      <c r="N1151" t="n">
        <v>0</v>
      </c>
      <c r="O1151" t="n">
        <v>0</v>
      </c>
    </row>
    <row r="1152" hidden="1">
      <c r="A1152" s="11" t="n">
        <v>46036</v>
      </c>
      <c r="B1152" t="inlineStr">
        <is>
          <t>Leandro Oliveira de Sousa</t>
        </is>
      </c>
      <c r="C1152" t="inlineStr">
        <is>
          <t>Técnico III</t>
        </is>
      </c>
      <c r="D1152" t="n">
        <v>35</v>
      </c>
      <c r="E1152" t="n">
        <v>30</v>
      </c>
      <c r="F1152" t="n">
        <v>15.4</v>
      </c>
      <c r="G1152" t="n">
        <v>0</v>
      </c>
      <c r="H1152" t="n">
        <v>0</v>
      </c>
      <c r="I1152" s="3">
        <f>E1152+G1152+H1152</f>
        <v/>
      </c>
      <c r="J1152" s="3">
        <f>ROUND(MIN(IF(C1152="Técnico III",35,IF(C1152="Técnico II",28,IF(C1152="Técnico I",23,IF(C1152="JR",20,IF(C1152="Estágio",10,0))))),IF(C1152="Técnico III",SUMIFS($D:$D,$A:$A,$A1152,$B:$B,"&lt;&gt;Patrícia Karla de Sousa Araújo",$B:$B,"&lt;&gt;Lorena Dias de Araujo",$B:$B,"&lt;&gt;Lucas Luiz Romero")*(35/1083),IF(C1152="Técnico II",SUMIFS($D:$D,$A:$A,$A1152,$B:$B,"&lt;&gt;Patrícia Karla de Sousa Araújo",$B:$B,"&lt;&gt;Lorena Dias de Araujo",$B:$B,"&lt;&gt;Lucas Luiz Romero")*(28/1083),IF(C1152="Técnico I",SUMIFS($D:$D,$A:$A,$A1152,$B:$B,"&lt;&gt;Patrícia Karla de Sousa Araújo",$B:$B,"&lt;&gt;Lorena Dias de Araujo",$B:$B,"&lt;&gt;Lucas Luiz Romero")*(23/1083),IF(C1152="JR",SUMIFS($D:$D,$A:$A,$A1152,$B:$B,"&lt;&gt;Patrícia Karla de Sousa Araújo",$B:$B,"&lt;&gt;Lorena Dias de Araujo",$B:$B,"&lt;&gt;Lucas Luiz Romero")*(20/1083),IF(C1152="Estágio",SUMIFS($D:$D,$A:$A,$A1152,$B:$B,"&lt;&gt;Patrícia Karla de Sousa Araújo",$B:$B,"&lt;&gt;Lorena Dias de Araujo",$B:$B,"&lt;&gt;Lucas Luiz Romero")*(10/1083),0)))))),0)</f>
        <v/>
      </c>
      <c r="K1152" s="3">
        <f>I1152-J1152</f>
        <v/>
      </c>
      <c r="L1152" s="3">
        <f>IF(K1152&lt;-5,"CRÍTICO",IF(K1152&lt;0,"ATENÇÃO",IF(K1152&lt;=5,"BOM","EXCELENTE")))</f>
        <v/>
      </c>
      <c r="M1152" t="n">
        <v>28</v>
      </c>
      <c r="N1152" t="n">
        <v>100</v>
      </c>
      <c r="O1152" t="n">
        <v>30.47034764826176</v>
      </c>
    </row>
    <row r="1153" hidden="1">
      <c r="A1153" s="11" t="n">
        <v>46036</v>
      </c>
      <c r="B1153" t="inlineStr">
        <is>
          <t>Lizandra Gomes Duarte</t>
        </is>
      </c>
      <c r="C1153" t="inlineStr">
        <is>
          <t>Técnico II</t>
        </is>
      </c>
      <c r="D1153" t="n">
        <v>41</v>
      </c>
      <c r="E1153" t="n">
        <v>35</v>
      </c>
      <c r="F1153" t="n">
        <v>12.39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35</v>
      </c>
      <c r="N1153" t="n">
        <v>100</v>
      </c>
      <c r="O1153" t="n">
        <v>32.37113402061856</v>
      </c>
    </row>
    <row r="1154" hidden="1">
      <c r="A1154" s="11" t="n">
        <v>46036</v>
      </c>
      <c r="B1154" t="inlineStr">
        <is>
          <t>Lorena Dias de Araujo</t>
        </is>
      </c>
      <c r="C1154" t="inlineStr">
        <is>
          <t>Técnico II</t>
        </is>
      </c>
      <c r="D1154" t="n">
        <v>36</v>
      </c>
      <c r="E1154" t="n">
        <v>33</v>
      </c>
      <c r="F1154" t="n">
        <v>13.28</v>
      </c>
      <c r="G1154" t="n">
        <v>0</v>
      </c>
      <c r="H1154" t="n">
        <v>0</v>
      </c>
      <c r="I1154" s="3" t="n">
        <v>0</v>
      </c>
      <c r="J1154" s="3" t="n">
        <v>0</v>
      </c>
      <c r="K1154" s="3" t="n">
        <v>0</v>
      </c>
      <c r="L1154" s="3">
        <f>IF(K1154&lt;-5,"CRÍTICO",IF(K1154&lt;0,"ATENÇÃO",IF(K1154&lt;=5,"BOM","EXCELENTE")))</f>
        <v/>
      </c>
      <c r="M1154" t="n">
        <v>31</v>
      </c>
      <c r="N1154" t="n">
        <v>98.31999999999999</v>
      </c>
      <c r="O1154" t="n">
        <v>32.31850117096019</v>
      </c>
    </row>
    <row r="1155" hidden="1">
      <c r="A1155" s="11" t="n">
        <v>46036</v>
      </c>
      <c r="B1155" t="inlineStr">
        <is>
          <t>Lucas Luiz Romero</t>
        </is>
      </c>
      <c r="C1155" t="inlineStr">
        <is>
          <t>Técnico III</t>
        </is>
      </c>
      <c r="D1155" t="n">
        <v>51</v>
      </c>
      <c r="E1155" t="n">
        <v>42</v>
      </c>
      <c r="F1155" t="n">
        <v>8.33</v>
      </c>
      <c r="G1155" t="n">
        <v>0</v>
      </c>
      <c r="H1155" t="n">
        <v>0</v>
      </c>
      <c r="I1155" s="3">
        <f>E1155+G1155+H1155</f>
        <v/>
      </c>
      <c r="J1155" s="3">
        <f>ROUND(MIN(IF(C1155="Técnico III",35,IF(C1155="Técnico II",28,IF(C1155="Técnico I",23,IF(C1155="JR",20,IF(C1155="Estágio",10,0))))),IF(C1155="Técnico III",SUMIFS($D:$D,$A:$A,$A1155,$B:$B,"&lt;&gt;Patrícia Karla de Sousa Araújo",$B:$B,"&lt;&gt;Lorena Dias de Araujo",$B:$B,"&lt;&gt;Lucas Luiz Romero")*(35/1083),IF(C1155="Técnico II",SUMIFS($D:$D,$A:$A,$A1155,$B:$B,"&lt;&gt;Patrícia Karla de Sousa Araújo",$B:$B,"&lt;&gt;Lorena Dias de Araujo",$B:$B,"&lt;&gt;Lucas Luiz Romero")*(28/1083),IF(C1155="Técnico I",SUMIFS($D:$D,$A:$A,$A1155,$B:$B,"&lt;&gt;Patrícia Karla de Sousa Araújo",$B:$B,"&lt;&gt;Lorena Dias de Araujo",$B:$B,"&lt;&gt;Lucas Luiz Romero")*(23/1083),IF(C1155="JR",SUMIFS($D:$D,$A:$A,$A1155,$B:$B,"&lt;&gt;Patrícia Karla de Sousa Araújo",$B:$B,"&lt;&gt;Lorena Dias de Araujo",$B:$B,"&lt;&gt;Lucas Luiz Romero")*(20/1083),IF(C1155="Estágio",SUMIFS($D:$D,$A:$A,$A1155,$B:$B,"&lt;&gt;Patrícia Karla de Sousa Araújo",$B:$B,"&lt;&gt;Lorena Dias de Araujo",$B:$B,"&lt;&gt;Lucas Luiz Romero")*(10/1083),0)))))),0)</f>
        <v/>
      </c>
      <c r="K1155" s="3">
        <f>I1155-J1155</f>
        <v/>
      </c>
      <c r="L1155" s="3">
        <f>IF(K1155&lt;-5,"CRÍTICO",IF(K1155&lt;0,"ATENÇÃO",IF(K1155&lt;=5,"BOM","EXCELENTE")))</f>
        <v/>
      </c>
      <c r="M1155" t="n">
        <v>37</v>
      </c>
      <c r="N1155" t="n">
        <v>96.43000000000001</v>
      </c>
      <c r="O1155" t="n">
        <v>27.01525054466231</v>
      </c>
    </row>
    <row r="1156" hidden="1">
      <c r="A1156" s="11" t="n">
        <v>46036</v>
      </c>
      <c r="B1156" t="inlineStr">
        <is>
          <t>Luiz Fernando de Carvalho Junior</t>
        </is>
      </c>
      <c r="C1156" t="inlineStr">
        <is>
          <t>Técnico I</t>
        </is>
      </c>
      <c r="D1156" t="n">
        <v>17</v>
      </c>
      <c r="E1156" t="n">
        <v>16</v>
      </c>
      <c r="F1156" t="n">
        <v>23.32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14</v>
      </c>
      <c r="N1156" t="n">
        <v>98.89</v>
      </c>
      <c r="O1156" t="n">
        <v>28.02197802197802</v>
      </c>
    </row>
    <row r="1157" hidden="1">
      <c r="A1157" s="11" t="n">
        <v>46036</v>
      </c>
      <c r="B1157" t="inlineStr">
        <is>
          <t>Maria Eduarda Sousa Costa</t>
        </is>
      </c>
      <c r="C1157" t="inlineStr">
        <is>
          <t>Estágio</t>
        </is>
      </c>
      <c r="D1157" t="n">
        <v>2</v>
      </c>
      <c r="E1157" t="n">
        <v>2</v>
      </c>
      <c r="F1157" t="n">
        <v>249.04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</v>
      </c>
      <c r="N1157" t="n">
        <v>100</v>
      </c>
      <c r="O1157" t="n">
        <v>33.33333333333333</v>
      </c>
    </row>
    <row r="1158" hidden="1">
      <c r="A1158" s="11" t="n">
        <v>46036</v>
      </c>
      <c r="B1158" t="inlineStr">
        <is>
          <t>Matheus Farias De Souza</t>
        </is>
      </c>
      <c r="C1158" t="inlineStr">
        <is>
          <t>Técnico III</t>
        </is>
      </c>
      <c r="D1158" t="n">
        <v>0</v>
      </c>
      <c r="E1158" t="n">
        <v>0</v>
      </c>
      <c r="F1158" t="n">
        <v>0</v>
      </c>
      <c r="G1158" t="n">
        <v>0</v>
      </c>
      <c r="H1158" t="n">
        <v>0</v>
      </c>
      <c r="I1158" s="3" t="n">
        <v>0</v>
      </c>
      <c r="J1158" s="3" t="n">
        <v>0</v>
      </c>
      <c r="K1158" s="3" t="n">
        <v>0</v>
      </c>
      <c r="L1158" s="3">
        <f>IF(K1158&lt;-5,"CRÍTICO",IF(K1158&lt;0,"ATENÇÃO",IF(K1158&lt;=5,"BOM","EXCELENTE")))</f>
        <v/>
      </c>
      <c r="M1158" t="n">
        <v>0</v>
      </c>
      <c r="N1158" t="n">
        <v>100</v>
      </c>
      <c r="O1158" t="n">
        <v>27.43362831858407</v>
      </c>
    </row>
    <row r="1159" hidden="1">
      <c r="A1159" s="11" t="n">
        <v>46036</v>
      </c>
      <c r="B1159" t="inlineStr">
        <is>
          <t>Maysa Victoria Dias Moura</t>
        </is>
      </c>
      <c r="C1159" t="inlineStr">
        <is>
          <t>Técnico III</t>
        </is>
      </c>
      <c r="D1159" t="n">
        <v>37</v>
      </c>
      <c r="E1159" t="n">
        <v>31</v>
      </c>
      <c r="F1159" t="n">
        <v>14.18</v>
      </c>
      <c r="G1159" t="n">
        <v>0</v>
      </c>
      <c r="H1159" t="n">
        <v>0</v>
      </c>
      <c r="I1159" s="3">
        <f>E1159+G1159+H1159</f>
        <v/>
      </c>
      <c r="J1159" s="3">
        <f>ROUND(MIN(IF(C1159="Técnico III",35,IF(C1159="Técnico II",28,IF(C1159="Técnico I",23,IF(C1159="JR",20,IF(C1159="Estágio",10,0))))),IF(C1159="Técnico III",SUMIFS($D:$D,$A:$A,$A1159,$B:$B,"&lt;&gt;Patrícia Karla de Sousa Araújo",$B:$B,"&lt;&gt;Lorena Dias de Araujo",$B:$B,"&lt;&gt;Lucas Luiz Romero")*(35/1083),IF(C1159="Técnico II",SUMIFS($D:$D,$A:$A,$A1159,$B:$B,"&lt;&gt;Patrícia Karla de Sousa Araújo",$B:$B,"&lt;&gt;Lorena Dias de Araujo",$B:$B,"&lt;&gt;Lucas Luiz Romero")*(28/1083),IF(C1159="Técnico I",SUMIFS($D:$D,$A:$A,$A1159,$B:$B,"&lt;&gt;Patrícia Karla de Sousa Araújo",$B:$B,"&lt;&gt;Lorena Dias de Araujo",$B:$B,"&lt;&gt;Lucas Luiz Romero")*(23/1083),IF(C1159="JR",SUMIFS($D:$D,$A:$A,$A1159,$B:$B,"&lt;&gt;Patrícia Karla de Sousa Araújo",$B:$B,"&lt;&gt;Lorena Dias de Araujo",$B:$B,"&lt;&gt;Lucas Luiz Romero")*(20/1083),IF(C1159="Estágio",SUMIFS($D:$D,$A:$A,$A1159,$B:$B,"&lt;&gt;Patrícia Karla de Sousa Araújo",$B:$B,"&lt;&gt;Lorena Dias de Araujo",$B:$B,"&lt;&gt;Lucas Luiz Romero")*(10/1083),0)))))),0)</f>
        <v/>
      </c>
      <c r="K1159" s="3">
        <f>I1159-J1159</f>
        <v/>
      </c>
      <c r="L1159" s="3">
        <f>IF(K1159&lt;-5,"CRÍTICO",IF(K1159&lt;0,"ATENÇÃO",IF(K1159&lt;=5,"BOM","EXCELENTE")))</f>
        <v/>
      </c>
      <c r="M1159" t="n">
        <v>28</v>
      </c>
      <c r="N1159" t="n">
        <v>98.65000000000001</v>
      </c>
      <c r="O1159" t="n">
        <v>30.97826086956522</v>
      </c>
    </row>
    <row r="1160" hidden="1">
      <c r="A1160" s="11" t="n">
        <v>46036</v>
      </c>
      <c r="B1160" t="inlineStr">
        <is>
          <t>Michelle G Santos</t>
        </is>
      </c>
      <c r="C1160" t="inlineStr">
        <is>
          <t>Estágio</t>
        </is>
      </c>
      <c r="D1160" t="n">
        <v>0</v>
      </c>
      <c r="E1160" t="n">
        <v>0</v>
      </c>
      <c r="F1160" t="n">
        <v>0</v>
      </c>
      <c r="G1160" t="n">
        <v>0</v>
      </c>
      <c r="H1160" t="n">
        <v>0</v>
      </c>
      <c r="I1160" s="3" t="n">
        <v>0</v>
      </c>
      <c r="J1160" s="3" t="n">
        <v>0</v>
      </c>
      <c r="K1160" s="3" t="n">
        <v>0</v>
      </c>
      <c r="L1160" s="3">
        <f>IF(K1160&lt;-5,"CRÍTICO",IF(K1160&lt;0,"ATENÇÃO",IF(K1160&lt;=5,"BOM","EXCELENTE")))</f>
        <v/>
      </c>
      <c r="M1160" t="n">
        <v>0</v>
      </c>
      <c r="N1160" t="n">
        <v>100</v>
      </c>
      <c r="O1160" t="n">
        <v>12</v>
      </c>
    </row>
    <row r="1161" hidden="1">
      <c r="A1161" s="11" t="n">
        <v>46036</v>
      </c>
      <c r="B1161" t="inlineStr">
        <is>
          <t>Milena Sales</t>
        </is>
      </c>
      <c r="C1161" t="inlineStr">
        <is>
          <t>JR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Patrícia Karla de Sousa Araújo</t>
        </is>
      </c>
      <c r="C1162" t="inlineStr">
        <is>
          <t>Técnico II</t>
        </is>
      </c>
      <c r="D1162" t="n">
        <v>26</v>
      </c>
      <c r="E1162" t="n">
        <v>25</v>
      </c>
      <c r="F1162" t="n">
        <v>20.51</v>
      </c>
      <c r="G1162" t="n">
        <v>0</v>
      </c>
      <c r="H1162" t="n">
        <v>0</v>
      </c>
      <c r="I1162" s="3">
        <f>E1162+G1162+H1162</f>
        <v/>
      </c>
      <c r="J1162" s="3">
        <f>ROUND(MIN(IF(C1162="Técnico III",35,IF(C1162="Técnico II",28,IF(C1162="Técnico I",23,IF(C1162="JR",20,IF(C1162="Estágio",10,0))))),IF(C1162="Técnico III",SUMIFS($D:$D,$A:$A,$A1162,$B:$B,"&lt;&gt;Patrícia Karla de Sousa Araújo",$B:$B,"&lt;&gt;Lorena Dias de Araujo",$B:$B,"&lt;&gt;Lucas Luiz Romero")*(35/1083),IF(C1162="Técnico II",SUMIFS($D:$D,$A:$A,$A1162,$B:$B,"&lt;&gt;Patrícia Karla de Sousa Araújo",$B:$B,"&lt;&gt;Lorena Dias de Araujo",$B:$B,"&lt;&gt;Lucas Luiz Romero")*(28/1083),IF(C1162="Técnico I",SUMIFS($D:$D,$A:$A,$A1162,$B:$B,"&lt;&gt;Patrícia Karla de Sousa Araújo",$B:$B,"&lt;&gt;Lorena Dias de Araujo",$B:$B,"&lt;&gt;Lucas Luiz Romero")*(23/1083),IF(C1162="JR",SUMIFS($D:$D,$A:$A,$A1162,$B:$B,"&lt;&gt;Patrícia Karla de Sousa Araújo",$B:$B,"&lt;&gt;Lorena Dias de Araujo",$B:$B,"&lt;&gt;Lucas Luiz Romero")*(20/1083),IF(C1162="Estágio",SUMIFS($D:$D,$A:$A,$A1162,$B:$B,"&lt;&gt;Patrícia Karla de Sousa Araújo",$B:$B,"&lt;&gt;Lorena Dias de Araujo",$B:$B,"&lt;&gt;Lucas Luiz Romero")*(10/1083),0)))))),0)</f>
        <v/>
      </c>
      <c r="K1162" s="3">
        <f>I1162-J1162</f>
        <v/>
      </c>
      <c r="L1162" s="3">
        <f>IF(K1162&lt;-5,"CRÍTICO",IF(K1162&lt;0,"ATENÇÃO",IF(K1162&lt;=5,"BOM","EXCELENTE")))</f>
        <v/>
      </c>
      <c r="M1162" t="n">
        <v>21</v>
      </c>
      <c r="N1162" t="n">
        <v>97.56</v>
      </c>
      <c r="O1162" t="n">
        <v>31.06796116504854</v>
      </c>
    </row>
    <row r="1163" hidden="1">
      <c r="A1163" s="11" t="n">
        <v>46036</v>
      </c>
      <c r="B1163" t="inlineStr">
        <is>
          <t>Paulo Ricardo Santos</t>
        </is>
      </c>
      <c r="C1163" t="inlineStr">
        <is>
          <t>JR</t>
        </is>
      </c>
      <c r="D1163" t="n">
        <v>0</v>
      </c>
      <c r="E1163" t="n">
        <v>0</v>
      </c>
      <c r="F1163" t="n">
        <v>0</v>
      </c>
      <c r="G1163" t="n">
        <v>0</v>
      </c>
      <c r="H1163" t="n">
        <v>0</v>
      </c>
      <c r="I1163" s="3" t="n">
        <v>0</v>
      </c>
      <c r="J1163" s="3" t="n">
        <v>0</v>
      </c>
      <c r="K1163" s="3" t="n">
        <v>0</v>
      </c>
      <c r="L1163" s="3">
        <f>IF(K1163&lt;-5,"CRÍTICO",IF(K1163&lt;0,"ATENÇÃO",IF(K1163&lt;=5,"BOM","EXCELENTE")))</f>
        <v/>
      </c>
      <c r="M1163" t="n">
        <v>0</v>
      </c>
      <c r="N1163" t="n">
        <v>0</v>
      </c>
      <c r="O1163" t="n">
        <v>0</v>
      </c>
    </row>
    <row r="1164" hidden="1">
      <c r="A1164" s="11" t="n">
        <v>46036</v>
      </c>
      <c r="B1164" t="inlineStr">
        <is>
          <t>Pedro Luiz Mota Sousa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Quirino Diogo Leite Torres</t>
        </is>
      </c>
      <c r="C1165" t="inlineStr">
        <is>
          <t>Estágio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Raane Batista Matos</t>
        </is>
      </c>
      <c r="C1166" t="inlineStr">
        <is>
          <t>Técnico I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100</v>
      </c>
      <c r="O1166" t="n">
        <v>53.84615384615385</v>
      </c>
    </row>
    <row r="1167" hidden="1">
      <c r="A1167" s="11" t="n">
        <v>46036</v>
      </c>
      <c r="B1167" t="inlineStr">
        <is>
          <t>Rafael Gomes de Morais</t>
        </is>
      </c>
      <c r="C1167" t="inlineStr">
        <is>
          <t>Técnico III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100</v>
      </c>
      <c r="O1167" t="n">
        <v>44.05594405594406</v>
      </c>
    </row>
    <row r="1168" hidden="1">
      <c r="A1168" s="11" t="n">
        <v>46036</v>
      </c>
      <c r="B1168" t="inlineStr">
        <is>
          <t>Sara Maria Monteiro Lopes</t>
        </is>
      </c>
      <c r="C1168" t="inlineStr">
        <is>
          <t>Técnico I</t>
        </is>
      </c>
      <c r="D1168" t="n">
        <v>17</v>
      </c>
      <c r="E1168" t="n">
        <v>17</v>
      </c>
      <c r="F1168" t="n">
        <v>25.5</v>
      </c>
      <c r="G1168" t="n">
        <v>0</v>
      </c>
      <c r="H1168" t="n">
        <v>0</v>
      </c>
      <c r="I1168" s="3">
        <f>E1168+G1168+H1168</f>
        <v/>
      </c>
      <c r="J1168" s="3">
        <f>ROUND(MIN(IF(C1168="Técnico III",35,IF(C1168="Técnico II",28,IF(C1168="Técnico I",23,IF(C1168="JR",20,IF(C1168="Estágio",10,0))))),IF(C1168="Técnico III",SUMIFS($D:$D,$A:$A,$A1168,$B:$B,"&lt;&gt;Patrícia Karla de Sousa Araújo",$B:$B,"&lt;&gt;Lorena Dias de Araujo",$B:$B,"&lt;&gt;Lucas Luiz Romero")*(35/1083),IF(C1168="Técnico II",SUMIFS($D:$D,$A:$A,$A1168,$B:$B,"&lt;&gt;Patrícia Karla de Sousa Araújo",$B:$B,"&lt;&gt;Lorena Dias de Araujo",$B:$B,"&lt;&gt;Lucas Luiz Romero")*(28/1083),IF(C1168="Técnico I",SUMIFS($D:$D,$A:$A,$A1168,$B:$B,"&lt;&gt;Patrícia Karla de Sousa Araújo",$B:$B,"&lt;&gt;Lorena Dias de Araujo",$B:$B,"&lt;&gt;Lucas Luiz Romero")*(23/1083),IF(C1168="JR",SUMIFS($D:$D,$A:$A,$A1168,$B:$B,"&lt;&gt;Patrícia Karla de Sousa Araújo",$B:$B,"&lt;&gt;Lorena Dias de Araujo",$B:$B,"&lt;&gt;Lucas Luiz Romero")*(20/1083),IF(C1168="Estágio",SUMIFS($D:$D,$A:$A,$A1168,$B:$B,"&lt;&gt;Patrícia Karla de Sousa Araújo",$B:$B,"&lt;&gt;Lorena Dias de Araujo",$B:$B,"&lt;&gt;Lucas Luiz Romero")*(10/1083),0)))))),0)</f>
        <v/>
      </c>
      <c r="K1168" s="3">
        <f>I1168-J1168</f>
        <v/>
      </c>
      <c r="L1168" s="3">
        <f>IF(K1168&lt;-5,"CRÍTICO",IF(K1168&lt;0,"ATENÇÃO",IF(K1168&lt;=5,"BOM","EXCELENTE")))</f>
        <v/>
      </c>
      <c r="M1168" t="n">
        <v>15</v>
      </c>
      <c r="N1168" t="n">
        <v>100</v>
      </c>
      <c r="O1168" t="n">
        <v>31.87250996015936</v>
      </c>
    </row>
    <row r="1169" hidden="1">
      <c r="A1169" s="11" t="n">
        <v>46036</v>
      </c>
      <c r="B1169" t="inlineStr">
        <is>
          <t>Sarah Steffanie de Lima Borges</t>
        </is>
      </c>
      <c r="C1169" t="inlineStr">
        <is>
          <t>Técnico III</t>
        </is>
      </c>
      <c r="D1169" t="n">
        <v>31</v>
      </c>
      <c r="E1169" t="n">
        <v>31</v>
      </c>
      <c r="F1169" t="n">
        <v>18.52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26</v>
      </c>
      <c r="N1169" t="n">
        <v>98.41</v>
      </c>
      <c r="O1169" t="n">
        <v>29.22465208747515</v>
      </c>
    </row>
    <row r="1170" hidden="1">
      <c r="A1170" s="11" t="n">
        <v>46037</v>
      </c>
      <c r="B1170" t="inlineStr">
        <is>
          <t>Alisson de Freitas Silva</t>
        </is>
      </c>
      <c r="C1170" t="inlineStr">
        <is>
          <t>Técnico II</t>
        </is>
      </c>
      <c r="D1170" t="n">
        <v>26</v>
      </c>
      <c r="E1170" t="n">
        <v>26</v>
      </c>
      <c r="F1170" t="n">
        <v>23.28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22</v>
      </c>
      <c r="N1170" t="n">
        <v>96.81</v>
      </c>
      <c r="O1170" t="n">
        <v>27.98053527980535</v>
      </c>
    </row>
    <row r="1171" hidden="1">
      <c r="A1171" s="11" t="n">
        <v>46037</v>
      </c>
      <c r="B1171" t="inlineStr">
        <is>
          <t>Amanda Moura Ferreira</t>
        </is>
      </c>
      <c r="C1171" t="inlineStr">
        <is>
          <t>Técnico III</t>
        </is>
      </c>
      <c r="D1171" t="n">
        <v>0</v>
      </c>
      <c r="E1171" t="n">
        <v>0</v>
      </c>
      <c r="F1171" t="n">
        <v>0</v>
      </c>
      <c r="G1171" t="n">
        <v>0</v>
      </c>
      <c r="H1171" t="n">
        <v>0</v>
      </c>
      <c r="I1171" s="3" t="n">
        <v>0</v>
      </c>
      <c r="J1171" s="3" t="n">
        <v>0</v>
      </c>
      <c r="K1171" s="3" t="n">
        <v>0</v>
      </c>
      <c r="L1171" s="3">
        <f>IF(K1171&lt;-5,"CRÍTICO",IF(K1171&lt;0,"ATENÇÃO",IF(K1171&lt;=5,"BOM","EXCELENTE")))</f>
        <v/>
      </c>
      <c r="M1171" t="n">
        <v>21</v>
      </c>
      <c r="N1171" t="n">
        <v>98.73</v>
      </c>
      <c r="O1171" t="n">
        <v>35.75638506876228</v>
      </c>
    </row>
    <row r="1172" hidden="1">
      <c r="A1172" s="11" t="n">
        <v>46037</v>
      </c>
      <c r="B1172" t="inlineStr">
        <is>
          <t>Ana Karollyne Souza Faria</t>
        </is>
      </c>
      <c r="C1172" t="inlineStr">
        <is>
          <t>Técnico I</t>
        </is>
      </c>
      <c r="D1172" t="n">
        <v>34</v>
      </c>
      <c r="E1172" t="n">
        <v>30</v>
      </c>
      <c r="F1172" t="n">
        <v>18.51</v>
      </c>
      <c r="G1172" t="n">
        <v>0</v>
      </c>
      <c r="H1172" t="n">
        <v>0</v>
      </c>
      <c r="I1172" s="3">
        <f>E1172+G1172+H1172</f>
        <v/>
      </c>
      <c r="J1172" s="3">
        <f>ROUND(MIN(IF(C1172="Técnico III",35,IF(C1172="Técnico II",28,IF(C1172="Técnico I",23,IF(C1172="JR",20,IF(C1172="Estágio",10,0))))),IF(C1172="Técnico III",SUMIFS($D:$D,$A:$A,$A1172,$B:$B,"&lt;&gt;Patrícia Karla de Sousa Araújo",$B:$B,"&lt;&gt;Lorena Dias de Araujo",$B:$B,"&lt;&gt;Lucas Luiz Romero")*(35/1083),IF(C1172="Técnico II",SUMIFS($D:$D,$A:$A,$A1172,$B:$B,"&lt;&gt;Patrícia Karla de Sousa Araújo",$B:$B,"&lt;&gt;Lorena Dias de Araujo",$B:$B,"&lt;&gt;Lucas Luiz Romero")*(28/1083),IF(C1172="Técnico I",SUMIFS($D:$D,$A:$A,$A1172,$B:$B,"&lt;&gt;Patrícia Karla de Sousa Araújo",$B:$B,"&lt;&gt;Lorena Dias de Araujo",$B:$B,"&lt;&gt;Lucas Luiz Romero")*(23/1083),IF(C1172="JR",SUMIFS($D:$D,$A:$A,$A1172,$B:$B,"&lt;&gt;Patrícia Karla de Sousa Araújo",$B:$B,"&lt;&gt;Lorena Dias de Araujo",$B:$B,"&lt;&gt;Lucas Luiz Romero")*(20/1083),IF(C1172="Estágio",SUMIFS($D:$D,$A:$A,$A1172,$B:$B,"&lt;&gt;Patrícia Karla de Sousa Araújo",$B:$B,"&lt;&gt;Lorena Dias de Araujo",$B:$B,"&lt;&gt;Lucas Luiz Romero")*(10/1083),0)))))),0)</f>
        <v/>
      </c>
      <c r="K1172" s="3">
        <f>I1172-J1172</f>
        <v/>
      </c>
      <c r="L1172" s="3">
        <f>IF(K1172&lt;-5,"CRÍTICO",IF(K1172&lt;0,"ATENÇÃO",IF(K1172&lt;=5,"BOM","EXCELENTE")))</f>
        <v/>
      </c>
      <c r="M1172" t="n">
        <v>29</v>
      </c>
      <c r="N1172" t="n">
        <v>98.31999999999999</v>
      </c>
      <c r="O1172" t="n">
        <v>26.76348547717842</v>
      </c>
    </row>
    <row r="1173" hidden="1">
      <c r="A1173" s="11" t="n">
        <v>46037</v>
      </c>
      <c r="B1173" t="inlineStr">
        <is>
          <t>Ana Paula Da Luz Silva Aleixo</t>
        </is>
      </c>
      <c r="C1173" t="inlineStr">
        <is>
          <t>Técnico III</t>
        </is>
      </c>
      <c r="D1173" t="n">
        <v>13</v>
      </c>
      <c r="E1173" t="n">
        <v>13</v>
      </c>
      <c r="F1173" t="n">
        <v>20.14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13</v>
      </c>
      <c r="N1173" t="n">
        <v>99.19</v>
      </c>
      <c r="O1173" t="n">
        <v>27.63713080168776</v>
      </c>
    </row>
    <row r="1174" hidden="1">
      <c r="A1174" s="11" t="n">
        <v>46037</v>
      </c>
      <c r="B1174" t="inlineStr">
        <is>
          <t>Anna Luiza Rezende Tavares</t>
        </is>
      </c>
      <c r="C1174" t="inlineStr">
        <is>
          <t>Estágio</t>
        </is>
      </c>
      <c r="D1174" t="n">
        <v>8</v>
      </c>
      <c r="E1174" t="n">
        <v>8</v>
      </c>
      <c r="F1174" t="n">
        <v>27.33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7</v>
      </c>
      <c r="N1174" t="n">
        <v>100</v>
      </c>
      <c r="O1174" t="n">
        <v>39.56834532374101</v>
      </c>
    </row>
    <row r="1175" hidden="1">
      <c r="A1175" s="11" t="n">
        <v>46037</v>
      </c>
      <c r="B1175" t="inlineStr">
        <is>
          <t>Brenda de Menezes Silva</t>
        </is>
      </c>
      <c r="C1175" t="inlineStr">
        <is>
          <t>Técnico II</t>
        </is>
      </c>
      <c r="D1175" t="n">
        <v>24</v>
      </c>
      <c r="E1175" t="n">
        <v>21</v>
      </c>
      <c r="F1175" t="n">
        <v>27.13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22</v>
      </c>
      <c r="N1175" t="n">
        <v>98.54000000000001</v>
      </c>
      <c r="O1175" t="n">
        <v>28.54477611940299</v>
      </c>
    </row>
    <row r="1176" hidden="1">
      <c r="A1176" s="11" t="n">
        <v>46037</v>
      </c>
      <c r="B1176" t="inlineStr">
        <is>
          <t>Carlos Mateus Cassimiro Nunes</t>
        </is>
      </c>
      <c r="C1176" t="inlineStr">
        <is>
          <t>Técnico II</t>
        </is>
      </c>
      <c r="D1176" t="n">
        <v>21</v>
      </c>
      <c r="E1176" t="n">
        <v>21</v>
      </c>
      <c r="F1176" t="n">
        <v>34.01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19</v>
      </c>
      <c r="N1176" t="n">
        <v>100</v>
      </c>
      <c r="O1176" t="n">
        <v>34.36692506459949</v>
      </c>
    </row>
    <row r="1177" hidden="1">
      <c r="A1177" s="11" t="n">
        <v>46037</v>
      </c>
      <c r="B1177" t="inlineStr">
        <is>
          <t>Claudio de Sousa Velasco Filho</t>
        </is>
      </c>
      <c r="C1177" t="inlineStr">
        <is>
          <t>Estágio</t>
        </is>
      </c>
      <c r="D1177" t="n">
        <v>0</v>
      </c>
      <c r="E1177" t="n">
        <v>0</v>
      </c>
      <c r="F1177" t="n">
        <v>0</v>
      </c>
      <c r="G1177" t="n">
        <v>0</v>
      </c>
      <c r="H1177" t="n">
        <v>0</v>
      </c>
      <c r="I1177" s="3" t="n">
        <v>0</v>
      </c>
      <c r="J1177" s="3" t="n">
        <v>0</v>
      </c>
      <c r="K1177" s="3" t="n">
        <v>0</v>
      </c>
      <c r="L1177" s="3">
        <f>IF(K1177&lt;-5,"CRÍTICO",IF(K1177&lt;0,"ATENÇÃO",IF(K1177&lt;=5,"BOM","EXCELENTE")))</f>
        <v/>
      </c>
      <c r="M1177" t="n">
        <v>0</v>
      </c>
      <c r="N1177" t="n">
        <v>0</v>
      </c>
      <c r="O1177" t="n">
        <v>0</v>
      </c>
    </row>
    <row r="1178" hidden="1">
      <c r="A1178" s="11" t="n">
        <v>46037</v>
      </c>
      <c r="B1178" t="inlineStr">
        <is>
          <t>Clessiane Pereira dos Santos</t>
        </is>
      </c>
      <c r="C1178" t="inlineStr">
        <is>
          <t>Técnico I</t>
        </is>
      </c>
      <c r="D1178" t="n">
        <v>9</v>
      </c>
      <c r="E1178" t="n">
        <v>9</v>
      </c>
      <c r="F1178" t="n">
        <v>69.19</v>
      </c>
      <c r="G1178" t="n">
        <v>0</v>
      </c>
      <c r="H1178" t="n">
        <v>0</v>
      </c>
      <c r="I1178" s="3">
        <f>E1178+G1178+H1178</f>
        <v/>
      </c>
      <c r="J1178" s="3">
        <f>ROUND(MIN(IF(C1178="Técnico III",35,IF(C1178="Técnico II",28,IF(C1178="Técnico I",23,IF(C1178="JR",20,IF(C1178="Estágio",10,0))))),IF(C1178="Técnico III",SUMIFS($D:$D,$A:$A,$A1178,$B:$B,"&lt;&gt;Patrícia Karla de Sousa Araújo",$B:$B,"&lt;&gt;Lorena Dias de Araujo",$B:$B,"&lt;&gt;Lucas Luiz Romero")*(35/1083),IF(C1178="Técnico II",SUMIFS($D:$D,$A:$A,$A1178,$B:$B,"&lt;&gt;Patrícia Karla de Sousa Araújo",$B:$B,"&lt;&gt;Lorena Dias de Araujo",$B:$B,"&lt;&gt;Lucas Luiz Romero")*(28/1083),IF(C1178="Técnico I",SUMIFS($D:$D,$A:$A,$A1178,$B:$B,"&lt;&gt;Patrícia Karla de Sousa Araújo",$B:$B,"&lt;&gt;Lorena Dias de Araujo",$B:$B,"&lt;&gt;Lucas Luiz Romero")*(23/1083),IF(C1178="JR",SUMIFS($D:$D,$A:$A,$A1178,$B:$B,"&lt;&gt;Patrícia Karla de Sousa Araújo",$B:$B,"&lt;&gt;Lorena Dias de Araujo",$B:$B,"&lt;&gt;Lucas Luiz Romero")*(20/1083),IF(C1178="Estágio",SUMIFS($D:$D,$A:$A,$A1178,$B:$B,"&lt;&gt;Patrícia Karla de Sousa Araújo",$B:$B,"&lt;&gt;Lorena Dias de Araujo",$B:$B,"&lt;&gt;Lucas Luiz Romero")*(10/1083),0)))))),0)</f>
        <v/>
      </c>
      <c r="K1178" s="3">
        <f>I1178-J1178</f>
        <v/>
      </c>
      <c r="L1178" s="3">
        <f>IF(K1178&lt;-5,"CRÍTICO",IF(K1178&lt;0,"ATENÇÃO",IF(K1178&lt;=5,"BOM","EXCELENTE")))</f>
        <v/>
      </c>
      <c r="M1178" t="n">
        <v>8</v>
      </c>
      <c r="N1178" t="n">
        <v>100</v>
      </c>
      <c r="O1178" t="n">
        <v>29.51807228915663</v>
      </c>
    </row>
    <row r="1179" hidden="1">
      <c r="A1179" s="11" t="n">
        <v>46037</v>
      </c>
      <c r="B1179" t="inlineStr">
        <is>
          <t>Cristiane Ramos da Silva Rocha</t>
        </is>
      </c>
      <c r="C1179" t="inlineStr">
        <is>
          <t>Técnico III</t>
        </is>
      </c>
      <c r="D1179" t="n">
        <v>46</v>
      </c>
      <c r="E1179" t="n">
        <v>43</v>
      </c>
      <c r="F1179" t="n">
        <v>10.02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39</v>
      </c>
      <c r="N1179" t="n">
        <v>97.45</v>
      </c>
      <c r="O1179" t="n">
        <v>41.421143847487</v>
      </c>
    </row>
    <row r="1180" hidden="1">
      <c r="A1180" s="11" t="n">
        <v>46037</v>
      </c>
      <c r="B1180" t="inlineStr">
        <is>
          <t>Damyllis Lorraine de Oliveira Gonçalves</t>
        </is>
      </c>
      <c r="C1180" t="inlineStr">
        <is>
          <t>Técnico II</t>
        </is>
      </c>
      <c r="D1180" t="n">
        <v>35</v>
      </c>
      <c r="E1180" t="n">
        <v>27</v>
      </c>
      <c r="F1180" t="n">
        <v>17.01</v>
      </c>
      <c r="G1180" t="n">
        <v>0</v>
      </c>
      <c r="H1180" t="n">
        <v>0</v>
      </c>
      <c r="I1180" s="3" t="n">
        <v>0</v>
      </c>
      <c r="J1180" s="3" t="n">
        <v>0</v>
      </c>
      <c r="K1180" s="3" t="n">
        <v>0</v>
      </c>
      <c r="L1180" s="3">
        <f>IF(K1180&lt;-5,"CRÍTICO",IF(K1180&lt;0,"ATENÇÃO",IF(K1180&lt;=5,"BOM","EXCELENTE")))</f>
        <v/>
      </c>
      <c r="M1180" t="n">
        <v>29</v>
      </c>
      <c r="N1180" t="n">
        <v>96.58</v>
      </c>
      <c r="O1180" t="n">
        <v>30.39647577092511</v>
      </c>
    </row>
    <row r="1181" hidden="1">
      <c r="A1181" s="11" t="n">
        <v>46037</v>
      </c>
      <c r="B1181" t="inlineStr">
        <is>
          <t>Daniel Gomes da Silva</t>
        </is>
      </c>
      <c r="C1181" t="inlineStr">
        <is>
          <t>Técnico I</t>
        </is>
      </c>
      <c r="D1181" t="n">
        <v>18</v>
      </c>
      <c r="E1181" t="n">
        <v>16</v>
      </c>
      <c r="F1181" t="n">
        <v>33.21</v>
      </c>
      <c r="G1181" t="n">
        <v>0</v>
      </c>
      <c r="H1181" t="n">
        <v>0</v>
      </c>
      <c r="I1181" s="3">
        <f>E1181+G1181+H1181</f>
        <v/>
      </c>
      <c r="J1181" s="3">
        <f>ROUND(MIN(IF(C1181="Técnico III",35,IF(C1181="Técnico II",28,IF(C1181="Técnico I",23,IF(C1181="JR",20,IF(C1181="Estágio",10,0))))),IF(C1181="Técnico III",SUMIFS($D:$D,$A:$A,$A1181,$B:$B,"&lt;&gt;Patrícia Karla de Sousa Araújo",$B:$B,"&lt;&gt;Lorena Dias de Araujo",$B:$B,"&lt;&gt;Lucas Luiz Romero")*(35/1083),IF(C1181="Técnico II",SUMIFS($D:$D,$A:$A,$A1181,$B:$B,"&lt;&gt;Patrícia Karla de Sousa Araújo",$B:$B,"&lt;&gt;Lorena Dias de Araujo",$B:$B,"&lt;&gt;Lucas Luiz Romero")*(28/1083),IF(C1181="Técnico I",SUMIFS($D:$D,$A:$A,$A1181,$B:$B,"&lt;&gt;Patrícia Karla de Sousa Araújo",$B:$B,"&lt;&gt;Lorena Dias de Araujo",$B:$B,"&lt;&gt;Lucas Luiz Romero")*(23/1083),IF(C1181="JR",SUMIFS($D:$D,$A:$A,$A1181,$B:$B,"&lt;&gt;Patrícia Karla de Sousa Araújo",$B:$B,"&lt;&gt;Lorena Dias de Araujo",$B:$B,"&lt;&gt;Lucas Luiz Romero")*(20/1083),IF(C1181="Estágio",SUMIFS($D:$D,$A:$A,$A1181,$B:$B,"&lt;&gt;Patrícia Karla de Sousa Araújo",$B:$B,"&lt;&gt;Lorena Dias de Araujo",$B:$B,"&lt;&gt;Lucas Luiz Romero")*(10/1083),0)))))),0)</f>
        <v/>
      </c>
      <c r="K1181" s="3">
        <f>I1181-J1181</f>
        <v/>
      </c>
      <c r="L1181" s="3">
        <f>IF(K1181&lt;-5,"CRÍTICO",IF(K1181&lt;0,"ATENÇÃO",IF(K1181&lt;=5,"BOM","EXCELENTE")))</f>
        <v/>
      </c>
      <c r="M1181" t="n">
        <v>20</v>
      </c>
      <c r="N1181" t="n">
        <v>100</v>
      </c>
      <c r="O1181" t="n">
        <v>27.44282744282744</v>
      </c>
    </row>
    <row r="1182" hidden="1">
      <c r="A1182" s="11" t="n">
        <v>46037</v>
      </c>
      <c r="B1182" t="inlineStr">
        <is>
          <t>Davylla Rodrigues Freitas Silva</t>
        </is>
      </c>
      <c r="C1182" t="inlineStr">
        <is>
          <t>Técnico III</t>
        </is>
      </c>
      <c r="D1182" t="n">
        <v>20</v>
      </c>
      <c r="E1182" t="n">
        <v>20</v>
      </c>
      <c r="F1182" t="n">
        <v>25.03</v>
      </c>
      <c r="G1182" t="n">
        <v>0</v>
      </c>
      <c r="H1182" t="n">
        <v>0</v>
      </c>
      <c r="I1182" s="3" t="n">
        <v>0</v>
      </c>
      <c r="J1182" s="3" t="n">
        <v>0</v>
      </c>
      <c r="K1182" s="3" t="n">
        <v>0</v>
      </c>
      <c r="L1182" s="3">
        <f>IF(K1182&lt;-5,"CRÍTICO",IF(K1182&lt;0,"ATENÇÃO",IF(K1182&lt;=5,"BOM","EXCELENTE")))</f>
        <v/>
      </c>
      <c r="M1182" t="n">
        <v>20</v>
      </c>
      <c r="N1182" t="n">
        <v>99.48999999999999</v>
      </c>
      <c r="O1182" t="n">
        <v>40.2</v>
      </c>
    </row>
    <row r="1183" hidden="1">
      <c r="A1183" s="11" t="n">
        <v>46037</v>
      </c>
      <c r="B1183" t="inlineStr">
        <is>
          <t>Emilly Caylane Costa</t>
        </is>
      </c>
      <c r="C1183" t="inlineStr">
        <is>
          <t>Estágio</t>
        </is>
      </c>
      <c r="D1183" t="n">
        <v>0</v>
      </c>
      <c r="E1183" t="n">
        <v>0</v>
      </c>
      <c r="F1183" t="n">
        <v>0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0</v>
      </c>
      <c r="N1183" t="n">
        <v>100</v>
      </c>
      <c r="O1183" t="n">
        <v>25</v>
      </c>
    </row>
    <row r="1184" hidden="1">
      <c r="A1184" s="11" t="n">
        <v>46037</v>
      </c>
      <c r="B1184" t="inlineStr">
        <is>
          <t>Emilly Kamilly Medeiros Miranda</t>
        </is>
      </c>
      <c r="C1184" t="inlineStr">
        <is>
          <t>Técnico II</t>
        </is>
      </c>
      <c r="D1184" t="n">
        <v>27</v>
      </c>
      <c r="E1184" t="n">
        <v>25</v>
      </c>
      <c r="F1184" t="n">
        <v>22.21</v>
      </c>
      <c r="G1184" t="n">
        <v>0</v>
      </c>
      <c r="H1184" t="n">
        <v>0</v>
      </c>
      <c r="I1184" s="3">
        <f>E1184+G1184+H1184</f>
        <v/>
      </c>
      <c r="J1184" s="3">
        <f>ROUND(MIN(IF(C1184="Técnico III",35,IF(C1184="Técnico II",28,IF(C1184="Técnico I",23,IF(C1184="JR",20,IF(C1184="Estágio",10,0))))),IF(C1184="Técnico III",SUMIFS($D:$D,$A:$A,$A1184,$B:$B,"&lt;&gt;Patrícia Karla de Sousa Araújo",$B:$B,"&lt;&gt;Lorena Dias de Araujo",$B:$B,"&lt;&gt;Lucas Luiz Romero")*(35/1083),IF(C1184="Técnico II",SUMIFS($D:$D,$A:$A,$A1184,$B:$B,"&lt;&gt;Patrícia Karla de Sousa Araújo",$B:$B,"&lt;&gt;Lorena Dias de Araujo",$B:$B,"&lt;&gt;Lucas Luiz Romero")*(28/1083),IF(C1184="Técnico I",SUMIFS($D:$D,$A:$A,$A1184,$B:$B,"&lt;&gt;Patrícia Karla de Sousa Araújo",$B:$B,"&lt;&gt;Lorena Dias de Araujo",$B:$B,"&lt;&gt;Lucas Luiz Romero")*(23/1083),IF(C1184="JR",SUMIFS($D:$D,$A:$A,$A1184,$B:$B,"&lt;&gt;Patrícia Karla de Sousa Araújo",$B:$B,"&lt;&gt;Lorena Dias de Araujo",$B:$B,"&lt;&gt;Lucas Luiz Romero")*(20/1083),IF(C1184="Estágio",SUMIFS($D:$D,$A:$A,$A1184,$B:$B,"&lt;&gt;Patrícia Karla de Sousa Araújo",$B:$B,"&lt;&gt;Lorena Dias de Araujo",$B:$B,"&lt;&gt;Lucas Luiz Romero")*(10/1083),0)))))),0)</f>
        <v/>
      </c>
      <c r="K1184" s="3">
        <f>I1184-J1184</f>
        <v/>
      </c>
      <c r="L1184" s="3">
        <f>IF(K1184&lt;-5,"CRÍTICO",IF(K1184&lt;0,"ATENÇÃO",IF(K1184&lt;=5,"BOM","EXCELENTE")))</f>
        <v/>
      </c>
      <c r="M1184" t="n">
        <v>22</v>
      </c>
      <c r="N1184" t="n">
        <v>100</v>
      </c>
      <c r="O1184" t="n">
        <v>34.15094339622641</v>
      </c>
    </row>
    <row r="1185" hidden="1">
      <c r="A1185" s="11" t="n">
        <v>46037</v>
      </c>
      <c r="B1185" t="inlineStr">
        <is>
          <t>Francielson de Oliveira</t>
        </is>
      </c>
      <c r="C1185" t="inlineStr">
        <is>
          <t>Técnico III</t>
        </is>
      </c>
      <c r="D1185" t="n">
        <v>33</v>
      </c>
      <c r="E1185" t="n">
        <v>32</v>
      </c>
      <c r="F1185" t="n">
        <v>20.06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28</v>
      </c>
      <c r="N1185" t="n">
        <v>100</v>
      </c>
      <c r="O1185" t="n">
        <v>32.7313769751693</v>
      </c>
    </row>
    <row r="1186" hidden="1">
      <c r="A1186" s="11" t="n">
        <v>46037</v>
      </c>
      <c r="B1186" t="inlineStr">
        <is>
          <t>Francilene Ferreira de Jesus</t>
        </is>
      </c>
      <c r="C1186" t="inlineStr">
        <is>
          <t>Técnico II</t>
        </is>
      </c>
      <c r="D1186" t="n">
        <v>0</v>
      </c>
      <c r="E1186" t="n">
        <v>0</v>
      </c>
      <c r="F1186" t="n">
        <v>0</v>
      </c>
      <c r="G1186" t="n">
        <v>0</v>
      </c>
      <c r="H1186" t="n">
        <v>0</v>
      </c>
      <c r="I1186" s="3" t="n">
        <v>0</v>
      </c>
      <c r="J1186" s="3" t="n">
        <v>0</v>
      </c>
      <c r="K1186" s="3" t="n">
        <v>0</v>
      </c>
      <c r="L1186" s="3">
        <f>IF(K1186&lt;-5,"CRÍTICO",IF(K1186&lt;0,"ATENÇÃO",IF(K1186&lt;=5,"BOM","EXCELENTE")))</f>
        <v/>
      </c>
      <c r="M1186" t="n">
        <v>1</v>
      </c>
      <c r="N1186" t="n">
        <v>99.31</v>
      </c>
      <c r="O1186" t="n">
        <v>30.96234309623431</v>
      </c>
    </row>
    <row r="1187" hidden="1">
      <c r="A1187" s="11" t="n">
        <v>46071</v>
      </c>
      <c r="B1187" t="inlineStr">
        <is>
          <t>Gabriel Gomes de Andrade</t>
        </is>
      </c>
      <c r="C1187" t="inlineStr">
        <is>
          <t>Técnico I</t>
        </is>
      </c>
      <c r="D1187" t="n">
        <v>18</v>
      </c>
      <c r="E1187" t="n">
        <v>18</v>
      </c>
      <c r="F1187" t="n">
        <v>24.18</v>
      </c>
      <c r="G1187" t="n">
        <v>0</v>
      </c>
      <c r="H1187" t="n">
        <v>0</v>
      </c>
      <c r="I1187" s="3">
        <f>E1187+G1187+H1187</f>
        <v/>
      </c>
      <c r="J1187" s="3">
        <f>ROUND(MIN(IF(C1187="Técnico III",35,IF(C1187="Técnico II",28,IF(C1187="Técnico I",23,IF(C1187="JR",20,IF(C1187="Estágio",10,0))))),IF(C1187="Técnico III",SUMIFS($D:$D,$A:$A,$A1187,$B:$B,"&lt;&gt;Patrícia Karla de Sousa Araújo",$B:$B,"&lt;&gt;Lorena Dias de Araujo",$B:$B,"&lt;&gt;Lucas Luiz Romero")*(35/1083),IF(C1187="Técnico II",SUMIFS($D:$D,$A:$A,$A1187,$B:$B,"&lt;&gt;Patrícia Karla de Sousa Araújo",$B:$B,"&lt;&gt;Lorena Dias de Araujo",$B:$B,"&lt;&gt;Lucas Luiz Romero")*(28/1083),IF(C1187="Técnico I",SUMIFS($D:$D,$A:$A,$A1187,$B:$B,"&lt;&gt;Patrícia Karla de Sousa Araújo",$B:$B,"&lt;&gt;Lorena Dias de Araujo",$B:$B,"&lt;&gt;Lucas Luiz Romero")*(23/1083),IF(C1187="JR",SUMIFS($D:$D,$A:$A,$A1187,$B:$B,"&lt;&gt;Patrícia Karla de Sousa Araújo",$B:$B,"&lt;&gt;Lorena Dias de Araujo",$B:$B,"&lt;&gt;Lucas Luiz Romero")*(20/1083),IF(C1187="Estágio",SUMIFS($D:$D,$A:$A,$A1187,$B:$B,"&lt;&gt;Patrícia Karla de Sousa Araújo",$B:$B,"&lt;&gt;Lorena Dias de Araujo",$B:$B,"&lt;&gt;Lucas Luiz Romero")*(10/1083),0)))))),0)</f>
        <v/>
      </c>
      <c r="K1187" s="3">
        <f>I1187-J1187</f>
        <v/>
      </c>
      <c r="L1187" s="3">
        <f>IF(K1187&lt;-5,"CRÍTICO",IF(K1187&lt;0,"ATENÇÃO",IF(K1187&lt;=5,"BOM","EXCELENTE")))</f>
        <v/>
      </c>
      <c r="M1187" t="n">
        <v>18</v>
      </c>
      <c r="N1187" t="n">
        <v>96.67</v>
      </c>
      <c r="O1187" t="n">
        <v>31.45161290322581</v>
      </c>
    </row>
    <row r="1188" hidden="1">
      <c r="A1188" s="11" t="n">
        <v>46037</v>
      </c>
      <c r="B1188" t="inlineStr">
        <is>
          <t>Isabella Borges de Oliveira</t>
        </is>
      </c>
      <c r="C1188" t="inlineStr">
        <is>
          <t>Técnico II</t>
        </is>
      </c>
      <c r="D1188" t="n">
        <v>31</v>
      </c>
      <c r="E1188" t="n">
        <v>30</v>
      </c>
      <c r="F1188" t="n">
        <v>19.09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M1188" t="n">
        <v>29</v>
      </c>
      <c r="N1188" t="n">
        <v>100</v>
      </c>
      <c r="O1188" t="n">
        <v>27.67676767676768</v>
      </c>
    </row>
    <row r="1189" hidden="1">
      <c r="A1189" s="11" t="n">
        <v>46037</v>
      </c>
      <c r="B1189" t="inlineStr">
        <is>
          <t>Janaina Lima dos Reis Urany</t>
        </is>
      </c>
      <c r="C1189" t="inlineStr">
        <is>
          <t>Técnico III</t>
        </is>
      </c>
      <c r="D1189" t="n">
        <v>53</v>
      </c>
      <c r="E1189" t="n">
        <v>50</v>
      </c>
      <c r="F1189" t="n">
        <v>12.03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48</v>
      </c>
      <c r="N1189" t="n">
        <v>100</v>
      </c>
      <c r="O1189" t="n">
        <v>31.17723156532988</v>
      </c>
    </row>
    <row r="1190" hidden="1">
      <c r="A1190" s="11" t="n">
        <v>46037</v>
      </c>
      <c r="B1190" t="inlineStr">
        <is>
          <t>Jaqueline Evangelista da Silva Martins</t>
        </is>
      </c>
      <c r="C1190" t="inlineStr">
        <is>
          <t>Técnico III</t>
        </is>
      </c>
      <c r="D1190" t="n">
        <v>0</v>
      </c>
      <c r="E1190" t="n">
        <v>0</v>
      </c>
      <c r="F1190" t="n">
        <v>0</v>
      </c>
      <c r="G1190" t="n">
        <v>0</v>
      </c>
      <c r="H1190" t="n">
        <v>0</v>
      </c>
      <c r="I1190" s="3" t="n">
        <v>0</v>
      </c>
      <c r="J1190" s="3" t="n">
        <v>0</v>
      </c>
      <c r="K1190" s="3" t="n">
        <v>0</v>
      </c>
      <c r="L1190" s="3">
        <f>IF(K1190&lt;-5,"CRÍTICO",IF(K1190&lt;0,"ATENÇÃO",IF(K1190&lt;=5,"BOM","EXCELENTE")))</f>
        <v/>
      </c>
      <c r="M1190" t="n">
        <v>0</v>
      </c>
      <c r="N1190" t="n">
        <v>100</v>
      </c>
      <c r="O1190" t="n">
        <v>27.60942760942761</v>
      </c>
    </row>
    <row r="1191" hidden="1">
      <c r="A1191" s="11" t="n">
        <v>46037</v>
      </c>
      <c r="B1191" t="inlineStr">
        <is>
          <t>Jessica Faria da Silveira</t>
        </is>
      </c>
      <c r="C1191" t="inlineStr">
        <is>
          <t>Técnico II</t>
        </is>
      </c>
      <c r="D1191" t="n">
        <v>31</v>
      </c>
      <c r="E1191" t="n">
        <v>24</v>
      </c>
      <c r="F1191" t="n">
        <v>22.26</v>
      </c>
      <c r="G1191" t="n">
        <v>0</v>
      </c>
      <c r="H1191" t="n">
        <v>0</v>
      </c>
      <c r="I1191" s="3">
        <f>E1191+G1191+H1191</f>
        <v/>
      </c>
      <c r="J1191" s="3">
        <f>ROUND(MIN(IF(C1191="Técnico III",35,IF(C1191="Técnico II",28,IF(C1191="Técnico I",23,IF(C1191="JR",20,IF(C1191="Estágio",10,0))))),IF(C1191="Técnico III",SUMIFS($D:$D,$A:$A,$A1191,$B:$B,"&lt;&gt;Patrícia Karla de Sousa Araújo",$B:$B,"&lt;&gt;Lorena Dias de Araujo",$B:$B,"&lt;&gt;Lucas Luiz Romero")*(35/1083),IF(C1191="Técnico II",SUMIFS($D:$D,$A:$A,$A1191,$B:$B,"&lt;&gt;Patrícia Karla de Sousa Araújo",$B:$B,"&lt;&gt;Lorena Dias de Araujo",$B:$B,"&lt;&gt;Lucas Luiz Romero")*(28/1083),IF(C1191="Técnico I",SUMIFS($D:$D,$A:$A,$A1191,$B:$B,"&lt;&gt;Patrícia Karla de Sousa Araújo",$B:$B,"&lt;&gt;Lorena Dias de Araujo",$B:$B,"&lt;&gt;Lucas Luiz Romero")*(23/1083),IF(C1191="JR",SUMIFS($D:$D,$A:$A,$A1191,$B:$B,"&lt;&gt;Patrícia Karla de Sousa Araújo",$B:$B,"&lt;&gt;Lorena Dias de Araujo",$B:$B,"&lt;&gt;Lucas Luiz Romero")*(20/1083),IF(C1191="Estágio",SUMIFS($D:$D,$A:$A,$A1191,$B:$B,"&lt;&gt;Patrícia Karla de Sousa Araújo",$B:$B,"&lt;&gt;Lorena Dias de Araujo",$B:$B,"&lt;&gt;Lucas Luiz Romero")*(10/1083),0)))))),0)</f>
        <v/>
      </c>
      <c r="K1191" s="3">
        <f>I1191-J1191</f>
        <v/>
      </c>
      <c r="L1191" s="3">
        <f>IF(K1191&lt;-5,"CRÍTICO",IF(K1191&lt;0,"ATENÇÃO",IF(K1191&lt;=5,"BOM","EXCELENTE")))</f>
        <v/>
      </c>
      <c r="M1191" t="n">
        <v>22</v>
      </c>
      <c r="N1191" t="n">
        <v>96.40000000000001</v>
      </c>
      <c r="O1191" t="n">
        <v>28.76404494382023</v>
      </c>
    </row>
    <row r="1192" hidden="1">
      <c r="A1192" s="11" t="n">
        <v>46037</v>
      </c>
      <c r="B1192" t="inlineStr">
        <is>
          <t>Jéssica Fé Moura</t>
        </is>
      </c>
      <c r="C1192" t="inlineStr">
        <is>
          <t>Técnico III</t>
        </is>
      </c>
      <c r="D1192" t="n">
        <v>0</v>
      </c>
      <c r="E1192" t="n">
        <v>0</v>
      </c>
      <c r="F1192" t="n">
        <v>0</v>
      </c>
      <c r="G1192" t="n">
        <v>0</v>
      </c>
      <c r="H1192" t="n">
        <v>0</v>
      </c>
      <c r="I1192" s="3" t="n">
        <v>0</v>
      </c>
      <c r="J1192" s="3" t="n">
        <v>0</v>
      </c>
      <c r="K1192" s="3" t="n">
        <v>0</v>
      </c>
      <c r="L1192" s="3">
        <f>IF(K1192&lt;-5,"CRÍTICO",IF(K1192&lt;0,"ATENÇÃO",IF(K1192&lt;=5,"BOM","EXCELENTE")))</f>
        <v/>
      </c>
      <c r="M1192" t="n">
        <v>19</v>
      </c>
      <c r="N1192" t="n">
        <v>100</v>
      </c>
      <c r="O1192" t="n">
        <v>33.98058252427185</v>
      </c>
    </row>
    <row r="1193" hidden="1">
      <c r="A1193" s="11" t="n">
        <v>46037</v>
      </c>
      <c r="B1193" t="inlineStr">
        <is>
          <t>Karina Gonçalves Martins</t>
        </is>
      </c>
      <c r="C1193" t="inlineStr">
        <is>
          <t>JR</t>
        </is>
      </c>
      <c r="D1193" t="n">
        <v>10</v>
      </c>
      <c r="E1193" t="n">
        <v>7</v>
      </c>
      <c r="F1193" t="n">
        <v>19</v>
      </c>
      <c r="G1193" t="n">
        <v>0</v>
      </c>
      <c r="H1193" t="n">
        <v>0</v>
      </c>
      <c r="I1193" s="3">
        <f>E1193+G1193+H1193</f>
        <v/>
      </c>
      <c r="J1193" s="3">
        <f>ROUND(MIN(IF(C1193="Técnico III",35,IF(C1193="Técnico II",28,IF(C1193="Técnico I",23,IF(C1193="JR",20,IF(C1193="Estágio",10,0))))),IF(C1193="Técnico III",SUMIFS($D:$D,$A:$A,$A1193,$B:$B,"&lt;&gt;Patrícia Karla de Sousa Araújo",$B:$B,"&lt;&gt;Lorena Dias de Araujo",$B:$B,"&lt;&gt;Lucas Luiz Romero")*(35/1083),IF(C1193="Técnico II",SUMIFS($D:$D,$A:$A,$A1193,$B:$B,"&lt;&gt;Patrícia Karla de Sousa Araújo",$B:$B,"&lt;&gt;Lorena Dias de Araujo",$B:$B,"&lt;&gt;Lucas Luiz Romero")*(28/1083),IF(C1193="Técnico I",SUMIFS($D:$D,$A:$A,$A1193,$B:$B,"&lt;&gt;Patrícia Karla de Sousa Araújo",$B:$B,"&lt;&gt;Lorena Dias de Araujo",$B:$B,"&lt;&gt;Lucas Luiz Romero")*(23/1083),IF(C1193="JR",SUMIFS($D:$D,$A:$A,$A1193,$B:$B,"&lt;&gt;Patrícia Karla de Sousa Araújo",$B:$B,"&lt;&gt;Lorena Dias de Araujo",$B:$B,"&lt;&gt;Lucas Luiz Romero")*(20/1083),IF(C1193="Estágio",SUMIFS($D:$D,$A:$A,$A1193,$B:$B,"&lt;&gt;Patrícia Karla de Sousa Araújo",$B:$B,"&lt;&gt;Lorena Dias de Araujo",$B:$B,"&lt;&gt;Lucas Luiz Romero")*(10/1083),0)))))),0)</f>
        <v/>
      </c>
      <c r="K1193" s="3">
        <f>I1193-J1193</f>
        <v/>
      </c>
      <c r="L1193" s="3">
        <f>IF(K1193&lt;-5,"CRÍTICO",IF(K1193&lt;0,"ATENÇÃO",IF(K1193&lt;=5,"BOM","EXCELENTE")))</f>
        <v/>
      </c>
      <c r="M1193" t="n">
        <v>7</v>
      </c>
      <c r="N1193" t="n">
        <v>97.56</v>
      </c>
      <c r="O1193" t="n">
        <v>32.51533742331289</v>
      </c>
    </row>
    <row r="1194" hidden="1">
      <c r="A1194" s="11" t="n">
        <v>46037</v>
      </c>
      <c r="B1194" t="inlineStr">
        <is>
          <t>Kerollen Cristielly de Jesus Siqueira</t>
        </is>
      </c>
      <c r="C1194" t="inlineStr">
        <is>
          <t>Técnico III</t>
        </is>
      </c>
      <c r="D1194" t="n">
        <v>22</v>
      </c>
      <c r="E1194" t="n">
        <v>21</v>
      </c>
      <c r="F1194" t="n">
        <v>28.57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21</v>
      </c>
      <c r="N1194" t="n">
        <v>97.11</v>
      </c>
      <c r="O1194" t="n">
        <v>37.40831295843521</v>
      </c>
    </row>
    <row r="1195" hidden="1">
      <c r="A1195" s="11" t="n">
        <v>46037</v>
      </c>
      <c r="B1195" t="inlineStr">
        <is>
          <t>Leandro de Souza Silva</t>
        </is>
      </c>
      <c r="C1195" t="inlineStr">
        <is>
          <t>JR</t>
        </is>
      </c>
      <c r="D1195" t="n">
        <v>0</v>
      </c>
      <c r="E1195" t="n">
        <v>0</v>
      </c>
      <c r="F1195" t="n">
        <v>0</v>
      </c>
      <c r="G1195" t="n">
        <v>0</v>
      </c>
      <c r="H1195" t="n">
        <v>0</v>
      </c>
      <c r="I1195" s="3" t="n">
        <v>0</v>
      </c>
      <c r="J1195" s="3" t="n">
        <v>0</v>
      </c>
      <c r="K1195" s="3" t="n">
        <v>0</v>
      </c>
      <c r="L1195" s="3">
        <f>IF(K1195&lt;-5,"CRÍTICO",IF(K1195&lt;0,"ATENÇÃO",IF(K1195&lt;=5,"BOM","EXCELENTE")))</f>
        <v/>
      </c>
      <c r="M1195" t="n">
        <v>0</v>
      </c>
      <c r="N1195" t="n">
        <v>0</v>
      </c>
      <c r="O1195" t="n">
        <v>0</v>
      </c>
    </row>
    <row r="1196" hidden="1">
      <c r="A1196" s="11" t="n">
        <v>46037</v>
      </c>
      <c r="B1196" t="inlineStr">
        <is>
          <t>Leandro Oliveira de Sousa</t>
        </is>
      </c>
      <c r="C1196" t="inlineStr">
        <is>
          <t>Técnico III</t>
        </is>
      </c>
      <c r="D1196" t="n">
        <v>39</v>
      </c>
      <c r="E1196" t="n">
        <v>32</v>
      </c>
      <c r="F1196" t="n">
        <v>20.5</v>
      </c>
      <c r="G1196" t="n">
        <v>0</v>
      </c>
      <c r="H1196" t="n">
        <v>0</v>
      </c>
      <c r="I1196" s="3">
        <f>E1196+G1196+H1196</f>
        <v/>
      </c>
      <c r="J1196" s="3">
        <f>ROUND(MIN(IF(C1196="Técnico III",35,IF(C1196="Técnico II",28,IF(C1196="Técnico I",23,IF(C1196="JR",20,IF(C1196="Estágio",10,0))))),IF(C1196="Técnico III",SUMIFS($D:$D,$A:$A,$A1196,$B:$B,"&lt;&gt;Patrícia Karla de Sousa Araújo",$B:$B,"&lt;&gt;Lorena Dias de Araujo",$B:$B,"&lt;&gt;Lucas Luiz Romero")*(35/1083),IF(C1196="Técnico II",SUMIFS($D:$D,$A:$A,$A1196,$B:$B,"&lt;&gt;Patrícia Karla de Sousa Araújo",$B:$B,"&lt;&gt;Lorena Dias de Araujo",$B:$B,"&lt;&gt;Lucas Luiz Romero")*(28/1083),IF(C1196="Técnico I",SUMIFS($D:$D,$A:$A,$A1196,$B:$B,"&lt;&gt;Patrícia Karla de Sousa Araújo",$B:$B,"&lt;&gt;Lorena Dias de Araujo",$B:$B,"&lt;&gt;Lucas Luiz Romero")*(23/1083),IF(C1196="JR",SUMIFS($D:$D,$A:$A,$A1196,$B:$B,"&lt;&gt;Patrícia Karla de Sousa Araújo",$B:$B,"&lt;&gt;Lorena Dias de Araujo",$B:$B,"&lt;&gt;Lucas Luiz Romero")*(20/1083),IF(C1196="Estágio",SUMIFS($D:$D,$A:$A,$A1196,$B:$B,"&lt;&gt;Patrícia Karla de Sousa Araújo",$B:$B,"&lt;&gt;Lorena Dias de Araujo",$B:$B,"&lt;&gt;Lucas Luiz Romero")*(10/1083),0)))))),0)</f>
        <v/>
      </c>
      <c r="K1196" s="3">
        <f>I1196-J1196</f>
        <v/>
      </c>
      <c r="L1196" s="3">
        <f>IF(K1196&lt;-5,"CRÍTICO",IF(K1196&lt;0,"ATENÇÃO",IF(K1196&lt;=5,"BOM","EXCELENTE")))</f>
        <v/>
      </c>
      <c r="M1196" t="n">
        <v>27</v>
      </c>
      <c r="N1196" t="n">
        <v>100</v>
      </c>
      <c r="O1196" t="n">
        <v>30.47034764826176</v>
      </c>
    </row>
    <row r="1197" hidden="1">
      <c r="A1197" s="11" t="n">
        <v>46037</v>
      </c>
      <c r="B1197" t="inlineStr">
        <is>
          <t>Lizandra Gomes Duarte</t>
        </is>
      </c>
      <c r="C1197" t="inlineStr">
        <is>
          <t>Técnico II</t>
        </is>
      </c>
      <c r="D1197" t="n">
        <v>32</v>
      </c>
      <c r="E1197" t="n">
        <v>31</v>
      </c>
      <c r="F1197" t="n">
        <v>23.47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29</v>
      </c>
      <c r="N1197" t="n">
        <v>100</v>
      </c>
      <c r="O1197" t="n">
        <v>32.37113402061856</v>
      </c>
    </row>
    <row r="1198" hidden="1">
      <c r="A1198" s="11" t="n">
        <v>46037</v>
      </c>
      <c r="B1198" t="inlineStr">
        <is>
          <t>Lorena Dias de Araujo</t>
        </is>
      </c>
      <c r="C1198" t="inlineStr">
        <is>
          <t>Técnico II</t>
        </is>
      </c>
      <c r="D1198" t="n">
        <v>28</v>
      </c>
      <c r="E1198" t="n">
        <v>26</v>
      </c>
      <c r="F1198" t="n">
        <v>19.04</v>
      </c>
      <c r="G1198" t="n">
        <v>0</v>
      </c>
      <c r="H1198" t="n">
        <v>0</v>
      </c>
      <c r="I1198" s="3" t="n">
        <v>0</v>
      </c>
      <c r="J1198" s="3" t="n">
        <v>0</v>
      </c>
      <c r="K1198" s="3" t="n">
        <v>0</v>
      </c>
      <c r="L1198" s="3">
        <f>IF(K1198&lt;-5,"CRÍTICO",IF(K1198&lt;0,"ATENÇÃO",IF(K1198&lt;=5,"BOM","EXCELENTE")))</f>
        <v/>
      </c>
      <c r="M1198" t="n">
        <v>25</v>
      </c>
      <c r="N1198" t="n">
        <v>98.31999999999999</v>
      </c>
      <c r="O1198" t="n">
        <v>32.31850117096019</v>
      </c>
    </row>
    <row r="1199" hidden="1">
      <c r="A1199" s="11" t="n">
        <v>46037</v>
      </c>
      <c r="B1199" t="inlineStr">
        <is>
          <t>Lucas Luiz Romero</t>
        </is>
      </c>
      <c r="C1199" t="inlineStr">
        <is>
          <t>Técnico III</t>
        </is>
      </c>
      <c r="D1199" t="n">
        <v>71</v>
      </c>
      <c r="E1199" t="n">
        <v>51</v>
      </c>
      <c r="F1199" t="n">
        <v>10.42</v>
      </c>
      <c r="G1199" t="n">
        <v>0</v>
      </c>
      <c r="H1199" t="n">
        <v>0</v>
      </c>
      <c r="I1199" s="3">
        <f>E1199+G1199+H1199</f>
        <v/>
      </c>
      <c r="J1199" s="3">
        <f>ROUND(MIN(IF(C1199="Técnico III",35,IF(C1199="Técnico II",28,IF(C1199="Técnico I",23,IF(C1199="JR",20,IF(C1199="Estágio",10,0))))),IF(C1199="Técnico III",SUMIFS($D:$D,$A:$A,$A1199,$B:$B,"&lt;&gt;Patrícia Karla de Sousa Araújo",$B:$B,"&lt;&gt;Lorena Dias de Araujo",$B:$B,"&lt;&gt;Lucas Luiz Romero")*(35/1083),IF(C1199="Técnico II",SUMIFS($D:$D,$A:$A,$A1199,$B:$B,"&lt;&gt;Patrícia Karla de Sousa Araújo",$B:$B,"&lt;&gt;Lorena Dias de Araujo",$B:$B,"&lt;&gt;Lucas Luiz Romero")*(28/1083),IF(C1199="Técnico I",SUMIFS($D:$D,$A:$A,$A1199,$B:$B,"&lt;&gt;Patrícia Karla de Sousa Araújo",$B:$B,"&lt;&gt;Lorena Dias de Araujo",$B:$B,"&lt;&gt;Lucas Luiz Romero")*(23/1083),IF(C1199="JR",SUMIFS($D:$D,$A:$A,$A1199,$B:$B,"&lt;&gt;Patrícia Karla de Sousa Araújo",$B:$B,"&lt;&gt;Lorena Dias de Araujo",$B:$B,"&lt;&gt;Lucas Luiz Romero")*(20/1083),IF(C1199="Estágio",SUMIFS($D:$D,$A:$A,$A1199,$B:$B,"&lt;&gt;Patrícia Karla de Sousa Araújo",$B:$B,"&lt;&gt;Lorena Dias de Araujo",$B:$B,"&lt;&gt;Lucas Luiz Romero")*(10/1083),0)))))),0)</f>
        <v/>
      </c>
      <c r="K1199" s="3">
        <f>I1199-J1199</f>
        <v/>
      </c>
      <c r="L1199" s="3">
        <f>IF(K1199&lt;-5,"CRÍTICO",IF(K1199&lt;0,"ATENÇÃO",IF(K1199&lt;=5,"BOM","EXCELENTE")))</f>
        <v/>
      </c>
      <c r="M1199" t="n">
        <v>38</v>
      </c>
      <c r="N1199" t="n">
        <v>96.43000000000001</v>
      </c>
      <c r="O1199" t="n">
        <v>27.01525054466231</v>
      </c>
    </row>
    <row r="1200" hidden="1">
      <c r="A1200" s="11" t="n">
        <v>46037</v>
      </c>
      <c r="B1200" t="inlineStr">
        <is>
          <t>Luiz Fernando de Carvalho Junior</t>
        </is>
      </c>
      <c r="C1200" t="inlineStr">
        <is>
          <t>Técnico I</t>
        </is>
      </c>
      <c r="D1200" t="n">
        <v>19</v>
      </c>
      <c r="E1200" t="n">
        <v>17</v>
      </c>
      <c r="F1200" t="n">
        <v>21.58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15</v>
      </c>
      <c r="N1200" t="n">
        <v>98.89</v>
      </c>
      <c r="O1200" t="n">
        <v>28.02197802197802</v>
      </c>
    </row>
    <row r="1201" hidden="1">
      <c r="A1201" s="11" t="n">
        <v>46037</v>
      </c>
      <c r="B1201" t="inlineStr">
        <is>
          <t>Maria Eduarda Sousa Costa</t>
        </is>
      </c>
      <c r="C1201" t="inlineStr">
        <is>
          <t>Estágio</t>
        </is>
      </c>
      <c r="D1201" t="n">
        <v>0</v>
      </c>
      <c r="E1201" t="n">
        <v>0</v>
      </c>
      <c r="F1201" t="n">
        <v>0</v>
      </c>
      <c r="G1201" t="n">
        <v>0</v>
      </c>
      <c r="H1201" t="n">
        <v>0</v>
      </c>
      <c r="I1201" s="3" t="n">
        <v>0</v>
      </c>
      <c r="J1201" s="3" t="n">
        <v>0</v>
      </c>
      <c r="K1201" s="3" t="n">
        <v>0</v>
      </c>
      <c r="L1201" s="3">
        <f>IF(K1201&lt;-5,"CRÍTICO",IF(K1201&lt;0,"ATENÇÃO",IF(K1201&lt;=5,"BOM","EXCELENTE")))</f>
        <v/>
      </c>
      <c r="M1201" t="n">
        <v>0</v>
      </c>
      <c r="N1201" t="n">
        <v>100</v>
      </c>
      <c r="O1201" t="n">
        <v>33.33333333333333</v>
      </c>
    </row>
    <row r="1202" hidden="1">
      <c r="A1202" s="11" t="n">
        <v>46037</v>
      </c>
      <c r="B1202" t="inlineStr">
        <is>
          <t>Matheus Farias De Souza</t>
        </is>
      </c>
      <c r="C1202" t="inlineStr">
        <is>
          <t>Técnico III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27.43362831858407</v>
      </c>
    </row>
    <row r="1203" hidden="1">
      <c r="A1203" s="11" t="n">
        <v>46037</v>
      </c>
      <c r="B1203" t="inlineStr">
        <is>
          <t>Maysa Victoria Dias Moura</t>
        </is>
      </c>
      <c r="C1203" t="inlineStr">
        <is>
          <t>Técnico III</t>
        </is>
      </c>
      <c r="D1203" t="n">
        <v>53</v>
      </c>
      <c r="E1203" t="n">
        <v>48</v>
      </c>
      <c r="F1203" t="n">
        <v>9.18</v>
      </c>
      <c r="G1203" t="n">
        <v>0</v>
      </c>
      <c r="H1203" t="n">
        <v>0</v>
      </c>
      <c r="I1203" s="3">
        <f>E1203+G1203+H1203</f>
        <v/>
      </c>
      <c r="J1203" s="3">
        <f>ROUND(MIN(IF(C1203="Técnico III",35,IF(C1203="Técnico II",28,IF(C1203="Técnico I",23,IF(C1203="JR",20,IF(C1203="Estágio",10,0))))),IF(C1203="Técnico III",SUMIFS($D:$D,$A:$A,$A1203,$B:$B,"&lt;&gt;Patrícia Karla de Sousa Araújo",$B:$B,"&lt;&gt;Lorena Dias de Araujo",$B:$B,"&lt;&gt;Lucas Luiz Romero")*(35/1083),IF(C1203="Técnico II",SUMIFS($D:$D,$A:$A,$A1203,$B:$B,"&lt;&gt;Patrícia Karla de Sousa Araújo",$B:$B,"&lt;&gt;Lorena Dias de Araujo",$B:$B,"&lt;&gt;Lucas Luiz Romero")*(28/1083),IF(C1203="Técnico I",SUMIFS($D:$D,$A:$A,$A1203,$B:$B,"&lt;&gt;Patrícia Karla de Sousa Araújo",$B:$B,"&lt;&gt;Lorena Dias de Araujo",$B:$B,"&lt;&gt;Lucas Luiz Romero")*(23/1083),IF(C1203="JR",SUMIFS($D:$D,$A:$A,$A1203,$B:$B,"&lt;&gt;Patrícia Karla de Sousa Araújo",$B:$B,"&lt;&gt;Lorena Dias de Araujo",$B:$B,"&lt;&gt;Lucas Luiz Romero")*(20/1083),IF(C1203="Estágio",SUMIFS($D:$D,$A:$A,$A1203,$B:$B,"&lt;&gt;Patrícia Karla de Sousa Araújo",$B:$B,"&lt;&gt;Lorena Dias de Araujo",$B:$B,"&lt;&gt;Lucas Luiz Romero")*(10/1083),0)))))),0)</f>
        <v/>
      </c>
      <c r="K1203" s="3">
        <f>I1203-J1203</f>
        <v/>
      </c>
      <c r="L1203" s="3">
        <f>IF(K1203&lt;-5,"CRÍTICO",IF(K1203&lt;0,"ATENÇÃO",IF(K1203&lt;=5,"BOM","EXCELENTE")))</f>
        <v/>
      </c>
      <c r="M1203" t="n">
        <v>40</v>
      </c>
      <c r="N1203" t="n">
        <v>98.65000000000001</v>
      </c>
      <c r="O1203" t="n">
        <v>30.97826086956522</v>
      </c>
    </row>
    <row r="1204" hidden="1">
      <c r="A1204" s="11" t="n">
        <v>46037</v>
      </c>
      <c r="B1204" t="inlineStr">
        <is>
          <t>Michelle G Santos</t>
        </is>
      </c>
      <c r="C1204" t="inlineStr">
        <is>
          <t>Estágio</t>
        </is>
      </c>
      <c r="D1204" t="n">
        <v>1</v>
      </c>
      <c r="E1204" t="n">
        <v>1</v>
      </c>
      <c r="F1204" t="n">
        <v>12.38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0</v>
      </c>
      <c r="N1204" t="n">
        <v>100</v>
      </c>
      <c r="O1204" t="n">
        <v>12</v>
      </c>
    </row>
    <row r="1205" hidden="1">
      <c r="A1205" s="11" t="n">
        <v>46037</v>
      </c>
      <c r="B1205" t="inlineStr">
        <is>
          <t>Milena Sales</t>
        </is>
      </c>
      <c r="C1205" t="inlineStr">
        <is>
          <t>JR</t>
        </is>
      </c>
      <c r="D1205" t="n">
        <v>0</v>
      </c>
      <c r="E1205" t="n">
        <v>0</v>
      </c>
      <c r="F1205" t="n">
        <v>0</v>
      </c>
      <c r="G1205" t="n">
        <v>0</v>
      </c>
      <c r="H1205" t="n">
        <v>0</v>
      </c>
      <c r="I1205" s="3" t="n">
        <v>0</v>
      </c>
      <c r="J1205" s="3" t="n">
        <v>0</v>
      </c>
      <c r="K1205" s="3" t="n">
        <v>0</v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Patrícia Karla de Sousa Araújo</t>
        </is>
      </c>
      <c r="C1206" t="inlineStr">
        <is>
          <t>Técnico II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97.56</v>
      </c>
      <c r="O1206" t="n">
        <v>31.06796116504854</v>
      </c>
    </row>
    <row r="1207" hidden="1">
      <c r="A1207" s="11" t="n">
        <v>46037</v>
      </c>
      <c r="B1207" t="inlineStr">
        <is>
          <t>Paulo Ricardo Santos</t>
        </is>
      </c>
      <c r="C1207" t="inlineStr">
        <is>
          <t>JR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0</v>
      </c>
      <c r="O1207" t="n">
        <v>0</v>
      </c>
    </row>
    <row r="1208" hidden="1">
      <c r="A1208" s="11" t="n">
        <v>46037</v>
      </c>
      <c r="B1208" t="inlineStr">
        <is>
          <t>Pedro Luiz Mota Sousa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Quirino Diogo Leite Torres</t>
        </is>
      </c>
      <c r="C1209" t="inlineStr">
        <is>
          <t>Estágio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Raane Batista Matos</t>
        </is>
      </c>
      <c r="C1210" t="inlineStr">
        <is>
          <t>Técnico I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100</v>
      </c>
      <c r="O1210" t="n">
        <v>53.84615384615385</v>
      </c>
    </row>
    <row r="1211" hidden="1">
      <c r="A1211" s="11" t="n">
        <v>46037</v>
      </c>
      <c r="B1211" t="inlineStr">
        <is>
          <t>Rafael Gomes de Morais</t>
        </is>
      </c>
      <c r="C1211" t="inlineStr">
        <is>
          <t>Técnico III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100</v>
      </c>
      <c r="O1211" t="n">
        <v>44.05594405594406</v>
      </c>
    </row>
    <row r="1212" hidden="1">
      <c r="A1212" s="11" t="n">
        <v>46037</v>
      </c>
      <c r="B1212" t="inlineStr">
        <is>
          <t>Sara Maria Monteiro Lopes</t>
        </is>
      </c>
      <c r="C1212" t="inlineStr">
        <is>
          <t>Técnico I</t>
        </is>
      </c>
      <c r="D1212" t="n">
        <v>15</v>
      </c>
      <c r="E1212" t="n">
        <v>14</v>
      </c>
      <c r="F1212" t="n">
        <v>28.44</v>
      </c>
      <c r="G1212" t="n">
        <v>0</v>
      </c>
      <c r="H1212" t="n">
        <v>0</v>
      </c>
      <c r="I1212" s="3">
        <f>E1212+G1212+H1212</f>
        <v/>
      </c>
      <c r="J1212" s="3">
        <f>ROUND(MIN(IF(C1212="Técnico III",35,IF(C1212="Técnico II",28,IF(C1212="Técnico I",23,IF(C1212="JR",20,IF(C1212="Estágio",10,0))))),IF(C1212="Técnico III",SUMIFS($D:$D,$A:$A,$A1212,$B:$B,"&lt;&gt;Patrícia Karla de Sousa Araújo",$B:$B,"&lt;&gt;Lorena Dias de Araujo",$B:$B,"&lt;&gt;Lucas Luiz Romero")*(35/1083),IF(C1212="Técnico II",SUMIFS($D:$D,$A:$A,$A1212,$B:$B,"&lt;&gt;Patrícia Karla de Sousa Araújo",$B:$B,"&lt;&gt;Lorena Dias de Araujo",$B:$B,"&lt;&gt;Lucas Luiz Romero")*(28/1083),IF(C1212="Técnico I",SUMIFS($D:$D,$A:$A,$A1212,$B:$B,"&lt;&gt;Patrícia Karla de Sousa Araújo",$B:$B,"&lt;&gt;Lorena Dias de Araujo",$B:$B,"&lt;&gt;Lucas Luiz Romero")*(23/1083),IF(C1212="JR",SUMIFS($D:$D,$A:$A,$A1212,$B:$B,"&lt;&gt;Patrícia Karla de Sousa Araújo",$B:$B,"&lt;&gt;Lorena Dias de Araujo",$B:$B,"&lt;&gt;Lucas Luiz Romero")*(20/1083),IF(C1212="Estágio",SUMIFS($D:$D,$A:$A,$A1212,$B:$B,"&lt;&gt;Patrícia Karla de Sousa Araújo",$B:$B,"&lt;&gt;Lorena Dias de Araujo",$B:$B,"&lt;&gt;Lucas Luiz Romero")*(10/1083),0)))))),0)</f>
        <v/>
      </c>
      <c r="K1212" s="3">
        <f>I1212-J1212</f>
        <v/>
      </c>
      <c r="L1212" s="3">
        <f>IF(K1212&lt;-5,"CRÍTICO",IF(K1212&lt;0,"ATENÇÃO",IF(K1212&lt;=5,"BOM","EXCELENTE")))</f>
        <v/>
      </c>
      <c r="M1212" t="n">
        <v>15</v>
      </c>
      <c r="N1212" t="n">
        <v>100</v>
      </c>
      <c r="O1212" t="n">
        <v>31.87250996015936</v>
      </c>
    </row>
    <row r="1213" hidden="1">
      <c r="A1213" s="11" t="n">
        <v>46037</v>
      </c>
      <c r="B1213" t="inlineStr">
        <is>
          <t>Sarah Steffanie de Lima Borges</t>
        </is>
      </c>
      <c r="C1213" t="inlineStr">
        <is>
          <t>Técnico III</t>
        </is>
      </c>
      <c r="D1213" t="n">
        <v>37</v>
      </c>
      <c r="E1213" t="n">
        <v>35</v>
      </c>
      <c r="F1213" t="n">
        <v>14.08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31</v>
      </c>
      <c r="N1213" t="n">
        <v>98.41</v>
      </c>
      <c r="O1213" t="n">
        <v>29.22465208747515</v>
      </c>
    </row>
    <row r="1214" hidden="1">
      <c r="A1214" s="11" t="n">
        <v>46038</v>
      </c>
      <c r="B1214" t="inlineStr">
        <is>
          <t>Alisson de Freitas Silva</t>
        </is>
      </c>
      <c r="C1214" t="inlineStr">
        <is>
          <t>Técnico II</t>
        </is>
      </c>
      <c r="D1214" t="n">
        <v>26</v>
      </c>
      <c r="E1214" t="n">
        <v>26</v>
      </c>
      <c r="F1214" t="n">
        <v>15.33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22</v>
      </c>
      <c r="N1214" t="n">
        <v>96.81</v>
      </c>
      <c r="O1214" t="n">
        <v>27.98053527980535</v>
      </c>
    </row>
    <row r="1215" hidden="1">
      <c r="A1215" s="11" t="n">
        <v>46038</v>
      </c>
      <c r="B1215" t="inlineStr">
        <is>
          <t>Amanda Moura Ferreira</t>
        </is>
      </c>
      <c r="C1215" t="inlineStr">
        <is>
          <t>Técnico III</t>
        </is>
      </c>
      <c r="D1215" t="n">
        <v>0</v>
      </c>
      <c r="E1215" t="n">
        <v>0</v>
      </c>
      <c r="F1215" t="n">
        <v>0</v>
      </c>
      <c r="G1215" t="n">
        <v>0</v>
      </c>
      <c r="H1215" t="n">
        <v>0</v>
      </c>
      <c r="I1215" s="3" t="n">
        <v>0</v>
      </c>
      <c r="J1215" s="3" t="n">
        <v>0</v>
      </c>
      <c r="K1215" s="3" t="n">
        <v>0</v>
      </c>
      <c r="L1215" s="3">
        <f>IF(K1215&lt;-5,"CRÍTICO",IF(K1215&lt;0,"ATENÇÃO",IF(K1215&lt;=5,"BOM","EXCELENTE")))</f>
        <v/>
      </c>
      <c r="M1215" t="n">
        <v>17</v>
      </c>
      <c r="N1215" t="n">
        <v>98.73</v>
      </c>
      <c r="O1215" t="n">
        <v>35.75638506876228</v>
      </c>
    </row>
    <row r="1216" hidden="1">
      <c r="A1216" s="11" t="n">
        <v>46038</v>
      </c>
      <c r="B1216" t="inlineStr">
        <is>
          <t>Ana Karollyne Souza Faria</t>
        </is>
      </c>
      <c r="C1216" t="inlineStr">
        <is>
          <t>Técnico I</t>
        </is>
      </c>
      <c r="D1216" t="n">
        <v>26</v>
      </c>
      <c r="E1216" t="n">
        <v>25</v>
      </c>
      <c r="F1216" t="n">
        <v>20.24</v>
      </c>
      <c r="G1216" t="n">
        <v>0</v>
      </c>
      <c r="H1216" t="n">
        <v>0</v>
      </c>
      <c r="I1216" s="3">
        <f>E1216+G1216+H1216</f>
        <v/>
      </c>
      <c r="J1216" s="3">
        <f>ROUND(MIN(IF(C1216="Técnico III",35,IF(C1216="Técnico II",28,IF(C1216="Técnico I",23,IF(C1216="JR",20,IF(C1216="Estágio",10,0))))),IF(C1216="Técnico III",SUMIFS($D:$D,$A:$A,$A1216,$B:$B,"&lt;&gt;Patrícia Karla de Sousa Araújo",$B:$B,"&lt;&gt;Lorena Dias de Araujo",$B:$B,"&lt;&gt;Lucas Luiz Romero")*(35/1083),IF(C1216="Técnico II",SUMIFS($D:$D,$A:$A,$A1216,$B:$B,"&lt;&gt;Patrícia Karla de Sousa Araújo",$B:$B,"&lt;&gt;Lorena Dias de Araujo",$B:$B,"&lt;&gt;Lucas Luiz Romero")*(28/1083),IF(C1216="Técnico I",SUMIFS($D:$D,$A:$A,$A1216,$B:$B,"&lt;&gt;Patrícia Karla de Sousa Araújo",$B:$B,"&lt;&gt;Lorena Dias de Araujo",$B:$B,"&lt;&gt;Lucas Luiz Romero")*(23/1083),IF(C1216="JR",SUMIFS($D:$D,$A:$A,$A1216,$B:$B,"&lt;&gt;Patrícia Karla de Sousa Araújo",$B:$B,"&lt;&gt;Lorena Dias de Araujo",$B:$B,"&lt;&gt;Lucas Luiz Romero")*(20/1083),IF(C1216="Estágio",SUMIFS($D:$D,$A:$A,$A1216,$B:$B,"&lt;&gt;Patrícia Karla de Sousa Araújo",$B:$B,"&lt;&gt;Lorena Dias de Araujo",$B:$B,"&lt;&gt;Lucas Luiz Romero")*(10/1083),0)))))),0)</f>
        <v/>
      </c>
      <c r="K1216" s="3">
        <f>I1216-J1216</f>
        <v/>
      </c>
      <c r="L1216" s="3">
        <f>IF(K1216&lt;-5,"CRÍTICO",IF(K1216&lt;0,"ATENÇÃO",IF(K1216&lt;=5,"BOM","EXCELENTE")))</f>
        <v/>
      </c>
      <c r="M1216" t="n">
        <v>22</v>
      </c>
      <c r="N1216" t="n">
        <v>98.31999999999999</v>
      </c>
      <c r="O1216" t="n">
        <v>26.76348547717842</v>
      </c>
    </row>
    <row r="1217" hidden="1">
      <c r="A1217" s="11" t="n">
        <v>46038</v>
      </c>
      <c r="B1217" t="inlineStr">
        <is>
          <t>Ana Paula Da Luz Silva Aleixo</t>
        </is>
      </c>
      <c r="C1217" t="inlineStr">
        <is>
          <t>Técnico III</t>
        </is>
      </c>
      <c r="D1217" t="n">
        <v>35</v>
      </c>
      <c r="E1217" t="n">
        <v>32</v>
      </c>
      <c r="F1217" t="n">
        <v>11.43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28</v>
      </c>
      <c r="N1217" t="n">
        <v>99.19</v>
      </c>
      <c r="O1217" t="n">
        <v>27.63713080168776</v>
      </c>
    </row>
    <row r="1218" hidden="1">
      <c r="A1218" s="11" t="n">
        <v>46038</v>
      </c>
      <c r="B1218" t="inlineStr">
        <is>
          <t>Anna Luiza Rezende Tavares</t>
        </is>
      </c>
      <c r="C1218" t="inlineStr">
        <is>
          <t>Estágio</t>
        </is>
      </c>
      <c r="D1218" t="n">
        <v>1</v>
      </c>
      <c r="E1218" t="n">
        <v>1</v>
      </c>
      <c r="F1218" t="n">
        <v>432.1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1</v>
      </c>
      <c r="N1218" t="n">
        <v>100</v>
      </c>
      <c r="O1218" t="n">
        <v>39.56834532374101</v>
      </c>
    </row>
    <row r="1219" hidden="1">
      <c r="A1219" s="11" t="n">
        <v>46038</v>
      </c>
      <c r="B1219" t="inlineStr">
        <is>
          <t>Brenda de Menezes Silva</t>
        </is>
      </c>
      <c r="C1219" t="inlineStr">
        <is>
          <t>Técnico II</t>
        </is>
      </c>
      <c r="D1219" t="n">
        <v>30</v>
      </c>
      <c r="E1219" t="n">
        <v>27</v>
      </c>
      <c r="F1219" t="n">
        <v>17.06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24</v>
      </c>
      <c r="N1219" t="n">
        <v>98.54000000000001</v>
      </c>
      <c r="O1219" t="n">
        <v>28.54477611940299</v>
      </c>
    </row>
    <row r="1220" hidden="1">
      <c r="A1220" s="11" t="n">
        <v>46038</v>
      </c>
      <c r="B1220" t="inlineStr">
        <is>
          <t>Carlos Mateus Cassimiro Nunes</t>
        </is>
      </c>
      <c r="C1220" t="inlineStr">
        <is>
          <t>Técnico II</t>
        </is>
      </c>
      <c r="D1220" t="n">
        <v>13</v>
      </c>
      <c r="E1220" t="n">
        <v>13</v>
      </c>
      <c r="F1220" t="n">
        <v>47.07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13</v>
      </c>
      <c r="N1220" t="n">
        <v>100</v>
      </c>
      <c r="O1220" t="n">
        <v>34.36692506459949</v>
      </c>
    </row>
    <row r="1221" hidden="1">
      <c r="A1221" s="11" t="n">
        <v>46038</v>
      </c>
      <c r="B1221" t="inlineStr">
        <is>
          <t>Claudio de Sousa Velasco Filho</t>
        </is>
      </c>
      <c r="C1221" t="inlineStr">
        <is>
          <t>Estágio</t>
        </is>
      </c>
      <c r="D1221" t="n">
        <v>0</v>
      </c>
      <c r="E1221" t="n">
        <v>0</v>
      </c>
      <c r="F1221" t="n">
        <v>0</v>
      </c>
      <c r="G1221" t="n">
        <v>0</v>
      </c>
      <c r="H1221" t="n">
        <v>0</v>
      </c>
      <c r="I1221" s="3" t="n">
        <v>0</v>
      </c>
      <c r="J1221" s="3" t="n">
        <v>0</v>
      </c>
      <c r="K1221" s="3" t="n">
        <v>0</v>
      </c>
      <c r="L1221" s="3">
        <f>IF(K1221&lt;-5,"CRÍTICO",IF(K1221&lt;0,"ATENÇÃO",IF(K1221&lt;=5,"BOM","EXCELENTE")))</f>
        <v/>
      </c>
      <c r="M1221" t="n">
        <v>0</v>
      </c>
      <c r="N1221" t="n">
        <v>0</v>
      </c>
      <c r="O1221" t="n">
        <v>0</v>
      </c>
    </row>
    <row r="1222" hidden="1">
      <c r="A1222" s="11" t="n">
        <v>46038</v>
      </c>
      <c r="B1222" t="inlineStr">
        <is>
          <t>Clessiane Pereira dos Santos</t>
        </is>
      </c>
      <c r="C1222" t="inlineStr">
        <is>
          <t>Técnico I</t>
        </is>
      </c>
      <c r="D1222" t="n">
        <v>14</v>
      </c>
      <c r="E1222" t="n">
        <v>11</v>
      </c>
      <c r="F1222" t="n">
        <v>35.35</v>
      </c>
      <c r="G1222" t="n">
        <v>0</v>
      </c>
      <c r="H1222" t="n">
        <v>0</v>
      </c>
      <c r="I1222" s="3">
        <f>E1222+G1222+H1222</f>
        <v/>
      </c>
      <c r="J1222" s="3">
        <f>ROUND(MIN(IF(C1222="Técnico III",35,IF(C1222="Técnico II",28,IF(C1222="Técnico I",23,IF(C1222="JR",20,IF(C1222="Estágio",10,0))))),IF(C1222="Técnico III",SUMIFS($D:$D,$A:$A,$A1222,$B:$B,"&lt;&gt;Patrícia Karla de Sousa Araújo",$B:$B,"&lt;&gt;Lorena Dias de Araujo",$B:$B,"&lt;&gt;Lucas Luiz Romero")*(35/1083),IF(C1222="Técnico II",SUMIFS($D:$D,$A:$A,$A1222,$B:$B,"&lt;&gt;Patrícia Karla de Sousa Araújo",$B:$B,"&lt;&gt;Lorena Dias de Araujo",$B:$B,"&lt;&gt;Lucas Luiz Romero")*(28/1083),IF(C1222="Técnico I",SUMIFS($D:$D,$A:$A,$A1222,$B:$B,"&lt;&gt;Patrícia Karla de Sousa Araújo",$B:$B,"&lt;&gt;Lorena Dias de Araujo",$B:$B,"&lt;&gt;Lucas Luiz Romero")*(23/1083),IF(C1222="JR",SUMIFS($D:$D,$A:$A,$A1222,$B:$B,"&lt;&gt;Patrícia Karla de Sousa Araújo",$B:$B,"&lt;&gt;Lorena Dias de Araujo",$B:$B,"&lt;&gt;Lucas Luiz Romero")*(20/1083),IF(C1222="Estágio",SUMIFS($D:$D,$A:$A,$A1222,$B:$B,"&lt;&gt;Patrícia Karla de Sousa Araújo",$B:$B,"&lt;&gt;Lorena Dias de Araujo",$B:$B,"&lt;&gt;Lucas Luiz Romero")*(10/1083),0)))))),0)</f>
        <v/>
      </c>
      <c r="K1222" s="3">
        <f>I1222-J1222</f>
        <v/>
      </c>
      <c r="L1222" s="3">
        <f>IF(K1222&lt;-5,"CRÍTICO",IF(K1222&lt;0,"ATENÇÃO",IF(K1222&lt;=5,"BOM","EXCELENTE")))</f>
        <v/>
      </c>
      <c r="M1222" t="n">
        <v>13</v>
      </c>
      <c r="N1222" t="n">
        <v>100</v>
      </c>
      <c r="O1222" t="n">
        <v>29.51807228915663</v>
      </c>
    </row>
    <row r="1223" hidden="1">
      <c r="A1223" s="11" t="n">
        <v>46038</v>
      </c>
      <c r="B1223" t="inlineStr">
        <is>
          <t>Cristiane Ramos da Silva Rocha</t>
        </is>
      </c>
      <c r="C1223" t="inlineStr">
        <is>
          <t>Técnico III</t>
        </is>
      </c>
      <c r="D1223" t="n">
        <v>29</v>
      </c>
      <c r="E1223" t="n">
        <v>26</v>
      </c>
      <c r="F1223" t="n">
        <v>13.22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25</v>
      </c>
      <c r="N1223" t="n">
        <v>97.45</v>
      </c>
      <c r="O1223" t="n">
        <v>41.421143847487</v>
      </c>
    </row>
    <row r="1224" hidden="1">
      <c r="A1224" s="11" t="n">
        <v>46038</v>
      </c>
      <c r="B1224" t="inlineStr">
        <is>
          <t>Damyllis Lorraine de Oliveira Gonçalves</t>
        </is>
      </c>
      <c r="C1224" t="inlineStr">
        <is>
          <t>Técnico II</t>
        </is>
      </c>
      <c r="D1224" t="n">
        <v>36</v>
      </c>
      <c r="E1224" t="n">
        <v>22</v>
      </c>
      <c r="F1224" t="n">
        <v>9.039999999999999</v>
      </c>
      <c r="G1224" t="n">
        <v>0</v>
      </c>
      <c r="H1224" t="n">
        <v>0</v>
      </c>
      <c r="I1224" s="3" t="n">
        <v>0</v>
      </c>
      <c r="J1224" s="3" t="n">
        <v>0</v>
      </c>
      <c r="K1224" s="3" t="n">
        <v>0</v>
      </c>
      <c r="L1224" s="3">
        <f>IF(K1224&lt;-5,"CRÍTICO",IF(K1224&lt;0,"ATENÇÃO",IF(K1224&lt;=5,"BOM","EXCELENTE")))</f>
        <v/>
      </c>
      <c r="M1224" t="n">
        <v>23</v>
      </c>
      <c r="N1224" t="n">
        <v>96.58</v>
      </c>
      <c r="O1224" t="n">
        <v>30.39647577092511</v>
      </c>
    </row>
    <row r="1225" hidden="1">
      <c r="A1225" s="11" t="n">
        <v>46038</v>
      </c>
      <c r="B1225" t="inlineStr">
        <is>
          <t>Daniel Gomes da Silva</t>
        </is>
      </c>
      <c r="C1225" t="inlineStr">
        <is>
          <t>Técnico I</t>
        </is>
      </c>
      <c r="D1225" t="n">
        <v>9</v>
      </c>
      <c r="E1225" t="n">
        <v>9</v>
      </c>
      <c r="F1225" t="n">
        <v>38.24</v>
      </c>
      <c r="G1225" t="n">
        <v>0</v>
      </c>
      <c r="H1225" t="n">
        <v>0</v>
      </c>
      <c r="I1225" s="3">
        <f>E1225+G1225+H1225</f>
        <v/>
      </c>
      <c r="J1225" s="3">
        <f>ROUND(MIN(IF(C1225="Técnico III",35,IF(C1225="Técnico II",28,IF(C1225="Técnico I",23,IF(C1225="JR",20,IF(C1225="Estágio",10,0))))),IF(C1225="Técnico III",SUMIFS($D:$D,$A:$A,$A1225,$B:$B,"&lt;&gt;Patrícia Karla de Sousa Araújo",$B:$B,"&lt;&gt;Lorena Dias de Araujo",$B:$B,"&lt;&gt;Lucas Luiz Romero")*(35/1083),IF(C1225="Técnico II",SUMIFS($D:$D,$A:$A,$A1225,$B:$B,"&lt;&gt;Patrícia Karla de Sousa Araújo",$B:$B,"&lt;&gt;Lorena Dias de Araujo",$B:$B,"&lt;&gt;Lucas Luiz Romero")*(28/1083),IF(C1225="Técnico I",SUMIFS($D:$D,$A:$A,$A1225,$B:$B,"&lt;&gt;Patrícia Karla de Sousa Araújo",$B:$B,"&lt;&gt;Lorena Dias de Araujo",$B:$B,"&lt;&gt;Lucas Luiz Romero")*(23/1083),IF(C1225="JR",SUMIFS($D:$D,$A:$A,$A1225,$B:$B,"&lt;&gt;Patrícia Karla de Sousa Araújo",$B:$B,"&lt;&gt;Lorena Dias de Araujo",$B:$B,"&lt;&gt;Lucas Luiz Romero")*(20/1083),IF(C1225="Estágio",SUMIFS($D:$D,$A:$A,$A1225,$B:$B,"&lt;&gt;Patrícia Karla de Sousa Araújo",$B:$B,"&lt;&gt;Lorena Dias de Araujo",$B:$B,"&lt;&gt;Lucas Luiz Romero")*(10/1083),0)))))),0)</f>
        <v/>
      </c>
      <c r="K1225" s="3">
        <f>I1225-J1225</f>
        <v/>
      </c>
      <c r="L1225" s="3">
        <f>IF(K1225&lt;-5,"CRÍTICO",IF(K1225&lt;0,"ATENÇÃO",IF(K1225&lt;=5,"BOM","EXCELENTE")))</f>
        <v/>
      </c>
      <c r="M1225" t="n">
        <v>14</v>
      </c>
      <c r="N1225" t="n">
        <v>100</v>
      </c>
      <c r="O1225" t="n">
        <v>27.44282744282744</v>
      </c>
    </row>
    <row r="1226" hidden="1">
      <c r="A1226" s="11" t="n">
        <v>46038</v>
      </c>
      <c r="B1226" t="inlineStr">
        <is>
          <t>Davylla Rodrigues Freitas Silva</t>
        </is>
      </c>
      <c r="C1226" t="inlineStr">
        <is>
          <t>Técnico III</t>
        </is>
      </c>
      <c r="D1226" t="n">
        <v>20</v>
      </c>
      <c r="E1226" t="n">
        <v>19</v>
      </c>
      <c r="F1226" t="n">
        <v>26.42</v>
      </c>
      <c r="G1226" t="n">
        <v>0</v>
      </c>
      <c r="H1226" t="n">
        <v>0</v>
      </c>
      <c r="I1226" s="3" t="n">
        <v>0</v>
      </c>
      <c r="J1226" s="3" t="n">
        <v>0</v>
      </c>
      <c r="K1226" s="3" t="n">
        <v>0</v>
      </c>
      <c r="L1226" s="3">
        <f>IF(K1226&lt;-5,"CRÍTICO",IF(K1226&lt;0,"ATENÇÃO",IF(K1226&lt;=5,"BOM","EXCELENTE")))</f>
        <v/>
      </c>
      <c r="M1226" t="n">
        <v>19</v>
      </c>
      <c r="N1226" t="n">
        <v>99.48999999999999</v>
      </c>
      <c r="O1226" t="n">
        <v>40.2</v>
      </c>
    </row>
    <row r="1227" hidden="1">
      <c r="A1227" s="11" t="n">
        <v>46038</v>
      </c>
      <c r="B1227" t="inlineStr">
        <is>
          <t>Emilly Caylane Costa</t>
        </is>
      </c>
      <c r="C1227" t="inlineStr">
        <is>
          <t>Estágio</t>
        </is>
      </c>
      <c r="D1227" t="n">
        <v>0</v>
      </c>
      <c r="E1227" t="n">
        <v>0</v>
      </c>
      <c r="F1227" t="n">
        <v>0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0</v>
      </c>
      <c r="N1227" t="n">
        <v>100</v>
      </c>
      <c r="O1227" t="n">
        <v>25</v>
      </c>
    </row>
    <row r="1228" hidden="1">
      <c r="A1228" s="11" t="n">
        <v>46038</v>
      </c>
      <c r="B1228" t="inlineStr">
        <is>
          <t>Emilly Kamilly Medeiros Miranda</t>
        </is>
      </c>
      <c r="C1228" t="inlineStr">
        <is>
          <t>Técnico II</t>
        </is>
      </c>
      <c r="D1228" t="n">
        <v>26</v>
      </c>
      <c r="E1228" t="n">
        <v>25</v>
      </c>
      <c r="F1228" t="n">
        <v>18.39</v>
      </c>
      <c r="G1228" t="n">
        <v>0</v>
      </c>
      <c r="H1228" t="n">
        <v>0</v>
      </c>
      <c r="I1228" s="3">
        <f>E1228+G1228+H1228</f>
        <v/>
      </c>
      <c r="J1228" s="3">
        <f>ROUND(MIN(IF(C1228="Técnico III",35,IF(C1228="Técnico II",28,IF(C1228="Técnico I",23,IF(C1228="JR",20,IF(C1228="Estágio",10,0))))),IF(C1228="Técnico III",SUMIFS($D:$D,$A:$A,$A1228,$B:$B,"&lt;&gt;Patrícia Karla de Sousa Araújo",$B:$B,"&lt;&gt;Lorena Dias de Araujo",$B:$B,"&lt;&gt;Lucas Luiz Romero")*(35/1083),IF(C1228="Técnico II",SUMIFS($D:$D,$A:$A,$A1228,$B:$B,"&lt;&gt;Patrícia Karla de Sousa Araújo",$B:$B,"&lt;&gt;Lorena Dias de Araujo",$B:$B,"&lt;&gt;Lucas Luiz Romero")*(28/1083),IF(C1228="Técnico I",SUMIFS($D:$D,$A:$A,$A1228,$B:$B,"&lt;&gt;Patrícia Karla de Sousa Araújo",$B:$B,"&lt;&gt;Lorena Dias de Araujo",$B:$B,"&lt;&gt;Lucas Luiz Romero")*(23/1083),IF(C1228="JR",SUMIFS($D:$D,$A:$A,$A1228,$B:$B,"&lt;&gt;Patrícia Karla de Sousa Araújo",$B:$B,"&lt;&gt;Lorena Dias de Araujo",$B:$B,"&lt;&gt;Lucas Luiz Romero")*(20/1083),IF(C1228="Estágio",SUMIFS($D:$D,$A:$A,$A1228,$B:$B,"&lt;&gt;Patrícia Karla de Sousa Araújo",$B:$B,"&lt;&gt;Lorena Dias de Araujo",$B:$B,"&lt;&gt;Lucas Luiz Romero")*(10/1083),0)))))),0)</f>
        <v/>
      </c>
      <c r="K1228" s="3">
        <f>I1228-J1228</f>
        <v/>
      </c>
      <c r="L1228" s="3">
        <f>IF(K1228&lt;-5,"CRÍTICO",IF(K1228&lt;0,"ATENÇÃO",IF(K1228&lt;=5,"BOM","EXCELENTE")))</f>
        <v/>
      </c>
      <c r="M1228" t="n">
        <v>25</v>
      </c>
      <c r="N1228" t="n">
        <v>100</v>
      </c>
      <c r="O1228" t="n">
        <v>34.15094339622641</v>
      </c>
    </row>
    <row r="1229" hidden="1">
      <c r="A1229" s="11" t="n">
        <v>46038</v>
      </c>
      <c r="B1229" t="inlineStr">
        <is>
          <t>Francielson de Oliveira</t>
        </is>
      </c>
      <c r="C1229" t="inlineStr">
        <is>
          <t>Técnico III</t>
        </is>
      </c>
      <c r="D1229" t="n">
        <v>20</v>
      </c>
      <c r="E1229" t="n">
        <v>18</v>
      </c>
      <c r="F1229" t="n">
        <v>15.56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17</v>
      </c>
      <c r="N1229" t="n">
        <v>100</v>
      </c>
      <c r="O1229" t="n">
        <v>32.7313769751693</v>
      </c>
    </row>
    <row r="1230" hidden="1">
      <c r="A1230" s="11" t="n">
        <v>46038</v>
      </c>
      <c r="B1230" t="inlineStr">
        <is>
          <t>Francilene Ferreira de Jesus</t>
        </is>
      </c>
      <c r="C1230" t="inlineStr">
        <is>
          <t>Técnico II</t>
        </is>
      </c>
      <c r="D1230" t="n">
        <v>30</v>
      </c>
      <c r="E1230" t="n">
        <v>26</v>
      </c>
      <c r="F1230" t="n">
        <v>13.38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23</v>
      </c>
      <c r="N1230" t="n">
        <v>99.31</v>
      </c>
      <c r="O1230" t="n">
        <v>30.96234309623431</v>
      </c>
    </row>
    <row r="1231" hidden="1">
      <c r="A1231" s="11" t="n">
        <v>46072</v>
      </c>
      <c r="B1231" t="inlineStr">
        <is>
          <t>Gabriel Gomes de Andrade</t>
        </is>
      </c>
      <c r="C1231" t="inlineStr">
        <is>
          <t>Técnico I</t>
        </is>
      </c>
      <c r="D1231" t="n">
        <v>21</v>
      </c>
      <c r="E1231" t="n">
        <v>20</v>
      </c>
      <c r="F1231" t="n">
        <v>28.42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19</v>
      </c>
      <c r="N1231" t="n">
        <v>96.67</v>
      </c>
      <c r="O1231" t="n">
        <v>31.45161290322581</v>
      </c>
    </row>
    <row r="1232" hidden="1">
      <c r="A1232" s="11" t="n">
        <v>46038</v>
      </c>
      <c r="B1232" t="inlineStr">
        <is>
          <t>Isabella Borges de Oliveira</t>
        </is>
      </c>
      <c r="C1232" t="inlineStr">
        <is>
          <t>Técnico II</t>
        </is>
      </c>
      <c r="D1232" t="n">
        <v>21</v>
      </c>
      <c r="E1232" t="n">
        <v>21</v>
      </c>
      <c r="F1232" t="n">
        <v>24.02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M1232" t="n">
        <v>19</v>
      </c>
      <c r="N1232" t="n">
        <v>100</v>
      </c>
      <c r="O1232" t="n">
        <v>27.67676767676768</v>
      </c>
    </row>
    <row r="1233" hidden="1">
      <c r="A1233" s="11" t="n">
        <v>46038</v>
      </c>
      <c r="B1233" t="inlineStr">
        <is>
          <t>Janaina Lima dos Reis Urany</t>
        </is>
      </c>
      <c r="C1233" t="inlineStr">
        <is>
          <t>Técnico III</t>
        </is>
      </c>
      <c r="D1233" t="n">
        <v>38</v>
      </c>
      <c r="E1233" t="n">
        <v>32</v>
      </c>
      <c r="F1233" t="n">
        <v>10.25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32</v>
      </c>
      <c r="N1233" t="n">
        <v>100</v>
      </c>
      <c r="O1233" t="n">
        <v>31.17723156532988</v>
      </c>
    </row>
    <row r="1234" hidden="1">
      <c r="A1234" s="11" t="n">
        <v>46038</v>
      </c>
      <c r="B1234" t="inlineStr">
        <is>
          <t>Jaqueline Evangelista da Silva Martins</t>
        </is>
      </c>
      <c r="C1234" t="inlineStr">
        <is>
          <t>Técnico III</t>
        </is>
      </c>
      <c r="D1234" t="n">
        <v>21</v>
      </c>
      <c r="E1234" t="n">
        <v>19</v>
      </c>
      <c r="F1234" t="n">
        <v>11.5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17</v>
      </c>
      <c r="N1234" t="n">
        <v>100</v>
      </c>
      <c r="O1234" t="n">
        <v>27.60942760942761</v>
      </c>
    </row>
    <row r="1235" hidden="1">
      <c r="A1235" s="11" t="n">
        <v>46038</v>
      </c>
      <c r="B1235" t="inlineStr">
        <is>
          <t>Jessica Faria da Silveira</t>
        </is>
      </c>
      <c r="C1235" t="inlineStr">
        <is>
          <t>Técnico II</t>
        </is>
      </c>
      <c r="D1235" t="n">
        <v>25</v>
      </c>
      <c r="E1235" t="n">
        <v>20</v>
      </c>
      <c r="F1235" t="n">
        <v>16.44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19</v>
      </c>
      <c r="N1235" t="n">
        <v>96.40000000000001</v>
      </c>
      <c r="O1235" t="n">
        <v>28.76404494382023</v>
      </c>
    </row>
    <row r="1236" hidden="1">
      <c r="A1236" s="11" t="n">
        <v>46038</v>
      </c>
      <c r="B1236" t="inlineStr">
        <is>
          <t>Jéssica Fé Moura</t>
        </is>
      </c>
      <c r="C1236" t="inlineStr">
        <is>
          <t>Técnico III</t>
        </is>
      </c>
      <c r="D1236" t="n">
        <v>0</v>
      </c>
      <c r="E1236" t="n">
        <v>0</v>
      </c>
      <c r="F1236" t="n">
        <v>0</v>
      </c>
      <c r="G1236" t="n">
        <v>0</v>
      </c>
      <c r="H1236" t="n">
        <v>0</v>
      </c>
      <c r="I1236" s="3" t="n">
        <v>0</v>
      </c>
      <c r="J1236" s="3" t="n">
        <v>0</v>
      </c>
      <c r="K1236" s="3" t="n">
        <v>0</v>
      </c>
      <c r="L1236" s="3">
        <f>IF(K1236&lt;-5,"CRÍTICO",IF(K1236&lt;0,"ATENÇÃO",IF(K1236&lt;=5,"BOM","EXCELENTE")))</f>
        <v/>
      </c>
      <c r="M1236" t="n">
        <v>19</v>
      </c>
      <c r="N1236" t="n">
        <v>100</v>
      </c>
      <c r="O1236" t="n">
        <v>33.98058252427185</v>
      </c>
    </row>
    <row r="1237" hidden="1">
      <c r="A1237" s="11" t="n">
        <v>46038</v>
      </c>
      <c r="B1237" t="inlineStr">
        <is>
          <t>Karina Gonçalves Martins</t>
        </is>
      </c>
      <c r="C1237" t="inlineStr">
        <is>
          <t>JR</t>
        </is>
      </c>
      <c r="D1237" t="n">
        <v>16</v>
      </c>
      <c r="E1237" t="n">
        <v>15</v>
      </c>
      <c r="F1237" t="n">
        <v>35.16</v>
      </c>
      <c r="G1237" t="n">
        <v>0</v>
      </c>
      <c r="H1237" t="n">
        <v>0</v>
      </c>
      <c r="I1237" s="3">
        <f>E1237+G1237+H1237</f>
        <v/>
      </c>
      <c r="J1237" s="3">
        <f>ROUND(MIN(IF(C1237="Técnico III",35,IF(C1237="Técnico II",28,IF(C1237="Técnico I",23,IF(C1237="JR",20,IF(C1237="Estágio",10,0))))),IF(C1237="Técnico III",SUMIFS($D:$D,$A:$A,$A1237,$B:$B,"&lt;&gt;Patrícia Karla de Sousa Araújo",$B:$B,"&lt;&gt;Lorena Dias de Araujo",$B:$B,"&lt;&gt;Lucas Luiz Romero")*(35/1083),IF(C1237="Técnico II",SUMIFS($D:$D,$A:$A,$A1237,$B:$B,"&lt;&gt;Patrícia Karla de Sousa Araújo",$B:$B,"&lt;&gt;Lorena Dias de Araujo",$B:$B,"&lt;&gt;Lucas Luiz Romero")*(28/1083),IF(C1237="Técnico I",SUMIFS($D:$D,$A:$A,$A1237,$B:$B,"&lt;&gt;Patrícia Karla de Sousa Araújo",$B:$B,"&lt;&gt;Lorena Dias de Araujo",$B:$B,"&lt;&gt;Lucas Luiz Romero")*(23/1083),IF(C1237="JR",SUMIFS($D:$D,$A:$A,$A1237,$B:$B,"&lt;&gt;Patrícia Karla de Sousa Araújo",$B:$B,"&lt;&gt;Lorena Dias de Araujo",$B:$B,"&lt;&gt;Lucas Luiz Romero")*(20/1083),IF(C1237="Estágio",SUMIFS($D:$D,$A:$A,$A1237,$B:$B,"&lt;&gt;Patrícia Karla de Sousa Araújo",$B:$B,"&lt;&gt;Lorena Dias de Araujo",$B:$B,"&lt;&gt;Lucas Luiz Romero")*(10/1083),0)))))),0)</f>
        <v/>
      </c>
      <c r="K1237" s="3">
        <f>I1237-J1237</f>
        <v/>
      </c>
      <c r="L1237" s="3">
        <f>IF(K1237&lt;-5,"CRÍTICO",IF(K1237&lt;0,"ATENÇÃO",IF(K1237&lt;=5,"BOM","EXCELENTE")))</f>
        <v/>
      </c>
      <c r="M1237" t="n">
        <v>15</v>
      </c>
      <c r="N1237" t="n">
        <v>97.56</v>
      </c>
      <c r="O1237" t="n">
        <v>32.51533742331289</v>
      </c>
    </row>
    <row r="1238" hidden="1">
      <c r="A1238" s="11" t="n">
        <v>46038</v>
      </c>
      <c r="B1238" t="inlineStr">
        <is>
          <t>Kerollen Cristielly de Jesus Siqueira</t>
        </is>
      </c>
      <c r="C1238" t="inlineStr">
        <is>
          <t>Técnico III</t>
        </is>
      </c>
      <c r="D1238" t="n">
        <v>23</v>
      </c>
      <c r="E1238" t="n">
        <v>22</v>
      </c>
      <c r="F1238" t="n">
        <v>28.22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21</v>
      </c>
      <c r="N1238" t="n">
        <v>97.11</v>
      </c>
      <c r="O1238" t="n">
        <v>37.40831295843521</v>
      </c>
    </row>
    <row r="1239" hidden="1">
      <c r="A1239" s="11" t="n">
        <v>46038</v>
      </c>
      <c r="B1239" t="inlineStr">
        <is>
          <t>Leandro de Souza Silva</t>
        </is>
      </c>
      <c r="C1239" t="inlineStr">
        <is>
          <t>JR</t>
        </is>
      </c>
      <c r="D1239" t="n">
        <v>0</v>
      </c>
      <c r="E1239" t="n">
        <v>0</v>
      </c>
      <c r="F1239" t="n">
        <v>0</v>
      </c>
      <c r="G1239" t="n">
        <v>0</v>
      </c>
      <c r="H1239" t="n">
        <v>0</v>
      </c>
      <c r="I1239" s="3" t="n">
        <v>0</v>
      </c>
      <c r="J1239" s="3" t="n">
        <v>0</v>
      </c>
      <c r="K1239" s="3" t="n">
        <v>0</v>
      </c>
      <c r="L1239" s="3">
        <f>IF(K1239&lt;-5,"CRÍTICO",IF(K1239&lt;0,"ATENÇÃO",IF(K1239&lt;=5,"BOM","EXCELENTE")))</f>
        <v/>
      </c>
      <c r="M1239" t="n">
        <v>0</v>
      </c>
      <c r="N1239" t="n">
        <v>0</v>
      </c>
      <c r="O1239" t="n">
        <v>0</v>
      </c>
    </row>
    <row r="1240" hidden="1">
      <c r="A1240" s="11" t="n">
        <v>46038</v>
      </c>
      <c r="B1240" t="inlineStr">
        <is>
          <t>Leandro Oliveira de Sousa</t>
        </is>
      </c>
      <c r="C1240" t="inlineStr">
        <is>
          <t>Técnico III</t>
        </is>
      </c>
      <c r="D1240" t="n">
        <v>30</v>
      </c>
      <c r="E1240" t="n">
        <v>27</v>
      </c>
      <c r="F1240" t="n">
        <v>13.24</v>
      </c>
      <c r="G1240" t="n">
        <v>0</v>
      </c>
      <c r="H1240" t="n">
        <v>0</v>
      </c>
      <c r="I1240" s="3">
        <f>E1240+G1240+H1240</f>
        <v/>
      </c>
      <c r="J1240" s="3">
        <f>ROUND(MIN(IF(C1240="Técnico III",35,IF(C1240="Técnico II",28,IF(C1240="Técnico I",23,IF(C1240="JR",20,IF(C1240="Estágio",10,0))))),IF(C1240="Técnico III",SUMIFS($D:$D,$A:$A,$A1240,$B:$B,"&lt;&gt;Patrícia Karla de Sousa Araújo",$B:$B,"&lt;&gt;Lorena Dias de Araujo",$B:$B,"&lt;&gt;Lucas Luiz Romero")*(35/1083),IF(C1240="Técnico II",SUMIFS($D:$D,$A:$A,$A1240,$B:$B,"&lt;&gt;Patrícia Karla de Sousa Araújo",$B:$B,"&lt;&gt;Lorena Dias de Araujo",$B:$B,"&lt;&gt;Lucas Luiz Romero")*(28/1083),IF(C1240="Técnico I",SUMIFS($D:$D,$A:$A,$A1240,$B:$B,"&lt;&gt;Patrícia Karla de Sousa Araújo",$B:$B,"&lt;&gt;Lorena Dias de Araujo",$B:$B,"&lt;&gt;Lucas Luiz Romero")*(23/1083),IF(C1240="JR",SUMIFS($D:$D,$A:$A,$A1240,$B:$B,"&lt;&gt;Patrícia Karla de Sousa Araújo",$B:$B,"&lt;&gt;Lorena Dias de Araujo",$B:$B,"&lt;&gt;Lucas Luiz Romero")*(20/1083),IF(C1240="Estágio",SUMIFS($D:$D,$A:$A,$A1240,$B:$B,"&lt;&gt;Patrícia Karla de Sousa Araújo",$B:$B,"&lt;&gt;Lorena Dias de Araujo",$B:$B,"&lt;&gt;Lucas Luiz Romero")*(10/1083),0)))))),0)</f>
        <v/>
      </c>
      <c r="K1240" s="3">
        <f>I1240-J1240</f>
        <v/>
      </c>
      <c r="L1240" s="3">
        <f>IF(K1240&lt;-5,"CRÍTICO",IF(K1240&lt;0,"ATENÇÃO",IF(K1240&lt;=5,"BOM","EXCELENTE")))</f>
        <v/>
      </c>
      <c r="M1240" t="n">
        <v>23</v>
      </c>
      <c r="N1240" t="n">
        <v>100</v>
      </c>
      <c r="O1240" t="n">
        <v>30.47034764826176</v>
      </c>
    </row>
    <row r="1241" hidden="1">
      <c r="A1241" s="11" t="n">
        <v>46038</v>
      </c>
      <c r="B1241" t="inlineStr">
        <is>
          <t>Lizandra Gomes Duarte</t>
        </is>
      </c>
      <c r="C1241" t="inlineStr">
        <is>
          <t>Técnico II</t>
        </is>
      </c>
      <c r="D1241" t="n">
        <v>30</v>
      </c>
      <c r="E1241" t="n">
        <v>28</v>
      </c>
      <c r="F1241" t="n">
        <v>16.51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32.37113402061856</v>
      </c>
    </row>
    <row r="1242" hidden="1">
      <c r="A1242" s="11" t="n">
        <v>46038</v>
      </c>
      <c r="B1242" t="inlineStr">
        <is>
          <t>Lorena Dias de Araujo</t>
        </is>
      </c>
      <c r="C1242" t="inlineStr">
        <is>
          <t>Técnico II</t>
        </is>
      </c>
      <c r="D1242" t="n">
        <v>22</v>
      </c>
      <c r="E1242" t="n">
        <v>21</v>
      </c>
      <c r="F1242" t="n">
        <v>18.58</v>
      </c>
      <c r="G1242" t="n">
        <v>0</v>
      </c>
      <c r="H1242" t="n">
        <v>0</v>
      </c>
      <c r="I1242" s="3" t="n">
        <v>0</v>
      </c>
      <c r="J1242" s="3" t="n">
        <v>0</v>
      </c>
      <c r="K1242" s="3" t="n">
        <v>0</v>
      </c>
      <c r="L1242" s="3">
        <f>IF(K1242&lt;-5,"CRÍTICO",IF(K1242&lt;0,"ATENÇÃO",IF(K1242&lt;=5,"BOM","EXCELENTE")))</f>
        <v/>
      </c>
      <c r="M1242" t="n">
        <v>20</v>
      </c>
      <c r="N1242" t="n">
        <v>98.31999999999999</v>
      </c>
      <c r="O1242" t="n">
        <v>32.31850117096019</v>
      </c>
    </row>
    <row r="1243" hidden="1">
      <c r="A1243" s="11" t="n">
        <v>46038</v>
      </c>
      <c r="B1243" t="inlineStr">
        <is>
          <t>Lucas Luiz Romero</t>
        </is>
      </c>
      <c r="C1243" t="inlineStr">
        <is>
          <t>Técnico III</t>
        </is>
      </c>
      <c r="D1243" t="n">
        <v>44</v>
      </c>
      <c r="E1243" t="n">
        <v>29</v>
      </c>
      <c r="F1243" t="n">
        <v>7.23</v>
      </c>
      <c r="G1243" t="n">
        <v>0</v>
      </c>
      <c r="H1243" t="n">
        <v>0</v>
      </c>
      <c r="I1243" s="3">
        <f>E1243+G1243+H1243</f>
        <v/>
      </c>
      <c r="J1243" s="3">
        <f>ROUND(MIN(IF(C1243="Técnico III",35,IF(C1243="Técnico II",28,IF(C1243="Técnico I",23,IF(C1243="JR",20,IF(C1243="Estágio",10,0))))),IF(C1243="Técnico III",SUMIFS($D:$D,$A:$A,$A1243,$B:$B,"&lt;&gt;Patrícia Karla de Sousa Araújo",$B:$B,"&lt;&gt;Lorena Dias de Araujo",$B:$B,"&lt;&gt;Lucas Luiz Romero")*(35/1083),IF(C1243="Técnico II",SUMIFS($D:$D,$A:$A,$A1243,$B:$B,"&lt;&gt;Patrícia Karla de Sousa Araújo",$B:$B,"&lt;&gt;Lorena Dias de Araujo",$B:$B,"&lt;&gt;Lucas Luiz Romero")*(28/1083),IF(C1243="Técnico I",SUMIFS($D:$D,$A:$A,$A1243,$B:$B,"&lt;&gt;Patrícia Karla de Sousa Araújo",$B:$B,"&lt;&gt;Lorena Dias de Araujo",$B:$B,"&lt;&gt;Lucas Luiz Romero")*(23/1083),IF(C1243="JR",SUMIFS($D:$D,$A:$A,$A1243,$B:$B,"&lt;&gt;Patrícia Karla de Sousa Araújo",$B:$B,"&lt;&gt;Lorena Dias de Araujo",$B:$B,"&lt;&gt;Lucas Luiz Romero")*(20/1083),IF(C1243="Estágio",SUMIFS($D:$D,$A:$A,$A1243,$B:$B,"&lt;&gt;Patrícia Karla de Sousa Araújo",$B:$B,"&lt;&gt;Lorena Dias de Araujo",$B:$B,"&lt;&gt;Lucas Luiz Romero")*(10/1083),0)))))),0)</f>
        <v/>
      </c>
      <c r="K1243" s="3">
        <f>I1243-J1243</f>
        <v/>
      </c>
      <c r="L1243" s="3">
        <f>IF(K1243&lt;-5,"CRÍTICO",IF(K1243&lt;0,"ATENÇÃO",IF(K1243&lt;=5,"BOM","EXCELENTE")))</f>
        <v/>
      </c>
      <c r="M1243" t="n">
        <v>26</v>
      </c>
      <c r="N1243" t="n">
        <v>96.43000000000001</v>
      </c>
      <c r="O1243" t="n">
        <v>27.01525054466231</v>
      </c>
    </row>
    <row r="1244" hidden="1">
      <c r="A1244" s="11" t="n">
        <v>46038</v>
      </c>
      <c r="B1244" t="inlineStr">
        <is>
          <t>Luiz Fernando de Carvalho Junior</t>
        </is>
      </c>
      <c r="C1244" t="inlineStr">
        <is>
          <t>Técnico I</t>
        </is>
      </c>
      <c r="D1244" t="n">
        <v>23</v>
      </c>
      <c r="E1244" t="n">
        <v>19</v>
      </c>
      <c r="F1244" t="n">
        <v>13.39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20</v>
      </c>
      <c r="N1244" t="n">
        <v>98.89</v>
      </c>
      <c r="O1244" t="n">
        <v>28.02197802197802</v>
      </c>
    </row>
    <row r="1245" hidden="1">
      <c r="A1245" s="11" t="n">
        <v>46038</v>
      </c>
      <c r="B1245" t="inlineStr">
        <is>
          <t>Maria Eduarda Sousa Costa</t>
        </is>
      </c>
      <c r="C1245" t="inlineStr">
        <is>
          <t>Estágio</t>
        </is>
      </c>
      <c r="D1245" t="n">
        <v>4</v>
      </c>
      <c r="E1245" t="n">
        <v>4</v>
      </c>
      <c r="F1245" t="n">
        <v>52.18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</v>
      </c>
      <c r="N1245" t="n">
        <v>100</v>
      </c>
      <c r="O1245" t="n">
        <v>33.33333333333333</v>
      </c>
    </row>
    <row r="1246" hidden="1">
      <c r="A1246" s="11" t="n">
        <v>46038</v>
      </c>
      <c r="B1246" t="inlineStr">
        <is>
          <t>Matheus Farias De Souza</t>
        </is>
      </c>
      <c r="C1246" t="inlineStr">
        <is>
          <t>Técnico III</t>
        </is>
      </c>
      <c r="D1246" t="n">
        <v>0</v>
      </c>
      <c r="E1246" t="n">
        <v>0</v>
      </c>
      <c r="F1246" t="n">
        <v>0</v>
      </c>
      <c r="G1246" t="n">
        <v>0</v>
      </c>
      <c r="H1246" t="n">
        <v>0</v>
      </c>
      <c r="I1246" s="3" t="n">
        <v>0</v>
      </c>
      <c r="J1246" s="3" t="n">
        <v>0</v>
      </c>
      <c r="K1246" s="3" t="n">
        <v>0</v>
      </c>
      <c r="L1246" s="3">
        <f>IF(K1246&lt;-5,"CRÍTICO",IF(K1246&lt;0,"ATENÇÃO",IF(K1246&lt;=5,"BOM","EXCELENTE")))</f>
        <v/>
      </c>
      <c r="M1246" t="n">
        <v>0</v>
      </c>
      <c r="N1246" t="n">
        <v>100</v>
      </c>
      <c r="O1246" t="n">
        <v>27.43362831858407</v>
      </c>
    </row>
    <row r="1247" hidden="1">
      <c r="A1247" s="11" t="n">
        <v>46038</v>
      </c>
      <c r="B1247" t="inlineStr">
        <is>
          <t>Maysa Victoria Dias Moura</t>
        </is>
      </c>
      <c r="C1247" t="inlineStr">
        <is>
          <t>Técnico III</t>
        </is>
      </c>
      <c r="D1247" t="n">
        <v>33</v>
      </c>
      <c r="E1247" t="n">
        <v>25</v>
      </c>
      <c r="F1247" t="n">
        <v>12.14</v>
      </c>
      <c r="G1247" t="n">
        <v>0</v>
      </c>
      <c r="H1247" t="n">
        <v>0</v>
      </c>
      <c r="I1247" s="3">
        <f>E1247+G1247+H1247</f>
        <v/>
      </c>
      <c r="J1247" s="3">
        <f>ROUND(MIN(IF(C1247="Técnico III",35,IF(C1247="Técnico II",28,IF(C1247="Técnico I",23,IF(C1247="JR",20,IF(C1247="Estágio",10,0))))),IF(C1247="Técnico III",SUMIFS($D:$D,$A:$A,$A1247,$B:$B,"&lt;&gt;Patrícia Karla de Sousa Araújo",$B:$B,"&lt;&gt;Lorena Dias de Araujo",$B:$B,"&lt;&gt;Lucas Luiz Romero")*(35/1083),IF(C1247="Técnico II",SUMIFS($D:$D,$A:$A,$A1247,$B:$B,"&lt;&gt;Patrícia Karla de Sousa Araújo",$B:$B,"&lt;&gt;Lorena Dias de Araujo",$B:$B,"&lt;&gt;Lucas Luiz Romero")*(28/1083),IF(C1247="Técnico I",SUMIFS($D:$D,$A:$A,$A1247,$B:$B,"&lt;&gt;Patrícia Karla de Sousa Araújo",$B:$B,"&lt;&gt;Lorena Dias de Araujo",$B:$B,"&lt;&gt;Lucas Luiz Romero")*(23/1083),IF(C1247="JR",SUMIFS($D:$D,$A:$A,$A1247,$B:$B,"&lt;&gt;Patrícia Karla de Sousa Araújo",$B:$B,"&lt;&gt;Lorena Dias de Araujo",$B:$B,"&lt;&gt;Lucas Luiz Romero")*(20/1083),IF(C1247="Estágio",SUMIFS($D:$D,$A:$A,$A1247,$B:$B,"&lt;&gt;Patrícia Karla de Sousa Araújo",$B:$B,"&lt;&gt;Lorena Dias de Araujo",$B:$B,"&lt;&gt;Lucas Luiz Romero")*(10/1083),0)))))),0)</f>
        <v/>
      </c>
      <c r="K1247" s="3">
        <f>I1247-J1247</f>
        <v/>
      </c>
      <c r="L1247" s="3">
        <f>IF(K1247&lt;-5,"CRÍTICO",IF(K1247&lt;0,"ATENÇÃO",IF(K1247&lt;=5,"BOM","EXCELENTE")))</f>
        <v/>
      </c>
      <c r="M1247" t="n">
        <v>24</v>
      </c>
      <c r="N1247" t="n">
        <v>98.65000000000001</v>
      </c>
      <c r="O1247" t="n">
        <v>30.97826086956522</v>
      </c>
    </row>
    <row r="1248" hidden="1">
      <c r="A1248" s="11" t="n">
        <v>46038</v>
      </c>
      <c r="B1248" t="inlineStr">
        <is>
          <t>Michelle G Santos</t>
        </is>
      </c>
      <c r="C1248" t="inlineStr">
        <is>
          <t>Estágio</t>
        </is>
      </c>
      <c r="D1248" t="n">
        <v>1</v>
      </c>
      <c r="E1248" t="n">
        <v>1</v>
      </c>
      <c r="F1248" t="n">
        <v>28.33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1</v>
      </c>
      <c r="N1248" t="n">
        <v>100</v>
      </c>
      <c r="O1248" t="n">
        <v>12</v>
      </c>
    </row>
    <row r="1249" hidden="1">
      <c r="A1249" s="11" t="n">
        <v>46038</v>
      </c>
      <c r="B1249" t="inlineStr">
        <is>
          <t>Milena Sales</t>
        </is>
      </c>
      <c r="C1249" t="inlineStr">
        <is>
          <t>JR</t>
        </is>
      </c>
      <c r="D1249" t="n">
        <v>0</v>
      </c>
      <c r="E1249" t="n">
        <v>0</v>
      </c>
      <c r="F1249" t="n">
        <v>0</v>
      </c>
      <c r="G1249" t="n">
        <v>0</v>
      </c>
      <c r="H1249" t="n">
        <v>0</v>
      </c>
      <c r="I1249" s="3" t="n">
        <v>0</v>
      </c>
      <c r="J1249" s="3" t="n">
        <v>0</v>
      </c>
      <c r="K1249" s="3" t="n">
        <v>0</v>
      </c>
      <c r="L1249" s="3">
        <f>IF(K1249&lt;-5,"CRÍTICO",IF(K1249&lt;0,"ATENÇÃO",IF(K1249&lt;=5,"BOM","EXCELENTE")))</f>
        <v/>
      </c>
      <c r="M1249" t="n">
        <v>0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Patrícia Karla de Sousa Araújo</t>
        </is>
      </c>
      <c r="C1250" t="inlineStr">
        <is>
          <t>Técnico II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97.56</v>
      </c>
      <c r="O1250" t="n">
        <v>31.06796116504854</v>
      </c>
    </row>
    <row r="1251" hidden="1">
      <c r="A1251" s="11" t="n">
        <v>46038</v>
      </c>
      <c r="B1251" t="inlineStr">
        <is>
          <t>Paulo Ricardo Santos</t>
        </is>
      </c>
      <c r="C1251" t="inlineStr">
        <is>
          <t>JR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0</v>
      </c>
      <c r="O1251" t="n">
        <v>0</v>
      </c>
    </row>
    <row r="1252" hidden="1">
      <c r="A1252" s="11" t="n">
        <v>46038</v>
      </c>
      <c r="B1252" t="inlineStr">
        <is>
          <t>Pedro Luiz Mota Sousa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Quirino Diogo Leite Torres</t>
        </is>
      </c>
      <c r="C1253" t="inlineStr">
        <is>
          <t>Estágio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Raane Batista Matos</t>
        </is>
      </c>
      <c r="C1254" t="inlineStr">
        <is>
          <t>Técnico I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100</v>
      </c>
      <c r="O1254" t="n">
        <v>53.84615384615385</v>
      </c>
    </row>
    <row r="1255" hidden="1">
      <c r="A1255" s="11" t="n">
        <v>46038</v>
      </c>
      <c r="B1255" t="inlineStr">
        <is>
          <t>Rafael Gomes de Morais</t>
        </is>
      </c>
      <c r="C1255" t="inlineStr">
        <is>
          <t>Técnico III</t>
        </is>
      </c>
      <c r="D1255" t="n">
        <v>31</v>
      </c>
      <c r="E1255" t="n">
        <v>27</v>
      </c>
      <c r="F1255" t="n">
        <v>17.2</v>
      </c>
      <c r="G1255" t="n">
        <v>0</v>
      </c>
      <c r="H1255" t="n">
        <v>0</v>
      </c>
      <c r="I1255" s="3">
        <f>E1255+G1255+H1255</f>
        <v/>
      </c>
      <c r="J1255" s="3">
        <f>ROUND(MIN(IF(C1255="Técnico III",35,IF(C1255="Técnico II",28,IF(C1255="Técnico I",23,IF(C1255="JR",20,IF(C1255="Estágio",10,0))))),IF(C1255="Técnico III",SUMIFS($D:$D,$A:$A,$A1255,$B:$B,"&lt;&gt;Patrícia Karla de Sousa Araújo",$B:$B,"&lt;&gt;Lorena Dias de Araujo",$B:$B,"&lt;&gt;Lucas Luiz Romero")*(35/1083),IF(C1255="Técnico II",SUMIFS($D:$D,$A:$A,$A1255,$B:$B,"&lt;&gt;Patrícia Karla de Sousa Araújo",$B:$B,"&lt;&gt;Lorena Dias de Araujo",$B:$B,"&lt;&gt;Lucas Luiz Romero")*(28/1083),IF(C1255="Técnico I",SUMIFS($D:$D,$A:$A,$A1255,$B:$B,"&lt;&gt;Patrícia Karla de Sousa Araújo",$B:$B,"&lt;&gt;Lorena Dias de Araujo",$B:$B,"&lt;&gt;Lucas Luiz Romero")*(23/1083),IF(C1255="JR",SUMIFS($D:$D,$A:$A,$A1255,$B:$B,"&lt;&gt;Patrícia Karla de Sousa Araújo",$B:$B,"&lt;&gt;Lorena Dias de Araujo",$B:$B,"&lt;&gt;Lucas Luiz Romero")*(20/1083),IF(C1255="Estágio",SUMIFS($D:$D,$A:$A,$A1255,$B:$B,"&lt;&gt;Patrícia Karla de Sousa Araújo",$B:$B,"&lt;&gt;Lorena Dias de Araujo",$B:$B,"&lt;&gt;Lucas Luiz Romero")*(10/1083),0)))))),0)</f>
        <v/>
      </c>
      <c r="K1255" s="3">
        <f>I1255-J1255</f>
        <v/>
      </c>
      <c r="L1255" s="3">
        <f>IF(K1255&lt;-5,"CRÍTICO",IF(K1255&lt;0,"ATENÇÃO",IF(K1255&lt;=5,"BOM","EXCELENTE")))</f>
        <v/>
      </c>
      <c r="M1255" t="n">
        <v>27</v>
      </c>
      <c r="N1255" t="n">
        <v>100</v>
      </c>
      <c r="O1255" t="n">
        <v>44.05594405594406</v>
      </c>
    </row>
    <row r="1256" hidden="1">
      <c r="A1256" s="11" t="n">
        <v>46038</v>
      </c>
      <c r="B1256" t="inlineStr">
        <is>
          <t>Sara Maria Monteiro Lopes</t>
        </is>
      </c>
      <c r="C1256" t="inlineStr">
        <is>
          <t>Técnico I</t>
        </is>
      </c>
      <c r="D1256" t="n">
        <v>17</v>
      </c>
      <c r="E1256" t="n">
        <v>15</v>
      </c>
      <c r="F1256" t="n">
        <v>27.12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11</v>
      </c>
      <c r="N1256" t="n">
        <v>100</v>
      </c>
      <c r="O1256" t="n">
        <v>31.87250996015936</v>
      </c>
    </row>
    <row r="1257" hidden="1">
      <c r="A1257" s="11" t="n">
        <v>46038</v>
      </c>
      <c r="B1257" t="inlineStr">
        <is>
          <t>Sarah Steffanie de Lima Borges</t>
        </is>
      </c>
      <c r="C1257" t="inlineStr">
        <is>
          <t>Técnico III</t>
        </is>
      </c>
      <c r="D1257" t="n">
        <v>23</v>
      </c>
      <c r="E1257" t="n">
        <v>22</v>
      </c>
      <c r="F1257" t="n">
        <v>17.33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21</v>
      </c>
      <c r="N1257" t="n">
        <v>98.41</v>
      </c>
      <c r="O1257" t="n">
        <v>29.22465208747515</v>
      </c>
    </row>
    <row r="1258" hidden="1">
      <c r="A1258" s="11" t="n">
        <v>46041</v>
      </c>
      <c r="B1258" t="inlineStr">
        <is>
          <t>Alisson de Freitas Silva</t>
        </is>
      </c>
      <c r="C1258" t="inlineStr">
        <is>
          <t>Técnico II</t>
        </is>
      </c>
      <c r="D1258" t="n">
        <v>30</v>
      </c>
      <c r="E1258" t="n">
        <v>23</v>
      </c>
      <c r="F1258" t="n">
        <v>12.16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17</v>
      </c>
      <c r="N1258" t="n">
        <v>96.81</v>
      </c>
      <c r="O1258" t="n">
        <v>27.98053527980535</v>
      </c>
    </row>
    <row r="1259" hidden="1">
      <c r="A1259" s="11" t="n">
        <v>46041</v>
      </c>
      <c r="B1259" t="inlineStr">
        <is>
          <t>Amanda Moura Ferreira</t>
        </is>
      </c>
      <c r="C1259" t="inlineStr">
        <is>
          <t>Técnico III</t>
        </is>
      </c>
      <c r="D1259" t="n">
        <v>0</v>
      </c>
      <c r="E1259" t="n">
        <v>0</v>
      </c>
      <c r="F1259" t="n">
        <v>0</v>
      </c>
      <c r="G1259" t="n">
        <v>0</v>
      </c>
      <c r="H1259" t="n">
        <v>0</v>
      </c>
      <c r="I1259" s="3" t="n">
        <v>0</v>
      </c>
      <c r="J1259" s="3" t="n">
        <v>0</v>
      </c>
      <c r="K1259" s="3" t="n">
        <v>0</v>
      </c>
      <c r="L1259" s="3">
        <f>IF(K1259&lt;-5,"CRÍTICO",IF(K1259&lt;0,"ATENÇÃO",IF(K1259&lt;=5,"BOM","EXCELENTE")))</f>
        <v/>
      </c>
      <c r="M1259" t="n">
        <v>22</v>
      </c>
      <c r="N1259" t="n">
        <v>98.73</v>
      </c>
      <c r="O1259" t="n">
        <v>35.75638506876228</v>
      </c>
    </row>
    <row r="1260" hidden="1">
      <c r="A1260" s="11" t="n">
        <v>46041</v>
      </c>
      <c r="B1260" t="inlineStr">
        <is>
          <t>Ana Karollyne Souza Faria</t>
        </is>
      </c>
      <c r="C1260" t="inlineStr">
        <is>
          <t>Técnico I</t>
        </is>
      </c>
      <c r="D1260" t="n">
        <v>17</v>
      </c>
      <c r="E1260" t="n">
        <v>15</v>
      </c>
      <c r="F1260" t="n">
        <v>27.27</v>
      </c>
      <c r="G1260" t="n">
        <v>0</v>
      </c>
      <c r="H1260" t="n">
        <v>0</v>
      </c>
      <c r="I1260" s="3">
        <f>E1260+G1260+H1260</f>
        <v/>
      </c>
      <c r="J1260" s="3">
        <f>ROUND(MIN(IF(C1260="Técnico III",35,IF(C1260="Técnico II",28,IF(C1260="Técnico I",23,IF(C1260="JR",20,IF(C1260="Estágio",10,0))))),IF(C1260="Técnico III",SUMIFS($D:$D,$A:$A,$A1260,$B:$B,"&lt;&gt;Patrícia Karla de Sousa Araújo",$B:$B,"&lt;&gt;Lorena Dias de Araujo",$B:$B,"&lt;&gt;Lucas Luiz Romero")*(35/1083),IF(C1260="Técnico II",SUMIFS($D:$D,$A:$A,$A1260,$B:$B,"&lt;&gt;Patrícia Karla de Sousa Araújo",$B:$B,"&lt;&gt;Lorena Dias de Araujo",$B:$B,"&lt;&gt;Lucas Luiz Romero")*(28/1083),IF(C1260="Técnico I",SUMIFS($D:$D,$A:$A,$A1260,$B:$B,"&lt;&gt;Patrícia Karla de Sousa Araújo",$B:$B,"&lt;&gt;Lorena Dias de Araujo",$B:$B,"&lt;&gt;Lucas Luiz Romero")*(23/1083),IF(C1260="JR",SUMIFS($D:$D,$A:$A,$A1260,$B:$B,"&lt;&gt;Patrícia Karla de Sousa Araújo",$B:$B,"&lt;&gt;Lorena Dias de Araujo",$B:$B,"&lt;&gt;Lucas Luiz Romero")*(20/1083),IF(C1260="Estágio",SUMIFS($D:$D,$A:$A,$A1260,$B:$B,"&lt;&gt;Patrícia Karla de Sousa Araújo",$B:$B,"&lt;&gt;Lorena Dias de Araujo",$B:$B,"&lt;&gt;Lucas Luiz Romero")*(10/1083),0)))))),0)</f>
        <v/>
      </c>
      <c r="K1260" s="3">
        <f>I1260-J1260</f>
        <v/>
      </c>
      <c r="L1260" s="3">
        <f>IF(K1260&lt;-5,"CRÍTICO",IF(K1260&lt;0,"ATENÇÃO",IF(K1260&lt;=5,"BOM","EXCELENTE")))</f>
        <v/>
      </c>
      <c r="M1260" t="n">
        <v>15</v>
      </c>
      <c r="N1260" t="n">
        <v>98.31999999999999</v>
      </c>
      <c r="O1260" t="n">
        <v>26.76348547717842</v>
      </c>
    </row>
    <row r="1261" hidden="1">
      <c r="A1261" s="11" t="n">
        <v>46041</v>
      </c>
      <c r="B1261" t="inlineStr">
        <is>
          <t>Ana Paula Da Luz Silva Aleixo</t>
        </is>
      </c>
      <c r="C1261" t="inlineStr">
        <is>
          <t>Técnico III</t>
        </is>
      </c>
      <c r="D1261" t="n">
        <v>36</v>
      </c>
      <c r="E1261" t="n">
        <v>31</v>
      </c>
      <c r="F1261" t="n">
        <v>11.43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29</v>
      </c>
      <c r="N1261" t="n">
        <v>99.19</v>
      </c>
      <c r="O1261" t="n">
        <v>27.63713080168776</v>
      </c>
    </row>
    <row r="1262" hidden="1">
      <c r="A1262" s="11" t="n">
        <v>46041</v>
      </c>
      <c r="B1262" t="inlineStr">
        <is>
          <t>Anna Luiza Rezende Tavares</t>
        </is>
      </c>
      <c r="C1262" t="inlineStr">
        <is>
          <t>Estágio</t>
        </is>
      </c>
      <c r="D1262" t="n">
        <v>7</v>
      </c>
      <c r="E1262" t="n">
        <v>7</v>
      </c>
      <c r="F1262" t="n">
        <v>46.46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5</v>
      </c>
      <c r="N1262" t="n">
        <v>100</v>
      </c>
      <c r="O1262" t="n">
        <v>39.56834532374101</v>
      </c>
    </row>
    <row r="1263" hidden="1">
      <c r="A1263" s="11" t="n">
        <v>46041</v>
      </c>
      <c r="B1263" t="inlineStr">
        <is>
          <t>Brenda de Menezes Silva</t>
        </is>
      </c>
      <c r="C1263" t="inlineStr">
        <is>
          <t>Técnico II</t>
        </is>
      </c>
      <c r="D1263" t="n">
        <v>25</v>
      </c>
      <c r="E1263" t="n">
        <v>24</v>
      </c>
      <c r="F1263" t="n">
        <v>18.24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22</v>
      </c>
      <c r="N1263" t="n">
        <v>98.54000000000001</v>
      </c>
      <c r="O1263" t="n">
        <v>28.54477611940299</v>
      </c>
    </row>
    <row r="1264" hidden="1">
      <c r="A1264" s="11" t="n">
        <v>46041</v>
      </c>
      <c r="B1264" t="inlineStr">
        <is>
          <t>Carlos Mateus Cassimiro Nunes</t>
        </is>
      </c>
      <c r="C1264" t="inlineStr">
        <is>
          <t>Técnico II</t>
        </is>
      </c>
      <c r="D1264" t="n">
        <v>21</v>
      </c>
      <c r="E1264" t="n">
        <v>19</v>
      </c>
      <c r="F1264" t="n">
        <v>27.19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19</v>
      </c>
      <c r="N1264" t="n">
        <v>100</v>
      </c>
      <c r="O1264" t="n">
        <v>34.36692506459949</v>
      </c>
    </row>
    <row r="1265" hidden="1">
      <c r="A1265" s="11" t="n">
        <v>46041</v>
      </c>
      <c r="B1265" t="inlineStr">
        <is>
          <t>Claudio de Sousa Velasco Filho</t>
        </is>
      </c>
      <c r="C1265" t="inlineStr">
        <is>
          <t>Estágio</t>
        </is>
      </c>
      <c r="D1265" t="n">
        <v>0</v>
      </c>
      <c r="E1265" t="n">
        <v>0</v>
      </c>
      <c r="F1265" t="n">
        <v>0</v>
      </c>
      <c r="G1265" t="n">
        <v>0</v>
      </c>
      <c r="H1265" t="n">
        <v>0</v>
      </c>
      <c r="I1265" s="3" t="n">
        <v>0</v>
      </c>
      <c r="J1265" s="3" t="n">
        <v>0</v>
      </c>
      <c r="K1265" s="3" t="n">
        <v>0</v>
      </c>
      <c r="L1265" s="3">
        <f>IF(K1265&lt;-5,"CRÍTICO",IF(K1265&lt;0,"ATENÇÃO",IF(K1265&lt;=5,"BOM","EXCELENTE")))</f>
        <v/>
      </c>
      <c r="M1265" t="n">
        <v>0</v>
      </c>
      <c r="N1265" t="n">
        <v>0</v>
      </c>
      <c r="O1265" t="n">
        <v>0</v>
      </c>
    </row>
    <row r="1266" hidden="1">
      <c r="A1266" s="11" t="n">
        <v>46041</v>
      </c>
      <c r="B1266" t="inlineStr">
        <is>
          <t>Clessiane Pereira dos Santos</t>
        </is>
      </c>
      <c r="C1266" t="inlineStr">
        <is>
          <t>Técnico I</t>
        </is>
      </c>
      <c r="D1266" t="n">
        <v>13</v>
      </c>
      <c r="E1266" t="n">
        <v>12</v>
      </c>
      <c r="F1266" t="n">
        <v>25.23</v>
      </c>
      <c r="G1266" t="n">
        <v>0</v>
      </c>
      <c r="H1266" t="n">
        <v>0</v>
      </c>
      <c r="I1266" s="3">
        <f>E1266+G1266+H1266</f>
        <v/>
      </c>
      <c r="J1266" s="3">
        <f>ROUND(MIN(IF(C1266="Técnico III",35,IF(C1266="Técnico II",28,IF(C1266="Técnico I",23,IF(C1266="JR",20,IF(C1266="Estágio",10,0))))),IF(C1266="Técnico III",SUMIFS($D:$D,$A:$A,$A1266,$B:$B,"&lt;&gt;Patrícia Karla de Sousa Araújo",$B:$B,"&lt;&gt;Lorena Dias de Araujo",$B:$B,"&lt;&gt;Lucas Luiz Romero")*(35/1083),IF(C1266="Técnico II",SUMIFS($D:$D,$A:$A,$A1266,$B:$B,"&lt;&gt;Patrícia Karla de Sousa Araújo",$B:$B,"&lt;&gt;Lorena Dias de Araujo",$B:$B,"&lt;&gt;Lucas Luiz Romero")*(28/1083),IF(C1266="Técnico I",SUMIFS($D:$D,$A:$A,$A1266,$B:$B,"&lt;&gt;Patrícia Karla de Sousa Araújo",$B:$B,"&lt;&gt;Lorena Dias de Araujo",$B:$B,"&lt;&gt;Lucas Luiz Romero")*(23/1083),IF(C1266="JR",SUMIFS($D:$D,$A:$A,$A1266,$B:$B,"&lt;&gt;Patrícia Karla de Sousa Araújo",$B:$B,"&lt;&gt;Lorena Dias de Araujo",$B:$B,"&lt;&gt;Lucas Luiz Romero")*(20/1083),IF(C1266="Estágio",SUMIFS($D:$D,$A:$A,$A1266,$B:$B,"&lt;&gt;Patrícia Karla de Sousa Araújo",$B:$B,"&lt;&gt;Lorena Dias de Araujo",$B:$B,"&lt;&gt;Lucas Luiz Romero")*(10/1083),0)))))),0)</f>
        <v/>
      </c>
      <c r="K1266" s="3">
        <f>I1266-J1266</f>
        <v/>
      </c>
      <c r="L1266" s="3">
        <f>IF(K1266&lt;-5,"CRÍTICO",IF(K1266&lt;0,"ATENÇÃO",IF(K1266&lt;=5,"BOM","EXCELENTE")))</f>
        <v/>
      </c>
      <c r="M1266" t="n">
        <v>12</v>
      </c>
      <c r="N1266" t="n">
        <v>100</v>
      </c>
      <c r="O1266" t="n">
        <v>29.51807228915663</v>
      </c>
    </row>
    <row r="1267" hidden="1">
      <c r="A1267" s="11" t="n">
        <v>46041</v>
      </c>
      <c r="B1267" t="inlineStr">
        <is>
          <t>Cristiane Ramos da Silva Rocha</t>
        </is>
      </c>
      <c r="C1267" t="inlineStr">
        <is>
          <t>Técnico III</t>
        </is>
      </c>
      <c r="D1267" t="n">
        <v>14</v>
      </c>
      <c r="E1267" t="n">
        <v>11</v>
      </c>
      <c r="F1267" t="n">
        <v>12.37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9</v>
      </c>
      <c r="N1267" t="n">
        <v>97.45</v>
      </c>
      <c r="O1267" t="n">
        <v>41.421143847487</v>
      </c>
    </row>
    <row r="1268" hidden="1">
      <c r="A1268" s="11" t="n">
        <v>46041</v>
      </c>
      <c r="B1268" t="inlineStr">
        <is>
          <t>Damyllis Lorraine de Oliveira Gonçalves</t>
        </is>
      </c>
      <c r="C1268" t="inlineStr">
        <is>
          <t>Técnico II</t>
        </is>
      </c>
      <c r="D1268" t="n">
        <v>37</v>
      </c>
      <c r="E1268" t="n">
        <v>26</v>
      </c>
      <c r="F1268" t="n">
        <v>7.1</v>
      </c>
      <c r="G1268" t="n">
        <v>0</v>
      </c>
      <c r="H1268" t="n">
        <v>0</v>
      </c>
      <c r="I1268" s="3" t="n">
        <v>0</v>
      </c>
      <c r="J1268" s="3" t="n">
        <v>0</v>
      </c>
      <c r="K1268" s="3" t="n">
        <v>0</v>
      </c>
      <c r="L1268" s="3">
        <f>IF(K1268&lt;-5,"CRÍTICO",IF(K1268&lt;0,"ATENÇÃO",IF(K1268&lt;=5,"BOM","EXCELENTE")))</f>
        <v/>
      </c>
      <c r="M1268" t="n">
        <v>23</v>
      </c>
      <c r="N1268" t="n">
        <v>96.58</v>
      </c>
      <c r="O1268" t="n">
        <v>30.39647577092511</v>
      </c>
    </row>
    <row r="1269" hidden="1">
      <c r="A1269" s="11" t="n">
        <v>46041</v>
      </c>
      <c r="B1269" t="inlineStr">
        <is>
          <t>Daniel Gomes da Silva</t>
        </is>
      </c>
      <c r="C1269" t="inlineStr">
        <is>
          <t>Técnico I</t>
        </is>
      </c>
      <c r="D1269" t="n">
        <v>20</v>
      </c>
      <c r="E1269" t="n">
        <v>20</v>
      </c>
      <c r="F1269" t="n">
        <v>18.24</v>
      </c>
      <c r="G1269" t="n">
        <v>0</v>
      </c>
      <c r="H1269" t="n">
        <v>0</v>
      </c>
      <c r="I1269" s="3">
        <f>E1269+G1269+H1269</f>
        <v/>
      </c>
      <c r="J1269" s="3">
        <f>ROUND(MIN(IF(C1269="Técnico III",35,IF(C1269="Técnico II",28,IF(C1269="Técnico I",23,IF(C1269="JR",20,IF(C1269="Estágio",10,0))))),IF(C1269="Técnico III",SUMIFS($D:$D,$A:$A,$A1269,$B:$B,"&lt;&gt;Patrícia Karla de Sousa Araújo",$B:$B,"&lt;&gt;Lorena Dias de Araujo",$B:$B,"&lt;&gt;Lucas Luiz Romero")*(35/1083),IF(C1269="Técnico II",SUMIFS($D:$D,$A:$A,$A1269,$B:$B,"&lt;&gt;Patrícia Karla de Sousa Araújo",$B:$B,"&lt;&gt;Lorena Dias de Araujo",$B:$B,"&lt;&gt;Lucas Luiz Romero")*(28/1083),IF(C1269="Técnico I",SUMIFS($D:$D,$A:$A,$A1269,$B:$B,"&lt;&gt;Patrícia Karla de Sousa Araújo",$B:$B,"&lt;&gt;Lorena Dias de Araujo",$B:$B,"&lt;&gt;Lucas Luiz Romero")*(23/1083),IF(C1269="JR",SUMIFS($D:$D,$A:$A,$A1269,$B:$B,"&lt;&gt;Patrícia Karla de Sousa Araújo",$B:$B,"&lt;&gt;Lorena Dias de Araujo",$B:$B,"&lt;&gt;Lucas Luiz Romero")*(20/1083),IF(C1269="Estágio",SUMIFS($D:$D,$A:$A,$A1269,$B:$B,"&lt;&gt;Patrícia Karla de Sousa Araújo",$B:$B,"&lt;&gt;Lorena Dias de Araujo",$B:$B,"&lt;&gt;Lucas Luiz Romero")*(10/1083),0)))))),0)</f>
        <v/>
      </c>
      <c r="K1269" s="3">
        <f>I1269-J1269</f>
        <v/>
      </c>
      <c r="L1269" s="3">
        <f>IF(K1269&lt;-5,"CRÍTICO",IF(K1269&lt;0,"ATENÇÃO",IF(K1269&lt;=5,"BOM","EXCELENTE")))</f>
        <v/>
      </c>
      <c r="M1269" t="n">
        <v>23</v>
      </c>
      <c r="N1269" t="n">
        <v>100</v>
      </c>
      <c r="O1269" t="n">
        <v>27.44282744282744</v>
      </c>
    </row>
    <row r="1270" hidden="1">
      <c r="A1270" s="11" t="n">
        <v>46041</v>
      </c>
      <c r="B1270" t="inlineStr">
        <is>
          <t>Davylla Rodrigues Freitas Silva</t>
        </is>
      </c>
      <c r="C1270" t="inlineStr">
        <is>
          <t>Técnico III</t>
        </is>
      </c>
      <c r="D1270" t="n">
        <v>26</v>
      </c>
      <c r="E1270" t="n">
        <v>25</v>
      </c>
      <c r="F1270" t="n">
        <v>18.26</v>
      </c>
      <c r="G1270" t="n">
        <v>0</v>
      </c>
      <c r="H1270" t="n">
        <v>0</v>
      </c>
      <c r="I1270" s="3" t="n">
        <v>0</v>
      </c>
      <c r="J1270" s="3" t="n">
        <v>0</v>
      </c>
      <c r="K1270" s="3" t="n">
        <v>0</v>
      </c>
      <c r="L1270" s="3">
        <f>IF(K1270&lt;-5,"CRÍTICO",IF(K1270&lt;0,"ATENÇÃO",IF(K1270&lt;=5,"BOM","EXCELENTE")))</f>
        <v/>
      </c>
      <c r="M1270" t="n">
        <v>25</v>
      </c>
      <c r="N1270" t="n">
        <v>99.48999999999999</v>
      </c>
      <c r="O1270" t="n">
        <v>40.2</v>
      </c>
    </row>
    <row r="1271" hidden="1">
      <c r="A1271" s="11" t="n">
        <v>46041</v>
      </c>
      <c r="B1271" t="inlineStr">
        <is>
          <t>Emilly Caylane Costa</t>
        </is>
      </c>
      <c r="C1271" t="inlineStr">
        <is>
          <t>Estágio</t>
        </is>
      </c>
      <c r="D1271" t="n">
        <v>0</v>
      </c>
      <c r="E1271" t="n">
        <v>0</v>
      </c>
      <c r="F1271" t="n">
        <v>0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0</v>
      </c>
      <c r="N1271" t="n">
        <v>100</v>
      </c>
      <c r="O1271" t="n">
        <v>25</v>
      </c>
    </row>
    <row r="1272" hidden="1">
      <c r="A1272" s="11" t="n">
        <v>46041</v>
      </c>
      <c r="B1272" t="inlineStr">
        <is>
          <t>Emilly Kamilly Medeiros Miranda</t>
        </is>
      </c>
      <c r="C1272" t="inlineStr">
        <is>
          <t>Técnico II</t>
        </is>
      </c>
      <c r="D1272" t="n">
        <v>28</v>
      </c>
      <c r="E1272" t="n">
        <v>26</v>
      </c>
      <c r="F1272" t="n">
        <v>19.18</v>
      </c>
      <c r="G1272" t="n">
        <v>0</v>
      </c>
      <c r="H1272" t="n">
        <v>0</v>
      </c>
      <c r="I1272" s="3">
        <f>E1272+G1272+H1272</f>
        <v/>
      </c>
      <c r="J1272" s="3">
        <f>ROUND(MIN(IF(C1272="Técnico III",35,IF(C1272="Técnico II",28,IF(C1272="Técnico I",23,IF(C1272="JR",20,IF(C1272="Estágio",10,0))))),IF(C1272="Técnico III",SUMIFS($D:$D,$A:$A,$A1272,$B:$B,"&lt;&gt;Patrícia Karla de Sousa Araújo",$B:$B,"&lt;&gt;Lorena Dias de Araujo",$B:$B,"&lt;&gt;Lucas Luiz Romero")*(35/1083),IF(C1272="Técnico II",SUMIFS($D:$D,$A:$A,$A1272,$B:$B,"&lt;&gt;Patrícia Karla de Sousa Araújo",$B:$B,"&lt;&gt;Lorena Dias de Araujo",$B:$B,"&lt;&gt;Lucas Luiz Romero")*(28/1083),IF(C1272="Técnico I",SUMIFS($D:$D,$A:$A,$A1272,$B:$B,"&lt;&gt;Patrícia Karla de Sousa Araújo",$B:$B,"&lt;&gt;Lorena Dias de Araujo",$B:$B,"&lt;&gt;Lucas Luiz Romero")*(23/1083),IF(C1272="JR",SUMIFS($D:$D,$A:$A,$A1272,$B:$B,"&lt;&gt;Patrícia Karla de Sousa Araújo",$B:$B,"&lt;&gt;Lorena Dias de Araujo",$B:$B,"&lt;&gt;Lucas Luiz Romero")*(20/1083),IF(C1272="Estágio",SUMIFS($D:$D,$A:$A,$A1272,$B:$B,"&lt;&gt;Patrícia Karla de Sousa Araújo",$B:$B,"&lt;&gt;Lorena Dias de Araujo",$B:$B,"&lt;&gt;Lucas Luiz Romero")*(10/1083),0)))))),0)</f>
        <v/>
      </c>
      <c r="K1272" s="3">
        <f>I1272-J1272</f>
        <v/>
      </c>
      <c r="L1272" s="3">
        <f>IF(K1272&lt;-5,"CRÍTICO",IF(K1272&lt;0,"ATENÇÃO",IF(K1272&lt;=5,"BOM","EXCELENTE")))</f>
        <v/>
      </c>
      <c r="M1272" t="n">
        <v>22</v>
      </c>
      <c r="N1272" t="n">
        <v>100</v>
      </c>
      <c r="O1272" t="n">
        <v>34.15094339622641</v>
      </c>
    </row>
    <row r="1273" hidden="1">
      <c r="A1273" s="11" t="n">
        <v>46041</v>
      </c>
      <c r="B1273" t="inlineStr">
        <is>
          <t>Francielson de Oliveira</t>
        </is>
      </c>
      <c r="C1273" t="inlineStr">
        <is>
          <t>Técnico III</t>
        </is>
      </c>
      <c r="D1273" t="n">
        <v>20</v>
      </c>
      <c r="E1273" t="n">
        <v>18</v>
      </c>
      <c r="F1273" t="n">
        <v>20.23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18</v>
      </c>
      <c r="N1273" t="n">
        <v>100</v>
      </c>
      <c r="O1273" t="n">
        <v>32.7313769751693</v>
      </c>
    </row>
    <row r="1274" hidden="1">
      <c r="A1274" s="11" t="n">
        <v>46041</v>
      </c>
      <c r="B1274" t="inlineStr">
        <is>
          <t>Francilene Ferreira de Jesus</t>
        </is>
      </c>
      <c r="C1274" t="inlineStr">
        <is>
          <t>Técnico II</t>
        </is>
      </c>
      <c r="D1274" t="n">
        <v>20</v>
      </c>
      <c r="E1274" t="n">
        <v>18</v>
      </c>
      <c r="F1274" t="n">
        <v>30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15</v>
      </c>
      <c r="N1274" t="n">
        <v>99.31</v>
      </c>
      <c r="O1274" t="n">
        <v>30.96234309623431</v>
      </c>
    </row>
    <row r="1275" hidden="1">
      <c r="A1275" s="11" t="n">
        <v>46073</v>
      </c>
      <c r="B1275" t="inlineStr">
        <is>
          <t>Gabriel Gomes de Andrade</t>
        </is>
      </c>
      <c r="C1275" t="inlineStr">
        <is>
          <t>Técnico I</t>
        </is>
      </c>
      <c r="D1275" t="n">
        <v>18</v>
      </c>
      <c r="E1275" t="n">
        <v>16</v>
      </c>
      <c r="F1275" t="n">
        <v>24.08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16</v>
      </c>
      <c r="N1275" t="n">
        <v>96.67</v>
      </c>
      <c r="O1275" t="n">
        <v>31.45161290322581</v>
      </c>
    </row>
    <row r="1276" hidden="1">
      <c r="A1276" s="11" t="n">
        <v>46041</v>
      </c>
      <c r="B1276" t="inlineStr">
        <is>
          <t>Isabella Borges de Oliveira</t>
        </is>
      </c>
      <c r="C1276" t="inlineStr">
        <is>
          <t>Técnico II</t>
        </is>
      </c>
      <c r="D1276" t="n">
        <v>20</v>
      </c>
      <c r="E1276" t="n">
        <v>20</v>
      </c>
      <c r="F1276" t="n">
        <v>29.11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M1276" t="n">
        <v>18</v>
      </c>
      <c r="N1276" t="n">
        <v>100</v>
      </c>
      <c r="O1276" t="n">
        <v>27.67676767676768</v>
      </c>
    </row>
    <row r="1277" hidden="1">
      <c r="A1277" s="11" t="n">
        <v>46041</v>
      </c>
      <c r="B1277" t="inlineStr">
        <is>
          <t>Janaina Lima dos Reis Urany</t>
        </is>
      </c>
      <c r="C1277" t="inlineStr">
        <is>
          <t>Técnico III</t>
        </is>
      </c>
      <c r="D1277" t="n">
        <v>32</v>
      </c>
      <c r="E1277" t="n">
        <v>26</v>
      </c>
      <c r="F1277" t="n">
        <v>12.26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30</v>
      </c>
      <c r="N1277" t="n">
        <v>100</v>
      </c>
      <c r="O1277" t="n">
        <v>31.17723156532988</v>
      </c>
    </row>
    <row r="1278" hidden="1">
      <c r="A1278" s="11" t="n">
        <v>46041</v>
      </c>
      <c r="B1278" t="inlineStr">
        <is>
          <t>Jaqueline Evangelista da Silva Martins</t>
        </is>
      </c>
      <c r="C1278" t="inlineStr">
        <is>
          <t>Técnico III</t>
        </is>
      </c>
      <c r="D1278" t="n">
        <v>19</v>
      </c>
      <c r="E1278" t="n">
        <v>17</v>
      </c>
      <c r="F1278" t="n">
        <v>8.359999999999999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16</v>
      </c>
      <c r="N1278" t="n">
        <v>100</v>
      </c>
      <c r="O1278" t="n">
        <v>27.60942760942761</v>
      </c>
    </row>
    <row r="1279" hidden="1">
      <c r="A1279" s="11" t="n">
        <v>46041</v>
      </c>
      <c r="B1279" t="inlineStr">
        <is>
          <t>Jessica Faria da Silveira</t>
        </is>
      </c>
      <c r="C1279" t="inlineStr">
        <is>
          <t>Técnico II</t>
        </is>
      </c>
      <c r="D1279" t="n">
        <v>29</v>
      </c>
      <c r="E1279" t="n">
        <v>23</v>
      </c>
      <c r="F1279" t="n">
        <v>16.44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18</v>
      </c>
      <c r="N1279" t="n">
        <v>96.40000000000001</v>
      </c>
      <c r="O1279" t="n">
        <v>28.76404494382023</v>
      </c>
    </row>
    <row r="1280" hidden="1">
      <c r="A1280" s="11" t="n">
        <v>46041</v>
      </c>
      <c r="B1280" t="inlineStr">
        <is>
          <t>Jéssica Fé Moura</t>
        </is>
      </c>
      <c r="C1280" t="inlineStr">
        <is>
          <t>Técnico III</t>
        </is>
      </c>
      <c r="D1280" t="n">
        <v>0</v>
      </c>
      <c r="E1280" t="n">
        <v>0</v>
      </c>
      <c r="F1280" t="n">
        <v>0</v>
      </c>
      <c r="G1280" t="n">
        <v>0</v>
      </c>
      <c r="H1280" t="n">
        <v>0</v>
      </c>
      <c r="I1280" s="3" t="n">
        <v>0</v>
      </c>
      <c r="J1280" s="3" t="n">
        <v>0</v>
      </c>
      <c r="K1280" s="3" t="n">
        <v>0</v>
      </c>
      <c r="L1280" s="3">
        <f>IF(K1280&lt;-5,"CRÍTICO",IF(K1280&lt;0,"ATENÇÃO",IF(K1280&lt;=5,"BOM","EXCELENTE")))</f>
        <v/>
      </c>
      <c r="M1280" t="n">
        <v>7</v>
      </c>
      <c r="N1280" t="n">
        <v>100</v>
      </c>
      <c r="O1280" t="n">
        <v>33.98058252427185</v>
      </c>
    </row>
    <row r="1281" hidden="1">
      <c r="A1281" s="11" t="n">
        <v>46041</v>
      </c>
      <c r="B1281" t="inlineStr">
        <is>
          <t>Karina Gonçalves Martins</t>
        </is>
      </c>
      <c r="C1281" t="inlineStr">
        <is>
          <t>JR</t>
        </is>
      </c>
      <c r="D1281" t="n">
        <v>16</v>
      </c>
      <c r="E1281" t="n">
        <v>15</v>
      </c>
      <c r="F1281" t="n">
        <v>35.01</v>
      </c>
      <c r="G1281" t="n">
        <v>0</v>
      </c>
      <c r="H1281" t="n">
        <v>0</v>
      </c>
      <c r="I1281" s="3">
        <f>E1281+G1281+H1281</f>
        <v/>
      </c>
      <c r="J1281" s="3">
        <f>ROUND(MIN(IF(C1281="Técnico III",35,IF(C1281="Técnico II",28,IF(C1281="Técnico I",23,IF(C1281="JR",20,IF(C1281="Estágio",10,0))))),IF(C1281="Técnico III",SUMIFS($D:$D,$A:$A,$A1281,$B:$B,"&lt;&gt;Patrícia Karla de Sousa Araújo",$B:$B,"&lt;&gt;Lorena Dias de Araujo",$B:$B,"&lt;&gt;Lucas Luiz Romero")*(35/1083),IF(C1281="Técnico II",SUMIFS($D:$D,$A:$A,$A1281,$B:$B,"&lt;&gt;Patrícia Karla de Sousa Araújo",$B:$B,"&lt;&gt;Lorena Dias de Araujo",$B:$B,"&lt;&gt;Lucas Luiz Romero")*(28/1083),IF(C1281="Técnico I",SUMIFS($D:$D,$A:$A,$A1281,$B:$B,"&lt;&gt;Patrícia Karla de Sousa Araújo",$B:$B,"&lt;&gt;Lorena Dias de Araujo",$B:$B,"&lt;&gt;Lucas Luiz Romero")*(23/1083),IF(C1281="JR",SUMIFS($D:$D,$A:$A,$A1281,$B:$B,"&lt;&gt;Patrícia Karla de Sousa Araújo",$B:$B,"&lt;&gt;Lorena Dias de Araujo",$B:$B,"&lt;&gt;Lucas Luiz Romero")*(20/1083),IF(C1281="Estágio",SUMIFS($D:$D,$A:$A,$A1281,$B:$B,"&lt;&gt;Patrícia Karla de Sousa Araújo",$B:$B,"&lt;&gt;Lorena Dias de Araujo",$B:$B,"&lt;&gt;Lucas Luiz Romero")*(10/1083),0)))))),0)</f>
        <v/>
      </c>
      <c r="K1281" s="3">
        <f>I1281-J1281</f>
        <v/>
      </c>
      <c r="L1281" s="3">
        <f>IF(K1281&lt;-5,"CRÍTICO",IF(K1281&lt;0,"ATENÇÃO",IF(K1281&lt;=5,"BOM","EXCELENTE")))</f>
        <v/>
      </c>
      <c r="M1281" t="n">
        <v>12</v>
      </c>
      <c r="N1281" t="n">
        <v>97.56</v>
      </c>
      <c r="O1281" t="n">
        <v>32.51533742331289</v>
      </c>
    </row>
    <row r="1282" hidden="1">
      <c r="A1282" s="11" t="n">
        <v>46041</v>
      </c>
      <c r="B1282" t="inlineStr">
        <is>
          <t>Kerollen Cristielly de Jesus Siqueira</t>
        </is>
      </c>
      <c r="C1282" t="inlineStr">
        <is>
          <t>Técnico III</t>
        </is>
      </c>
      <c r="D1282" t="n">
        <v>18</v>
      </c>
      <c r="E1282" t="n">
        <v>15</v>
      </c>
      <c r="F1282" t="n">
        <v>20.38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18</v>
      </c>
      <c r="N1282" t="n">
        <v>97.11</v>
      </c>
      <c r="O1282" t="n">
        <v>37.40831295843521</v>
      </c>
    </row>
    <row r="1283" hidden="1">
      <c r="A1283" s="11" t="n">
        <v>46041</v>
      </c>
      <c r="B1283" t="inlineStr">
        <is>
          <t>Leandro de Souza Silva</t>
        </is>
      </c>
      <c r="C1283" t="inlineStr">
        <is>
          <t>JR</t>
        </is>
      </c>
      <c r="D1283" t="n">
        <v>0</v>
      </c>
      <c r="E1283" t="n">
        <v>0</v>
      </c>
      <c r="F1283" t="n">
        <v>0</v>
      </c>
      <c r="G1283" t="n">
        <v>0</v>
      </c>
      <c r="H1283" t="n">
        <v>0</v>
      </c>
      <c r="I1283" s="3" t="n">
        <v>0</v>
      </c>
      <c r="J1283" s="3" t="n">
        <v>0</v>
      </c>
      <c r="K1283" s="3" t="n">
        <v>0</v>
      </c>
      <c r="L1283" s="3">
        <f>IF(K1283&lt;-5,"CRÍTICO",IF(K1283&lt;0,"ATENÇÃO",IF(K1283&lt;=5,"BOM","EXCELENTE")))</f>
        <v/>
      </c>
      <c r="M1283" t="n">
        <v>0</v>
      </c>
      <c r="N1283" t="n">
        <v>0</v>
      </c>
      <c r="O1283" t="n">
        <v>0</v>
      </c>
    </row>
    <row r="1284" hidden="1">
      <c r="A1284" s="11" t="n">
        <v>46041</v>
      </c>
      <c r="B1284" t="inlineStr">
        <is>
          <t>Leandro Oliveira de Sousa</t>
        </is>
      </c>
      <c r="C1284" t="inlineStr">
        <is>
          <t>Técnico III</t>
        </is>
      </c>
      <c r="D1284" t="n">
        <v>27</v>
      </c>
      <c r="E1284" t="n">
        <v>23</v>
      </c>
      <c r="F1284" t="n">
        <v>15.25</v>
      </c>
      <c r="G1284" t="n">
        <v>0</v>
      </c>
      <c r="H1284" t="n">
        <v>0</v>
      </c>
      <c r="I1284" s="3">
        <f>E1284+G1284+H1284</f>
        <v/>
      </c>
      <c r="J1284" s="3">
        <f>ROUND(MIN(IF(C1284="Técnico III",35,IF(C1284="Técnico II",28,IF(C1284="Técnico I",23,IF(C1284="JR",20,IF(C1284="Estágio",10,0))))),IF(C1284="Técnico III",SUMIFS($D:$D,$A:$A,$A1284,$B:$B,"&lt;&gt;Patrícia Karla de Sousa Araújo",$B:$B,"&lt;&gt;Lorena Dias de Araujo",$B:$B,"&lt;&gt;Lucas Luiz Romero")*(35/1083),IF(C1284="Técnico II",SUMIFS($D:$D,$A:$A,$A1284,$B:$B,"&lt;&gt;Patrícia Karla de Sousa Araújo",$B:$B,"&lt;&gt;Lorena Dias de Araujo",$B:$B,"&lt;&gt;Lucas Luiz Romero")*(28/1083),IF(C1284="Técnico I",SUMIFS($D:$D,$A:$A,$A1284,$B:$B,"&lt;&gt;Patrícia Karla de Sousa Araújo",$B:$B,"&lt;&gt;Lorena Dias de Araujo",$B:$B,"&lt;&gt;Lucas Luiz Romero")*(23/1083),IF(C1284="JR",SUMIFS($D:$D,$A:$A,$A1284,$B:$B,"&lt;&gt;Patrícia Karla de Sousa Araújo",$B:$B,"&lt;&gt;Lorena Dias de Araujo",$B:$B,"&lt;&gt;Lucas Luiz Romero")*(20/1083),IF(C1284="Estágio",SUMIFS($D:$D,$A:$A,$A1284,$B:$B,"&lt;&gt;Patrícia Karla de Sousa Araújo",$B:$B,"&lt;&gt;Lorena Dias de Araujo",$B:$B,"&lt;&gt;Lucas Luiz Romero")*(10/1083),0)))))),0)</f>
        <v/>
      </c>
      <c r="K1284" s="3">
        <f>I1284-J1284</f>
        <v/>
      </c>
      <c r="L1284" s="3">
        <f>IF(K1284&lt;-5,"CRÍTICO",IF(K1284&lt;0,"ATENÇÃO",IF(K1284&lt;=5,"BOM","EXCELENTE")))</f>
        <v/>
      </c>
      <c r="M1284" t="n">
        <v>22</v>
      </c>
      <c r="N1284" t="n">
        <v>100</v>
      </c>
      <c r="O1284" t="n">
        <v>30.47034764826176</v>
      </c>
    </row>
    <row r="1285" hidden="1">
      <c r="A1285" s="11" t="n">
        <v>46041</v>
      </c>
      <c r="B1285" t="inlineStr">
        <is>
          <t>Lizandra Gomes Duarte</t>
        </is>
      </c>
      <c r="C1285" t="inlineStr">
        <is>
          <t>Técnico II</t>
        </is>
      </c>
      <c r="D1285" t="n">
        <v>27</v>
      </c>
      <c r="E1285" t="n">
        <v>24</v>
      </c>
      <c r="F1285" t="n">
        <v>17.32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23</v>
      </c>
      <c r="N1285" t="n">
        <v>100</v>
      </c>
      <c r="O1285" t="n">
        <v>32.37113402061856</v>
      </c>
    </row>
    <row r="1286" hidden="1">
      <c r="A1286" s="11" t="n">
        <v>46041</v>
      </c>
      <c r="B1286" t="inlineStr">
        <is>
          <t>Lorena Dias de Araujo</t>
        </is>
      </c>
      <c r="C1286" t="inlineStr">
        <is>
          <t>Técnico II</t>
        </is>
      </c>
      <c r="D1286" t="n">
        <v>15</v>
      </c>
      <c r="E1286" t="n">
        <v>13</v>
      </c>
      <c r="F1286" t="n">
        <v>12.11</v>
      </c>
      <c r="G1286" t="n">
        <v>0</v>
      </c>
      <c r="H1286" t="n">
        <v>0</v>
      </c>
      <c r="I1286" s="3" t="n">
        <v>0</v>
      </c>
      <c r="J1286" s="3" t="n">
        <v>0</v>
      </c>
      <c r="K1286" s="3" t="n">
        <v>0</v>
      </c>
      <c r="L1286" s="3">
        <f>IF(K1286&lt;-5,"CRÍTICO",IF(K1286&lt;0,"ATENÇÃO",IF(K1286&lt;=5,"BOM","EXCELENTE")))</f>
        <v/>
      </c>
      <c r="M1286" t="n">
        <v>11</v>
      </c>
      <c r="N1286" t="n">
        <v>98.31999999999999</v>
      </c>
      <c r="O1286" t="n">
        <v>32.31850117096019</v>
      </c>
    </row>
    <row r="1287" hidden="1">
      <c r="A1287" s="11" t="n">
        <v>46041</v>
      </c>
      <c r="B1287" t="inlineStr">
        <is>
          <t>Lucas Luiz Romero</t>
        </is>
      </c>
      <c r="C1287" t="inlineStr">
        <is>
          <t>Técnico III</t>
        </is>
      </c>
      <c r="D1287" t="n">
        <v>37</v>
      </c>
      <c r="E1287" t="n">
        <v>27</v>
      </c>
      <c r="F1287" t="n">
        <v>9</v>
      </c>
      <c r="G1287" t="n">
        <v>0</v>
      </c>
      <c r="H1287" t="n">
        <v>0</v>
      </c>
      <c r="I1287" s="3">
        <f>E1287+G1287+H1287</f>
        <v/>
      </c>
      <c r="J1287" s="3">
        <f>ROUND(MIN(IF(C1287="Técnico III",35,IF(C1287="Técnico II",28,IF(C1287="Técnico I",23,IF(C1287="JR",20,IF(C1287="Estágio",10,0))))),IF(C1287="Técnico III",SUMIFS($D:$D,$A:$A,$A1287,$B:$B,"&lt;&gt;Patrícia Karla de Sousa Araújo",$B:$B,"&lt;&gt;Lorena Dias de Araujo",$B:$B,"&lt;&gt;Lucas Luiz Romero")*(35/1083),IF(C1287="Técnico II",SUMIFS($D:$D,$A:$A,$A1287,$B:$B,"&lt;&gt;Patrícia Karla de Sousa Araújo",$B:$B,"&lt;&gt;Lorena Dias de Araujo",$B:$B,"&lt;&gt;Lucas Luiz Romero")*(28/1083),IF(C1287="Técnico I",SUMIFS($D:$D,$A:$A,$A1287,$B:$B,"&lt;&gt;Patrícia Karla de Sousa Araújo",$B:$B,"&lt;&gt;Lorena Dias de Araujo",$B:$B,"&lt;&gt;Lucas Luiz Romero")*(23/1083),IF(C1287="JR",SUMIFS($D:$D,$A:$A,$A1287,$B:$B,"&lt;&gt;Patrícia Karla de Sousa Araújo",$B:$B,"&lt;&gt;Lorena Dias de Araujo",$B:$B,"&lt;&gt;Lucas Luiz Romero")*(20/1083),IF(C1287="Estágio",SUMIFS($D:$D,$A:$A,$A1287,$B:$B,"&lt;&gt;Patrícia Karla de Sousa Araújo",$B:$B,"&lt;&gt;Lorena Dias de Araujo",$B:$B,"&lt;&gt;Lucas Luiz Romero")*(10/1083),0)))))),0)</f>
        <v/>
      </c>
      <c r="K1287" s="3">
        <f>I1287-J1287</f>
        <v/>
      </c>
      <c r="L1287" s="3">
        <f>IF(K1287&lt;-5,"CRÍTICO",IF(K1287&lt;0,"ATENÇÃO",IF(K1287&lt;=5,"BOM","EXCELENTE")))</f>
        <v/>
      </c>
      <c r="M1287" t="n">
        <v>17</v>
      </c>
      <c r="N1287" t="n">
        <v>96.43000000000001</v>
      </c>
      <c r="O1287" t="n">
        <v>27.01525054466231</v>
      </c>
    </row>
    <row r="1288" hidden="1">
      <c r="A1288" s="11" t="n">
        <v>46041</v>
      </c>
      <c r="B1288" t="inlineStr">
        <is>
          <t>Luiz Fernando de Carvalho Junior</t>
        </is>
      </c>
      <c r="C1288" t="inlineStr">
        <is>
          <t>Técnico I</t>
        </is>
      </c>
      <c r="D1288" t="n">
        <v>20</v>
      </c>
      <c r="E1288" t="n">
        <v>19</v>
      </c>
      <c r="F1288" t="n">
        <v>16.54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15</v>
      </c>
      <c r="N1288" t="n">
        <v>98.89</v>
      </c>
      <c r="O1288" t="n">
        <v>28.02197802197802</v>
      </c>
    </row>
    <row r="1289" hidden="1">
      <c r="A1289" s="11" t="n">
        <v>46041</v>
      </c>
      <c r="B1289" t="inlineStr">
        <is>
          <t>Maria Eduarda Sousa Costa</t>
        </is>
      </c>
      <c r="C1289" t="inlineStr">
        <is>
          <t>Estágio</t>
        </is>
      </c>
      <c r="D1289" t="n">
        <v>14</v>
      </c>
      <c r="E1289" t="n">
        <v>13</v>
      </c>
      <c r="F1289" t="n">
        <v>25.05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9</v>
      </c>
      <c r="N1289" t="n">
        <v>100</v>
      </c>
      <c r="O1289" t="n">
        <v>33.33333333333333</v>
      </c>
    </row>
    <row r="1290" hidden="1">
      <c r="A1290" s="11" t="n">
        <v>46041</v>
      </c>
      <c r="B1290" t="inlineStr">
        <is>
          <t>Matheus Farias De Souza</t>
        </is>
      </c>
      <c r="C1290" t="inlineStr">
        <is>
          <t>Técnico III</t>
        </is>
      </c>
      <c r="D1290" t="n">
        <v>27</v>
      </c>
      <c r="E1290" t="n">
        <v>26</v>
      </c>
      <c r="F1290" t="n">
        <v>17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25</v>
      </c>
      <c r="N1290" t="n">
        <v>100</v>
      </c>
      <c r="O1290" t="n">
        <v>27.43362831858407</v>
      </c>
    </row>
    <row r="1291" hidden="1">
      <c r="A1291" s="11" t="n">
        <v>46041</v>
      </c>
      <c r="B1291" t="inlineStr">
        <is>
          <t>Maysa Victoria Dias Moura</t>
        </is>
      </c>
      <c r="C1291" t="inlineStr">
        <is>
          <t>Técnico III</t>
        </is>
      </c>
      <c r="D1291" t="n">
        <v>30</v>
      </c>
      <c r="E1291" t="n">
        <v>25</v>
      </c>
      <c r="F1291" t="n">
        <v>12.32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24</v>
      </c>
      <c r="N1291" t="n">
        <v>98.65000000000001</v>
      </c>
      <c r="O1291" t="n">
        <v>30.97826086956522</v>
      </c>
    </row>
    <row r="1292" hidden="1">
      <c r="A1292" s="11" t="n">
        <v>46041</v>
      </c>
      <c r="B1292" t="inlineStr">
        <is>
          <t>Michelle G Santos</t>
        </is>
      </c>
      <c r="C1292" t="inlineStr">
        <is>
          <t>Estágio</t>
        </is>
      </c>
      <c r="D1292" t="n">
        <v>1</v>
      </c>
      <c r="E1292" t="n">
        <v>1</v>
      </c>
      <c r="F1292" t="n">
        <v>7.39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1</v>
      </c>
      <c r="N1292" t="n">
        <v>100</v>
      </c>
      <c r="O1292" t="n">
        <v>12</v>
      </c>
    </row>
    <row r="1293" hidden="1">
      <c r="A1293" s="11" t="n">
        <v>46041</v>
      </c>
      <c r="B1293" t="inlineStr">
        <is>
          <t>Milena Sales</t>
        </is>
      </c>
      <c r="C1293" t="inlineStr">
        <is>
          <t>JR</t>
        </is>
      </c>
      <c r="D1293" t="n">
        <v>0</v>
      </c>
      <c r="E1293" t="n">
        <v>0</v>
      </c>
      <c r="F1293" t="n">
        <v>0</v>
      </c>
      <c r="G1293" t="n">
        <v>0</v>
      </c>
      <c r="H1293" t="n">
        <v>0</v>
      </c>
      <c r="I1293" s="3" t="n">
        <v>0</v>
      </c>
      <c r="J1293" s="3" t="n">
        <v>0</v>
      </c>
      <c r="K1293" s="3" t="n">
        <v>0</v>
      </c>
      <c r="L1293" s="3">
        <f>IF(K1293&lt;-5,"CRÍTICO",IF(K1293&lt;0,"ATENÇÃO",IF(K1293&lt;=5,"BOM","EXCELENTE")))</f>
        <v/>
      </c>
      <c r="M1293" t="n">
        <v>0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Patrícia Karla de Sousa Araújo</t>
        </is>
      </c>
      <c r="C1294" t="inlineStr">
        <is>
          <t>Técnico II</t>
        </is>
      </c>
      <c r="D1294" t="n">
        <v>27</v>
      </c>
      <c r="E1294" t="n">
        <v>25</v>
      </c>
      <c r="F1294" t="n">
        <v>14.14</v>
      </c>
      <c r="G1294" t="n">
        <v>0</v>
      </c>
      <c r="H1294" t="n">
        <v>0</v>
      </c>
      <c r="I1294" s="3">
        <f>E1294+G1294+H1294</f>
        <v/>
      </c>
      <c r="J1294" s="3">
        <f>ROUND(MIN(IF(C1294="Técnico III",35,IF(C1294="Técnico II",28,IF(C1294="Técnico I",23,IF(C1294="JR",20,IF(C1294="Estágio",10,0))))),IF(C1294="Técnico III",SUMIFS($D:$D,$A:$A,$A1294,$B:$B,"&lt;&gt;Patrícia Karla de Sousa Araújo",$B:$B,"&lt;&gt;Lorena Dias de Araujo",$B:$B,"&lt;&gt;Lucas Luiz Romero")*(35/1083),IF(C1294="Técnico II",SUMIFS($D:$D,$A:$A,$A1294,$B:$B,"&lt;&gt;Patrícia Karla de Sousa Araújo",$B:$B,"&lt;&gt;Lorena Dias de Araujo",$B:$B,"&lt;&gt;Lucas Luiz Romero")*(28/1083),IF(C1294="Técnico I",SUMIFS($D:$D,$A:$A,$A1294,$B:$B,"&lt;&gt;Patrícia Karla de Sousa Araújo",$B:$B,"&lt;&gt;Lorena Dias de Araujo",$B:$B,"&lt;&gt;Lucas Luiz Romero")*(23/1083),IF(C1294="JR",SUMIFS($D:$D,$A:$A,$A1294,$B:$B,"&lt;&gt;Patrícia Karla de Sousa Araújo",$B:$B,"&lt;&gt;Lorena Dias de Araujo",$B:$B,"&lt;&gt;Lucas Luiz Romero")*(20/1083),IF(C1294="Estágio",SUMIFS($D:$D,$A:$A,$A1294,$B:$B,"&lt;&gt;Patrícia Karla de Sousa Araújo",$B:$B,"&lt;&gt;Lorena Dias de Araujo",$B:$B,"&lt;&gt;Lucas Luiz Romero")*(10/1083),0)))))),0)</f>
        <v/>
      </c>
      <c r="K1294" s="3">
        <f>I1294-J1294</f>
        <v/>
      </c>
      <c r="L1294" s="3">
        <f>IF(K1294&lt;-5,"CRÍTICO",IF(K1294&lt;0,"ATENÇÃO",IF(K1294&lt;=5,"BOM","EXCELENTE")))</f>
        <v/>
      </c>
      <c r="M1294" t="n">
        <v>19</v>
      </c>
      <c r="N1294" t="n">
        <v>97.56</v>
      </c>
      <c r="O1294" t="n">
        <v>31.06796116504854</v>
      </c>
    </row>
    <row r="1295" hidden="1">
      <c r="A1295" s="11" t="n">
        <v>46041</v>
      </c>
      <c r="B1295" t="inlineStr">
        <is>
          <t>Paulo Ricardo Santos</t>
        </is>
      </c>
      <c r="C1295" t="inlineStr">
        <is>
          <t>JR</t>
        </is>
      </c>
      <c r="D1295" t="n">
        <v>0</v>
      </c>
      <c r="E1295" t="n">
        <v>0</v>
      </c>
      <c r="F1295" t="n">
        <v>0</v>
      </c>
      <c r="G1295" t="n">
        <v>0</v>
      </c>
      <c r="H1295" t="n">
        <v>0</v>
      </c>
      <c r="I1295" s="3" t="n">
        <v>0</v>
      </c>
      <c r="J1295" s="3" t="n">
        <v>0</v>
      </c>
      <c r="K1295" s="3" t="n">
        <v>0</v>
      </c>
      <c r="L1295" s="3">
        <f>IF(K1295&lt;-5,"CRÍTICO",IF(K1295&lt;0,"ATENÇÃO",IF(K1295&lt;=5,"BOM","EXCELENTE")))</f>
        <v/>
      </c>
      <c r="M1295" t="n">
        <v>0</v>
      </c>
      <c r="N1295" t="n">
        <v>0</v>
      </c>
      <c r="O1295" t="n">
        <v>0</v>
      </c>
    </row>
    <row r="1296" hidden="1">
      <c r="A1296" s="11" t="n">
        <v>46041</v>
      </c>
      <c r="B1296" t="inlineStr">
        <is>
          <t>Pedro Luiz Mota Sousa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Quirino Diogo Leite Torres</t>
        </is>
      </c>
      <c r="C1297" t="inlineStr">
        <is>
          <t>Estágio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Raane Batista Matos</t>
        </is>
      </c>
      <c r="C1298" t="inlineStr">
        <is>
          <t>Técnico I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100</v>
      </c>
      <c r="O1298" t="n">
        <v>53.84615384615385</v>
      </c>
    </row>
    <row r="1299" hidden="1">
      <c r="A1299" s="11" t="n">
        <v>46041</v>
      </c>
      <c r="B1299" t="inlineStr">
        <is>
          <t>Rafael Gomes de Morais</t>
        </is>
      </c>
      <c r="C1299" t="inlineStr">
        <is>
          <t>Técnico III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100</v>
      </c>
      <c r="O1299" t="n">
        <v>44.05594405594406</v>
      </c>
    </row>
    <row r="1300" hidden="1">
      <c r="A1300" s="11" t="n">
        <v>46041</v>
      </c>
      <c r="B1300" t="inlineStr">
        <is>
          <t>Sara Maria Monteiro Lopes</t>
        </is>
      </c>
      <c r="C1300" t="inlineStr">
        <is>
          <t>Técnico I</t>
        </is>
      </c>
      <c r="D1300" t="n">
        <v>10</v>
      </c>
      <c r="E1300" t="n">
        <v>9</v>
      </c>
      <c r="F1300" t="n">
        <v>52.36</v>
      </c>
      <c r="G1300" t="n">
        <v>0</v>
      </c>
      <c r="H1300" t="n">
        <v>0</v>
      </c>
      <c r="I1300" s="3">
        <f>E1300+G1300+H1300</f>
        <v/>
      </c>
      <c r="J1300" s="3">
        <f>ROUND(MIN(IF(C1300="Técnico III",35,IF(C1300="Técnico II",28,IF(C1300="Técnico I",23,IF(C1300="JR",20,IF(C1300="Estágio",10,0))))),IF(C1300="Técnico III",SUMIFS($D:$D,$A:$A,$A1300,$B:$B,"&lt;&gt;Patrícia Karla de Sousa Araújo",$B:$B,"&lt;&gt;Lorena Dias de Araujo",$B:$B,"&lt;&gt;Lucas Luiz Romero")*(35/1083),IF(C1300="Técnico II",SUMIFS($D:$D,$A:$A,$A1300,$B:$B,"&lt;&gt;Patrícia Karla de Sousa Araújo",$B:$B,"&lt;&gt;Lorena Dias de Araujo",$B:$B,"&lt;&gt;Lucas Luiz Romero")*(28/1083),IF(C1300="Técnico I",SUMIFS($D:$D,$A:$A,$A1300,$B:$B,"&lt;&gt;Patrícia Karla de Sousa Araújo",$B:$B,"&lt;&gt;Lorena Dias de Araujo",$B:$B,"&lt;&gt;Lucas Luiz Romero")*(23/1083),IF(C1300="JR",SUMIFS($D:$D,$A:$A,$A1300,$B:$B,"&lt;&gt;Patrícia Karla de Sousa Araújo",$B:$B,"&lt;&gt;Lorena Dias de Araujo",$B:$B,"&lt;&gt;Lucas Luiz Romero")*(20/1083),IF(C1300="Estágio",SUMIFS($D:$D,$A:$A,$A1300,$B:$B,"&lt;&gt;Patrícia Karla de Sousa Araújo",$B:$B,"&lt;&gt;Lorena Dias de Araujo",$B:$B,"&lt;&gt;Lucas Luiz Romero")*(10/1083),0)))))),0)</f>
        <v/>
      </c>
      <c r="K1300" s="3">
        <f>I1300-J1300</f>
        <v/>
      </c>
      <c r="L1300" s="3">
        <f>IF(K1300&lt;-5,"CRÍTICO",IF(K1300&lt;0,"ATENÇÃO",IF(K1300&lt;=5,"BOM","EXCELENTE")))</f>
        <v/>
      </c>
      <c r="M1300" t="n">
        <v>8</v>
      </c>
      <c r="N1300" t="n">
        <v>100</v>
      </c>
      <c r="O1300" t="n">
        <v>31.87250996015936</v>
      </c>
    </row>
    <row r="1301" hidden="1">
      <c r="A1301" s="11" t="n">
        <v>46041</v>
      </c>
      <c r="B1301" t="inlineStr">
        <is>
          <t>Sarah Steffanie de Lima Borges</t>
        </is>
      </c>
      <c r="C1301" t="inlineStr">
        <is>
          <t>Técnico III</t>
        </is>
      </c>
      <c r="D1301" t="n">
        <v>23</v>
      </c>
      <c r="E1301" t="n">
        <v>21</v>
      </c>
      <c r="F1301" t="n">
        <v>15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20</v>
      </c>
      <c r="N1301" t="n">
        <v>98.41</v>
      </c>
      <c r="O1301" t="n">
        <v>29.22465208747515</v>
      </c>
    </row>
    <row r="1302" hidden="1">
      <c r="A1302" s="11" t="n">
        <v>46042</v>
      </c>
      <c r="B1302" t="inlineStr">
        <is>
          <t>Alisson de Freitas Silva</t>
        </is>
      </c>
      <c r="C1302" t="inlineStr">
        <is>
          <t>Técnico II</t>
        </is>
      </c>
      <c r="D1302" t="n">
        <v>28</v>
      </c>
      <c r="E1302" t="n">
        <v>23</v>
      </c>
      <c r="F1302" t="n">
        <v>10.55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17</v>
      </c>
      <c r="N1302" t="n">
        <v>96.81</v>
      </c>
      <c r="O1302" t="n">
        <v>27.98053527980535</v>
      </c>
    </row>
    <row r="1303" hidden="1">
      <c r="A1303" s="11" t="n">
        <v>46042</v>
      </c>
      <c r="B1303" t="inlineStr">
        <is>
          <t>Amanda Moura Ferreira</t>
        </is>
      </c>
      <c r="C1303" t="inlineStr">
        <is>
          <t>Técnico III</t>
        </is>
      </c>
      <c r="D1303" t="n">
        <v>0</v>
      </c>
      <c r="E1303" t="n">
        <v>0</v>
      </c>
      <c r="F1303" t="n">
        <v>0</v>
      </c>
      <c r="G1303" t="n">
        <v>0</v>
      </c>
      <c r="H1303" t="n">
        <v>0</v>
      </c>
      <c r="I1303" s="3" t="n">
        <v>0</v>
      </c>
      <c r="J1303" s="3" t="n">
        <v>0</v>
      </c>
      <c r="K1303" s="3" t="n">
        <v>0</v>
      </c>
      <c r="L1303" s="3">
        <f>IF(K1303&lt;-5,"CRÍTICO",IF(K1303&lt;0,"ATENÇÃO",IF(K1303&lt;=5,"BOM","EXCELENTE")))</f>
        <v/>
      </c>
      <c r="M1303" t="n">
        <v>19</v>
      </c>
      <c r="N1303" t="n">
        <v>98.73</v>
      </c>
      <c r="O1303" t="n">
        <v>35.75638506876228</v>
      </c>
    </row>
    <row r="1304" hidden="1">
      <c r="A1304" s="11" t="n">
        <v>46042</v>
      </c>
      <c r="B1304" t="inlineStr">
        <is>
          <t>Ana Karollyne Souza Faria</t>
        </is>
      </c>
      <c r="C1304" t="inlineStr">
        <is>
          <t>Técnico I</t>
        </is>
      </c>
      <c r="D1304" t="n">
        <v>25</v>
      </c>
      <c r="E1304" t="n">
        <v>21</v>
      </c>
      <c r="F1304" t="n">
        <v>15.4</v>
      </c>
      <c r="G1304" t="n">
        <v>0</v>
      </c>
      <c r="H1304" t="n">
        <v>0</v>
      </c>
      <c r="I1304" s="3">
        <f>E1304+G1304+H1304</f>
        <v/>
      </c>
      <c r="J1304" s="3">
        <f>ROUND(MIN(IF(C1304="Técnico III",35,IF(C1304="Técnico II",28,IF(C1304="Técnico I",23,IF(C1304="JR",20,IF(C1304="Estágio",10,0))))),IF(C1304="Técnico III",SUMIFS($D:$D,$A:$A,$A1304,$B:$B,"&lt;&gt;Patrícia Karla de Sousa Araújo",$B:$B,"&lt;&gt;Lorena Dias de Araujo",$B:$B,"&lt;&gt;Lucas Luiz Romero")*(35/1083),IF(C1304="Técnico II",SUMIFS($D:$D,$A:$A,$A1304,$B:$B,"&lt;&gt;Patrícia Karla de Sousa Araújo",$B:$B,"&lt;&gt;Lorena Dias de Araujo",$B:$B,"&lt;&gt;Lucas Luiz Romero")*(28/1083),IF(C1304="Técnico I",SUMIFS($D:$D,$A:$A,$A1304,$B:$B,"&lt;&gt;Patrícia Karla de Sousa Araújo",$B:$B,"&lt;&gt;Lorena Dias de Araujo",$B:$B,"&lt;&gt;Lucas Luiz Romero")*(23/1083),IF(C1304="JR",SUMIFS($D:$D,$A:$A,$A1304,$B:$B,"&lt;&gt;Patrícia Karla de Sousa Araújo",$B:$B,"&lt;&gt;Lorena Dias de Araujo",$B:$B,"&lt;&gt;Lucas Luiz Romero")*(20/1083),IF(C1304="Estágio",SUMIFS($D:$D,$A:$A,$A1304,$B:$B,"&lt;&gt;Patrícia Karla de Sousa Araújo",$B:$B,"&lt;&gt;Lorena Dias de Araujo",$B:$B,"&lt;&gt;Lucas Luiz Romero")*(10/1083),0)))))),0)</f>
        <v/>
      </c>
      <c r="K1304" s="3">
        <f>I1304-J1304</f>
        <v/>
      </c>
      <c r="L1304" s="3">
        <f>IF(K1304&lt;-5,"CRÍTICO",IF(K1304&lt;0,"ATENÇÃO",IF(K1304&lt;=5,"BOM","EXCELENTE")))</f>
        <v/>
      </c>
      <c r="M1304" t="n">
        <v>21</v>
      </c>
      <c r="N1304" t="n">
        <v>98.31999999999999</v>
      </c>
      <c r="O1304" t="n">
        <v>26.76348547717842</v>
      </c>
    </row>
    <row r="1305" hidden="1">
      <c r="A1305" s="11" t="n">
        <v>46042</v>
      </c>
      <c r="B1305" t="inlineStr">
        <is>
          <t>Ana Paula Da Luz Silva Aleixo</t>
        </is>
      </c>
      <c r="C1305" t="inlineStr">
        <is>
          <t>Técnico III</t>
        </is>
      </c>
      <c r="D1305" t="n">
        <v>19</v>
      </c>
      <c r="E1305" t="n">
        <v>18</v>
      </c>
      <c r="F1305" t="n">
        <v>25.55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15</v>
      </c>
      <c r="N1305" t="n">
        <v>99.19</v>
      </c>
      <c r="O1305" t="n">
        <v>27.63713080168776</v>
      </c>
    </row>
    <row r="1306" hidden="1">
      <c r="A1306" s="11" t="n">
        <v>46042</v>
      </c>
      <c r="B1306" t="inlineStr">
        <is>
          <t>Anna Luiza Rezende Tavares</t>
        </is>
      </c>
      <c r="C1306" t="inlineStr">
        <is>
          <t>Estágio</t>
        </is>
      </c>
      <c r="D1306" t="n">
        <v>8</v>
      </c>
      <c r="E1306" t="n">
        <v>8</v>
      </c>
      <c r="F1306" t="n">
        <v>27.13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8</v>
      </c>
      <c r="N1306" t="n">
        <v>100</v>
      </c>
      <c r="O1306" t="n">
        <v>39.56834532374101</v>
      </c>
    </row>
    <row r="1307" hidden="1">
      <c r="A1307" s="11" t="n">
        <v>46042</v>
      </c>
      <c r="B1307" t="inlineStr">
        <is>
          <t>Brenda de Menezes Silva</t>
        </is>
      </c>
      <c r="C1307" t="inlineStr">
        <is>
          <t>Técnico II</t>
        </is>
      </c>
      <c r="D1307" t="n">
        <v>19</v>
      </c>
      <c r="E1307" t="n">
        <v>18</v>
      </c>
      <c r="F1307" t="n">
        <v>14.02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20</v>
      </c>
      <c r="N1307" t="n">
        <v>98.54000000000001</v>
      </c>
      <c r="O1307" t="n">
        <v>28.54477611940299</v>
      </c>
    </row>
    <row r="1308" hidden="1">
      <c r="A1308" s="11" t="n">
        <v>46042</v>
      </c>
      <c r="B1308" t="inlineStr">
        <is>
          <t>Carlos Mateus Cassimiro Nunes</t>
        </is>
      </c>
      <c r="C1308" t="inlineStr">
        <is>
          <t>Técnico II</t>
        </is>
      </c>
      <c r="D1308" t="n">
        <v>19</v>
      </c>
      <c r="E1308" t="n">
        <v>17</v>
      </c>
      <c r="F1308" t="n">
        <v>21.53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19</v>
      </c>
      <c r="N1308" t="n">
        <v>100</v>
      </c>
      <c r="O1308" t="n">
        <v>34.36692506459949</v>
      </c>
    </row>
    <row r="1309" hidden="1">
      <c r="A1309" s="11" t="n">
        <v>46042</v>
      </c>
      <c r="B1309" t="inlineStr">
        <is>
          <t>Claudio de Sousa Velasco Filho</t>
        </is>
      </c>
      <c r="C1309" t="inlineStr">
        <is>
          <t>Estágio</t>
        </is>
      </c>
      <c r="D1309" t="n">
        <v>0</v>
      </c>
      <c r="E1309" t="n">
        <v>0</v>
      </c>
      <c r="F1309" t="n">
        <v>0</v>
      </c>
      <c r="G1309" t="n">
        <v>0</v>
      </c>
      <c r="H1309" t="n">
        <v>0</v>
      </c>
      <c r="I1309" s="3" t="n">
        <v>0</v>
      </c>
      <c r="J1309" s="3" t="n">
        <v>0</v>
      </c>
      <c r="K1309" s="3" t="n">
        <v>0</v>
      </c>
      <c r="L1309" s="3">
        <f>IF(K1309&lt;-5,"CRÍTICO",IF(K1309&lt;0,"ATENÇÃO",IF(K1309&lt;=5,"BOM","EXCELENTE")))</f>
        <v/>
      </c>
      <c r="M1309" t="n">
        <v>0</v>
      </c>
      <c r="N1309" t="n">
        <v>0</v>
      </c>
      <c r="O1309" t="n">
        <v>0</v>
      </c>
    </row>
    <row r="1310" hidden="1">
      <c r="A1310" s="11" t="n">
        <v>46042</v>
      </c>
      <c r="B1310" t="inlineStr">
        <is>
          <t>Clessiane Pereira dos Santos</t>
        </is>
      </c>
      <c r="C1310" t="inlineStr">
        <is>
          <t>Técnico I</t>
        </is>
      </c>
      <c r="D1310" t="n">
        <v>16</v>
      </c>
      <c r="E1310" t="n">
        <v>16</v>
      </c>
      <c r="F1310" t="n">
        <v>32.04</v>
      </c>
      <c r="G1310" t="n">
        <v>0</v>
      </c>
      <c r="H1310" t="n">
        <v>0</v>
      </c>
      <c r="I1310" s="3">
        <f>E1310+G1310+H1310</f>
        <v/>
      </c>
      <c r="J1310" s="3">
        <f>ROUND(MIN(IF(C1310="Técnico III",35,IF(C1310="Técnico II",28,IF(C1310="Técnico I",23,IF(C1310="JR",20,IF(C1310="Estágio",10,0))))),IF(C1310="Técnico III",SUMIFS($D:$D,$A:$A,$A1310,$B:$B,"&lt;&gt;Patrícia Karla de Sousa Araújo",$B:$B,"&lt;&gt;Lorena Dias de Araujo",$B:$B,"&lt;&gt;Lucas Luiz Romero")*(35/1083),IF(C1310="Técnico II",SUMIFS($D:$D,$A:$A,$A1310,$B:$B,"&lt;&gt;Patrícia Karla de Sousa Araújo",$B:$B,"&lt;&gt;Lorena Dias de Araujo",$B:$B,"&lt;&gt;Lucas Luiz Romero")*(28/1083),IF(C1310="Técnico I",SUMIFS($D:$D,$A:$A,$A1310,$B:$B,"&lt;&gt;Patrícia Karla de Sousa Araújo",$B:$B,"&lt;&gt;Lorena Dias de Araujo",$B:$B,"&lt;&gt;Lucas Luiz Romero")*(23/1083),IF(C1310="JR",SUMIFS($D:$D,$A:$A,$A1310,$B:$B,"&lt;&gt;Patrícia Karla de Sousa Araújo",$B:$B,"&lt;&gt;Lorena Dias de Araujo",$B:$B,"&lt;&gt;Lucas Luiz Romero")*(20/1083),IF(C1310="Estágio",SUMIFS($D:$D,$A:$A,$A1310,$B:$B,"&lt;&gt;Patrícia Karla de Sousa Araújo",$B:$B,"&lt;&gt;Lorena Dias de Araujo",$B:$B,"&lt;&gt;Lucas Luiz Romero")*(10/1083),0)))))),0)</f>
        <v/>
      </c>
      <c r="K1310" s="3">
        <f>I1310-J1310</f>
        <v/>
      </c>
      <c r="L1310" s="3">
        <f>IF(K1310&lt;-5,"CRÍTICO",IF(K1310&lt;0,"ATENÇÃO",IF(K1310&lt;=5,"BOM","EXCELENTE")))</f>
        <v/>
      </c>
      <c r="M1310" t="n">
        <v>13</v>
      </c>
      <c r="N1310" t="n">
        <v>100</v>
      </c>
      <c r="O1310" t="n">
        <v>29.51807228915663</v>
      </c>
    </row>
    <row r="1311" hidden="1">
      <c r="A1311" s="11" t="n">
        <v>46042</v>
      </c>
      <c r="B1311" t="inlineStr">
        <is>
          <t>Cristiane Ramos da Silva Rocha</t>
        </is>
      </c>
      <c r="C1311" t="inlineStr">
        <is>
          <t>Técnico III</t>
        </is>
      </c>
      <c r="D1311" t="n">
        <v>25</v>
      </c>
      <c r="E1311" t="n">
        <v>24</v>
      </c>
      <c r="F1311" t="n">
        <v>14.12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22</v>
      </c>
      <c r="N1311" t="n">
        <v>97.45</v>
      </c>
      <c r="O1311" t="n">
        <v>41.421143847487</v>
      </c>
    </row>
    <row r="1312" hidden="1">
      <c r="A1312" s="11" t="n">
        <v>46042</v>
      </c>
      <c r="B1312" t="inlineStr">
        <is>
          <t>Damyllis Lorraine de Oliveira Gonçalves</t>
        </is>
      </c>
      <c r="C1312" t="inlineStr">
        <is>
          <t>Técnico II</t>
        </is>
      </c>
      <c r="D1312" t="n">
        <v>29</v>
      </c>
      <c r="E1312" t="n">
        <v>20</v>
      </c>
      <c r="F1312" t="n">
        <v>8.26</v>
      </c>
      <c r="G1312" t="n">
        <v>0</v>
      </c>
      <c r="H1312" t="n">
        <v>0</v>
      </c>
      <c r="I1312" s="3" t="n">
        <v>0</v>
      </c>
      <c r="J1312" s="3" t="n">
        <v>0</v>
      </c>
      <c r="K1312" s="3" t="n">
        <v>0</v>
      </c>
      <c r="L1312" s="3">
        <f>IF(K1312&lt;-5,"CRÍTICO",IF(K1312&lt;0,"ATENÇÃO",IF(K1312&lt;=5,"BOM","EXCELENTE")))</f>
        <v/>
      </c>
      <c r="M1312" t="n">
        <v>21</v>
      </c>
      <c r="N1312" t="n">
        <v>96.58</v>
      </c>
      <c r="O1312" t="n">
        <v>30.39647577092511</v>
      </c>
    </row>
    <row r="1313" hidden="1">
      <c r="A1313" s="11" t="n">
        <v>46042</v>
      </c>
      <c r="B1313" t="inlineStr">
        <is>
          <t>Daniel Gomes da Silva</t>
        </is>
      </c>
      <c r="C1313" t="inlineStr">
        <is>
          <t>Técnico I</t>
        </is>
      </c>
      <c r="D1313" t="n">
        <v>20</v>
      </c>
      <c r="E1313" t="n">
        <v>17</v>
      </c>
      <c r="F1313" t="n">
        <v>22.01</v>
      </c>
      <c r="G1313" t="n">
        <v>0</v>
      </c>
      <c r="H1313" t="n">
        <v>0</v>
      </c>
      <c r="I1313" s="3">
        <f>E1313+G1313+H1313</f>
        <v/>
      </c>
      <c r="J1313" s="3">
        <f>ROUND(MIN(IF(C1313="Técnico III",35,IF(C1313="Técnico II",28,IF(C1313="Técnico I",23,IF(C1313="JR",20,IF(C1313="Estágio",10,0))))),IF(C1313="Técnico III",SUMIFS($D:$D,$A:$A,$A1313,$B:$B,"&lt;&gt;Patrícia Karla de Sousa Araújo",$B:$B,"&lt;&gt;Lorena Dias de Araujo",$B:$B,"&lt;&gt;Lucas Luiz Romero")*(35/1083),IF(C1313="Técnico II",SUMIFS($D:$D,$A:$A,$A1313,$B:$B,"&lt;&gt;Patrícia Karla de Sousa Araújo",$B:$B,"&lt;&gt;Lorena Dias de Araujo",$B:$B,"&lt;&gt;Lucas Luiz Romero")*(28/1083),IF(C1313="Técnico I",SUMIFS($D:$D,$A:$A,$A1313,$B:$B,"&lt;&gt;Patrícia Karla de Sousa Araújo",$B:$B,"&lt;&gt;Lorena Dias de Araujo",$B:$B,"&lt;&gt;Lucas Luiz Romero")*(23/1083),IF(C1313="JR",SUMIFS($D:$D,$A:$A,$A1313,$B:$B,"&lt;&gt;Patrícia Karla de Sousa Araújo",$B:$B,"&lt;&gt;Lorena Dias de Araujo",$B:$B,"&lt;&gt;Lucas Luiz Romero")*(20/1083),IF(C1313="Estágio",SUMIFS($D:$D,$A:$A,$A1313,$B:$B,"&lt;&gt;Patrícia Karla de Sousa Araújo",$B:$B,"&lt;&gt;Lorena Dias de Araujo",$B:$B,"&lt;&gt;Lucas Luiz Romero")*(10/1083),0)))))),0)</f>
        <v/>
      </c>
      <c r="K1313" s="3">
        <f>I1313-J1313</f>
        <v/>
      </c>
      <c r="L1313" s="3">
        <f>IF(K1313&lt;-5,"CRÍTICO",IF(K1313&lt;0,"ATENÇÃO",IF(K1313&lt;=5,"BOM","EXCELENTE")))</f>
        <v/>
      </c>
      <c r="M1313" t="n">
        <v>18</v>
      </c>
      <c r="N1313" t="n">
        <v>100</v>
      </c>
      <c r="O1313" t="n">
        <v>27.44282744282744</v>
      </c>
    </row>
    <row r="1314" hidden="1">
      <c r="A1314" s="11" t="n">
        <v>46042</v>
      </c>
      <c r="B1314" t="inlineStr">
        <is>
          <t>Davylla Rodrigues Freitas Silva</t>
        </is>
      </c>
      <c r="C1314" t="inlineStr">
        <is>
          <t>Técnico III</t>
        </is>
      </c>
      <c r="D1314" t="n">
        <v>17</v>
      </c>
      <c r="E1314" t="n">
        <v>17</v>
      </c>
      <c r="F1314" t="n">
        <v>30.1</v>
      </c>
      <c r="G1314" t="n">
        <v>0</v>
      </c>
      <c r="H1314" t="n">
        <v>0</v>
      </c>
      <c r="I1314" s="3" t="n">
        <v>0</v>
      </c>
      <c r="J1314" s="3" t="n">
        <v>0</v>
      </c>
      <c r="K1314" s="3" t="n">
        <v>0</v>
      </c>
      <c r="L1314" s="3">
        <f>IF(K1314&lt;-5,"CRÍTICO",IF(K1314&lt;0,"ATENÇÃO",IF(K1314&lt;=5,"BOM","EXCELENTE")))</f>
        <v/>
      </c>
      <c r="M1314" t="n">
        <v>19</v>
      </c>
      <c r="N1314" t="n">
        <v>99.48999999999999</v>
      </c>
      <c r="O1314" t="n">
        <v>40.2</v>
      </c>
    </row>
    <row r="1315" hidden="1">
      <c r="A1315" s="11" t="n">
        <v>46042</v>
      </c>
      <c r="B1315" t="inlineStr">
        <is>
          <t>Emilly Caylane Costa</t>
        </is>
      </c>
      <c r="C1315" t="inlineStr">
        <is>
          <t>Estágio</t>
        </is>
      </c>
      <c r="D1315" t="n">
        <v>0</v>
      </c>
      <c r="E1315" t="n">
        <v>0</v>
      </c>
      <c r="F1315" t="n">
        <v>0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0</v>
      </c>
      <c r="N1315" t="n">
        <v>100</v>
      </c>
      <c r="O1315" t="n">
        <v>25</v>
      </c>
    </row>
    <row r="1316" hidden="1">
      <c r="A1316" s="11" t="n">
        <v>46042</v>
      </c>
      <c r="B1316" t="inlineStr">
        <is>
          <t>Emilly Kamilly Medeiros Miranda</t>
        </is>
      </c>
      <c r="C1316" t="inlineStr">
        <is>
          <t>Técnico II</t>
        </is>
      </c>
      <c r="D1316" t="n">
        <v>22</v>
      </c>
      <c r="E1316" t="n">
        <v>20</v>
      </c>
      <c r="F1316" t="n">
        <v>20.53</v>
      </c>
      <c r="G1316" t="n">
        <v>0</v>
      </c>
      <c r="H1316" t="n">
        <v>0</v>
      </c>
      <c r="I1316" s="3">
        <f>E1316+G1316+H1316</f>
        <v/>
      </c>
      <c r="J1316" s="3">
        <f>ROUND(MIN(IF(C1316="Técnico III",35,IF(C1316="Técnico II",28,IF(C1316="Técnico I",23,IF(C1316="JR",20,IF(C1316="Estágio",10,0))))),IF(C1316="Técnico III",SUMIFS($D:$D,$A:$A,$A1316,$B:$B,"&lt;&gt;Patrícia Karla de Sousa Araújo",$B:$B,"&lt;&gt;Lorena Dias de Araujo",$B:$B,"&lt;&gt;Lucas Luiz Romero")*(35/1083),IF(C1316="Técnico II",SUMIFS($D:$D,$A:$A,$A1316,$B:$B,"&lt;&gt;Patrícia Karla de Sousa Araújo",$B:$B,"&lt;&gt;Lorena Dias de Araujo",$B:$B,"&lt;&gt;Lucas Luiz Romero")*(28/1083),IF(C1316="Técnico I",SUMIFS($D:$D,$A:$A,$A1316,$B:$B,"&lt;&gt;Patrícia Karla de Sousa Araújo",$B:$B,"&lt;&gt;Lorena Dias de Araujo",$B:$B,"&lt;&gt;Lucas Luiz Romero")*(23/1083),IF(C1316="JR",SUMIFS($D:$D,$A:$A,$A1316,$B:$B,"&lt;&gt;Patrícia Karla de Sousa Araújo",$B:$B,"&lt;&gt;Lorena Dias de Araujo",$B:$B,"&lt;&gt;Lucas Luiz Romero")*(20/1083),IF(C1316="Estágio",SUMIFS($D:$D,$A:$A,$A1316,$B:$B,"&lt;&gt;Patrícia Karla de Sousa Araújo",$B:$B,"&lt;&gt;Lorena Dias de Araujo",$B:$B,"&lt;&gt;Lucas Luiz Romero")*(10/1083),0)))))),0)</f>
        <v/>
      </c>
      <c r="K1316" s="3">
        <f>I1316-J1316</f>
        <v/>
      </c>
      <c r="L1316" s="3">
        <f>IF(K1316&lt;-5,"CRÍTICO",IF(K1316&lt;0,"ATENÇÃO",IF(K1316&lt;=5,"BOM","EXCELENTE")))</f>
        <v/>
      </c>
      <c r="M1316" t="n">
        <v>21</v>
      </c>
      <c r="N1316" t="n">
        <v>100</v>
      </c>
      <c r="O1316" t="n">
        <v>34.15094339622641</v>
      </c>
    </row>
    <row r="1317" hidden="1">
      <c r="A1317" s="11" t="n">
        <v>46042</v>
      </c>
      <c r="B1317" t="inlineStr">
        <is>
          <t>Francielson de Oliveira</t>
        </is>
      </c>
      <c r="C1317" t="inlineStr">
        <is>
          <t>Técnico III</t>
        </is>
      </c>
      <c r="D1317" t="n">
        <v>16</v>
      </c>
      <c r="E1317" t="n">
        <v>12</v>
      </c>
      <c r="F1317" t="n">
        <v>12.35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16</v>
      </c>
      <c r="N1317" t="n">
        <v>100</v>
      </c>
      <c r="O1317" t="n">
        <v>32.7313769751693</v>
      </c>
    </row>
    <row r="1318" hidden="1">
      <c r="A1318" s="11" t="n">
        <v>46042</v>
      </c>
      <c r="B1318" t="inlineStr">
        <is>
          <t>Francilene Ferreira de Jesus</t>
        </is>
      </c>
      <c r="C1318" t="inlineStr">
        <is>
          <t>Técnico II</t>
        </is>
      </c>
      <c r="D1318" t="n">
        <v>21</v>
      </c>
      <c r="E1318" t="n">
        <v>21</v>
      </c>
      <c r="F1318" t="n">
        <v>20.39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19</v>
      </c>
      <c r="N1318" t="n">
        <v>99.31</v>
      </c>
      <c r="O1318" t="n">
        <v>30.96234309623431</v>
      </c>
    </row>
    <row r="1319" hidden="1">
      <c r="A1319" s="11" t="n">
        <v>46076</v>
      </c>
      <c r="B1319" t="inlineStr">
        <is>
          <t>Gabriel Gomes de Andrade</t>
        </is>
      </c>
      <c r="C1319" t="inlineStr">
        <is>
          <t>Técnico I</t>
        </is>
      </c>
      <c r="D1319" t="n">
        <v>18</v>
      </c>
      <c r="E1319" t="n">
        <v>16</v>
      </c>
      <c r="F1319" t="n">
        <v>30.38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16</v>
      </c>
      <c r="N1319" t="n">
        <v>96.67</v>
      </c>
      <c r="O1319" t="n">
        <v>31.45161290322581</v>
      </c>
    </row>
    <row r="1320" hidden="1">
      <c r="A1320" s="11" t="n">
        <v>46042</v>
      </c>
      <c r="B1320" t="inlineStr">
        <is>
          <t>Isabella Borges de Oliveira</t>
        </is>
      </c>
      <c r="C1320" t="inlineStr">
        <is>
          <t>Técnico II</t>
        </is>
      </c>
      <c r="D1320" t="n">
        <v>18</v>
      </c>
      <c r="E1320" t="n">
        <v>18</v>
      </c>
      <c r="F1320" t="n">
        <v>28.43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M1320" t="n">
        <v>18</v>
      </c>
      <c r="N1320" t="n">
        <v>100</v>
      </c>
      <c r="O1320" t="n">
        <v>27.67676767676768</v>
      </c>
    </row>
    <row r="1321" hidden="1">
      <c r="A1321" s="11" t="n">
        <v>46042</v>
      </c>
      <c r="B1321" t="inlineStr">
        <is>
          <t>Janaina Lima dos Reis Urany</t>
        </is>
      </c>
      <c r="C1321" t="inlineStr">
        <is>
          <t>Técnico III</t>
        </is>
      </c>
      <c r="D1321" t="n">
        <v>32</v>
      </c>
      <c r="E1321" t="n">
        <v>29</v>
      </c>
      <c r="F1321" t="n">
        <v>12.31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29</v>
      </c>
      <c r="N1321" t="n">
        <v>100</v>
      </c>
      <c r="O1321" t="n">
        <v>31.17723156532988</v>
      </c>
    </row>
    <row r="1322" hidden="1">
      <c r="A1322" s="11" t="n">
        <v>46042</v>
      </c>
      <c r="B1322" t="inlineStr">
        <is>
          <t>Jaqueline Evangelista da Silva Martins</t>
        </is>
      </c>
      <c r="C1322" t="inlineStr">
        <is>
          <t>Técnico III</t>
        </is>
      </c>
      <c r="D1322" t="n">
        <v>11</v>
      </c>
      <c r="E1322" t="n">
        <v>11</v>
      </c>
      <c r="F1322" t="n">
        <v>22.13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8</v>
      </c>
      <c r="N1322" t="n">
        <v>100</v>
      </c>
      <c r="O1322" t="n">
        <v>27.60942760942761</v>
      </c>
    </row>
    <row r="1323" hidden="1">
      <c r="A1323" s="11" t="n">
        <v>46042</v>
      </c>
      <c r="B1323" t="inlineStr">
        <is>
          <t>Jessica Faria da Silveira</t>
        </is>
      </c>
      <c r="C1323" t="inlineStr">
        <is>
          <t>Técnico II</t>
        </is>
      </c>
      <c r="D1323" t="n">
        <v>28</v>
      </c>
      <c r="E1323" t="n">
        <v>22</v>
      </c>
      <c r="F1323" t="n">
        <v>10.45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20</v>
      </c>
      <c r="N1323" t="n">
        <v>96.40000000000001</v>
      </c>
      <c r="O1323" t="n">
        <v>28.76404494382023</v>
      </c>
    </row>
    <row r="1324" hidden="1">
      <c r="A1324" s="11" t="n">
        <v>46042</v>
      </c>
      <c r="B1324" t="inlineStr">
        <is>
          <t>Jéssica Fé Moura</t>
        </is>
      </c>
      <c r="C1324" t="inlineStr">
        <is>
          <t>Técnico III</t>
        </is>
      </c>
      <c r="D1324" t="n">
        <v>0</v>
      </c>
      <c r="E1324" t="n">
        <v>0</v>
      </c>
      <c r="F1324" t="n">
        <v>0</v>
      </c>
      <c r="G1324" t="n">
        <v>0</v>
      </c>
      <c r="H1324" t="n">
        <v>0</v>
      </c>
      <c r="I1324" s="3" t="n">
        <v>0</v>
      </c>
      <c r="J1324" s="3" t="n">
        <v>0</v>
      </c>
      <c r="K1324" s="3" t="n">
        <v>0</v>
      </c>
      <c r="L1324" s="3">
        <f>IF(K1324&lt;-5,"CRÍTICO",IF(K1324&lt;0,"ATENÇÃO",IF(K1324&lt;=5,"BOM","EXCELENTE")))</f>
        <v/>
      </c>
      <c r="M1324" t="n">
        <v>0</v>
      </c>
      <c r="N1324" t="n">
        <v>100</v>
      </c>
      <c r="O1324" t="n">
        <v>33.98058252427185</v>
      </c>
    </row>
    <row r="1325" hidden="1">
      <c r="A1325" s="11" t="n">
        <v>46042</v>
      </c>
      <c r="B1325" t="inlineStr">
        <is>
          <t>Karina Gonçalves Martins</t>
        </is>
      </c>
      <c r="C1325" t="inlineStr">
        <is>
          <t>JR</t>
        </is>
      </c>
      <c r="D1325" t="n">
        <v>11</v>
      </c>
      <c r="E1325" t="n">
        <v>10</v>
      </c>
      <c r="F1325" t="n">
        <v>32.28</v>
      </c>
      <c r="G1325" t="n">
        <v>0</v>
      </c>
      <c r="H1325" t="n">
        <v>0</v>
      </c>
      <c r="I1325" s="3">
        <f>E1325+G1325+H1325</f>
        <v/>
      </c>
      <c r="J1325" s="3">
        <f>ROUND(MIN(IF(C1325="Técnico III",35,IF(C1325="Técnico II",28,IF(C1325="Técnico I",23,IF(C1325="JR",20,IF(C1325="Estágio",10,0))))),IF(C1325="Técnico III",SUMIFS($D:$D,$A:$A,$A1325,$B:$B,"&lt;&gt;Patrícia Karla de Sousa Araújo",$B:$B,"&lt;&gt;Lorena Dias de Araujo",$B:$B,"&lt;&gt;Lucas Luiz Romero")*(35/1083),IF(C1325="Técnico II",SUMIFS($D:$D,$A:$A,$A1325,$B:$B,"&lt;&gt;Patrícia Karla de Sousa Araújo",$B:$B,"&lt;&gt;Lorena Dias de Araujo",$B:$B,"&lt;&gt;Lucas Luiz Romero")*(28/1083),IF(C1325="Técnico I",SUMIFS($D:$D,$A:$A,$A1325,$B:$B,"&lt;&gt;Patrícia Karla de Sousa Araújo",$B:$B,"&lt;&gt;Lorena Dias de Araujo",$B:$B,"&lt;&gt;Lucas Luiz Romero")*(23/1083),IF(C1325="JR",SUMIFS($D:$D,$A:$A,$A1325,$B:$B,"&lt;&gt;Patrícia Karla de Sousa Araújo",$B:$B,"&lt;&gt;Lorena Dias de Araujo",$B:$B,"&lt;&gt;Lucas Luiz Romero")*(20/1083),IF(C1325="Estágio",SUMIFS($D:$D,$A:$A,$A1325,$B:$B,"&lt;&gt;Patrícia Karla de Sousa Araújo",$B:$B,"&lt;&gt;Lorena Dias de Araujo",$B:$B,"&lt;&gt;Lucas Luiz Romero")*(10/1083),0)))))),0)</f>
        <v/>
      </c>
      <c r="K1325" s="3">
        <f>I1325-J1325</f>
        <v/>
      </c>
      <c r="L1325" s="3">
        <f>IF(K1325&lt;-5,"CRÍTICO",IF(K1325&lt;0,"ATENÇÃO",IF(K1325&lt;=5,"BOM","EXCELENTE")))</f>
        <v/>
      </c>
      <c r="M1325" t="n">
        <v>8</v>
      </c>
      <c r="N1325" t="n">
        <v>97.56</v>
      </c>
      <c r="O1325" t="n">
        <v>32.51533742331289</v>
      </c>
    </row>
    <row r="1326" hidden="1">
      <c r="A1326" s="11" t="n">
        <v>46042</v>
      </c>
      <c r="B1326" t="inlineStr">
        <is>
          <t>Kerollen Cristielly de Jesus Siqueira</t>
        </is>
      </c>
      <c r="C1326" t="inlineStr">
        <is>
          <t>Técnico III</t>
        </is>
      </c>
      <c r="D1326" t="n">
        <v>15</v>
      </c>
      <c r="E1326" t="n">
        <v>15</v>
      </c>
      <c r="F1326" t="n">
        <v>25.47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12</v>
      </c>
      <c r="N1326" t="n">
        <v>97.11</v>
      </c>
      <c r="O1326" t="n">
        <v>37.40831295843521</v>
      </c>
    </row>
    <row r="1327" hidden="1">
      <c r="A1327" s="11" t="n">
        <v>46042</v>
      </c>
      <c r="B1327" t="inlineStr">
        <is>
          <t>Leandro de Souza Silva</t>
        </is>
      </c>
      <c r="C1327" t="inlineStr">
        <is>
          <t>JR</t>
        </is>
      </c>
      <c r="D1327" t="n">
        <v>0</v>
      </c>
      <c r="E1327" t="n">
        <v>0</v>
      </c>
      <c r="F1327" t="n">
        <v>0</v>
      </c>
      <c r="G1327" t="n">
        <v>0</v>
      </c>
      <c r="H1327" t="n">
        <v>0</v>
      </c>
      <c r="I1327" s="3" t="n">
        <v>0</v>
      </c>
      <c r="J1327" s="3" t="n">
        <v>0</v>
      </c>
      <c r="K1327" s="3" t="n">
        <v>0</v>
      </c>
      <c r="L1327" s="3">
        <f>IF(K1327&lt;-5,"CRÍTICO",IF(K1327&lt;0,"ATENÇÃO",IF(K1327&lt;=5,"BOM","EXCELENTE")))</f>
        <v/>
      </c>
      <c r="M1327" t="n">
        <v>0</v>
      </c>
      <c r="N1327" t="n">
        <v>0</v>
      </c>
      <c r="O1327" t="n">
        <v>0</v>
      </c>
    </row>
    <row r="1328" hidden="1">
      <c r="A1328" s="11" t="n">
        <v>46042</v>
      </c>
      <c r="B1328" t="inlineStr">
        <is>
          <t>Leandro Oliveira de Sousa</t>
        </is>
      </c>
      <c r="C1328" t="inlineStr">
        <is>
          <t>Técnico III</t>
        </is>
      </c>
      <c r="D1328" t="n">
        <v>25</v>
      </c>
      <c r="E1328" t="n">
        <v>23</v>
      </c>
      <c r="F1328" t="n">
        <v>12.31</v>
      </c>
      <c r="G1328" t="n">
        <v>0</v>
      </c>
      <c r="H1328" t="n">
        <v>0</v>
      </c>
      <c r="I1328" s="3">
        <f>E1328+G1328+H1328</f>
        <v/>
      </c>
      <c r="J1328" s="3">
        <f>ROUND(MIN(IF(C1328="Técnico III",35,IF(C1328="Técnico II",28,IF(C1328="Técnico I",23,IF(C1328="JR",20,IF(C1328="Estágio",10,0))))),IF(C1328="Técnico III",SUMIFS($D:$D,$A:$A,$A1328,$B:$B,"&lt;&gt;Patrícia Karla de Sousa Araújo",$B:$B,"&lt;&gt;Lorena Dias de Araujo",$B:$B,"&lt;&gt;Lucas Luiz Romero")*(35/1083),IF(C1328="Técnico II",SUMIFS($D:$D,$A:$A,$A1328,$B:$B,"&lt;&gt;Patrícia Karla de Sousa Araújo",$B:$B,"&lt;&gt;Lorena Dias de Araujo",$B:$B,"&lt;&gt;Lucas Luiz Romero")*(28/1083),IF(C1328="Técnico I",SUMIFS($D:$D,$A:$A,$A1328,$B:$B,"&lt;&gt;Patrícia Karla de Sousa Araújo",$B:$B,"&lt;&gt;Lorena Dias de Araujo",$B:$B,"&lt;&gt;Lucas Luiz Romero")*(23/1083),IF(C1328="JR",SUMIFS($D:$D,$A:$A,$A1328,$B:$B,"&lt;&gt;Patrícia Karla de Sousa Araújo",$B:$B,"&lt;&gt;Lorena Dias de Araujo",$B:$B,"&lt;&gt;Lucas Luiz Romero")*(20/1083),IF(C1328="Estágio",SUMIFS($D:$D,$A:$A,$A1328,$B:$B,"&lt;&gt;Patrícia Karla de Sousa Araújo",$B:$B,"&lt;&gt;Lorena Dias de Araujo",$B:$B,"&lt;&gt;Lucas Luiz Romero")*(10/1083),0)))))),0)</f>
        <v/>
      </c>
      <c r="K1328" s="3">
        <f>I1328-J1328</f>
        <v/>
      </c>
      <c r="L1328" s="3">
        <f>IF(K1328&lt;-5,"CRÍTICO",IF(K1328&lt;0,"ATENÇÃO",IF(K1328&lt;=5,"BOM","EXCELENTE")))</f>
        <v/>
      </c>
      <c r="M1328" t="n">
        <v>19</v>
      </c>
      <c r="N1328" t="n">
        <v>100</v>
      </c>
      <c r="O1328" t="n">
        <v>30.47034764826176</v>
      </c>
    </row>
    <row r="1329" hidden="1">
      <c r="A1329" s="11" t="n">
        <v>46042</v>
      </c>
      <c r="B1329" t="inlineStr">
        <is>
          <t>Lizandra Gomes Duarte</t>
        </is>
      </c>
      <c r="C1329" t="inlineStr">
        <is>
          <t>Técnico II</t>
        </is>
      </c>
      <c r="D1329" t="n">
        <v>17</v>
      </c>
      <c r="E1329" t="n">
        <v>17</v>
      </c>
      <c r="F1329" t="n">
        <v>27.18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15</v>
      </c>
      <c r="N1329" t="n">
        <v>100</v>
      </c>
      <c r="O1329" t="n">
        <v>32.37113402061856</v>
      </c>
    </row>
    <row r="1330" hidden="1">
      <c r="A1330" s="11" t="n">
        <v>46042</v>
      </c>
      <c r="B1330" t="inlineStr">
        <is>
          <t>Lorena Dias de Araujo</t>
        </is>
      </c>
      <c r="C1330" t="inlineStr">
        <is>
          <t>Técnico II</t>
        </is>
      </c>
      <c r="D1330" t="n">
        <v>25</v>
      </c>
      <c r="E1330" t="n">
        <v>24</v>
      </c>
      <c r="F1330" t="n">
        <v>19.16</v>
      </c>
      <c r="G1330" t="n">
        <v>0</v>
      </c>
      <c r="H1330" t="n">
        <v>0</v>
      </c>
      <c r="I1330" s="3" t="n">
        <v>0</v>
      </c>
      <c r="J1330" s="3" t="n">
        <v>0</v>
      </c>
      <c r="K1330" s="3" t="n">
        <v>0</v>
      </c>
      <c r="L1330" s="3">
        <f>IF(K1330&lt;-5,"CRÍTICO",IF(K1330&lt;0,"ATENÇÃO",IF(K1330&lt;=5,"BOM","EXCELENTE")))</f>
        <v/>
      </c>
      <c r="M1330" t="n">
        <v>17</v>
      </c>
      <c r="N1330" t="n">
        <v>98.31999999999999</v>
      </c>
      <c r="O1330" t="n">
        <v>32.31850117096019</v>
      </c>
    </row>
    <row r="1331" hidden="1">
      <c r="A1331" s="11" t="n">
        <v>46042</v>
      </c>
      <c r="B1331" t="inlineStr">
        <is>
          <t>Lucas Luiz Romero</t>
        </is>
      </c>
      <c r="C1331" t="inlineStr">
        <is>
          <t>Técnico III</t>
        </is>
      </c>
      <c r="D1331" t="n">
        <v>16</v>
      </c>
      <c r="E1331" t="n">
        <v>10</v>
      </c>
      <c r="F1331" t="n">
        <v>5.29</v>
      </c>
      <c r="G1331" t="n">
        <v>0</v>
      </c>
      <c r="H1331" t="n">
        <v>0</v>
      </c>
      <c r="I1331" s="3">
        <f>E1331+G1331+H1331</f>
        <v/>
      </c>
      <c r="J1331" s="3">
        <f>ROUND(MIN(IF(C1331="Técnico III",35,IF(C1331="Técnico II",28,IF(C1331="Técnico I",23,IF(C1331="JR",20,IF(C1331="Estágio",10,0))))),IF(C1331="Técnico III",SUMIFS($D:$D,$A:$A,$A1331,$B:$B,"&lt;&gt;Patrícia Karla de Sousa Araújo",$B:$B,"&lt;&gt;Lorena Dias de Araujo",$B:$B,"&lt;&gt;Lucas Luiz Romero")*(35/1083),IF(C1331="Técnico II",SUMIFS($D:$D,$A:$A,$A1331,$B:$B,"&lt;&gt;Patrícia Karla de Sousa Araújo",$B:$B,"&lt;&gt;Lorena Dias de Araujo",$B:$B,"&lt;&gt;Lucas Luiz Romero")*(28/1083),IF(C1331="Técnico I",SUMIFS($D:$D,$A:$A,$A1331,$B:$B,"&lt;&gt;Patrícia Karla de Sousa Araújo",$B:$B,"&lt;&gt;Lorena Dias de Araujo",$B:$B,"&lt;&gt;Lucas Luiz Romero")*(23/1083),IF(C1331="JR",SUMIFS($D:$D,$A:$A,$A1331,$B:$B,"&lt;&gt;Patrícia Karla de Sousa Araújo",$B:$B,"&lt;&gt;Lorena Dias de Araujo",$B:$B,"&lt;&gt;Lucas Luiz Romero")*(20/1083),IF(C1331="Estágio",SUMIFS($D:$D,$A:$A,$A1331,$B:$B,"&lt;&gt;Patrícia Karla de Sousa Araújo",$B:$B,"&lt;&gt;Lorena Dias de Araujo",$B:$B,"&lt;&gt;Lucas Luiz Romero")*(10/1083),0)))))),0)</f>
        <v/>
      </c>
      <c r="K1331" s="3">
        <f>I1331-J1331</f>
        <v/>
      </c>
      <c r="L1331" s="3">
        <f>IF(K1331&lt;-5,"CRÍTICO",IF(K1331&lt;0,"ATENÇÃO",IF(K1331&lt;=5,"BOM","EXCELENTE")))</f>
        <v/>
      </c>
      <c r="M1331" t="n">
        <v>7</v>
      </c>
      <c r="N1331" t="n">
        <v>96.43000000000001</v>
      </c>
      <c r="O1331" t="n">
        <v>27.01525054466231</v>
      </c>
    </row>
    <row r="1332" hidden="1">
      <c r="A1332" s="11" t="n">
        <v>46042</v>
      </c>
      <c r="B1332" t="inlineStr">
        <is>
          <t>Luiz Fernando de Carvalho Junior</t>
        </is>
      </c>
      <c r="C1332" t="inlineStr">
        <is>
          <t>Técnico I</t>
        </is>
      </c>
      <c r="D1332" t="n">
        <v>17</v>
      </c>
      <c r="E1332" t="n">
        <v>17</v>
      </c>
      <c r="F1332" t="n">
        <v>28.35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15</v>
      </c>
      <c r="N1332" t="n">
        <v>98.89</v>
      </c>
      <c r="O1332" t="n">
        <v>28.02197802197802</v>
      </c>
    </row>
    <row r="1333" hidden="1">
      <c r="A1333" s="11" t="n">
        <v>46042</v>
      </c>
      <c r="B1333" t="inlineStr">
        <is>
          <t>Maria Eduarda Sousa Costa</t>
        </is>
      </c>
      <c r="C1333" t="inlineStr">
        <is>
          <t>Estágio</t>
        </is>
      </c>
      <c r="D1333" t="n">
        <v>4</v>
      </c>
      <c r="E1333" t="n">
        <v>4</v>
      </c>
      <c r="F1333" t="n">
        <v>190.33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3</v>
      </c>
      <c r="N1333" t="n">
        <v>100</v>
      </c>
      <c r="O1333" t="n">
        <v>33.33333333333333</v>
      </c>
    </row>
    <row r="1334" hidden="1">
      <c r="A1334" s="11" t="n">
        <v>46042</v>
      </c>
      <c r="B1334" t="inlineStr">
        <is>
          <t>Matheus Farias De Souza</t>
        </is>
      </c>
      <c r="C1334" t="inlineStr">
        <is>
          <t>Técnico III</t>
        </is>
      </c>
      <c r="D1334" t="n">
        <v>25</v>
      </c>
      <c r="E1334" t="n">
        <v>24</v>
      </c>
      <c r="F1334" t="n">
        <v>15.43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22</v>
      </c>
      <c r="N1334" t="n">
        <v>100</v>
      </c>
      <c r="O1334" t="n">
        <v>27.43362831858407</v>
      </c>
    </row>
    <row r="1335" hidden="1">
      <c r="A1335" s="11" t="n">
        <v>46042</v>
      </c>
      <c r="B1335" t="inlineStr">
        <is>
          <t>Maysa Victoria Dias Moura</t>
        </is>
      </c>
      <c r="C1335" t="inlineStr">
        <is>
          <t>Técnico III</t>
        </is>
      </c>
      <c r="D1335" t="n">
        <v>32</v>
      </c>
      <c r="E1335" t="n">
        <v>24</v>
      </c>
      <c r="F1335" t="n">
        <v>10.57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24</v>
      </c>
      <c r="N1335" t="n">
        <v>98.65000000000001</v>
      </c>
      <c r="O1335" t="n">
        <v>30.97826086956522</v>
      </c>
    </row>
    <row r="1336" hidden="1">
      <c r="A1336" s="11" t="n">
        <v>46042</v>
      </c>
      <c r="B1336" t="inlineStr">
        <is>
          <t>Michelle G Santos</t>
        </is>
      </c>
      <c r="C1336" t="inlineStr">
        <is>
          <t>Estágio</t>
        </is>
      </c>
      <c r="D1336" t="n">
        <v>0</v>
      </c>
      <c r="E1336" t="n">
        <v>0</v>
      </c>
      <c r="F1336" t="n">
        <v>0</v>
      </c>
      <c r="G1336" t="n">
        <v>0</v>
      </c>
      <c r="H1336" t="n">
        <v>0</v>
      </c>
      <c r="I1336" s="3" t="n">
        <v>0</v>
      </c>
      <c r="J1336" s="3" t="n">
        <v>0</v>
      </c>
      <c r="K1336" s="3" t="n">
        <v>0</v>
      </c>
      <c r="L1336" s="3">
        <f>IF(K1336&lt;-5,"CRÍTICO",IF(K1336&lt;0,"ATENÇÃO",IF(K1336&lt;=5,"BOM","EXCELENTE")))</f>
        <v/>
      </c>
      <c r="M1336" t="n">
        <v>0</v>
      </c>
      <c r="N1336" t="n">
        <v>100</v>
      </c>
      <c r="O1336" t="n">
        <v>12</v>
      </c>
    </row>
    <row r="1337" hidden="1">
      <c r="A1337" s="11" t="n">
        <v>46042</v>
      </c>
      <c r="B1337" t="inlineStr">
        <is>
          <t>Milena Sales</t>
        </is>
      </c>
      <c r="C1337" t="inlineStr">
        <is>
          <t>JR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Patrícia Karla de Sousa Araújo</t>
        </is>
      </c>
      <c r="C1338" t="inlineStr">
        <is>
          <t>Técnico II</t>
        </is>
      </c>
      <c r="D1338" t="n">
        <v>18</v>
      </c>
      <c r="E1338" t="n">
        <v>16</v>
      </c>
      <c r="F1338" t="n">
        <v>26.44</v>
      </c>
      <c r="G1338" t="n">
        <v>0</v>
      </c>
      <c r="H1338" t="n">
        <v>0</v>
      </c>
      <c r="I1338" s="3">
        <f>E1338+G1338+H1338</f>
        <v/>
      </c>
      <c r="J1338" s="3">
        <f>ROUND(MIN(IF(C1338="Técnico III",35,IF(C1338="Técnico II",28,IF(C1338="Técnico I",23,IF(C1338="JR",20,IF(C1338="Estágio",10,0))))),IF(C1338="Técnico III",SUMIFS($D:$D,$A:$A,$A1338,$B:$B,"&lt;&gt;Patrícia Karla de Sousa Araújo",$B:$B,"&lt;&gt;Lorena Dias de Araujo",$B:$B,"&lt;&gt;Lucas Luiz Romero")*(35/1083),IF(C1338="Técnico II",SUMIFS($D:$D,$A:$A,$A1338,$B:$B,"&lt;&gt;Patrícia Karla de Sousa Araújo",$B:$B,"&lt;&gt;Lorena Dias de Araujo",$B:$B,"&lt;&gt;Lucas Luiz Romero")*(28/1083),IF(C1338="Técnico I",SUMIFS($D:$D,$A:$A,$A1338,$B:$B,"&lt;&gt;Patrícia Karla de Sousa Araújo",$B:$B,"&lt;&gt;Lorena Dias de Araujo",$B:$B,"&lt;&gt;Lucas Luiz Romero")*(23/1083),IF(C1338="JR",SUMIFS($D:$D,$A:$A,$A1338,$B:$B,"&lt;&gt;Patrícia Karla de Sousa Araújo",$B:$B,"&lt;&gt;Lorena Dias de Araujo",$B:$B,"&lt;&gt;Lucas Luiz Romero")*(20/1083),IF(C1338="Estágio",SUMIFS($D:$D,$A:$A,$A1338,$B:$B,"&lt;&gt;Patrícia Karla de Sousa Araújo",$B:$B,"&lt;&gt;Lorena Dias de Araujo",$B:$B,"&lt;&gt;Lucas Luiz Romero")*(10/1083),0)))))),0)</f>
        <v/>
      </c>
      <c r="K1338" s="3">
        <f>I1338-J1338</f>
        <v/>
      </c>
      <c r="L1338" s="3">
        <f>IF(K1338&lt;-5,"CRÍTICO",IF(K1338&lt;0,"ATENÇÃO",IF(K1338&lt;=5,"BOM","EXCELENTE")))</f>
        <v/>
      </c>
      <c r="M1338" t="n">
        <v>14</v>
      </c>
      <c r="N1338" t="n">
        <v>97.56</v>
      </c>
      <c r="O1338" t="n">
        <v>31.06796116504854</v>
      </c>
    </row>
    <row r="1339" hidden="1">
      <c r="A1339" s="11" t="n">
        <v>46042</v>
      </c>
      <c r="B1339" t="inlineStr">
        <is>
          <t>Paulo Ricardo Santos</t>
        </is>
      </c>
      <c r="C1339" t="inlineStr">
        <is>
          <t>JR</t>
        </is>
      </c>
      <c r="D1339" t="n">
        <v>0</v>
      </c>
      <c r="E1339" t="n">
        <v>0</v>
      </c>
      <c r="F1339" t="n">
        <v>0</v>
      </c>
      <c r="G1339" t="n">
        <v>0</v>
      </c>
      <c r="H1339" t="n">
        <v>0</v>
      </c>
      <c r="I1339" s="3" t="n">
        <v>0</v>
      </c>
      <c r="J1339" s="3" t="n">
        <v>0</v>
      </c>
      <c r="K1339" s="3" t="n">
        <v>0</v>
      </c>
      <c r="L1339" s="3">
        <f>IF(K1339&lt;-5,"CRÍTICO",IF(K1339&lt;0,"ATENÇÃO",IF(K1339&lt;=5,"BOM","EXCELENTE")))</f>
        <v/>
      </c>
      <c r="M1339" t="n">
        <v>0</v>
      </c>
      <c r="N1339" t="n">
        <v>0</v>
      </c>
      <c r="O1339" t="n">
        <v>0</v>
      </c>
    </row>
    <row r="1340" hidden="1">
      <c r="A1340" s="11" t="n">
        <v>46042</v>
      </c>
      <c r="B1340" t="inlineStr">
        <is>
          <t>Pedro Luiz Mota Sousa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Quirino Diogo Leite Torres</t>
        </is>
      </c>
      <c r="C1341" t="inlineStr">
        <is>
          <t>Estágio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Raane Batista Matos</t>
        </is>
      </c>
      <c r="C1342" t="inlineStr">
        <is>
          <t>Técnico I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100</v>
      </c>
      <c r="O1342" t="n">
        <v>53.84615384615385</v>
      </c>
    </row>
    <row r="1343" hidden="1">
      <c r="A1343" s="11" t="n">
        <v>46042</v>
      </c>
      <c r="B1343" t="inlineStr">
        <is>
          <t>Rafael Gomes de Morais</t>
        </is>
      </c>
      <c r="C1343" t="inlineStr">
        <is>
          <t>Técnico III</t>
        </is>
      </c>
      <c r="D1343" t="n">
        <v>28</v>
      </c>
      <c r="E1343" t="n">
        <v>25</v>
      </c>
      <c r="F1343" t="n">
        <v>12.1</v>
      </c>
      <c r="G1343" t="n">
        <v>0</v>
      </c>
      <c r="H1343" t="n">
        <v>0</v>
      </c>
      <c r="I1343" s="3">
        <f>E1343+G1343+H1343</f>
        <v/>
      </c>
      <c r="J1343" s="3">
        <f>ROUND(MIN(IF(C1343="Técnico III",35,IF(C1343="Técnico II",28,IF(C1343="Técnico I",23,IF(C1343="JR",20,IF(C1343="Estágio",10,0))))),IF(C1343="Técnico III",SUMIFS($D:$D,$A:$A,$A1343,$B:$B,"&lt;&gt;Patrícia Karla de Sousa Araújo",$B:$B,"&lt;&gt;Lorena Dias de Araujo",$B:$B,"&lt;&gt;Lucas Luiz Romero")*(35/1083),IF(C1343="Técnico II",SUMIFS($D:$D,$A:$A,$A1343,$B:$B,"&lt;&gt;Patrícia Karla de Sousa Araújo",$B:$B,"&lt;&gt;Lorena Dias de Araujo",$B:$B,"&lt;&gt;Lucas Luiz Romero")*(28/1083),IF(C1343="Técnico I",SUMIFS($D:$D,$A:$A,$A1343,$B:$B,"&lt;&gt;Patrícia Karla de Sousa Araújo",$B:$B,"&lt;&gt;Lorena Dias de Araujo",$B:$B,"&lt;&gt;Lucas Luiz Romero")*(23/1083),IF(C1343="JR",SUMIFS($D:$D,$A:$A,$A1343,$B:$B,"&lt;&gt;Patrícia Karla de Sousa Araújo",$B:$B,"&lt;&gt;Lorena Dias de Araujo",$B:$B,"&lt;&gt;Lucas Luiz Romero")*(20/1083),IF(C1343="Estágio",SUMIFS($D:$D,$A:$A,$A1343,$B:$B,"&lt;&gt;Patrícia Karla de Sousa Araújo",$B:$B,"&lt;&gt;Lorena Dias de Araujo",$B:$B,"&lt;&gt;Lucas Luiz Romero")*(10/1083),0)))))),0)</f>
        <v/>
      </c>
      <c r="K1343" s="3">
        <f>I1343-J1343</f>
        <v/>
      </c>
      <c r="L1343" s="3">
        <f>IF(K1343&lt;-5,"CRÍTICO",IF(K1343&lt;0,"ATENÇÃO",IF(K1343&lt;=5,"BOM","EXCELENTE")))</f>
        <v/>
      </c>
      <c r="M1343" t="n">
        <v>27</v>
      </c>
      <c r="N1343" t="n">
        <v>100</v>
      </c>
      <c r="O1343" t="n">
        <v>44.05594405594406</v>
      </c>
    </row>
    <row r="1344" hidden="1">
      <c r="A1344" s="11" t="n">
        <v>46042</v>
      </c>
      <c r="B1344" t="inlineStr">
        <is>
          <t>Sara Maria Monteiro Lopes</t>
        </is>
      </c>
      <c r="C1344" t="inlineStr">
        <is>
          <t>Técnico I</t>
        </is>
      </c>
      <c r="D1344" t="n">
        <v>11</v>
      </c>
      <c r="E1344" t="n">
        <v>11</v>
      </c>
      <c r="F1344" t="n">
        <v>35.13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11</v>
      </c>
      <c r="N1344" t="n">
        <v>100</v>
      </c>
      <c r="O1344" t="n">
        <v>31.87250996015936</v>
      </c>
    </row>
    <row r="1345" hidden="1">
      <c r="A1345" s="11" t="n">
        <v>46042</v>
      </c>
      <c r="B1345" t="inlineStr">
        <is>
          <t>Sarah Steffanie de Lima Borges</t>
        </is>
      </c>
      <c r="C1345" t="inlineStr">
        <is>
          <t>Técnico III</t>
        </is>
      </c>
      <c r="D1345" t="n">
        <v>29</v>
      </c>
      <c r="E1345" t="n">
        <v>26</v>
      </c>
      <c r="F1345" t="n">
        <v>14.06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23</v>
      </c>
      <c r="N1345" t="n">
        <v>98.41</v>
      </c>
      <c r="O1345" t="n">
        <v>29.22465208747515</v>
      </c>
    </row>
    <row r="1346" hidden="1">
      <c r="A1346" s="11" t="n">
        <v>46043</v>
      </c>
      <c r="B1346" t="inlineStr">
        <is>
          <t>Alisson de Freitas Silva</t>
        </is>
      </c>
      <c r="C1346" t="inlineStr">
        <is>
          <t>Técnico II</t>
        </is>
      </c>
      <c r="D1346" t="n">
        <v>27</v>
      </c>
      <c r="E1346" t="n">
        <v>23</v>
      </c>
      <c r="F1346" t="n">
        <v>10.01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19</v>
      </c>
      <c r="N1346" t="n">
        <v>96.81</v>
      </c>
      <c r="O1346" t="n">
        <v>27.98053527980535</v>
      </c>
    </row>
    <row r="1347" hidden="1">
      <c r="A1347" s="11" t="n">
        <v>46043</v>
      </c>
      <c r="B1347" t="inlineStr">
        <is>
          <t>Amanda Moura Ferreira</t>
        </is>
      </c>
      <c r="C1347" t="inlineStr">
        <is>
          <t>Técnico III</t>
        </is>
      </c>
      <c r="D1347" t="n">
        <v>0</v>
      </c>
      <c r="E1347" t="n">
        <v>0</v>
      </c>
      <c r="F1347" t="n">
        <v>0</v>
      </c>
      <c r="G1347" t="n">
        <v>0</v>
      </c>
      <c r="H1347" t="n">
        <v>0</v>
      </c>
      <c r="I1347" s="3" t="n">
        <v>0</v>
      </c>
      <c r="J1347" s="3" t="n">
        <v>0</v>
      </c>
      <c r="K1347" s="3" t="n">
        <v>0</v>
      </c>
      <c r="L1347" s="3">
        <f>IF(K1347&lt;-5,"CRÍTICO",IF(K1347&lt;0,"ATENÇÃO",IF(K1347&lt;=5,"BOM","EXCELENTE")))</f>
        <v/>
      </c>
      <c r="M1347" t="n">
        <v>28</v>
      </c>
      <c r="N1347" t="n">
        <v>98.73</v>
      </c>
      <c r="O1347" t="n">
        <v>35.75638506876228</v>
      </c>
    </row>
    <row r="1348" hidden="1">
      <c r="A1348" s="11" t="n">
        <v>46043</v>
      </c>
      <c r="B1348" t="inlineStr">
        <is>
          <t>Ana Karollyne Souza Faria</t>
        </is>
      </c>
      <c r="C1348" t="inlineStr">
        <is>
          <t>Técnico I</t>
        </is>
      </c>
      <c r="D1348" t="n">
        <v>21</v>
      </c>
      <c r="E1348" t="n">
        <v>21</v>
      </c>
      <c r="F1348" t="n">
        <v>15.18</v>
      </c>
      <c r="G1348" t="n">
        <v>0</v>
      </c>
      <c r="H1348" t="n">
        <v>0</v>
      </c>
      <c r="I1348" s="3">
        <f>E1348+G1348+H1348</f>
        <v/>
      </c>
      <c r="J1348" s="3">
        <f>ROUND(MIN(IF(C1348="Técnico III",35,IF(C1348="Técnico II",28,IF(C1348="Técnico I",23,IF(C1348="JR",20,IF(C1348="Estágio",10,0))))),IF(C1348="Técnico III",SUMIFS($D:$D,$A:$A,$A1348,$B:$B,"&lt;&gt;Patrícia Karla de Sousa Araújo",$B:$B,"&lt;&gt;Lorena Dias de Araujo",$B:$B,"&lt;&gt;Lucas Luiz Romero")*(35/1083),IF(C1348="Técnico II",SUMIFS($D:$D,$A:$A,$A1348,$B:$B,"&lt;&gt;Patrícia Karla de Sousa Araújo",$B:$B,"&lt;&gt;Lorena Dias de Araujo",$B:$B,"&lt;&gt;Lucas Luiz Romero")*(28/1083),IF(C1348="Técnico I",SUMIFS($D:$D,$A:$A,$A1348,$B:$B,"&lt;&gt;Patrícia Karla de Sousa Araújo",$B:$B,"&lt;&gt;Lorena Dias de Araujo",$B:$B,"&lt;&gt;Lucas Luiz Romero")*(23/1083),IF(C1348="JR",SUMIFS($D:$D,$A:$A,$A1348,$B:$B,"&lt;&gt;Patrícia Karla de Sousa Araújo",$B:$B,"&lt;&gt;Lorena Dias de Araujo",$B:$B,"&lt;&gt;Lucas Luiz Romero")*(20/1083),IF(C1348="Estágio",SUMIFS($D:$D,$A:$A,$A1348,$B:$B,"&lt;&gt;Patrícia Karla de Sousa Araújo",$B:$B,"&lt;&gt;Lorena Dias de Araujo",$B:$B,"&lt;&gt;Lucas Luiz Romero")*(10/1083),0)))))),0)</f>
        <v/>
      </c>
      <c r="K1348" s="3">
        <f>I1348-J1348</f>
        <v/>
      </c>
      <c r="L1348" s="3">
        <f>IF(K1348&lt;-5,"CRÍTICO",IF(K1348&lt;0,"ATENÇÃO",IF(K1348&lt;=5,"BOM","EXCELENTE")))</f>
        <v/>
      </c>
      <c r="M1348" t="n">
        <v>18</v>
      </c>
      <c r="N1348" t="n">
        <v>98.31999999999999</v>
      </c>
      <c r="O1348" t="n">
        <v>26.76348547717842</v>
      </c>
    </row>
    <row r="1349" hidden="1">
      <c r="A1349" s="11" t="n">
        <v>46043</v>
      </c>
      <c r="B1349" t="inlineStr">
        <is>
          <t>Ana Paula Da Luz Silva Aleixo</t>
        </is>
      </c>
      <c r="C1349" t="inlineStr">
        <is>
          <t>Técnico III</t>
        </is>
      </c>
      <c r="D1349" t="n">
        <v>25</v>
      </c>
      <c r="E1349" t="n">
        <v>20</v>
      </c>
      <c r="F1349" t="n">
        <v>15.25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M1349" t="n">
        <v>20</v>
      </c>
      <c r="N1349" t="n">
        <v>99.19</v>
      </c>
      <c r="O1349" t="n">
        <v>27.63713080168776</v>
      </c>
    </row>
    <row r="1350" hidden="1">
      <c r="A1350" s="11" t="n">
        <v>46043</v>
      </c>
      <c r="B1350" t="inlineStr">
        <is>
          <t>Anna Luiza Rezende Tavares</t>
        </is>
      </c>
      <c r="C1350" t="inlineStr">
        <is>
          <t>Estágio</t>
        </is>
      </c>
      <c r="D1350" t="n">
        <v>9</v>
      </c>
      <c r="E1350" t="n">
        <v>9</v>
      </c>
      <c r="F1350" t="n">
        <v>18.4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M1350" t="n">
        <v>6</v>
      </c>
      <c r="N1350" t="n">
        <v>100</v>
      </c>
      <c r="O1350" t="n">
        <v>39.56834532374101</v>
      </c>
    </row>
    <row r="1351" hidden="1">
      <c r="A1351" s="11" t="n">
        <v>46043</v>
      </c>
      <c r="B1351" t="inlineStr">
        <is>
          <t>Brenda de Menezes Silva</t>
        </is>
      </c>
      <c r="C1351" t="inlineStr">
        <is>
          <t>Técnico II</t>
        </is>
      </c>
      <c r="D1351" t="n">
        <v>29</v>
      </c>
      <c r="E1351" t="n">
        <v>25</v>
      </c>
      <c r="F1351" t="n">
        <v>12.02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M1351" t="n">
        <v>25</v>
      </c>
      <c r="N1351" t="n">
        <v>98.54000000000001</v>
      </c>
      <c r="O1351" t="n">
        <v>28.54477611940299</v>
      </c>
    </row>
    <row r="1352" hidden="1">
      <c r="A1352" s="11" t="n">
        <v>46043</v>
      </c>
      <c r="B1352" t="inlineStr">
        <is>
          <t>Carlos Mateus Cassimiro Nunes</t>
        </is>
      </c>
      <c r="C1352" t="inlineStr">
        <is>
          <t>Técnico II</t>
        </is>
      </c>
      <c r="D1352" t="n">
        <v>13</v>
      </c>
      <c r="E1352" t="n">
        <v>12</v>
      </c>
      <c r="F1352" t="n">
        <v>37.27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M1352" t="n">
        <v>12</v>
      </c>
      <c r="N1352" t="n">
        <v>100</v>
      </c>
      <c r="O1352" t="n">
        <v>34.36692506459949</v>
      </c>
    </row>
    <row r="1353" hidden="1">
      <c r="A1353" s="11" t="n">
        <v>46043</v>
      </c>
      <c r="B1353" t="inlineStr">
        <is>
          <t>Claudio de Sousa Velasco Filho</t>
        </is>
      </c>
      <c r="C1353" t="inlineStr">
        <is>
          <t>Estágio</t>
        </is>
      </c>
      <c r="D1353" t="n">
        <v>0</v>
      </c>
      <c r="E1353" t="n">
        <v>0</v>
      </c>
      <c r="F1353" t="n">
        <v>0</v>
      </c>
      <c r="G1353" t="n">
        <v>0</v>
      </c>
      <c r="H1353" t="n">
        <v>0</v>
      </c>
      <c r="I1353" s="3" t="n">
        <v>0</v>
      </c>
      <c r="J1353" s="3" t="n">
        <v>0</v>
      </c>
      <c r="K1353" s="3" t="n">
        <v>0</v>
      </c>
      <c r="L1353" s="3">
        <f>IF(K1353&lt;-5,"CRÍTICO",IF(K1353&lt;0,"ATENÇÃO",IF(K1353&lt;=5,"BOM","EXCELENTE")))</f>
        <v/>
      </c>
      <c r="M1353" t="n">
        <v>0</v>
      </c>
      <c r="N1353" t="n">
        <v>0</v>
      </c>
      <c r="O1353" t="n">
        <v>0</v>
      </c>
    </row>
    <row r="1354" hidden="1">
      <c r="A1354" s="11" t="n">
        <v>46043</v>
      </c>
      <c r="B1354" t="inlineStr">
        <is>
          <t>Clessiane Pereira dos Santos</t>
        </is>
      </c>
      <c r="C1354" t="inlineStr">
        <is>
          <t>Técnico I</t>
        </is>
      </c>
      <c r="D1354" t="n">
        <v>26</v>
      </c>
      <c r="E1354" t="n">
        <v>25</v>
      </c>
      <c r="F1354" t="n">
        <v>15.04</v>
      </c>
      <c r="G1354" t="n">
        <v>0</v>
      </c>
      <c r="H1354" t="n">
        <v>0</v>
      </c>
      <c r="I1354" s="3">
        <f>E1354+G1354+H1354</f>
        <v/>
      </c>
      <c r="J1354" s="3">
        <f>ROUND(MIN(IF(C1354="Técnico III",35,IF(C1354="Técnico II",28,IF(C1354="Técnico I",23,IF(C1354="JR",20,IF(C1354="Estágio",10,0))))),IF(C1354="Técnico III",SUMIFS($D:$D,$A:$A,$A1354,$B:$B,"&lt;&gt;Patrícia Karla de Sousa Araújo",$B:$B,"&lt;&gt;Lorena Dias de Araujo",$B:$B,"&lt;&gt;Lucas Luiz Romero")*(35/1083),IF(C1354="Técnico II",SUMIFS($D:$D,$A:$A,$A1354,$B:$B,"&lt;&gt;Patrícia Karla de Sousa Araújo",$B:$B,"&lt;&gt;Lorena Dias de Araujo",$B:$B,"&lt;&gt;Lucas Luiz Romero")*(28/1083),IF(C1354="Técnico I",SUMIFS($D:$D,$A:$A,$A1354,$B:$B,"&lt;&gt;Patrícia Karla de Sousa Araújo",$B:$B,"&lt;&gt;Lorena Dias de Araujo",$B:$B,"&lt;&gt;Lucas Luiz Romero")*(23/1083),IF(C1354="JR",SUMIFS($D:$D,$A:$A,$A1354,$B:$B,"&lt;&gt;Patrícia Karla de Sousa Araújo",$B:$B,"&lt;&gt;Lorena Dias de Araujo",$B:$B,"&lt;&gt;Lucas Luiz Romero")*(20/1083),IF(C1354="Estágio",SUMIFS($D:$D,$A:$A,$A1354,$B:$B,"&lt;&gt;Patrícia Karla de Sousa Araújo",$B:$B,"&lt;&gt;Lorena Dias de Araujo",$B:$B,"&lt;&gt;Lucas Luiz Romero")*(10/1083),0)))))),0)</f>
        <v/>
      </c>
      <c r="K1354" s="3">
        <f>I1354-J1354</f>
        <v/>
      </c>
      <c r="L1354" s="3">
        <f>IF(K1354&lt;-5,"CRÍTICO",IF(K1354&lt;0,"ATENÇÃO",IF(K1354&lt;=5,"BOM","EXCELENTE")))</f>
        <v/>
      </c>
      <c r="M1354" t="n">
        <v>22</v>
      </c>
      <c r="N1354" t="n">
        <v>100</v>
      </c>
      <c r="O1354" t="n">
        <v>29.51807228915663</v>
      </c>
    </row>
    <row r="1355" hidden="1">
      <c r="A1355" s="11" t="n">
        <v>46043</v>
      </c>
      <c r="B1355" t="inlineStr">
        <is>
          <t>Cristiane Ramos da Silva Rocha</t>
        </is>
      </c>
      <c r="C1355" t="inlineStr">
        <is>
          <t>Técnico III</t>
        </is>
      </c>
      <c r="D1355" t="n">
        <v>28</v>
      </c>
      <c r="E1355" t="n">
        <v>27</v>
      </c>
      <c r="F1355" t="n">
        <v>15.15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M1355" t="n">
        <v>24</v>
      </c>
      <c r="N1355" t="n">
        <v>97.45</v>
      </c>
      <c r="O1355" t="n">
        <v>41.421143847487</v>
      </c>
    </row>
    <row r="1356" hidden="1">
      <c r="A1356" s="11" t="n">
        <v>46043</v>
      </c>
      <c r="B1356" t="inlineStr">
        <is>
          <t>Damyllis Lorraine de Oliveira Gonçalves</t>
        </is>
      </c>
      <c r="C1356" t="inlineStr">
        <is>
          <t>Técnico II</t>
        </is>
      </c>
      <c r="D1356" t="n">
        <v>25</v>
      </c>
      <c r="E1356" t="n">
        <v>19</v>
      </c>
      <c r="F1356" t="n">
        <v>10.4</v>
      </c>
      <c r="G1356" t="n">
        <v>0</v>
      </c>
      <c r="H1356" t="n">
        <v>0</v>
      </c>
      <c r="I1356" s="3" t="n">
        <v>0</v>
      </c>
      <c r="J1356" s="3" t="n">
        <v>0</v>
      </c>
      <c r="K1356" s="3" t="n">
        <v>0</v>
      </c>
      <c r="L1356" s="3">
        <f>IF(K1356&lt;-5,"CRÍTICO",IF(K1356&lt;0,"ATENÇÃO",IF(K1356&lt;=5,"BOM","EXCELENTE")))</f>
        <v/>
      </c>
      <c r="M1356" t="n">
        <v>19</v>
      </c>
      <c r="N1356" t="n">
        <v>96.58</v>
      </c>
      <c r="O1356" t="n">
        <v>30.39647577092511</v>
      </c>
    </row>
    <row r="1357" hidden="1">
      <c r="A1357" s="11" t="n">
        <v>46043</v>
      </c>
      <c r="B1357" t="inlineStr">
        <is>
          <t>Daniel Gomes da Silva</t>
        </is>
      </c>
      <c r="C1357" t="inlineStr">
        <is>
          <t>Técnico I</t>
        </is>
      </c>
      <c r="D1357" t="n">
        <v>20</v>
      </c>
      <c r="E1357" t="n">
        <v>20</v>
      </c>
      <c r="F1357" t="n">
        <v>20.05</v>
      </c>
      <c r="G1357" t="n">
        <v>0</v>
      </c>
      <c r="H1357" t="n">
        <v>0</v>
      </c>
      <c r="I1357" s="3">
        <f>E1357+G1357+H1357</f>
        <v/>
      </c>
      <c r="J1357" s="3">
        <f>ROUND(MIN(IF(C1357="Técnico III",35,IF(C1357="Técnico II",28,IF(C1357="Técnico I",23,IF(C1357="JR",20,IF(C1357="Estágio",10,0))))),IF(C1357="Técnico III",SUMIFS($D:$D,$A:$A,$A1357,$B:$B,"&lt;&gt;Patrícia Karla de Sousa Araújo",$B:$B,"&lt;&gt;Lorena Dias de Araujo",$B:$B,"&lt;&gt;Lucas Luiz Romero")*(35/1083),IF(C1357="Técnico II",SUMIFS($D:$D,$A:$A,$A1357,$B:$B,"&lt;&gt;Patrícia Karla de Sousa Araújo",$B:$B,"&lt;&gt;Lorena Dias de Araujo",$B:$B,"&lt;&gt;Lucas Luiz Romero")*(28/1083),IF(C1357="Técnico I",SUMIFS($D:$D,$A:$A,$A1357,$B:$B,"&lt;&gt;Patrícia Karla de Sousa Araújo",$B:$B,"&lt;&gt;Lorena Dias de Araujo",$B:$B,"&lt;&gt;Lucas Luiz Romero")*(23/1083),IF(C1357="JR",SUMIFS($D:$D,$A:$A,$A1357,$B:$B,"&lt;&gt;Patrícia Karla de Sousa Araújo",$B:$B,"&lt;&gt;Lorena Dias de Araujo",$B:$B,"&lt;&gt;Lucas Luiz Romero")*(20/1083),IF(C1357="Estágio",SUMIFS($D:$D,$A:$A,$A1357,$B:$B,"&lt;&gt;Patrícia Karla de Sousa Araújo",$B:$B,"&lt;&gt;Lorena Dias de Araujo",$B:$B,"&lt;&gt;Lucas Luiz Romero")*(10/1083),0)))))),0)</f>
        <v/>
      </c>
      <c r="K1357" s="3">
        <f>I1357-J1357</f>
        <v/>
      </c>
      <c r="L1357" s="3">
        <f>IF(K1357&lt;-5,"CRÍTICO",IF(K1357&lt;0,"ATENÇÃO",IF(K1357&lt;=5,"BOM","EXCELENTE")))</f>
        <v/>
      </c>
      <c r="M1357" t="n">
        <v>27</v>
      </c>
      <c r="N1357" t="n">
        <v>100</v>
      </c>
      <c r="O1357" t="n">
        <v>27.44282744282744</v>
      </c>
    </row>
    <row r="1358" hidden="1">
      <c r="A1358" s="11" t="n">
        <v>46043</v>
      </c>
      <c r="B1358" t="inlineStr">
        <is>
          <t>Davylla Rodrigues Freitas Silva</t>
        </is>
      </c>
      <c r="C1358" t="inlineStr">
        <is>
          <t>Técnico III</t>
        </is>
      </c>
      <c r="D1358" t="n">
        <v>19</v>
      </c>
      <c r="E1358" t="n">
        <v>17</v>
      </c>
      <c r="F1358" t="n">
        <v>25.25</v>
      </c>
      <c r="G1358" t="n">
        <v>0</v>
      </c>
      <c r="H1358" t="n">
        <v>0</v>
      </c>
      <c r="I1358" s="3" t="n">
        <v>0</v>
      </c>
      <c r="J1358" s="3" t="n">
        <v>0</v>
      </c>
      <c r="K1358" s="3" t="n">
        <v>0</v>
      </c>
      <c r="L1358" s="3">
        <f>IF(K1358&lt;-5,"CRÍTICO",IF(K1358&lt;0,"ATENÇÃO",IF(K1358&lt;=5,"BOM","EXCELENTE")))</f>
        <v/>
      </c>
      <c r="M1358" t="n">
        <v>19</v>
      </c>
      <c r="N1358" t="n">
        <v>99.48999999999999</v>
      </c>
      <c r="O1358" t="n">
        <v>40.2</v>
      </c>
    </row>
    <row r="1359" hidden="1">
      <c r="A1359" s="11" t="n">
        <v>46043</v>
      </c>
      <c r="B1359" t="inlineStr">
        <is>
          <t>Emilly Caylane Costa</t>
        </is>
      </c>
      <c r="C1359" t="inlineStr">
        <is>
          <t>Estágio</t>
        </is>
      </c>
      <c r="D1359" t="n">
        <v>0</v>
      </c>
      <c r="E1359" t="n">
        <v>0</v>
      </c>
      <c r="F1359" t="n">
        <v>0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M1359" t="n">
        <v>0</v>
      </c>
      <c r="N1359" t="n">
        <v>100</v>
      </c>
      <c r="O1359" t="n">
        <v>25</v>
      </c>
    </row>
    <row r="1360" hidden="1">
      <c r="A1360" s="11" t="n">
        <v>46043</v>
      </c>
      <c r="B1360" t="inlineStr">
        <is>
          <t>Emilly Kamilly Medeiros Miranda</t>
        </is>
      </c>
      <c r="C1360" t="inlineStr">
        <is>
          <t>Técnico II</t>
        </is>
      </c>
      <c r="D1360" t="n">
        <v>30</v>
      </c>
      <c r="E1360" t="n">
        <v>30</v>
      </c>
      <c r="F1360" t="n">
        <v>12.2</v>
      </c>
      <c r="G1360" t="n">
        <v>0</v>
      </c>
      <c r="H1360" t="n">
        <v>0</v>
      </c>
      <c r="I1360" s="3">
        <f>E1360+G1360+H1360</f>
        <v/>
      </c>
      <c r="J1360" s="3">
        <f>ROUND(MIN(IF(C1360="Técnico III",35,IF(C1360="Técnico II",28,IF(C1360="Técnico I",23,IF(C1360="JR",20,IF(C1360="Estágio",10,0))))),IF(C1360="Técnico III",SUMIFS($D:$D,$A:$A,$A1360,$B:$B,"&lt;&gt;Patrícia Karla de Sousa Araújo",$B:$B,"&lt;&gt;Lorena Dias de Araujo",$B:$B,"&lt;&gt;Lucas Luiz Romero")*(35/1083),IF(C1360="Técnico II",SUMIFS($D:$D,$A:$A,$A1360,$B:$B,"&lt;&gt;Patrícia Karla de Sousa Araújo",$B:$B,"&lt;&gt;Lorena Dias de Araujo",$B:$B,"&lt;&gt;Lucas Luiz Romero")*(28/1083),IF(C1360="Técnico I",SUMIFS($D:$D,$A:$A,$A1360,$B:$B,"&lt;&gt;Patrícia Karla de Sousa Araújo",$B:$B,"&lt;&gt;Lorena Dias de Araujo",$B:$B,"&lt;&gt;Lucas Luiz Romero")*(23/1083),IF(C1360="JR",SUMIFS($D:$D,$A:$A,$A1360,$B:$B,"&lt;&gt;Patrícia Karla de Sousa Araújo",$B:$B,"&lt;&gt;Lorena Dias de Araujo",$B:$B,"&lt;&gt;Lucas Luiz Romero")*(20/1083),IF(C1360="Estágio",SUMIFS($D:$D,$A:$A,$A1360,$B:$B,"&lt;&gt;Patrícia Karla de Sousa Araújo",$B:$B,"&lt;&gt;Lorena Dias de Araujo",$B:$B,"&lt;&gt;Lucas Luiz Romero")*(10/1083),0)))))),0)</f>
        <v/>
      </c>
      <c r="K1360" s="3">
        <f>I1360-J1360</f>
        <v/>
      </c>
      <c r="L1360" s="3">
        <f>IF(K1360&lt;-5,"CRÍTICO",IF(K1360&lt;0,"ATENÇÃO",IF(K1360&lt;=5,"BOM","EXCELENTE")))</f>
        <v/>
      </c>
      <c r="M1360" t="n">
        <v>25</v>
      </c>
      <c r="N1360" t="n">
        <v>100</v>
      </c>
      <c r="O1360" t="n">
        <v>34.15094339622641</v>
      </c>
    </row>
    <row r="1361" hidden="1">
      <c r="A1361" s="11" t="n">
        <v>46043</v>
      </c>
      <c r="B1361" t="inlineStr">
        <is>
          <t>Francielson de Oliveira</t>
        </is>
      </c>
      <c r="C1361" t="inlineStr">
        <is>
          <t>Técnico III</t>
        </is>
      </c>
      <c r="D1361" t="n">
        <v>23</v>
      </c>
      <c r="E1361" t="n">
        <v>22</v>
      </c>
      <c r="F1361" t="n">
        <v>17.27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M1361" t="n">
        <v>21</v>
      </c>
      <c r="N1361" t="n">
        <v>100</v>
      </c>
      <c r="O1361" t="n">
        <v>32.7313769751693</v>
      </c>
    </row>
    <row r="1362" hidden="1">
      <c r="A1362" s="11" t="n">
        <v>46043</v>
      </c>
      <c r="B1362" t="inlineStr">
        <is>
          <t>Francilene Ferreira de Jesus</t>
        </is>
      </c>
      <c r="C1362" t="inlineStr">
        <is>
          <t>Técnico II</t>
        </is>
      </c>
      <c r="D1362" t="n">
        <v>10</v>
      </c>
      <c r="E1362" t="n">
        <v>8</v>
      </c>
      <c r="F1362" t="n">
        <v>27.24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M1362" t="n">
        <v>8</v>
      </c>
      <c r="N1362" t="n">
        <v>99.31</v>
      </c>
      <c r="O1362" t="n">
        <v>30.96234309623431</v>
      </c>
    </row>
    <row r="1363" hidden="1">
      <c r="A1363" s="11" t="n">
        <v>46077</v>
      </c>
      <c r="B1363" t="inlineStr">
        <is>
          <t>Gabriel Gomes de Andrade</t>
        </is>
      </c>
      <c r="C1363" t="inlineStr">
        <is>
          <t>Técnico I</t>
        </is>
      </c>
      <c r="D1363" t="n">
        <v>25</v>
      </c>
      <c r="E1363" t="n">
        <v>25</v>
      </c>
      <c r="F1363" t="n">
        <v>22.17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M1363" t="n">
        <v>24</v>
      </c>
      <c r="N1363" t="n">
        <v>96.67</v>
      </c>
      <c r="O1363" t="n">
        <v>31.45161290322581</v>
      </c>
    </row>
    <row r="1364" hidden="1">
      <c r="A1364" s="11" t="n">
        <v>46043</v>
      </c>
      <c r="B1364" t="inlineStr">
        <is>
          <t>Isabella Borges de Oliveira</t>
        </is>
      </c>
      <c r="C1364" t="inlineStr">
        <is>
          <t>Técnico II</t>
        </is>
      </c>
      <c r="D1364" t="n">
        <v>24</v>
      </c>
      <c r="E1364" t="n">
        <v>22</v>
      </c>
      <c r="F1364" t="n">
        <v>18.46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M1364" t="n">
        <v>21</v>
      </c>
      <c r="N1364" t="n">
        <v>100</v>
      </c>
      <c r="O1364" t="n">
        <v>27.67676767676768</v>
      </c>
    </row>
    <row r="1365" hidden="1">
      <c r="A1365" s="11" t="n">
        <v>46043</v>
      </c>
      <c r="B1365" t="inlineStr">
        <is>
          <t>Janaina Lima dos Reis Urany</t>
        </is>
      </c>
      <c r="C1365" t="inlineStr">
        <is>
          <t>Técnico III</t>
        </is>
      </c>
      <c r="D1365" t="n">
        <v>30</v>
      </c>
      <c r="E1365" t="n">
        <v>29</v>
      </c>
      <c r="F1365" t="n">
        <v>11.51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M1365" t="n">
        <v>26</v>
      </c>
      <c r="N1365" t="n">
        <v>100</v>
      </c>
      <c r="O1365" t="n">
        <v>31.17723156532988</v>
      </c>
    </row>
    <row r="1366" hidden="1">
      <c r="A1366" s="11" t="n">
        <v>46043</v>
      </c>
      <c r="B1366" t="inlineStr">
        <is>
          <t>Jaqueline Evangelista da Silva Martins</t>
        </is>
      </c>
      <c r="C1366" t="inlineStr">
        <is>
          <t>Técnico III</t>
        </is>
      </c>
      <c r="D1366" t="n">
        <v>13</v>
      </c>
      <c r="E1366" t="n">
        <v>12</v>
      </c>
      <c r="F1366" t="n">
        <v>10.57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M1366" t="n">
        <v>11</v>
      </c>
      <c r="N1366" t="n">
        <v>100</v>
      </c>
      <c r="O1366" t="n">
        <v>27.60942760942761</v>
      </c>
    </row>
    <row r="1367" hidden="1">
      <c r="A1367" s="11" t="n">
        <v>46043</v>
      </c>
      <c r="B1367" t="inlineStr">
        <is>
          <t>Jessica Faria da Silveira</t>
        </is>
      </c>
      <c r="C1367" t="inlineStr">
        <is>
          <t>Técnico II</t>
        </is>
      </c>
      <c r="D1367" t="n">
        <v>0</v>
      </c>
      <c r="E1367" t="n">
        <v>0</v>
      </c>
      <c r="F1367" t="n">
        <v>0</v>
      </c>
      <c r="G1367" t="n">
        <v>0</v>
      </c>
      <c r="H1367" t="n">
        <v>0</v>
      </c>
      <c r="I1367" s="3" t="n">
        <v>0</v>
      </c>
      <c r="J1367" s="3" t="n">
        <v>0</v>
      </c>
      <c r="K1367" s="3" t="n">
        <v>0</v>
      </c>
      <c r="L1367" s="3">
        <f>IF(K1367&lt;-5,"CRÍTICO",IF(K1367&lt;0,"ATENÇÃO",IF(K1367&lt;=5,"BOM","EXCELENTE")))</f>
        <v/>
      </c>
      <c r="M1367" t="n">
        <v>0</v>
      </c>
      <c r="N1367" t="n">
        <v>96.40000000000001</v>
      </c>
      <c r="O1367" t="n">
        <v>28.76404494382023</v>
      </c>
    </row>
    <row r="1368" hidden="1">
      <c r="A1368" s="11" t="n">
        <v>46043</v>
      </c>
      <c r="B1368" t="inlineStr">
        <is>
          <t>Jéssica Fé Moura</t>
        </is>
      </c>
      <c r="C1368" t="inlineStr">
        <is>
          <t>Técnico III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M1368" t="n">
        <v>0</v>
      </c>
      <c r="N1368" t="n">
        <v>100</v>
      </c>
      <c r="O1368" t="n">
        <v>33.98058252427185</v>
      </c>
    </row>
    <row r="1369" hidden="1">
      <c r="A1369" s="11" t="n">
        <v>46043</v>
      </c>
      <c r="B1369" t="inlineStr">
        <is>
          <t>Karina Gonçalves Martins</t>
        </is>
      </c>
      <c r="C1369" t="inlineStr">
        <is>
          <t>JR</t>
        </is>
      </c>
      <c r="D1369" t="n">
        <v>6</v>
      </c>
      <c r="E1369" t="n">
        <v>6</v>
      </c>
      <c r="F1369" t="n">
        <v>39.06</v>
      </c>
      <c r="G1369" t="n">
        <v>0</v>
      </c>
      <c r="H1369" t="n">
        <v>0</v>
      </c>
      <c r="I1369" s="3">
        <f>E1369+G1369+H1369</f>
        <v/>
      </c>
      <c r="J1369" s="3">
        <f>ROUND(MIN(IF(C1369="Técnico III",35,IF(C1369="Técnico II",28,IF(C1369="Técnico I",23,IF(C1369="JR",20,IF(C1369="Estágio",10,0))))),IF(C1369="Técnico III",SUMIFS($D:$D,$A:$A,$A1369,$B:$B,"&lt;&gt;Patrícia Karla de Sousa Araújo",$B:$B,"&lt;&gt;Lorena Dias de Araujo",$B:$B,"&lt;&gt;Lucas Luiz Romero")*(35/1083),IF(C1369="Técnico II",SUMIFS($D:$D,$A:$A,$A1369,$B:$B,"&lt;&gt;Patrícia Karla de Sousa Araújo",$B:$B,"&lt;&gt;Lorena Dias de Araujo",$B:$B,"&lt;&gt;Lucas Luiz Romero")*(28/1083),IF(C1369="Técnico I",SUMIFS($D:$D,$A:$A,$A1369,$B:$B,"&lt;&gt;Patrícia Karla de Sousa Araújo",$B:$B,"&lt;&gt;Lorena Dias de Araujo",$B:$B,"&lt;&gt;Lucas Luiz Romero")*(23/1083),IF(C1369="JR",SUMIFS($D:$D,$A:$A,$A1369,$B:$B,"&lt;&gt;Patrícia Karla de Sousa Araújo",$B:$B,"&lt;&gt;Lorena Dias de Araujo",$B:$B,"&lt;&gt;Lucas Luiz Romero")*(20/1083),IF(C1369="Estágio",SUMIFS($D:$D,$A:$A,$A1369,$B:$B,"&lt;&gt;Patrícia Karla de Sousa Araújo",$B:$B,"&lt;&gt;Lorena Dias de Araujo",$B:$B,"&lt;&gt;Lucas Luiz Romero")*(10/1083),0)))))),0)</f>
        <v/>
      </c>
      <c r="K1369" s="3">
        <f>I1369-J1369</f>
        <v/>
      </c>
      <c r="L1369" s="3">
        <f>IF(K1369&lt;-5,"CRÍTICO",IF(K1369&lt;0,"ATENÇÃO",IF(K1369&lt;=5,"BOM","EXCELENTE")))</f>
        <v/>
      </c>
      <c r="M1369" t="n">
        <v>9</v>
      </c>
      <c r="N1369" t="n">
        <v>97.56</v>
      </c>
      <c r="O1369" t="n">
        <v>32.51533742331289</v>
      </c>
    </row>
    <row r="1370" hidden="1">
      <c r="A1370" s="11" t="n">
        <v>46043</v>
      </c>
      <c r="B1370" t="inlineStr">
        <is>
          <t>Kerollen Cristielly de Jesus Siqueira</t>
        </is>
      </c>
      <c r="C1370" t="inlineStr">
        <is>
          <t>Técnico III</t>
        </is>
      </c>
      <c r="D1370" t="n">
        <v>25</v>
      </c>
      <c r="E1370" t="n">
        <v>24</v>
      </c>
      <c r="F1370" t="n">
        <v>15.49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M1370" t="n">
        <v>21</v>
      </c>
      <c r="N1370" t="n">
        <v>97.11</v>
      </c>
      <c r="O1370" t="n">
        <v>37.40831295843521</v>
      </c>
    </row>
    <row r="1371" hidden="1">
      <c r="A1371" s="11" t="n">
        <v>46043</v>
      </c>
      <c r="B1371" t="inlineStr">
        <is>
          <t>Leandro de Souza Silva</t>
        </is>
      </c>
      <c r="C1371" t="inlineStr">
        <is>
          <t>JR</t>
        </is>
      </c>
      <c r="D1371" t="n">
        <v>0</v>
      </c>
      <c r="E1371" t="n">
        <v>0</v>
      </c>
      <c r="F1371" t="n">
        <v>0</v>
      </c>
      <c r="G1371" t="n">
        <v>0</v>
      </c>
      <c r="H1371" t="n">
        <v>0</v>
      </c>
      <c r="I1371" s="3" t="n">
        <v>0</v>
      </c>
      <c r="J1371" s="3" t="n">
        <v>0</v>
      </c>
      <c r="K1371" s="3" t="n">
        <v>0</v>
      </c>
      <c r="L1371" s="3">
        <f>IF(K1371&lt;-5,"CRÍTICO",IF(K1371&lt;0,"ATENÇÃO",IF(K1371&lt;=5,"BOM","EXCELENTE")))</f>
        <v/>
      </c>
      <c r="M1371" t="n">
        <v>0</v>
      </c>
      <c r="N1371" t="n">
        <v>0</v>
      </c>
      <c r="O1371" t="n">
        <v>0</v>
      </c>
    </row>
    <row r="1372" hidden="1">
      <c r="A1372" s="11" t="n">
        <v>46043</v>
      </c>
      <c r="B1372" t="inlineStr">
        <is>
          <t>Leandro Oliveira de Sousa</t>
        </is>
      </c>
      <c r="C1372" t="inlineStr">
        <is>
          <t>Técnico III</t>
        </is>
      </c>
      <c r="D1372" t="n">
        <v>24</v>
      </c>
      <c r="E1372" t="n">
        <v>19</v>
      </c>
      <c r="F1372" t="n">
        <v>15.4</v>
      </c>
      <c r="G1372" t="n">
        <v>0</v>
      </c>
      <c r="H1372" t="n">
        <v>0</v>
      </c>
      <c r="I1372" s="3">
        <f>E1372+G1372+H1372</f>
        <v/>
      </c>
      <c r="J1372" s="3">
        <f>ROUND(MIN(IF(C1372="Técnico III",35,IF(C1372="Técnico II",28,IF(C1372="Técnico I",23,IF(C1372="JR",20,IF(C1372="Estágio",10,0))))),IF(C1372="Técnico III",SUMIFS($D:$D,$A:$A,$A1372,$B:$B,"&lt;&gt;Patrícia Karla de Sousa Araújo",$B:$B,"&lt;&gt;Lorena Dias de Araujo",$B:$B,"&lt;&gt;Lucas Luiz Romero")*(35/1083),IF(C1372="Técnico II",SUMIFS($D:$D,$A:$A,$A1372,$B:$B,"&lt;&gt;Patrícia Karla de Sousa Araújo",$B:$B,"&lt;&gt;Lorena Dias de Araujo",$B:$B,"&lt;&gt;Lucas Luiz Romero")*(28/1083),IF(C1372="Técnico I",SUMIFS($D:$D,$A:$A,$A1372,$B:$B,"&lt;&gt;Patrícia Karla de Sousa Araújo",$B:$B,"&lt;&gt;Lorena Dias de Araujo",$B:$B,"&lt;&gt;Lucas Luiz Romero")*(23/1083),IF(C1372="JR",SUMIFS($D:$D,$A:$A,$A1372,$B:$B,"&lt;&gt;Patrícia Karla de Sousa Araújo",$B:$B,"&lt;&gt;Lorena Dias de Araujo",$B:$B,"&lt;&gt;Lucas Luiz Romero")*(20/1083),IF(C1372="Estágio",SUMIFS($D:$D,$A:$A,$A1372,$B:$B,"&lt;&gt;Patrícia Karla de Sousa Araújo",$B:$B,"&lt;&gt;Lorena Dias de Araujo",$B:$B,"&lt;&gt;Lucas Luiz Romero")*(10/1083),0)))))),0)</f>
        <v/>
      </c>
      <c r="K1372" s="3">
        <f>I1372-J1372</f>
        <v/>
      </c>
      <c r="L1372" s="3">
        <f>IF(K1372&lt;-5,"CRÍTICO",IF(K1372&lt;0,"ATENÇÃO",IF(K1372&lt;=5,"BOM","EXCELENTE")))</f>
        <v/>
      </c>
      <c r="M1372" t="n">
        <v>21</v>
      </c>
      <c r="N1372" t="n">
        <v>100</v>
      </c>
      <c r="O1372" t="n">
        <v>30.47034764826176</v>
      </c>
    </row>
    <row r="1373" hidden="1">
      <c r="A1373" s="11" t="n">
        <v>46043</v>
      </c>
      <c r="B1373" t="inlineStr">
        <is>
          <t>Lizandra Gomes Duarte</t>
        </is>
      </c>
      <c r="C1373" t="inlineStr">
        <is>
          <t>Técnico II</t>
        </is>
      </c>
      <c r="D1373" t="n">
        <v>28</v>
      </c>
      <c r="E1373" t="n">
        <v>27</v>
      </c>
      <c r="F1373" t="n">
        <v>14.17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M1373" t="n">
        <v>24</v>
      </c>
      <c r="N1373" t="n">
        <v>100</v>
      </c>
      <c r="O1373" t="n">
        <v>32.37113402061856</v>
      </c>
    </row>
    <row r="1374" hidden="1">
      <c r="A1374" s="11" t="n">
        <v>46043</v>
      </c>
      <c r="B1374" t="inlineStr">
        <is>
          <t>Lorena Dias de Araujo</t>
        </is>
      </c>
      <c r="C1374" t="inlineStr">
        <is>
          <t>Técnico II</t>
        </is>
      </c>
      <c r="D1374" t="n">
        <v>26</v>
      </c>
      <c r="E1374" t="n">
        <v>23</v>
      </c>
      <c r="F1374" t="n">
        <v>13.38</v>
      </c>
      <c r="G1374" t="n">
        <v>0</v>
      </c>
      <c r="H1374" t="n">
        <v>0</v>
      </c>
      <c r="I1374" s="3" t="n">
        <v>0</v>
      </c>
      <c r="J1374" s="3" t="n">
        <v>0</v>
      </c>
      <c r="K1374" s="3" t="n">
        <v>0</v>
      </c>
      <c r="L1374" s="3">
        <f>IF(K1374&lt;-5,"CRÍTICO",IF(K1374&lt;0,"ATENÇÃO",IF(K1374&lt;=5,"BOM","EXCELENTE")))</f>
        <v/>
      </c>
      <c r="M1374" t="n">
        <v>19</v>
      </c>
      <c r="N1374" t="n">
        <v>98.31999999999999</v>
      </c>
      <c r="O1374" t="n">
        <v>32.31850117096019</v>
      </c>
    </row>
    <row r="1375" hidden="1">
      <c r="A1375" s="11" t="n">
        <v>46043</v>
      </c>
      <c r="B1375" t="inlineStr">
        <is>
          <t>Lucas Luiz Romero</t>
        </is>
      </c>
      <c r="C1375" t="inlineStr">
        <is>
          <t>Técnico III</t>
        </is>
      </c>
      <c r="D1375" t="n">
        <v>35</v>
      </c>
      <c r="E1375" t="n">
        <v>19</v>
      </c>
      <c r="F1375" t="n">
        <v>8.25</v>
      </c>
      <c r="G1375" t="n">
        <v>0</v>
      </c>
      <c r="H1375" t="n">
        <v>0</v>
      </c>
      <c r="I1375" s="3">
        <f>E1375+G1375+H1375</f>
        <v/>
      </c>
      <c r="J1375" s="3">
        <f>ROUND(MIN(IF(C1375="Técnico III",35,IF(C1375="Técnico II",28,IF(C1375="Técnico I",23,IF(C1375="JR",20,IF(C1375="Estágio",10,0))))),IF(C1375="Técnico III",SUMIFS($D:$D,$A:$A,$A1375,$B:$B,"&lt;&gt;Patrícia Karla de Sousa Araújo",$B:$B,"&lt;&gt;Lorena Dias de Araujo",$B:$B,"&lt;&gt;Lucas Luiz Romero")*(35/1083),IF(C1375="Técnico II",SUMIFS($D:$D,$A:$A,$A1375,$B:$B,"&lt;&gt;Patrícia Karla de Sousa Araújo",$B:$B,"&lt;&gt;Lorena Dias de Araujo",$B:$B,"&lt;&gt;Lucas Luiz Romero")*(28/1083),IF(C1375="Técnico I",SUMIFS($D:$D,$A:$A,$A1375,$B:$B,"&lt;&gt;Patrícia Karla de Sousa Araújo",$B:$B,"&lt;&gt;Lorena Dias de Araujo",$B:$B,"&lt;&gt;Lucas Luiz Romero")*(23/1083),IF(C1375="JR",SUMIFS($D:$D,$A:$A,$A1375,$B:$B,"&lt;&gt;Patrícia Karla de Sousa Araújo",$B:$B,"&lt;&gt;Lorena Dias de Araujo",$B:$B,"&lt;&gt;Lucas Luiz Romero")*(20/1083),IF(C1375="Estágio",SUMIFS($D:$D,$A:$A,$A1375,$B:$B,"&lt;&gt;Patrícia Karla de Sousa Araújo",$B:$B,"&lt;&gt;Lorena Dias de Araujo",$B:$B,"&lt;&gt;Lucas Luiz Romero")*(10/1083),0)))))),0)</f>
        <v/>
      </c>
      <c r="K1375" s="3">
        <f>I1375-J1375</f>
        <v/>
      </c>
      <c r="L1375" s="3">
        <f>IF(K1375&lt;-5,"CRÍTICO",IF(K1375&lt;0,"ATENÇÃO",IF(K1375&lt;=5,"BOM","EXCELENTE")))</f>
        <v/>
      </c>
      <c r="M1375" t="n">
        <v>13</v>
      </c>
      <c r="N1375" t="n">
        <v>96.43000000000001</v>
      </c>
      <c r="O1375" t="n">
        <v>27.01525054466231</v>
      </c>
    </row>
    <row r="1376" hidden="1">
      <c r="A1376" s="11" t="n">
        <v>46043</v>
      </c>
      <c r="B1376" t="inlineStr">
        <is>
          <t>Luiz Fernando de Carvalho Junior</t>
        </is>
      </c>
      <c r="C1376" t="inlineStr">
        <is>
          <t>Técnico I</t>
        </is>
      </c>
      <c r="D1376" t="n">
        <v>17</v>
      </c>
      <c r="E1376" t="n">
        <v>17</v>
      </c>
      <c r="F1376" t="n">
        <v>22.17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M1376" t="n">
        <v>20</v>
      </c>
      <c r="N1376" t="n">
        <v>98.89</v>
      </c>
      <c r="O1376" t="n">
        <v>28.02197802197802</v>
      </c>
    </row>
    <row r="1377" hidden="1">
      <c r="A1377" s="11" t="n">
        <v>46043</v>
      </c>
      <c r="B1377" t="inlineStr">
        <is>
          <t>Maria Eduarda Sousa Costa</t>
        </is>
      </c>
      <c r="C1377" t="inlineStr">
        <is>
          <t>Estágio</t>
        </is>
      </c>
      <c r="D1377" t="n">
        <v>8</v>
      </c>
      <c r="E1377" t="n">
        <v>8</v>
      </c>
      <c r="F1377" t="n">
        <v>30.44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M1377" t="n">
        <v>4</v>
      </c>
      <c r="N1377" t="n">
        <v>100</v>
      </c>
      <c r="O1377" t="n">
        <v>33.33333333333333</v>
      </c>
    </row>
    <row r="1378" hidden="1">
      <c r="A1378" s="11" t="n">
        <v>46043</v>
      </c>
      <c r="B1378" t="inlineStr">
        <is>
          <t>Matheus Farias De Souza</t>
        </is>
      </c>
      <c r="C1378" t="inlineStr">
        <is>
          <t>Técnico III</t>
        </is>
      </c>
      <c r="D1378" t="n">
        <v>28</v>
      </c>
      <c r="E1378" t="n">
        <v>27</v>
      </c>
      <c r="F1378" t="n">
        <v>11.44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M1378" t="n">
        <v>25</v>
      </c>
      <c r="N1378" t="n">
        <v>100</v>
      </c>
      <c r="O1378" t="n">
        <v>27.43362831858407</v>
      </c>
    </row>
    <row r="1379" hidden="1">
      <c r="A1379" s="11" t="n">
        <v>46043</v>
      </c>
      <c r="B1379" t="inlineStr">
        <is>
          <t>Maysa Victoria Dias Moura</t>
        </is>
      </c>
      <c r="C1379" t="inlineStr">
        <is>
          <t>Técnico III</t>
        </is>
      </c>
      <c r="D1379" t="n">
        <v>32</v>
      </c>
      <c r="E1379" t="n">
        <v>27</v>
      </c>
      <c r="F1379" t="n">
        <v>9.140000000000001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M1379" t="n">
        <v>25</v>
      </c>
      <c r="N1379" t="n">
        <v>98.65000000000001</v>
      </c>
      <c r="O1379" t="n">
        <v>30.97826086956522</v>
      </c>
    </row>
    <row r="1380" hidden="1">
      <c r="A1380" s="11" t="n">
        <v>46043</v>
      </c>
      <c r="B1380" t="inlineStr">
        <is>
          <t>Michelle G Santos</t>
        </is>
      </c>
      <c r="C1380" t="inlineStr">
        <is>
          <t>Estágio</t>
        </is>
      </c>
      <c r="D1380" t="n">
        <v>6</v>
      </c>
      <c r="E1380" t="n">
        <v>5</v>
      </c>
      <c r="F1380" t="n">
        <v>27.01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M1380" t="n">
        <v>2</v>
      </c>
      <c r="N1380" t="n">
        <v>100</v>
      </c>
      <c r="O1380" t="n">
        <v>12</v>
      </c>
    </row>
    <row r="1381" hidden="1">
      <c r="A1381" s="11" t="n">
        <v>46043</v>
      </c>
      <c r="B1381" t="inlineStr">
        <is>
          <t>Milena Sales</t>
        </is>
      </c>
      <c r="C1381" t="inlineStr">
        <is>
          <t>JR</t>
        </is>
      </c>
      <c r="D1381" t="n">
        <v>0</v>
      </c>
      <c r="E1381" t="n">
        <v>0</v>
      </c>
      <c r="F1381" t="n">
        <v>0</v>
      </c>
      <c r="G1381" t="n">
        <v>0</v>
      </c>
      <c r="H1381" t="n">
        <v>0</v>
      </c>
      <c r="I1381" s="3" t="n">
        <v>0</v>
      </c>
      <c r="J1381" s="3" t="n">
        <v>0</v>
      </c>
      <c r="K1381" s="3" t="n">
        <v>0</v>
      </c>
      <c r="L1381" s="3">
        <f>IF(K1381&lt;-5,"CRÍTICO",IF(K1381&lt;0,"ATENÇÃO",IF(K1381&lt;=5,"BOM","EXCELENTE")))</f>
        <v/>
      </c>
      <c r="M1381" t="n">
        <v>0</v>
      </c>
      <c r="N1381" t="n">
        <v>0</v>
      </c>
      <c r="O1381" t="n">
        <v>0</v>
      </c>
    </row>
    <row r="1382" hidden="1">
      <c r="A1382" s="11" t="n">
        <v>46043</v>
      </c>
      <c r="B1382" t="inlineStr">
        <is>
          <t>Patrícia Karla de Sousa Araújo</t>
        </is>
      </c>
      <c r="C1382" t="inlineStr">
        <is>
          <t>Técnico II</t>
        </is>
      </c>
      <c r="D1382" t="n">
        <v>18</v>
      </c>
      <c r="E1382" t="n">
        <v>18</v>
      </c>
      <c r="F1382" t="n">
        <v>23.34</v>
      </c>
      <c r="G1382" t="n">
        <v>0</v>
      </c>
      <c r="H1382" t="n">
        <v>0</v>
      </c>
      <c r="I1382" s="3">
        <f>E1382+G1382+H1382</f>
        <v/>
      </c>
      <c r="J1382" s="3">
        <f>ROUND(MIN(IF(C1382="Técnico III",35,IF(C1382="Técnico II",28,IF(C1382="Técnico I",23,IF(C1382="JR",20,IF(C1382="Estágio",10,0))))),IF(C1382="Técnico III",SUMIFS($D:$D,$A:$A,$A1382,$B:$B,"&lt;&gt;Patrícia Karla de Sousa Araújo",$B:$B,"&lt;&gt;Lorena Dias de Araujo",$B:$B,"&lt;&gt;Lucas Luiz Romero")*(35/1083),IF(C1382="Técnico II",SUMIFS($D:$D,$A:$A,$A1382,$B:$B,"&lt;&gt;Patrícia Karla de Sousa Araújo",$B:$B,"&lt;&gt;Lorena Dias de Araujo",$B:$B,"&lt;&gt;Lucas Luiz Romero")*(28/1083),IF(C1382="Técnico I",SUMIFS($D:$D,$A:$A,$A1382,$B:$B,"&lt;&gt;Patrícia Karla de Sousa Araújo",$B:$B,"&lt;&gt;Lorena Dias de Araujo",$B:$B,"&lt;&gt;Lucas Luiz Romero")*(23/1083),IF(C1382="JR",SUMIFS($D:$D,$A:$A,$A1382,$B:$B,"&lt;&gt;Patrícia Karla de Sousa Araújo",$B:$B,"&lt;&gt;Lorena Dias de Araujo",$B:$B,"&lt;&gt;Lucas Luiz Romero")*(20/1083),IF(C1382="Estágio",SUMIFS($D:$D,$A:$A,$A1382,$B:$B,"&lt;&gt;Patrícia Karla de Sousa Araújo",$B:$B,"&lt;&gt;Lorena Dias de Araujo",$B:$B,"&lt;&gt;Lucas Luiz Romero")*(10/1083),0)))))),0)</f>
        <v/>
      </c>
      <c r="K1382" s="3">
        <f>I1382-J1382</f>
        <v/>
      </c>
      <c r="L1382" s="3">
        <f>IF(K1382&lt;-5,"CRÍTICO",IF(K1382&lt;0,"ATENÇÃO",IF(K1382&lt;=5,"BOM","EXCELENTE")))</f>
        <v/>
      </c>
      <c r="M1382" t="n">
        <v>16</v>
      </c>
      <c r="N1382" t="n">
        <v>97.56</v>
      </c>
      <c r="O1382" t="n">
        <v>31.06796116504854</v>
      </c>
    </row>
    <row r="1383" hidden="1">
      <c r="A1383" s="11" t="n">
        <v>46043</v>
      </c>
      <c r="B1383" t="inlineStr">
        <is>
          <t>Paulo Ricardo Santos</t>
        </is>
      </c>
      <c r="C1383" t="inlineStr">
        <is>
          <t>JR</t>
        </is>
      </c>
      <c r="D1383" t="n">
        <v>0</v>
      </c>
      <c r="E1383" t="n">
        <v>0</v>
      </c>
      <c r="F1383" t="n">
        <v>0</v>
      </c>
      <c r="G1383" t="n">
        <v>0</v>
      </c>
      <c r="H1383" t="n">
        <v>0</v>
      </c>
      <c r="I1383" s="3" t="n">
        <v>0</v>
      </c>
      <c r="J1383" s="3" t="n">
        <v>0</v>
      </c>
      <c r="K1383" s="3" t="n">
        <v>0</v>
      </c>
      <c r="L1383" s="3">
        <f>IF(K1383&lt;-5,"CRÍTICO",IF(K1383&lt;0,"ATENÇÃO",IF(K1383&lt;=5,"BOM","EXCELENTE")))</f>
        <v/>
      </c>
      <c r="M1383" t="n">
        <v>0</v>
      </c>
      <c r="N1383" t="n">
        <v>0</v>
      </c>
      <c r="O1383" t="n">
        <v>0</v>
      </c>
    </row>
    <row r="1384" hidden="1">
      <c r="A1384" s="11" t="n">
        <v>46043</v>
      </c>
      <c r="B1384" t="inlineStr">
        <is>
          <t>Pedro Luiz Mota Sousa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M1384" t="n">
        <v>0</v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Quirino Diogo Leite Torres</t>
        </is>
      </c>
      <c r="C1385" t="inlineStr">
        <is>
          <t>Estágio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M1385" t="n">
        <v>0</v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Raane Batista Matos</t>
        </is>
      </c>
      <c r="C1386" t="inlineStr">
        <is>
          <t>Técnico I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M1386" t="n">
        <v>0</v>
      </c>
      <c r="N1386" t="n">
        <v>100</v>
      </c>
      <c r="O1386" t="n">
        <v>53.84615384615385</v>
      </c>
    </row>
    <row r="1387" hidden="1">
      <c r="A1387" s="11" t="n">
        <v>46043</v>
      </c>
      <c r="B1387" t="inlineStr">
        <is>
          <t>Rafael Gomes de Morais</t>
        </is>
      </c>
      <c r="C1387" t="inlineStr">
        <is>
          <t>Técnico III</t>
        </is>
      </c>
      <c r="D1387" t="n">
        <v>24</v>
      </c>
      <c r="E1387" t="n">
        <v>20</v>
      </c>
      <c r="F1387" t="n">
        <v>14.06</v>
      </c>
      <c r="G1387" t="n">
        <v>0</v>
      </c>
      <c r="H1387" t="n">
        <v>0</v>
      </c>
      <c r="I1387" s="3">
        <f>E1387+G1387+H1387</f>
        <v/>
      </c>
      <c r="J1387" s="3">
        <f>ROUND(MIN(IF(C1387="Técnico III",35,IF(C1387="Técnico II",28,IF(C1387="Técnico I",23,IF(C1387="JR",20,IF(C1387="Estágio",10,0))))),IF(C1387="Técnico III",SUMIFS($D:$D,$A:$A,$A1387,$B:$B,"&lt;&gt;Patrícia Karla de Sousa Araújo",$B:$B,"&lt;&gt;Lorena Dias de Araujo",$B:$B,"&lt;&gt;Lucas Luiz Romero")*(35/1083),IF(C1387="Técnico II",SUMIFS($D:$D,$A:$A,$A1387,$B:$B,"&lt;&gt;Patrícia Karla de Sousa Araújo",$B:$B,"&lt;&gt;Lorena Dias de Araujo",$B:$B,"&lt;&gt;Lucas Luiz Romero")*(28/1083),IF(C1387="Técnico I",SUMIFS($D:$D,$A:$A,$A1387,$B:$B,"&lt;&gt;Patrícia Karla de Sousa Araújo",$B:$B,"&lt;&gt;Lorena Dias de Araujo",$B:$B,"&lt;&gt;Lucas Luiz Romero")*(23/1083),IF(C1387="JR",SUMIFS($D:$D,$A:$A,$A1387,$B:$B,"&lt;&gt;Patrícia Karla de Sousa Araújo",$B:$B,"&lt;&gt;Lorena Dias de Araujo",$B:$B,"&lt;&gt;Lucas Luiz Romero")*(20/1083),IF(C1387="Estágio",SUMIFS($D:$D,$A:$A,$A1387,$B:$B,"&lt;&gt;Patrícia Karla de Sousa Araújo",$B:$B,"&lt;&gt;Lorena Dias de Araujo",$B:$B,"&lt;&gt;Lucas Luiz Romero")*(10/1083),0)))))),0)</f>
        <v/>
      </c>
      <c r="K1387" s="3">
        <f>I1387-J1387</f>
        <v/>
      </c>
      <c r="L1387" s="3">
        <f>IF(K1387&lt;-5,"CRÍTICO",IF(K1387&lt;0,"ATENÇÃO",IF(K1387&lt;=5,"BOM","EXCELENTE")))</f>
        <v/>
      </c>
      <c r="M1387" t="n">
        <v>19</v>
      </c>
      <c r="N1387" t="n">
        <v>100</v>
      </c>
      <c r="O1387" t="n">
        <v>44.05594405594406</v>
      </c>
    </row>
    <row r="1388" hidden="1">
      <c r="A1388" s="11" t="n">
        <v>46043</v>
      </c>
      <c r="B1388" t="inlineStr">
        <is>
          <t>Sara Maria Monteiro Lopes</t>
        </is>
      </c>
      <c r="C1388" t="inlineStr">
        <is>
          <t>Técnico I</t>
        </is>
      </c>
      <c r="D1388" t="n">
        <v>14</v>
      </c>
      <c r="E1388" t="n">
        <v>14</v>
      </c>
      <c r="F1388" t="n">
        <v>31.53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M1388" t="n">
        <v>15</v>
      </c>
      <c r="N1388" t="n">
        <v>100</v>
      </c>
      <c r="O1388" t="n">
        <v>31.87250996015936</v>
      </c>
    </row>
    <row r="1389" hidden="1">
      <c r="A1389" s="11" t="n">
        <v>46043</v>
      </c>
      <c r="B1389" t="inlineStr">
        <is>
          <t>Sarah Steffanie de Lima Borges</t>
        </is>
      </c>
      <c r="C1389" t="inlineStr">
        <is>
          <t>Técnico III</t>
        </is>
      </c>
      <c r="D1389" t="n">
        <v>19</v>
      </c>
      <c r="E1389" t="n">
        <v>18</v>
      </c>
      <c r="F1389" t="n">
        <v>18.45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M1389" t="n">
        <v>17</v>
      </c>
      <c r="N1389" t="n">
        <v>98.41</v>
      </c>
      <c r="O1389" t="n">
        <v>29.22465208747515</v>
      </c>
    </row>
    <row r="1390" hidden="1">
      <c r="A1390" s="11" t="n">
        <v>46044</v>
      </c>
      <c r="B1390" t="inlineStr">
        <is>
          <t>Alisson de Freitas Silva</t>
        </is>
      </c>
      <c r="C1390" t="inlineStr">
        <is>
          <t>Técnico II</t>
        </is>
      </c>
      <c r="D1390" t="n">
        <v>33</v>
      </c>
      <c r="E1390" t="n">
        <v>23</v>
      </c>
      <c r="F1390" t="n">
        <v>8.210000000000001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M1390" t="n">
        <v>15</v>
      </c>
      <c r="N1390" t="n">
        <v>96.81</v>
      </c>
      <c r="O1390" t="n">
        <v>27.98053527980535</v>
      </c>
    </row>
    <row r="1391" hidden="1">
      <c r="A1391" s="11" t="n">
        <v>46044</v>
      </c>
      <c r="B1391" t="inlineStr">
        <is>
          <t>Amanda Moura Ferreira</t>
        </is>
      </c>
      <c r="C1391" t="inlineStr">
        <is>
          <t>Técnico III</t>
        </is>
      </c>
      <c r="D1391" t="n">
        <v>0</v>
      </c>
      <c r="E1391" t="n">
        <v>0</v>
      </c>
      <c r="F1391" t="n">
        <v>0</v>
      </c>
      <c r="G1391" t="n">
        <v>0</v>
      </c>
      <c r="H1391" t="n">
        <v>0</v>
      </c>
      <c r="I1391" s="3" t="n">
        <v>0</v>
      </c>
      <c r="J1391" s="3" t="n">
        <v>0</v>
      </c>
      <c r="K1391" s="3" t="n">
        <v>0</v>
      </c>
      <c r="L1391" s="3">
        <f>IF(K1391&lt;-5,"CRÍTICO",IF(K1391&lt;0,"ATENÇÃO",IF(K1391&lt;=5,"BOM","EXCELENTE")))</f>
        <v/>
      </c>
      <c r="M1391" t="n">
        <v>27</v>
      </c>
      <c r="N1391" t="n">
        <v>98.73</v>
      </c>
      <c r="O1391" t="n">
        <v>35.75638506876228</v>
      </c>
    </row>
    <row r="1392" hidden="1">
      <c r="A1392" s="11" t="n">
        <v>46044</v>
      </c>
      <c r="B1392" t="inlineStr">
        <is>
          <t>Ana Karollyne Souza Faria</t>
        </is>
      </c>
      <c r="C1392" t="inlineStr">
        <is>
          <t>Técnico I</t>
        </is>
      </c>
      <c r="D1392" t="n">
        <v>22</v>
      </c>
      <c r="E1392" t="n">
        <v>18</v>
      </c>
      <c r="F1392" t="n">
        <v>24.07</v>
      </c>
      <c r="G1392" t="n">
        <v>0</v>
      </c>
      <c r="H1392" t="n">
        <v>0</v>
      </c>
      <c r="I1392" s="3">
        <f>E1392+G1392+H1392</f>
        <v/>
      </c>
      <c r="J1392" s="3">
        <f>ROUND(MIN(IF(C1392="Técnico III",35,IF(C1392="Técnico II",28,IF(C1392="Técnico I",23,IF(C1392="JR",20,IF(C1392="Estágio",10,0))))),IF(C1392="Técnico III",SUMIFS($D:$D,$A:$A,$A1392,$B:$B,"&lt;&gt;Patrícia Karla de Sousa Araújo",$B:$B,"&lt;&gt;Lorena Dias de Araujo",$B:$B,"&lt;&gt;Lucas Luiz Romero")*(35/1083),IF(C1392="Técnico II",SUMIFS($D:$D,$A:$A,$A1392,$B:$B,"&lt;&gt;Patrícia Karla de Sousa Araújo",$B:$B,"&lt;&gt;Lorena Dias de Araujo",$B:$B,"&lt;&gt;Lucas Luiz Romero")*(28/1083),IF(C1392="Técnico I",SUMIFS($D:$D,$A:$A,$A1392,$B:$B,"&lt;&gt;Patrícia Karla de Sousa Araújo",$B:$B,"&lt;&gt;Lorena Dias de Araujo",$B:$B,"&lt;&gt;Lucas Luiz Romero")*(23/1083),IF(C1392="JR",SUMIFS($D:$D,$A:$A,$A1392,$B:$B,"&lt;&gt;Patrícia Karla de Sousa Araújo",$B:$B,"&lt;&gt;Lorena Dias de Araujo",$B:$B,"&lt;&gt;Lucas Luiz Romero")*(20/1083),IF(C1392="Estágio",SUMIFS($D:$D,$A:$A,$A1392,$B:$B,"&lt;&gt;Patrícia Karla de Sousa Araújo",$B:$B,"&lt;&gt;Lorena Dias de Araujo",$B:$B,"&lt;&gt;Lucas Luiz Romero")*(10/1083),0)))))),0)</f>
        <v/>
      </c>
      <c r="K1392" s="3">
        <f>I1392-J1392</f>
        <v/>
      </c>
      <c r="L1392" s="3">
        <f>IF(K1392&lt;-5,"CRÍTICO",IF(K1392&lt;0,"ATENÇÃO",IF(K1392&lt;=5,"BOM","EXCELENTE")))</f>
        <v/>
      </c>
      <c r="M1392" t="n">
        <v>20</v>
      </c>
      <c r="N1392" t="n">
        <v>98.31999999999999</v>
      </c>
      <c r="O1392" t="n">
        <v>26.76348547717842</v>
      </c>
    </row>
    <row r="1393" hidden="1">
      <c r="A1393" s="11" t="n">
        <v>46044</v>
      </c>
      <c r="B1393" t="inlineStr">
        <is>
          <t>Ana Paula Da Luz Silva Aleixo</t>
        </is>
      </c>
      <c r="C1393" t="inlineStr">
        <is>
          <t>Técnico III</t>
        </is>
      </c>
      <c r="D1393" t="n">
        <v>35</v>
      </c>
      <c r="E1393" t="n">
        <v>29</v>
      </c>
      <c r="F1393" t="n">
        <v>12.22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M1393" t="n">
        <v>29</v>
      </c>
      <c r="N1393" t="n">
        <v>99.19</v>
      </c>
      <c r="O1393" t="n">
        <v>27.63713080168776</v>
      </c>
    </row>
    <row r="1394" hidden="1">
      <c r="A1394" s="11" t="n">
        <v>46044</v>
      </c>
      <c r="B1394" t="inlineStr">
        <is>
          <t>Anna Luiza Rezende Tavares</t>
        </is>
      </c>
      <c r="C1394" t="inlineStr">
        <is>
          <t>Estágio</t>
        </is>
      </c>
      <c r="D1394" t="n">
        <v>9</v>
      </c>
      <c r="E1394" t="n">
        <v>9</v>
      </c>
      <c r="F1394" t="n">
        <v>26.48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M1394" t="n">
        <v>9</v>
      </c>
      <c r="N1394" t="n">
        <v>100</v>
      </c>
      <c r="O1394" t="n">
        <v>39.56834532374101</v>
      </c>
    </row>
    <row r="1395" hidden="1">
      <c r="A1395" s="11" t="n">
        <v>46044</v>
      </c>
      <c r="B1395" t="inlineStr">
        <is>
          <t>Brenda de Menezes Silva</t>
        </is>
      </c>
      <c r="C1395" t="inlineStr">
        <is>
          <t>Técnico II</t>
        </is>
      </c>
      <c r="D1395" t="n">
        <v>32</v>
      </c>
      <c r="E1395" t="n">
        <v>26</v>
      </c>
      <c r="F1395" t="n">
        <v>11.5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M1395" t="n">
        <v>25</v>
      </c>
      <c r="N1395" t="n">
        <v>98.54000000000001</v>
      </c>
      <c r="O1395" t="n">
        <v>28.54477611940299</v>
      </c>
    </row>
    <row r="1396" hidden="1">
      <c r="A1396" s="11" t="n">
        <v>46044</v>
      </c>
      <c r="B1396" t="inlineStr">
        <is>
          <t>Carlos Mateus Cassimiro Nunes</t>
        </is>
      </c>
      <c r="C1396" t="inlineStr">
        <is>
          <t>Técnico II</t>
        </is>
      </c>
      <c r="D1396" t="n">
        <v>15</v>
      </c>
      <c r="E1396" t="n">
        <v>15</v>
      </c>
      <c r="F1396" t="n">
        <v>25.08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M1396" t="n">
        <v>14</v>
      </c>
      <c r="N1396" t="n">
        <v>100</v>
      </c>
      <c r="O1396" t="n">
        <v>34.36692506459949</v>
      </c>
    </row>
    <row r="1397" hidden="1">
      <c r="A1397" s="11" t="n">
        <v>46044</v>
      </c>
      <c r="B1397" t="inlineStr">
        <is>
          <t>Claudio de Sousa Velasco Filho</t>
        </is>
      </c>
      <c r="C1397" t="inlineStr">
        <is>
          <t>Estágio</t>
        </is>
      </c>
      <c r="D1397" t="n">
        <v>0</v>
      </c>
      <c r="E1397" t="n">
        <v>0</v>
      </c>
      <c r="F1397" t="n">
        <v>0</v>
      </c>
      <c r="G1397" t="n">
        <v>0</v>
      </c>
      <c r="H1397" t="n">
        <v>0</v>
      </c>
      <c r="I1397" s="3" t="n">
        <v>0</v>
      </c>
      <c r="J1397" s="3" t="n">
        <v>0</v>
      </c>
      <c r="K1397" s="3" t="n">
        <v>0</v>
      </c>
      <c r="L1397" s="3">
        <f>IF(K1397&lt;-5,"CRÍTICO",IF(K1397&lt;0,"ATENÇÃO",IF(K1397&lt;=5,"BOM","EXCELENTE")))</f>
        <v/>
      </c>
      <c r="M1397" t="n">
        <v>0</v>
      </c>
      <c r="N1397" t="n">
        <v>0</v>
      </c>
      <c r="O1397" t="n">
        <v>0</v>
      </c>
    </row>
    <row r="1398" hidden="1">
      <c r="A1398" s="11" t="n">
        <v>46044</v>
      </c>
      <c r="B1398" t="inlineStr">
        <is>
          <t>Clessiane Pereira dos Santos</t>
        </is>
      </c>
      <c r="C1398" t="inlineStr">
        <is>
          <t>Técnico I</t>
        </is>
      </c>
      <c r="D1398" t="n">
        <v>23</v>
      </c>
      <c r="E1398" t="n">
        <v>22</v>
      </c>
      <c r="F1398" t="n">
        <v>20.43</v>
      </c>
      <c r="G1398" t="n">
        <v>0</v>
      </c>
      <c r="H1398" t="n">
        <v>0</v>
      </c>
      <c r="I1398" s="3">
        <f>E1398+G1398+H1398</f>
        <v/>
      </c>
      <c r="J1398" s="3">
        <f>ROUND(MIN(IF(C1398="Técnico III",35,IF(C1398="Técnico II",28,IF(C1398="Técnico I",23,IF(C1398="JR",20,IF(C1398="Estágio",10,0))))),IF(C1398="Técnico III",SUMIFS($D:$D,$A:$A,$A1398,$B:$B,"&lt;&gt;Patrícia Karla de Sousa Araújo",$B:$B,"&lt;&gt;Lorena Dias de Araujo",$B:$B,"&lt;&gt;Lucas Luiz Romero")*(35/1083),IF(C1398="Técnico II",SUMIFS($D:$D,$A:$A,$A1398,$B:$B,"&lt;&gt;Patrícia Karla de Sousa Araújo",$B:$B,"&lt;&gt;Lorena Dias de Araujo",$B:$B,"&lt;&gt;Lucas Luiz Romero")*(28/1083),IF(C1398="Técnico I",SUMIFS($D:$D,$A:$A,$A1398,$B:$B,"&lt;&gt;Patrícia Karla de Sousa Araújo",$B:$B,"&lt;&gt;Lorena Dias de Araujo",$B:$B,"&lt;&gt;Lucas Luiz Romero")*(23/1083),IF(C1398="JR",SUMIFS($D:$D,$A:$A,$A1398,$B:$B,"&lt;&gt;Patrícia Karla de Sousa Araújo",$B:$B,"&lt;&gt;Lorena Dias de Araujo",$B:$B,"&lt;&gt;Lucas Luiz Romero")*(20/1083),IF(C1398="Estágio",SUMIFS($D:$D,$A:$A,$A1398,$B:$B,"&lt;&gt;Patrícia Karla de Sousa Araújo",$B:$B,"&lt;&gt;Lorena Dias de Araujo",$B:$B,"&lt;&gt;Lucas Luiz Romero")*(10/1083),0)))))),0)</f>
        <v/>
      </c>
      <c r="K1398" s="3">
        <f>I1398-J1398</f>
        <v/>
      </c>
      <c r="L1398" s="3">
        <f>IF(K1398&lt;-5,"CRÍTICO",IF(K1398&lt;0,"ATENÇÃO",IF(K1398&lt;=5,"BOM","EXCELENTE")))</f>
        <v/>
      </c>
      <c r="M1398" t="n">
        <v>21</v>
      </c>
      <c r="N1398" t="n">
        <v>100</v>
      </c>
      <c r="O1398" t="n">
        <v>29.51807228915663</v>
      </c>
    </row>
    <row r="1399" hidden="1">
      <c r="A1399" s="11" t="n">
        <v>46044</v>
      </c>
      <c r="B1399" t="inlineStr">
        <is>
          <t>Cristiane Ramos da Silva Rocha</t>
        </is>
      </c>
      <c r="C1399" t="inlineStr">
        <is>
          <t>Técnico III</t>
        </is>
      </c>
      <c r="D1399" t="n">
        <v>34</v>
      </c>
      <c r="E1399" t="n">
        <v>29</v>
      </c>
      <c r="F1399" t="n">
        <v>10.21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M1399" t="n">
        <v>24</v>
      </c>
      <c r="N1399" t="n">
        <v>97.45</v>
      </c>
      <c r="O1399" t="n">
        <v>41.421143847487</v>
      </c>
    </row>
    <row r="1400" hidden="1">
      <c r="A1400" s="11" t="n">
        <v>46044</v>
      </c>
      <c r="B1400" t="inlineStr">
        <is>
          <t>Damyllis Lorraine de Oliveira Gonçalves</t>
        </is>
      </c>
      <c r="C1400" t="inlineStr">
        <is>
          <t>Técnico II</t>
        </is>
      </c>
      <c r="D1400" t="n">
        <v>29</v>
      </c>
      <c r="E1400" t="n">
        <v>24</v>
      </c>
      <c r="F1400" t="n">
        <v>12.11</v>
      </c>
      <c r="G1400" t="n">
        <v>0</v>
      </c>
      <c r="H1400" t="n">
        <v>0</v>
      </c>
      <c r="I1400" s="3" t="n">
        <v>0</v>
      </c>
      <c r="J1400" s="3" t="n">
        <v>0</v>
      </c>
      <c r="K1400" s="3" t="n">
        <v>0</v>
      </c>
      <c r="L1400" s="3">
        <f>IF(K1400&lt;-5,"CRÍTICO",IF(K1400&lt;0,"ATENÇÃO",IF(K1400&lt;=5,"BOM","EXCELENTE")))</f>
        <v/>
      </c>
      <c r="M1400" t="n">
        <v>22</v>
      </c>
      <c r="N1400" t="n">
        <v>96.58</v>
      </c>
      <c r="O1400" t="n">
        <v>30.39647577092511</v>
      </c>
    </row>
    <row r="1401" hidden="1">
      <c r="A1401" s="11" t="n">
        <v>46044</v>
      </c>
      <c r="B1401" t="inlineStr">
        <is>
          <t>Daniel Gomes da Silva</t>
        </is>
      </c>
      <c r="C1401" t="inlineStr">
        <is>
          <t>Técnico I</t>
        </is>
      </c>
      <c r="D1401" t="n">
        <v>5</v>
      </c>
      <c r="E1401" t="n">
        <v>5</v>
      </c>
      <c r="F1401" t="n">
        <v>32.39</v>
      </c>
      <c r="G1401" t="n">
        <v>0</v>
      </c>
      <c r="H1401" t="n">
        <v>0</v>
      </c>
      <c r="I1401" s="3">
        <f>E1401+G1401+H1401</f>
        <v/>
      </c>
      <c r="J1401" s="3">
        <f>ROUND(MIN(IF(C1401="Técnico III",35,IF(C1401="Técnico II",28,IF(C1401="Técnico I",23,IF(C1401="JR",20,IF(C1401="Estágio",10,0))))),IF(C1401="Técnico III",SUMIFS($D:$D,$A:$A,$A1401,$B:$B,"&lt;&gt;Patrícia Karla de Sousa Araújo",$B:$B,"&lt;&gt;Lorena Dias de Araujo",$B:$B,"&lt;&gt;Lucas Luiz Romero")*(35/1083),IF(C1401="Técnico II",SUMIFS($D:$D,$A:$A,$A1401,$B:$B,"&lt;&gt;Patrícia Karla de Sousa Araújo",$B:$B,"&lt;&gt;Lorena Dias de Araujo",$B:$B,"&lt;&gt;Lucas Luiz Romero")*(28/1083),IF(C1401="Técnico I",SUMIFS($D:$D,$A:$A,$A1401,$B:$B,"&lt;&gt;Patrícia Karla de Sousa Araújo",$B:$B,"&lt;&gt;Lorena Dias de Araujo",$B:$B,"&lt;&gt;Lucas Luiz Romero")*(23/1083),IF(C1401="JR",SUMIFS($D:$D,$A:$A,$A1401,$B:$B,"&lt;&gt;Patrícia Karla de Sousa Araújo",$B:$B,"&lt;&gt;Lorena Dias de Araujo",$B:$B,"&lt;&gt;Lucas Luiz Romero")*(20/1083),IF(C1401="Estágio",SUMIFS($D:$D,$A:$A,$A1401,$B:$B,"&lt;&gt;Patrícia Karla de Sousa Araújo",$B:$B,"&lt;&gt;Lorena Dias de Araujo",$B:$B,"&lt;&gt;Lucas Luiz Romero")*(10/1083),0)))))),0)</f>
        <v/>
      </c>
      <c r="K1401" s="3">
        <f>I1401-J1401</f>
        <v/>
      </c>
      <c r="L1401" s="3">
        <f>IF(K1401&lt;-5,"CRÍTICO",IF(K1401&lt;0,"ATENÇÃO",IF(K1401&lt;=5,"BOM","EXCELENTE")))</f>
        <v/>
      </c>
      <c r="M1401" t="n">
        <v>7</v>
      </c>
      <c r="N1401" t="n">
        <v>100</v>
      </c>
      <c r="O1401" t="n">
        <v>27.44282744282744</v>
      </c>
    </row>
    <row r="1402" hidden="1">
      <c r="A1402" s="11" t="n">
        <v>46044</v>
      </c>
      <c r="B1402" t="inlineStr">
        <is>
          <t>Davylla Rodrigues Freitas Silva</t>
        </is>
      </c>
      <c r="C1402" t="inlineStr">
        <is>
          <t>Técnico III</t>
        </is>
      </c>
      <c r="D1402" t="n">
        <v>23</v>
      </c>
      <c r="E1402" t="n">
        <v>23</v>
      </c>
      <c r="F1402" t="n">
        <v>22.17</v>
      </c>
      <c r="G1402" t="n">
        <v>0</v>
      </c>
      <c r="H1402" t="n">
        <v>0</v>
      </c>
      <c r="I1402" s="3" t="n">
        <v>0</v>
      </c>
      <c r="J1402" s="3" t="n">
        <v>0</v>
      </c>
      <c r="K1402" s="3" t="n">
        <v>0</v>
      </c>
      <c r="L1402" s="3">
        <f>IF(K1402&lt;-5,"CRÍTICO",IF(K1402&lt;0,"ATENÇÃO",IF(K1402&lt;=5,"BOM","EXCELENTE")))</f>
        <v/>
      </c>
      <c r="M1402" t="n">
        <v>23</v>
      </c>
      <c r="N1402" t="n">
        <v>99.48999999999999</v>
      </c>
      <c r="O1402" t="n">
        <v>40.2</v>
      </c>
    </row>
    <row r="1403" hidden="1">
      <c r="A1403" s="11" t="n">
        <v>46044</v>
      </c>
      <c r="B1403" t="inlineStr">
        <is>
          <t>Emilly Caylane Costa</t>
        </is>
      </c>
      <c r="C1403" t="inlineStr">
        <is>
          <t>Estágio</t>
        </is>
      </c>
      <c r="D1403" t="n">
        <v>0</v>
      </c>
      <c r="E1403" t="n">
        <v>0</v>
      </c>
      <c r="F1403" t="n">
        <v>0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M1403" t="n">
        <v>0</v>
      </c>
      <c r="N1403" t="n">
        <v>100</v>
      </c>
      <c r="O1403" t="n">
        <v>25</v>
      </c>
    </row>
    <row r="1404" hidden="1">
      <c r="A1404" s="11" t="n">
        <v>46044</v>
      </c>
      <c r="B1404" t="inlineStr">
        <is>
          <t>Emilly Kamilly Medeiros Miranda</t>
        </is>
      </c>
      <c r="C1404" t="inlineStr">
        <is>
          <t>Técnico II</t>
        </is>
      </c>
      <c r="D1404" t="n">
        <v>29</v>
      </c>
      <c r="E1404" t="n">
        <v>26</v>
      </c>
      <c r="F1404" t="n">
        <v>14.08</v>
      </c>
      <c r="G1404" t="n">
        <v>0</v>
      </c>
      <c r="H1404" t="n">
        <v>0</v>
      </c>
      <c r="I1404" s="3">
        <f>E1404+G1404+H1404</f>
        <v/>
      </c>
      <c r="J1404" s="3">
        <f>ROUND(MIN(IF(C1404="Técnico III",35,IF(C1404="Técnico II",28,IF(C1404="Técnico I",23,IF(C1404="JR",20,IF(C1404="Estágio",10,0))))),IF(C1404="Técnico III",SUMIFS($D:$D,$A:$A,$A1404,$B:$B,"&lt;&gt;Patrícia Karla de Sousa Araújo",$B:$B,"&lt;&gt;Lorena Dias de Araujo",$B:$B,"&lt;&gt;Lucas Luiz Romero")*(35/1083),IF(C1404="Técnico II",SUMIFS($D:$D,$A:$A,$A1404,$B:$B,"&lt;&gt;Patrícia Karla de Sousa Araújo",$B:$B,"&lt;&gt;Lorena Dias de Araujo",$B:$B,"&lt;&gt;Lucas Luiz Romero")*(28/1083),IF(C1404="Técnico I",SUMIFS($D:$D,$A:$A,$A1404,$B:$B,"&lt;&gt;Patrícia Karla de Sousa Araújo",$B:$B,"&lt;&gt;Lorena Dias de Araujo",$B:$B,"&lt;&gt;Lucas Luiz Romero")*(23/1083),IF(C1404="JR",SUMIFS($D:$D,$A:$A,$A1404,$B:$B,"&lt;&gt;Patrícia Karla de Sousa Araújo",$B:$B,"&lt;&gt;Lorena Dias de Araujo",$B:$B,"&lt;&gt;Lucas Luiz Romero")*(20/1083),IF(C1404="Estágio",SUMIFS($D:$D,$A:$A,$A1404,$B:$B,"&lt;&gt;Patrícia Karla de Sousa Araújo",$B:$B,"&lt;&gt;Lorena Dias de Araujo",$B:$B,"&lt;&gt;Lucas Luiz Romero")*(10/1083),0)))))),0)</f>
        <v/>
      </c>
      <c r="K1404" s="3">
        <f>I1404-J1404</f>
        <v/>
      </c>
      <c r="L1404" s="3">
        <f>IF(K1404&lt;-5,"CRÍTICO",IF(K1404&lt;0,"ATENÇÃO",IF(K1404&lt;=5,"BOM","EXCELENTE")))</f>
        <v/>
      </c>
      <c r="M1404" t="n">
        <v>24</v>
      </c>
      <c r="N1404" t="n">
        <v>100</v>
      </c>
      <c r="O1404" t="n">
        <v>34.15094339622641</v>
      </c>
    </row>
    <row r="1405" hidden="1">
      <c r="A1405" s="11" t="n">
        <v>46044</v>
      </c>
      <c r="B1405" t="inlineStr">
        <is>
          <t>Francielson de Oliveira</t>
        </is>
      </c>
      <c r="C1405" t="inlineStr">
        <is>
          <t>Técnico III</t>
        </is>
      </c>
      <c r="D1405" t="n">
        <v>19</v>
      </c>
      <c r="E1405" t="n">
        <v>17</v>
      </c>
      <c r="F1405" t="n">
        <v>13.4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M1405" t="n">
        <v>17</v>
      </c>
      <c r="N1405" t="n">
        <v>100</v>
      </c>
      <c r="O1405" t="n">
        <v>32.7313769751693</v>
      </c>
    </row>
    <row r="1406" hidden="1">
      <c r="A1406" s="11" t="n">
        <v>46044</v>
      </c>
      <c r="B1406" t="inlineStr">
        <is>
          <t>Francilene Ferreira de Jesus</t>
        </is>
      </c>
      <c r="C1406" t="inlineStr">
        <is>
          <t>Técnico II</t>
        </is>
      </c>
      <c r="D1406" t="n">
        <v>22</v>
      </c>
      <c r="E1406" t="n">
        <v>20</v>
      </c>
      <c r="F1406" t="n">
        <v>18.25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M1406" t="n">
        <v>19</v>
      </c>
      <c r="N1406" t="n">
        <v>99.31</v>
      </c>
      <c r="O1406" t="n">
        <v>30.96234309623431</v>
      </c>
    </row>
    <row r="1407" hidden="1">
      <c r="A1407" s="11" t="n">
        <v>46078</v>
      </c>
      <c r="B1407" t="inlineStr">
        <is>
          <t>Gabriel Gomes de Andrade</t>
        </is>
      </c>
      <c r="C1407" t="inlineStr">
        <is>
          <t>Técnico I</t>
        </is>
      </c>
      <c r="D1407" t="n">
        <v>17</v>
      </c>
      <c r="E1407" t="n">
        <v>15</v>
      </c>
      <c r="F1407" t="n">
        <v>22.11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M1407" t="n">
        <v>14</v>
      </c>
      <c r="N1407" t="n">
        <v>96.67</v>
      </c>
      <c r="O1407" t="n">
        <v>31.45161290322581</v>
      </c>
    </row>
    <row r="1408" hidden="1">
      <c r="A1408" s="11" t="n">
        <v>46044</v>
      </c>
      <c r="B1408" t="inlineStr">
        <is>
          <t>Isabella Borges de Oliveira</t>
        </is>
      </c>
      <c r="C1408" t="inlineStr">
        <is>
          <t>Técnico II</t>
        </is>
      </c>
      <c r="D1408" t="n">
        <v>22</v>
      </c>
      <c r="E1408" t="n">
        <v>20</v>
      </c>
      <c r="F1408" t="n">
        <v>19.13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M1408" t="n">
        <v>17</v>
      </c>
      <c r="N1408" t="n">
        <v>100</v>
      </c>
      <c r="O1408" t="n">
        <v>27.67676767676768</v>
      </c>
    </row>
    <row r="1409" hidden="1">
      <c r="A1409" s="11" t="n">
        <v>46044</v>
      </c>
      <c r="B1409" t="inlineStr">
        <is>
          <t>Janaina Lima dos Reis Urany</t>
        </is>
      </c>
      <c r="C1409" t="inlineStr">
        <is>
          <t>Técnico III</t>
        </is>
      </c>
      <c r="D1409" t="n">
        <v>27</v>
      </c>
      <c r="E1409" t="n">
        <v>25</v>
      </c>
      <c r="F1409" t="n">
        <v>14.02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M1409" t="n">
        <v>23</v>
      </c>
      <c r="N1409" t="n">
        <v>100</v>
      </c>
      <c r="O1409" t="n">
        <v>31.17723156532988</v>
      </c>
    </row>
    <row r="1410" hidden="1">
      <c r="A1410" s="11" t="n">
        <v>46044</v>
      </c>
      <c r="B1410" t="inlineStr">
        <is>
          <t>Jaqueline Evangelista da Silva Martins</t>
        </is>
      </c>
      <c r="C1410" t="inlineStr">
        <is>
          <t>Técnico III</t>
        </is>
      </c>
      <c r="D1410" t="n">
        <v>10</v>
      </c>
      <c r="E1410" t="n">
        <v>8</v>
      </c>
      <c r="F1410" t="n">
        <v>13.39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M1410" t="n">
        <v>5</v>
      </c>
      <c r="N1410" t="n">
        <v>100</v>
      </c>
      <c r="O1410" t="n">
        <v>27.60942760942761</v>
      </c>
    </row>
    <row r="1411" hidden="1">
      <c r="A1411" s="11" t="n">
        <v>46044</v>
      </c>
      <c r="B1411" t="inlineStr">
        <is>
          <t>Jessica Faria da Silveira</t>
        </is>
      </c>
      <c r="C1411" t="inlineStr">
        <is>
          <t>Técnico II</t>
        </is>
      </c>
      <c r="D1411" t="n">
        <v>27</v>
      </c>
      <c r="E1411" t="n">
        <v>20</v>
      </c>
      <c r="F1411" t="n">
        <v>16.45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M1411" t="n">
        <v>19</v>
      </c>
      <c r="N1411" t="n">
        <v>96.40000000000001</v>
      </c>
      <c r="O1411" t="n">
        <v>28.76404494382023</v>
      </c>
    </row>
    <row r="1412" hidden="1">
      <c r="A1412" s="11" t="n">
        <v>46044</v>
      </c>
      <c r="B1412" t="inlineStr">
        <is>
          <t>Jéssica Fé Moura</t>
        </is>
      </c>
      <c r="C1412" t="inlineStr">
        <is>
          <t>Técnico III</t>
        </is>
      </c>
      <c r="D1412" t="n">
        <v>0</v>
      </c>
      <c r="E1412" t="n">
        <v>0</v>
      </c>
      <c r="F1412" t="n">
        <v>0</v>
      </c>
      <c r="G1412" t="n">
        <v>0</v>
      </c>
      <c r="H1412" t="n">
        <v>0</v>
      </c>
      <c r="I1412" s="3" t="n">
        <v>0</v>
      </c>
      <c r="J1412" s="3" t="n">
        <v>0</v>
      </c>
      <c r="K1412" s="3" t="n">
        <v>0</v>
      </c>
      <c r="L1412" s="3">
        <f>IF(K1412&lt;-5,"CRÍTICO",IF(K1412&lt;0,"ATENÇÃO",IF(K1412&lt;=5,"BOM","EXCELENTE")))</f>
        <v/>
      </c>
      <c r="M1412" t="n">
        <v>0</v>
      </c>
      <c r="N1412" t="n">
        <v>100</v>
      </c>
      <c r="O1412" t="n">
        <v>33.98058252427185</v>
      </c>
    </row>
    <row r="1413" hidden="1">
      <c r="A1413" s="11" t="n">
        <v>46044</v>
      </c>
      <c r="B1413" t="inlineStr">
        <is>
          <t>Karina Gonçalves Martins</t>
        </is>
      </c>
      <c r="C1413" t="inlineStr">
        <is>
          <t>JR</t>
        </is>
      </c>
      <c r="D1413" t="n">
        <v>5</v>
      </c>
      <c r="E1413" t="n">
        <v>4</v>
      </c>
      <c r="F1413" t="n">
        <v>46.55</v>
      </c>
      <c r="G1413" t="n">
        <v>0</v>
      </c>
      <c r="H1413" t="n">
        <v>0</v>
      </c>
      <c r="I1413" s="3">
        <f>E1413+G1413+H1413</f>
        <v/>
      </c>
      <c r="J1413" s="3">
        <f>ROUND(MIN(IF(C1413="Técnico III",35,IF(C1413="Técnico II",28,IF(C1413="Técnico I",23,IF(C1413="JR",20,IF(C1413="Estágio",10,0))))),IF(C1413="Técnico III",SUMIFS($D:$D,$A:$A,$A1413,$B:$B,"&lt;&gt;Patrícia Karla de Sousa Araújo",$B:$B,"&lt;&gt;Lorena Dias de Araujo",$B:$B,"&lt;&gt;Lucas Luiz Romero")*(35/1083),IF(C1413="Técnico II",SUMIFS($D:$D,$A:$A,$A1413,$B:$B,"&lt;&gt;Patrícia Karla de Sousa Araújo",$B:$B,"&lt;&gt;Lorena Dias de Araujo",$B:$B,"&lt;&gt;Lucas Luiz Romero")*(28/1083),IF(C1413="Técnico I",SUMIFS($D:$D,$A:$A,$A1413,$B:$B,"&lt;&gt;Patrícia Karla de Sousa Araújo",$B:$B,"&lt;&gt;Lorena Dias de Araujo",$B:$B,"&lt;&gt;Lucas Luiz Romero")*(23/1083),IF(C1413="JR",SUMIFS($D:$D,$A:$A,$A1413,$B:$B,"&lt;&gt;Patrícia Karla de Sousa Araújo",$B:$B,"&lt;&gt;Lorena Dias de Araujo",$B:$B,"&lt;&gt;Lucas Luiz Romero")*(20/1083),IF(C1413="Estágio",SUMIFS($D:$D,$A:$A,$A1413,$B:$B,"&lt;&gt;Patrícia Karla de Sousa Araújo",$B:$B,"&lt;&gt;Lorena Dias de Araujo",$B:$B,"&lt;&gt;Lucas Luiz Romero")*(10/1083),0)))))),0)</f>
        <v/>
      </c>
      <c r="K1413" s="3">
        <f>I1413-J1413</f>
        <v/>
      </c>
      <c r="L1413" s="3">
        <f>IF(K1413&lt;-5,"CRÍTICO",IF(K1413&lt;0,"ATENÇÃO",IF(K1413&lt;=5,"BOM","EXCELENTE")))</f>
        <v/>
      </c>
      <c r="M1413" t="n">
        <v>4</v>
      </c>
      <c r="N1413" t="n">
        <v>97.56</v>
      </c>
      <c r="O1413" t="n">
        <v>32.51533742331289</v>
      </c>
    </row>
    <row r="1414" hidden="1">
      <c r="A1414" s="11" t="n">
        <v>46044</v>
      </c>
      <c r="B1414" t="inlineStr">
        <is>
          <t>Kerollen Cristielly de Jesus Siqueira</t>
        </is>
      </c>
      <c r="C1414" t="inlineStr">
        <is>
          <t>Técnico III</t>
        </is>
      </c>
      <c r="D1414" t="n">
        <v>19</v>
      </c>
      <c r="E1414" t="n">
        <v>18</v>
      </c>
      <c r="F1414" t="n">
        <v>22.19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M1414" t="n">
        <v>18</v>
      </c>
      <c r="N1414" t="n">
        <v>97.11</v>
      </c>
      <c r="O1414" t="n">
        <v>37.40831295843521</v>
      </c>
    </row>
    <row r="1415" hidden="1">
      <c r="A1415" s="11" t="n">
        <v>46044</v>
      </c>
      <c r="B1415" t="inlineStr">
        <is>
          <t>Leandro de Souza Silva</t>
        </is>
      </c>
      <c r="C1415" t="inlineStr">
        <is>
          <t>JR</t>
        </is>
      </c>
      <c r="D1415" t="n">
        <v>0</v>
      </c>
      <c r="E1415" t="n">
        <v>0</v>
      </c>
      <c r="F1415" t="n">
        <v>0</v>
      </c>
      <c r="G1415" t="n">
        <v>0</v>
      </c>
      <c r="H1415" t="n">
        <v>0</v>
      </c>
      <c r="I1415" s="3" t="n">
        <v>0</v>
      </c>
      <c r="J1415" s="3" t="n">
        <v>0</v>
      </c>
      <c r="K1415" s="3" t="n">
        <v>0</v>
      </c>
      <c r="L1415" s="3">
        <f>IF(K1415&lt;-5,"CRÍTICO",IF(K1415&lt;0,"ATENÇÃO",IF(K1415&lt;=5,"BOM","EXCELENTE")))</f>
        <v/>
      </c>
      <c r="M1415" t="n">
        <v>0</v>
      </c>
      <c r="N1415" t="n">
        <v>0</v>
      </c>
      <c r="O1415" t="n">
        <v>0</v>
      </c>
    </row>
    <row r="1416" hidden="1">
      <c r="A1416" s="11" t="n">
        <v>46044</v>
      </c>
      <c r="B1416" t="inlineStr">
        <is>
          <t>Leandro Oliveira de Sousa</t>
        </is>
      </c>
      <c r="C1416" t="inlineStr">
        <is>
          <t>Técnico III</t>
        </is>
      </c>
      <c r="D1416" t="n">
        <v>25</v>
      </c>
      <c r="E1416" t="n">
        <v>21</v>
      </c>
      <c r="F1416" t="n">
        <v>19.1</v>
      </c>
      <c r="G1416" t="n">
        <v>0</v>
      </c>
      <c r="H1416" t="n">
        <v>0</v>
      </c>
      <c r="I1416" s="3">
        <f>E1416+G1416+H1416</f>
        <v/>
      </c>
      <c r="J1416" s="3">
        <f>ROUND(MIN(IF(C1416="Técnico III",35,IF(C1416="Técnico II",28,IF(C1416="Técnico I",23,IF(C1416="JR",20,IF(C1416="Estágio",10,0))))),IF(C1416="Técnico III",SUMIFS($D:$D,$A:$A,$A1416,$B:$B,"&lt;&gt;Patrícia Karla de Sousa Araújo",$B:$B,"&lt;&gt;Lorena Dias de Araujo",$B:$B,"&lt;&gt;Lucas Luiz Romero")*(35/1083),IF(C1416="Técnico II",SUMIFS($D:$D,$A:$A,$A1416,$B:$B,"&lt;&gt;Patrícia Karla de Sousa Araújo",$B:$B,"&lt;&gt;Lorena Dias de Araujo",$B:$B,"&lt;&gt;Lucas Luiz Romero")*(28/1083),IF(C1416="Técnico I",SUMIFS($D:$D,$A:$A,$A1416,$B:$B,"&lt;&gt;Patrícia Karla de Sousa Araújo",$B:$B,"&lt;&gt;Lorena Dias de Araujo",$B:$B,"&lt;&gt;Lucas Luiz Romero")*(23/1083),IF(C1416="JR",SUMIFS($D:$D,$A:$A,$A1416,$B:$B,"&lt;&gt;Patrícia Karla de Sousa Araújo",$B:$B,"&lt;&gt;Lorena Dias de Araujo",$B:$B,"&lt;&gt;Lucas Luiz Romero")*(20/1083),IF(C1416="Estágio",SUMIFS($D:$D,$A:$A,$A1416,$B:$B,"&lt;&gt;Patrícia Karla de Sousa Araújo",$B:$B,"&lt;&gt;Lorena Dias de Araujo",$B:$B,"&lt;&gt;Lucas Luiz Romero")*(10/1083),0)))))),0)</f>
        <v/>
      </c>
      <c r="K1416" s="3">
        <f>I1416-J1416</f>
        <v/>
      </c>
      <c r="L1416" s="3">
        <f>IF(K1416&lt;-5,"CRÍTICO",IF(K1416&lt;0,"ATENÇÃO",IF(K1416&lt;=5,"BOM","EXCELENTE")))</f>
        <v/>
      </c>
      <c r="M1416" t="n">
        <v>21</v>
      </c>
      <c r="N1416" t="n">
        <v>100</v>
      </c>
      <c r="O1416" t="n">
        <v>30.47034764826176</v>
      </c>
    </row>
    <row r="1417" hidden="1">
      <c r="A1417" s="11" t="n">
        <v>46044</v>
      </c>
      <c r="B1417" t="inlineStr">
        <is>
          <t>Lizandra Gomes Duarte</t>
        </is>
      </c>
      <c r="C1417" t="inlineStr">
        <is>
          <t>Técnico II</t>
        </is>
      </c>
      <c r="D1417" t="n">
        <v>25</v>
      </c>
      <c r="E1417" t="n">
        <v>23</v>
      </c>
      <c r="F1417" t="n">
        <v>18.32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M1417" t="n">
        <v>17</v>
      </c>
      <c r="N1417" t="n">
        <v>100</v>
      </c>
      <c r="O1417" t="n">
        <v>32.37113402061856</v>
      </c>
    </row>
    <row r="1418" hidden="1">
      <c r="A1418" s="11" t="n">
        <v>46044</v>
      </c>
      <c r="B1418" t="inlineStr">
        <is>
          <t>Lorena Dias de Araujo</t>
        </is>
      </c>
      <c r="C1418" t="inlineStr">
        <is>
          <t>Técnico II</t>
        </is>
      </c>
      <c r="D1418" t="n">
        <v>28</v>
      </c>
      <c r="E1418" t="n">
        <v>27</v>
      </c>
      <c r="F1418" t="n">
        <v>17.06</v>
      </c>
      <c r="G1418" t="n">
        <v>0</v>
      </c>
      <c r="H1418" t="n">
        <v>0</v>
      </c>
      <c r="I1418" s="3" t="n">
        <v>0</v>
      </c>
      <c r="J1418" s="3" t="n">
        <v>0</v>
      </c>
      <c r="K1418" s="3" t="n">
        <v>0</v>
      </c>
      <c r="L1418" s="3">
        <f>IF(K1418&lt;-5,"CRÍTICO",IF(K1418&lt;0,"ATENÇÃO",IF(K1418&lt;=5,"BOM","EXCELENTE")))</f>
        <v/>
      </c>
      <c r="M1418" t="n">
        <v>21</v>
      </c>
      <c r="N1418" t="n">
        <v>98.31999999999999</v>
      </c>
      <c r="O1418" t="n">
        <v>32.31850117096019</v>
      </c>
    </row>
    <row r="1419" hidden="1">
      <c r="A1419" s="11" t="n">
        <v>46044</v>
      </c>
      <c r="B1419" t="inlineStr">
        <is>
          <t>Lucas Luiz Romero</t>
        </is>
      </c>
      <c r="C1419" t="inlineStr">
        <is>
          <t>Técnico III</t>
        </is>
      </c>
      <c r="D1419" t="n">
        <v>47</v>
      </c>
      <c r="E1419" t="n">
        <v>29</v>
      </c>
      <c r="F1419" t="n">
        <v>5.45</v>
      </c>
      <c r="G1419" t="n">
        <v>0</v>
      </c>
      <c r="H1419" t="n">
        <v>0</v>
      </c>
      <c r="I1419" s="3">
        <f>E1419+G1419+H1419</f>
        <v/>
      </c>
      <c r="J1419" s="3">
        <f>ROUND(MIN(IF(C1419="Técnico III",35,IF(C1419="Técnico II",28,IF(C1419="Técnico I",23,IF(C1419="JR",20,IF(C1419="Estágio",10,0))))),IF(C1419="Técnico III",SUMIFS($D:$D,$A:$A,$A1419,$B:$B,"&lt;&gt;Patrícia Karla de Sousa Araújo",$B:$B,"&lt;&gt;Lorena Dias de Araujo",$B:$B,"&lt;&gt;Lucas Luiz Romero")*(35/1083),IF(C1419="Técnico II",SUMIFS($D:$D,$A:$A,$A1419,$B:$B,"&lt;&gt;Patrícia Karla de Sousa Araújo",$B:$B,"&lt;&gt;Lorena Dias de Araujo",$B:$B,"&lt;&gt;Lucas Luiz Romero")*(28/1083),IF(C1419="Técnico I",SUMIFS($D:$D,$A:$A,$A1419,$B:$B,"&lt;&gt;Patrícia Karla de Sousa Araújo",$B:$B,"&lt;&gt;Lorena Dias de Araujo",$B:$B,"&lt;&gt;Lucas Luiz Romero")*(23/1083),IF(C1419="JR",SUMIFS($D:$D,$A:$A,$A1419,$B:$B,"&lt;&gt;Patrícia Karla de Sousa Araújo",$B:$B,"&lt;&gt;Lorena Dias de Araujo",$B:$B,"&lt;&gt;Lucas Luiz Romero")*(20/1083),IF(C1419="Estágio",SUMIFS($D:$D,$A:$A,$A1419,$B:$B,"&lt;&gt;Patrícia Karla de Sousa Araújo",$B:$B,"&lt;&gt;Lorena Dias de Araujo",$B:$B,"&lt;&gt;Lucas Luiz Romero")*(10/1083),0)))))),0)</f>
        <v/>
      </c>
      <c r="K1419" s="3">
        <f>I1419-J1419</f>
        <v/>
      </c>
      <c r="L1419" s="3">
        <f>IF(K1419&lt;-5,"CRÍTICO",IF(K1419&lt;0,"ATENÇÃO",IF(K1419&lt;=5,"BOM","EXCELENTE")))</f>
        <v/>
      </c>
      <c r="M1419" t="n">
        <v>22</v>
      </c>
      <c r="N1419" t="n">
        <v>96.43000000000001</v>
      </c>
      <c r="O1419" t="n">
        <v>27.01525054466231</v>
      </c>
    </row>
    <row r="1420" hidden="1">
      <c r="A1420" s="11" t="n">
        <v>46044</v>
      </c>
      <c r="B1420" t="inlineStr">
        <is>
          <t>Luiz Fernando de Carvalho Junior</t>
        </is>
      </c>
      <c r="C1420" t="inlineStr">
        <is>
          <t>Técnico I</t>
        </is>
      </c>
      <c r="D1420" t="n">
        <v>25</v>
      </c>
      <c r="E1420" t="n">
        <v>23</v>
      </c>
      <c r="F1420" t="n">
        <v>15.11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M1420" t="n">
        <v>23</v>
      </c>
      <c r="N1420" t="n">
        <v>98.89</v>
      </c>
      <c r="O1420" t="n">
        <v>28.02197802197802</v>
      </c>
    </row>
    <row r="1421" hidden="1">
      <c r="A1421" s="11" t="n">
        <v>46044</v>
      </c>
      <c r="B1421" t="inlineStr">
        <is>
          <t>Maria Eduarda Sousa Costa</t>
        </is>
      </c>
      <c r="C1421" t="inlineStr">
        <is>
          <t>Estágio</t>
        </is>
      </c>
      <c r="D1421" t="n">
        <v>8</v>
      </c>
      <c r="E1421" t="n">
        <v>8</v>
      </c>
      <c r="F1421" t="n">
        <v>42.33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M1421" t="n">
        <v>6</v>
      </c>
      <c r="N1421" t="n">
        <v>100</v>
      </c>
      <c r="O1421" t="n">
        <v>33.33333333333333</v>
      </c>
    </row>
    <row r="1422" hidden="1">
      <c r="A1422" s="11" t="n">
        <v>46044</v>
      </c>
      <c r="B1422" t="inlineStr">
        <is>
          <t>Matheus Farias De Souza</t>
        </is>
      </c>
      <c r="C1422" t="inlineStr">
        <is>
          <t>Técnico III</t>
        </is>
      </c>
      <c r="D1422" t="n">
        <v>24</v>
      </c>
      <c r="E1422" t="n">
        <v>22</v>
      </c>
      <c r="F1422" t="n">
        <v>13.4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M1422" t="n">
        <v>19</v>
      </c>
      <c r="N1422" t="n">
        <v>100</v>
      </c>
      <c r="O1422" t="n">
        <v>27.43362831858407</v>
      </c>
    </row>
    <row r="1423" hidden="1">
      <c r="A1423" s="11" t="n">
        <v>46044</v>
      </c>
      <c r="B1423" t="inlineStr">
        <is>
          <t>Maysa Victoria Dias Moura</t>
        </is>
      </c>
      <c r="C1423" t="inlineStr">
        <is>
          <t>Técnico III</t>
        </is>
      </c>
      <c r="D1423" t="n">
        <v>27</v>
      </c>
      <c r="E1423" t="n">
        <v>23</v>
      </c>
      <c r="F1423" t="n">
        <v>17.31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M1423" t="n">
        <v>17</v>
      </c>
      <c r="N1423" t="n">
        <v>98.65000000000001</v>
      </c>
      <c r="O1423" t="n">
        <v>30.97826086956522</v>
      </c>
    </row>
    <row r="1424" hidden="1">
      <c r="A1424" s="11" t="n">
        <v>46044</v>
      </c>
      <c r="B1424" t="inlineStr">
        <is>
          <t>Michelle G Santos</t>
        </is>
      </c>
      <c r="C1424" t="inlineStr">
        <is>
          <t>Estágio</t>
        </is>
      </c>
      <c r="D1424" t="n">
        <v>9</v>
      </c>
      <c r="E1424" t="n">
        <v>9</v>
      </c>
      <c r="F1424" t="n">
        <v>22.37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M1424" t="n">
        <v>2</v>
      </c>
      <c r="N1424" t="n">
        <v>100</v>
      </c>
      <c r="O1424" t="n">
        <v>12</v>
      </c>
    </row>
    <row r="1425" hidden="1">
      <c r="A1425" s="11" t="n">
        <v>46044</v>
      </c>
      <c r="B1425" t="inlineStr">
        <is>
          <t>Milena Sales</t>
        </is>
      </c>
      <c r="C1425" t="inlineStr">
        <is>
          <t>JR</t>
        </is>
      </c>
      <c r="D1425" t="n">
        <v>0</v>
      </c>
      <c r="E1425" t="n">
        <v>0</v>
      </c>
      <c r="F1425" t="n">
        <v>0</v>
      </c>
      <c r="G1425" t="n">
        <v>0</v>
      </c>
      <c r="H1425" t="n">
        <v>0</v>
      </c>
      <c r="I1425" s="3" t="n">
        <v>0</v>
      </c>
      <c r="J1425" s="3" t="n">
        <v>0</v>
      </c>
      <c r="K1425" s="3" t="n">
        <v>0</v>
      </c>
      <c r="L1425" s="3">
        <f>IF(K1425&lt;-5,"CRÍTICO",IF(K1425&lt;0,"ATENÇÃO",IF(K1425&lt;=5,"BOM","EXCELENTE")))</f>
        <v/>
      </c>
      <c r="M1425" t="n">
        <v>0</v>
      </c>
      <c r="N1425" t="n">
        <v>0</v>
      </c>
      <c r="O1425" t="n">
        <v>0</v>
      </c>
    </row>
    <row r="1426" hidden="1">
      <c r="A1426" s="11" t="n">
        <v>46044</v>
      </c>
      <c r="B1426" t="inlineStr">
        <is>
          <t>Patrícia Karla de Sousa Araújo</t>
        </is>
      </c>
      <c r="C1426" t="inlineStr">
        <is>
          <t>Técnico II</t>
        </is>
      </c>
      <c r="D1426" t="n">
        <v>20</v>
      </c>
      <c r="E1426" t="n">
        <v>18</v>
      </c>
      <c r="F1426" t="n">
        <v>22.17</v>
      </c>
      <c r="G1426" t="n">
        <v>0</v>
      </c>
      <c r="H1426" t="n">
        <v>0</v>
      </c>
      <c r="I1426" s="3">
        <f>E1426+G1426+H1426</f>
        <v/>
      </c>
      <c r="J1426" s="3">
        <f>ROUND(MIN(IF(C1426="Técnico III",35,IF(C1426="Técnico II",28,IF(C1426="Técnico I",23,IF(C1426="JR",20,IF(C1426="Estágio",10,0))))),IF(C1426="Técnico III",SUMIFS($D:$D,$A:$A,$A1426,$B:$B,"&lt;&gt;Patrícia Karla de Sousa Araújo",$B:$B,"&lt;&gt;Lorena Dias de Araujo",$B:$B,"&lt;&gt;Lucas Luiz Romero")*(35/1083),IF(C1426="Técnico II",SUMIFS($D:$D,$A:$A,$A1426,$B:$B,"&lt;&gt;Patrícia Karla de Sousa Araújo",$B:$B,"&lt;&gt;Lorena Dias de Araujo",$B:$B,"&lt;&gt;Lucas Luiz Romero")*(28/1083),IF(C1426="Técnico I",SUMIFS($D:$D,$A:$A,$A1426,$B:$B,"&lt;&gt;Patrícia Karla de Sousa Araújo",$B:$B,"&lt;&gt;Lorena Dias de Araujo",$B:$B,"&lt;&gt;Lucas Luiz Romero")*(23/1083),IF(C1426="JR",SUMIFS($D:$D,$A:$A,$A1426,$B:$B,"&lt;&gt;Patrícia Karla de Sousa Araújo",$B:$B,"&lt;&gt;Lorena Dias de Araujo",$B:$B,"&lt;&gt;Lucas Luiz Romero")*(20/1083),IF(C1426="Estágio",SUMIFS($D:$D,$A:$A,$A1426,$B:$B,"&lt;&gt;Patrícia Karla de Sousa Araújo",$B:$B,"&lt;&gt;Lorena Dias de Araujo",$B:$B,"&lt;&gt;Lucas Luiz Romero")*(10/1083),0)))))),0)</f>
        <v/>
      </c>
      <c r="K1426" s="3">
        <f>I1426-J1426</f>
        <v/>
      </c>
      <c r="L1426" s="3">
        <f>IF(K1426&lt;-5,"CRÍTICO",IF(K1426&lt;0,"ATENÇÃO",IF(K1426&lt;=5,"BOM","EXCELENTE")))</f>
        <v/>
      </c>
      <c r="M1426" t="n">
        <v>20</v>
      </c>
      <c r="N1426" t="n">
        <v>97.56</v>
      </c>
      <c r="O1426" t="n">
        <v>31.06796116504854</v>
      </c>
    </row>
    <row r="1427" hidden="1">
      <c r="A1427" s="11" t="n">
        <v>46044</v>
      </c>
      <c r="B1427" t="inlineStr">
        <is>
          <t>Paulo Ricardo Santos</t>
        </is>
      </c>
      <c r="C1427" t="inlineStr">
        <is>
          <t>JR</t>
        </is>
      </c>
      <c r="D1427" t="n">
        <v>0</v>
      </c>
      <c r="E1427" t="n">
        <v>0</v>
      </c>
      <c r="F1427" t="n">
        <v>0</v>
      </c>
      <c r="G1427" t="n">
        <v>0</v>
      </c>
      <c r="H1427" t="n">
        <v>0</v>
      </c>
      <c r="I1427" s="3" t="n">
        <v>0</v>
      </c>
      <c r="J1427" s="3" t="n">
        <v>0</v>
      </c>
      <c r="K1427" s="3" t="n">
        <v>0</v>
      </c>
      <c r="L1427" s="3">
        <f>IF(K1427&lt;-5,"CRÍTICO",IF(K1427&lt;0,"ATENÇÃO",IF(K1427&lt;=5,"BOM","EXCELENTE")))</f>
        <v/>
      </c>
      <c r="M1427" t="n">
        <v>0</v>
      </c>
      <c r="N1427" t="n">
        <v>0</v>
      </c>
      <c r="O1427" t="n">
        <v>0</v>
      </c>
    </row>
    <row r="1428" hidden="1">
      <c r="A1428" s="11" t="n">
        <v>46044</v>
      </c>
      <c r="B1428" t="inlineStr">
        <is>
          <t>Pedro Luiz Mota Sousa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M1428" t="n">
        <v>0</v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Quirino Diogo Leite Torres</t>
        </is>
      </c>
      <c r="C1429" t="inlineStr">
        <is>
          <t>Estágio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M1429" t="n">
        <v>0</v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Raane Batista Matos</t>
        </is>
      </c>
      <c r="C1430" t="inlineStr">
        <is>
          <t>Técnico I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M1430" t="n">
        <v>0</v>
      </c>
      <c r="N1430" t="n">
        <v>100</v>
      </c>
      <c r="O1430" t="n">
        <v>53.84615384615385</v>
      </c>
    </row>
    <row r="1431" hidden="1">
      <c r="A1431" s="11" t="n">
        <v>46044</v>
      </c>
      <c r="B1431" t="inlineStr">
        <is>
          <t>Rafael Gomes de Morais</t>
        </is>
      </c>
      <c r="C1431" t="inlineStr">
        <is>
          <t>Técnico III</t>
        </is>
      </c>
      <c r="D1431" t="n">
        <v>25</v>
      </c>
      <c r="E1431" t="n">
        <v>24</v>
      </c>
      <c r="F1431" t="n">
        <v>18.31</v>
      </c>
      <c r="G1431" t="n">
        <v>0</v>
      </c>
      <c r="H1431" t="n">
        <v>0</v>
      </c>
      <c r="I1431" s="3">
        <f>E1431+G1431+H1431</f>
        <v/>
      </c>
      <c r="J1431" s="3">
        <f>ROUND(MIN(IF(C1431="Técnico III",35,IF(C1431="Técnico II",28,IF(C1431="Técnico I",23,IF(C1431="JR",20,IF(C1431="Estágio",10,0))))),IF(C1431="Técnico III",SUMIFS($D:$D,$A:$A,$A1431,$B:$B,"&lt;&gt;Patrícia Karla de Sousa Araújo",$B:$B,"&lt;&gt;Lorena Dias de Araujo",$B:$B,"&lt;&gt;Lucas Luiz Romero")*(35/1083),IF(C1431="Técnico II",SUMIFS($D:$D,$A:$A,$A1431,$B:$B,"&lt;&gt;Patrícia Karla de Sousa Araújo",$B:$B,"&lt;&gt;Lorena Dias de Araujo",$B:$B,"&lt;&gt;Lucas Luiz Romero")*(28/1083),IF(C1431="Técnico I",SUMIFS($D:$D,$A:$A,$A1431,$B:$B,"&lt;&gt;Patrícia Karla de Sousa Araújo",$B:$B,"&lt;&gt;Lorena Dias de Araujo",$B:$B,"&lt;&gt;Lucas Luiz Romero")*(23/1083),IF(C1431="JR",SUMIFS($D:$D,$A:$A,$A1431,$B:$B,"&lt;&gt;Patrícia Karla de Sousa Araújo",$B:$B,"&lt;&gt;Lorena Dias de Araujo",$B:$B,"&lt;&gt;Lucas Luiz Romero")*(20/1083),IF(C1431="Estágio",SUMIFS($D:$D,$A:$A,$A1431,$B:$B,"&lt;&gt;Patrícia Karla de Sousa Araújo",$B:$B,"&lt;&gt;Lorena Dias de Araujo",$B:$B,"&lt;&gt;Lucas Luiz Romero")*(10/1083),0)))))),0)</f>
        <v/>
      </c>
      <c r="K1431" s="3">
        <f>I1431-J1431</f>
        <v/>
      </c>
      <c r="L1431" s="3">
        <f>IF(K1431&lt;-5,"CRÍTICO",IF(K1431&lt;0,"ATENÇÃO",IF(K1431&lt;=5,"BOM","EXCELENTE")))</f>
        <v/>
      </c>
      <c r="M1431" t="n">
        <v>24</v>
      </c>
      <c r="N1431" t="n">
        <v>100</v>
      </c>
      <c r="O1431" t="n">
        <v>44.05594405594406</v>
      </c>
    </row>
    <row r="1432" hidden="1">
      <c r="A1432" s="11" t="n">
        <v>46044</v>
      </c>
      <c r="B1432" t="inlineStr">
        <is>
          <t>Sara Maria Monteiro Lopes</t>
        </is>
      </c>
      <c r="C1432" t="inlineStr">
        <is>
          <t>Técnico I</t>
        </is>
      </c>
      <c r="D1432" t="n">
        <v>13</v>
      </c>
      <c r="E1432" t="n">
        <v>13</v>
      </c>
      <c r="F1432" t="n">
        <v>35.58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M1432" t="n">
        <v>10</v>
      </c>
      <c r="N1432" t="n">
        <v>100</v>
      </c>
      <c r="O1432" t="n">
        <v>31.87250996015936</v>
      </c>
    </row>
    <row r="1433" hidden="1">
      <c r="A1433" s="11" t="n">
        <v>46044</v>
      </c>
      <c r="B1433" t="inlineStr">
        <is>
          <t>Sarah Steffanie de Lima Borges</t>
        </is>
      </c>
      <c r="C1433" t="inlineStr">
        <is>
          <t>Técnico III</t>
        </is>
      </c>
      <c r="D1433" t="n">
        <v>29</v>
      </c>
      <c r="E1433" t="n">
        <v>27</v>
      </c>
      <c r="F1433" t="n">
        <v>13.32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M1433" t="n">
        <v>22</v>
      </c>
      <c r="N1433" t="n">
        <v>98.41</v>
      </c>
      <c r="O1433" t="n">
        <v>29.22465208747515</v>
      </c>
    </row>
    <row r="1434" hidden="1">
      <c r="A1434" s="11" t="n">
        <v>46045</v>
      </c>
      <c r="B1434" t="inlineStr">
        <is>
          <t>Alisson de Freitas Silva</t>
        </is>
      </c>
      <c r="C1434" t="inlineStr">
        <is>
          <t>Técnico II</t>
        </is>
      </c>
      <c r="D1434" t="n">
        <v>25</v>
      </c>
      <c r="E1434" t="n">
        <v>22</v>
      </c>
      <c r="F1434" t="n">
        <v>13.3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M1434" t="n">
        <v>17</v>
      </c>
      <c r="N1434" t="n">
        <v>96.81</v>
      </c>
      <c r="O1434" t="n">
        <v>27.98053527980535</v>
      </c>
    </row>
    <row r="1435" hidden="1">
      <c r="A1435" s="11" t="n">
        <v>46045</v>
      </c>
      <c r="B1435" t="inlineStr">
        <is>
          <t>Amanda Moura Ferreira</t>
        </is>
      </c>
      <c r="C1435" t="inlineStr">
        <is>
          <t>Técnico III</t>
        </is>
      </c>
      <c r="D1435" t="n">
        <v>0</v>
      </c>
      <c r="E1435" t="n">
        <v>0</v>
      </c>
      <c r="F1435" t="n">
        <v>0</v>
      </c>
      <c r="G1435" t="n">
        <v>0</v>
      </c>
      <c r="H1435" t="n">
        <v>0</v>
      </c>
      <c r="I1435" s="3" t="n">
        <v>0</v>
      </c>
      <c r="J1435" s="3" t="n">
        <v>0</v>
      </c>
      <c r="K1435" s="3" t="n">
        <v>0</v>
      </c>
      <c r="L1435" s="3">
        <f>IF(K1435&lt;-5,"CRÍTICO",IF(K1435&lt;0,"ATENÇÃO",IF(K1435&lt;=5,"BOM","EXCELENTE")))</f>
        <v/>
      </c>
      <c r="M1435" t="n">
        <v>22</v>
      </c>
      <c r="N1435" t="n">
        <v>98.73</v>
      </c>
      <c r="O1435" t="n">
        <v>35.75638506876228</v>
      </c>
    </row>
    <row r="1436" hidden="1">
      <c r="A1436" s="11" t="n">
        <v>46045</v>
      </c>
      <c r="B1436" t="inlineStr">
        <is>
          <t>Ana Karollyne Souza Faria</t>
        </is>
      </c>
      <c r="C1436" t="inlineStr">
        <is>
          <t>Técnico I</t>
        </is>
      </c>
      <c r="D1436" t="n">
        <v>30</v>
      </c>
      <c r="E1436" t="n">
        <v>29</v>
      </c>
      <c r="F1436" t="n">
        <v>19.04</v>
      </c>
      <c r="G1436" t="n">
        <v>0</v>
      </c>
      <c r="H1436" t="n">
        <v>0</v>
      </c>
      <c r="I1436" s="3">
        <f>E1436+G1436+H1436</f>
        <v/>
      </c>
      <c r="J1436" s="3">
        <f>ROUND(MIN(IF(C1436="Técnico III",35,IF(C1436="Técnico II",28,IF(C1436="Técnico I",23,IF(C1436="JR",20,IF(C1436="Estágio",10,0))))),IF(C1436="Técnico III",SUMIFS($D:$D,$A:$A,$A1436,$B:$B,"&lt;&gt;Patrícia Karla de Sousa Araújo",$B:$B,"&lt;&gt;Lorena Dias de Araujo",$B:$B,"&lt;&gt;Lucas Luiz Romero")*(35/1083),IF(C1436="Técnico II",SUMIFS($D:$D,$A:$A,$A1436,$B:$B,"&lt;&gt;Patrícia Karla de Sousa Araújo",$B:$B,"&lt;&gt;Lorena Dias de Araujo",$B:$B,"&lt;&gt;Lucas Luiz Romero")*(28/1083),IF(C1436="Técnico I",SUMIFS($D:$D,$A:$A,$A1436,$B:$B,"&lt;&gt;Patrícia Karla de Sousa Araújo",$B:$B,"&lt;&gt;Lorena Dias de Araujo",$B:$B,"&lt;&gt;Lucas Luiz Romero")*(23/1083),IF(C1436="JR",SUMIFS($D:$D,$A:$A,$A1436,$B:$B,"&lt;&gt;Patrícia Karla de Sousa Araújo",$B:$B,"&lt;&gt;Lorena Dias de Araujo",$B:$B,"&lt;&gt;Lucas Luiz Romero")*(20/1083),IF(C1436="Estágio",SUMIFS($D:$D,$A:$A,$A1436,$B:$B,"&lt;&gt;Patrícia Karla de Sousa Araújo",$B:$B,"&lt;&gt;Lorena Dias de Araujo",$B:$B,"&lt;&gt;Lucas Luiz Romero")*(10/1083),0)))))),0)</f>
        <v/>
      </c>
      <c r="K1436" s="3">
        <f>I1436-J1436</f>
        <v/>
      </c>
      <c r="L1436" s="3">
        <f>IF(K1436&lt;-5,"CRÍTICO",IF(K1436&lt;0,"ATENÇÃO",IF(K1436&lt;=5,"BOM","EXCELENTE")))</f>
        <v/>
      </c>
      <c r="M1436" t="n">
        <v>25</v>
      </c>
      <c r="N1436" t="n">
        <v>98.31999999999999</v>
      </c>
      <c r="O1436" t="n">
        <v>26.76348547717842</v>
      </c>
    </row>
    <row r="1437" hidden="1">
      <c r="A1437" s="11" t="n">
        <v>46045</v>
      </c>
      <c r="B1437" t="inlineStr">
        <is>
          <t>Ana Paula Da Luz Silva Aleixo</t>
        </is>
      </c>
      <c r="C1437" t="inlineStr">
        <is>
          <t>Técnico III</t>
        </is>
      </c>
      <c r="D1437" t="n">
        <v>24</v>
      </c>
      <c r="E1437" t="n">
        <v>22</v>
      </c>
      <c r="F1437" t="n">
        <v>20.23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M1437" t="n">
        <v>21</v>
      </c>
      <c r="N1437" t="n">
        <v>99.19</v>
      </c>
      <c r="O1437" t="n">
        <v>27.63713080168776</v>
      </c>
    </row>
    <row r="1438" hidden="1">
      <c r="A1438" s="11" t="n">
        <v>46045</v>
      </c>
      <c r="B1438" t="inlineStr">
        <is>
          <t>Anna Luiza Rezende Tavares</t>
        </is>
      </c>
      <c r="C1438" t="inlineStr">
        <is>
          <t>Estágio</t>
        </is>
      </c>
      <c r="D1438" t="n">
        <v>8</v>
      </c>
      <c r="E1438" t="n">
        <v>8</v>
      </c>
      <c r="F1438" t="n">
        <v>33.45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M1438" t="n">
        <v>7</v>
      </c>
      <c r="N1438" t="n">
        <v>100</v>
      </c>
      <c r="O1438" t="n">
        <v>39.56834532374101</v>
      </c>
    </row>
    <row r="1439" hidden="1">
      <c r="A1439" s="11" t="n">
        <v>46045</v>
      </c>
      <c r="B1439" t="inlineStr">
        <is>
          <t>Brenda de Menezes Silva</t>
        </is>
      </c>
      <c r="C1439" t="inlineStr">
        <is>
          <t>Técnico II</t>
        </is>
      </c>
      <c r="D1439" t="n">
        <v>24</v>
      </c>
      <c r="E1439" t="n">
        <v>21</v>
      </c>
      <c r="F1439" t="n">
        <v>18.23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M1439" t="n">
        <v>21</v>
      </c>
      <c r="N1439" t="n">
        <v>98.54000000000001</v>
      </c>
      <c r="O1439" t="n">
        <v>28.54477611940299</v>
      </c>
    </row>
    <row r="1440" hidden="1">
      <c r="A1440" s="11" t="n">
        <v>46045</v>
      </c>
      <c r="B1440" t="inlineStr">
        <is>
          <t>Carlos Mateus Cassimiro Nunes</t>
        </is>
      </c>
      <c r="C1440" t="inlineStr">
        <is>
          <t>Técnico II</t>
        </is>
      </c>
      <c r="D1440" t="n">
        <v>24</v>
      </c>
      <c r="E1440" t="n">
        <v>23</v>
      </c>
      <c r="F1440" t="n">
        <v>20.34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M1440" t="n">
        <v>21</v>
      </c>
      <c r="N1440" t="n">
        <v>100</v>
      </c>
      <c r="O1440" t="n">
        <v>34.36692506459949</v>
      </c>
    </row>
    <row r="1441" hidden="1">
      <c r="A1441" s="11" t="n">
        <v>46045</v>
      </c>
      <c r="B1441" t="inlineStr">
        <is>
          <t>Claudio de Sousa Velasco Filho</t>
        </is>
      </c>
      <c r="C1441" t="inlineStr">
        <is>
          <t>Estágio</t>
        </is>
      </c>
      <c r="D1441" t="n">
        <v>0</v>
      </c>
      <c r="E1441" t="n">
        <v>0</v>
      </c>
      <c r="F1441" t="n">
        <v>0</v>
      </c>
      <c r="G1441" t="n">
        <v>0</v>
      </c>
      <c r="H1441" t="n">
        <v>0</v>
      </c>
      <c r="I1441" s="3" t="n">
        <v>0</v>
      </c>
      <c r="J1441" s="3" t="n">
        <v>0</v>
      </c>
      <c r="K1441" s="3" t="n">
        <v>0</v>
      </c>
      <c r="L1441" s="3">
        <f>IF(K1441&lt;-5,"CRÍTICO",IF(K1441&lt;0,"ATENÇÃO",IF(K1441&lt;=5,"BOM","EXCELENTE")))</f>
        <v/>
      </c>
      <c r="M1441" t="n">
        <v>0</v>
      </c>
      <c r="N1441" t="n">
        <v>0</v>
      </c>
      <c r="O1441" t="n">
        <v>0</v>
      </c>
    </row>
    <row r="1442" hidden="1">
      <c r="A1442" s="11" t="n">
        <v>46045</v>
      </c>
      <c r="B1442" t="inlineStr">
        <is>
          <t>Clessiane Pereira dos Santos</t>
        </is>
      </c>
      <c r="C1442" t="inlineStr">
        <is>
          <t>Técnico I</t>
        </is>
      </c>
      <c r="D1442" t="n">
        <v>16</v>
      </c>
      <c r="E1442" t="n">
        <v>15</v>
      </c>
      <c r="F1442" t="n">
        <v>19</v>
      </c>
      <c r="G1442" t="n">
        <v>0</v>
      </c>
      <c r="H1442" t="n">
        <v>0</v>
      </c>
      <c r="I1442" s="3">
        <f>E1442+G1442+H1442</f>
        <v/>
      </c>
      <c r="J1442" s="3">
        <f>ROUND(MIN(IF(C1442="Técnico III",35,IF(C1442="Técnico II",28,IF(C1442="Técnico I",23,IF(C1442="JR",20,IF(C1442="Estágio",10,0))))),IF(C1442="Técnico III",SUMIFS($D:$D,$A:$A,$A1442,$B:$B,"&lt;&gt;Patrícia Karla de Sousa Araújo",$B:$B,"&lt;&gt;Lorena Dias de Araujo",$B:$B,"&lt;&gt;Lucas Luiz Romero")*(35/1083),IF(C1442="Técnico II",SUMIFS($D:$D,$A:$A,$A1442,$B:$B,"&lt;&gt;Patrícia Karla de Sousa Araújo",$B:$B,"&lt;&gt;Lorena Dias de Araujo",$B:$B,"&lt;&gt;Lucas Luiz Romero")*(28/1083),IF(C1442="Técnico I",SUMIFS($D:$D,$A:$A,$A1442,$B:$B,"&lt;&gt;Patrícia Karla de Sousa Araújo",$B:$B,"&lt;&gt;Lorena Dias de Araujo",$B:$B,"&lt;&gt;Lucas Luiz Romero")*(23/1083),IF(C1442="JR",SUMIFS($D:$D,$A:$A,$A1442,$B:$B,"&lt;&gt;Patrícia Karla de Sousa Araújo",$B:$B,"&lt;&gt;Lorena Dias de Araujo",$B:$B,"&lt;&gt;Lucas Luiz Romero")*(20/1083),IF(C1442="Estágio",SUMIFS($D:$D,$A:$A,$A1442,$B:$B,"&lt;&gt;Patrícia Karla de Sousa Araújo",$B:$B,"&lt;&gt;Lorena Dias de Araujo",$B:$B,"&lt;&gt;Lucas Luiz Romero")*(10/1083),0)))))),0)</f>
        <v/>
      </c>
      <c r="K1442" s="3">
        <f>I1442-J1442</f>
        <v/>
      </c>
      <c r="L1442" s="3">
        <f>IF(K1442&lt;-5,"CRÍTICO",IF(K1442&lt;0,"ATENÇÃO",IF(K1442&lt;=5,"BOM","EXCELENTE")))</f>
        <v/>
      </c>
      <c r="M1442" t="n">
        <v>15</v>
      </c>
      <c r="N1442" t="n">
        <v>100</v>
      </c>
      <c r="O1442" t="n">
        <v>29.51807228915663</v>
      </c>
    </row>
    <row r="1443" hidden="1">
      <c r="A1443" s="11" t="n">
        <v>46045</v>
      </c>
      <c r="B1443" t="inlineStr">
        <is>
          <t>Cristiane Ramos da Silva Rocha</t>
        </is>
      </c>
      <c r="C1443" t="inlineStr">
        <is>
          <t>Técnico III</t>
        </is>
      </c>
      <c r="D1443" t="n">
        <v>28</v>
      </c>
      <c r="E1443" t="n">
        <v>27</v>
      </c>
      <c r="F1443" t="n">
        <v>15.1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M1443" t="n">
        <v>20</v>
      </c>
      <c r="N1443" t="n">
        <v>97.45</v>
      </c>
      <c r="O1443" t="n">
        <v>41.421143847487</v>
      </c>
    </row>
    <row r="1444" hidden="1">
      <c r="A1444" s="11" t="n">
        <v>46045</v>
      </c>
      <c r="B1444" t="inlineStr">
        <is>
          <t>Damyllis Lorraine de Oliveira Gonçalves</t>
        </is>
      </c>
      <c r="C1444" t="inlineStr">
        <is>
          <t>Técnico II</t>
        </is>
      </c>
      <c r="D1444" t="n">
        <v>31</v>
      </c>
      <c r="E1444" t="n">
        <v>20</v>
      </c>
      <c r="F1444" t="n">
        <v>11.42</v>
      </c>
      <c r="G1444" t="n">
        <v>0</v>
      </c>
      <c r="H1444" t="n">
        <v>0</v>
      </c>
      <c r="I1444" s="3" t="n">
        <v>0</v>
      </c>
      <c r="J1444" s="3" t="n">
        <v>0</v>
      </c>
      <c r="K1444" s="3" t="n">
        <v>0</v>
      </c>
      <c r="L1444" s="3">
        <f>IF(K1444&lt;-5,"CRÍTICO",IF(K1444&lt;0,"ATENÇÃO",IF(K1444&lt;=5,"BOM","EXCELENTE")))</f>
        <v/>
      </c>
      <c r="M1444" t="n">
        <v>16</v>
      </c>
      <c r="N1444" t="n">
        <v>96.58</v>
      </c>
      <c r="O1444" t="n">
        <v>30.39647577092511</v>
      </c>
    </row>
    <row r="1445" hidden="1">
      <c r="A1445" s="11" t="n">
        <v>46045</v>
      </c>
      <c r="B1445" t="inlineStr">
        <is>
          <t>Daniel Gomes da Silva</t>
        </is>
      </c>
      <c r="C1445" t="inlineStr">
        <is>
          <t>Técnico I</t>
        </is>
      </c>
      <c r="D1445" t="n">
        <v>29</v>
      </c>
      <c r="E1445" t="n">
        <v>27</v>
      </c>
      <c r="F1445" t="n">
        <v>14.13</v>
      </c>
      <c r="G1445" t="n">
        <v>0</v>
      </c>
      <c r="H1445" t="n">
        <v>0</v>
      </c>
      <c r="I1445" s="3">
        <f>E1445+G1445+H1445</f>
        <v/>
      </c>
      <c r="J1445" s="3">
        <f>ROUND(MIN(IF(C1445="Técnico III",35,IF(C1445="Técnico II",28,IF(C1445="Técnico I",23,IF(C1445="JR",20,IF(C1445="Estágio",10,0))))),IF(C1445="Técnico III",SUMIFS($D:$D,$A:$A,$A1445,$B:$B,"&lt;&gt;Patrícia Karla de Sousa Araújo",$B:$B,"&lt;&gt;Lorena Dias de Araujo",$B:$B,"&lt;&gt;Lucas Luiz Romero")*(35/1083),IF(C1445="Técnico II",SUMIFS($D:$D,$A:$A,$A1445,$B:$B,"&lt;&gt;Patrícia Karla de Sousa Araújo",$B:$B,"&lt;&gt;Lorena Dias de Araujo",$B:$B,"&lt;&gt;Lucas Luiz Romero")*(28/1083),IF(C1445="Técnico I",SUMIFS($D:$D,$A:$A,$A1445,$B:$B,"&lt;&gt;Patrícia Karla de Sousa Araújo",$B:$B,"&lt;&gt;Lorena Dias de Araujo",$B:$B,"&lt;&gt;Lucas Luiz Romero")*(23/1083),IF(C1445="JR",SUMIFS($D:$D,$A:$A,$A1445,$B:$B,"&lt;&gt;Patrícia Karla de Sousa Araújo",$B:$B,"&lt;&gt;Lorena Dias de Araujo",$B:$B,"&lt;&gt;Lucas Luiz Romero")*(20/1083),IF(C1445="Estágio",SUMIFS($D:$D,$A:$A,$A1445,$B:$B,"&lt;&gt;Patrícia Karla de Sousa Araújo",$B:$B,"&lt;&gt;Lorena Dias de Araujo",$B:$B,"&lt;&gt;Lucas Luiz Romero")*(10/1083),0)))))),0)</f>
        <v/>
      </c>
      <c r="K1445" s="3">
        <f>I1445-J1445</f>
        <v/>
      </c>
      <c r="L1445" s="3">
        <f>IF(K1445&lt;-5,"CRÍTICO",IF(K1445&lt;0,"ATENÇÃO",IF(K1445&lt;=5,"BOM","EXCELENTE")))</f>
        <v/>
      </c>
      <c r="M1445" t="n">
        <v>31</v>
      </c>
      <c r="N1445" t="n">
        <v>100</v>
      </c>
      <c r="O1445" t="n">
        <v>27.44282744282744</v>
      </c>
    </row>
    <row r="1446" hidden="1">
      <c r="A1446" s="11" t="n">
        <v>46045</v>
      </c>
      <c r="B1446" t="inlineStr">
        <is>
          <t>Davylla Rodrigues Freitas Silva</t>
        </is>
      </c>
      <c r="C1446" t="inlineStr">
        <is>
          <t>Técnico III</t>
        </is>
      </c>
      <c r="D1446" t="n">
        <v>25</v>
      </c>
      <c r="E1446" t="n">
        <v>24</v>
      </c>
      <c r="F1446" t="n">
        <v>23.24</v>
      </c>
      <c r="G1446" t="n">
        <v>0</v>
      </c>
      <c r="H1446" t="n">
        <v>0</v>
      </c>
      <c r="I1446" s="3" t="n">
        <v>0</v>
      </c>
      <c r="J1446" s="3" t="n">
        <v>0</v>
      </c>
      <c r="K1446" s="3" t="n">
        <v>0</v>
      </c>
      <c r="L1446" s="3">
        <f>IF(K1446&lt;-5,"CRÍTICO",IF(K1446&lt;0,"ATENÇÃO",IF(K1446&lt;=5,"BOM","EXCELENTE")))</f>
        <v/>
      </c>
      <c r="M1446" t="n">
        <v>24</v>
      </c>
      <c r="N1446" t="n">
        <v>99.48999999999999</v>
      </c>
      <c r="O1446" t="n">
        <v>40.2</v>
      </c>
    </row>
    <row r="1447" hidden="1">
      <c r="A1447" s="11" t="n">
        <v>46045</v>
      </c>
      <c r="B1447" t="inlineStr">
        <is>
          <t>Emilly Caylane Costa</t>
        </is>
      </c>
      <c r="C1447" t="inlineStr">
        <is>
          <t>Estágio</t>
        </is>
      </c>
      <c r="D1447" t="n">
        <v>0</v>
      </c>
      <c r="E1447" t="n">
        <v>0</v>
      </c>
      <c r="F1447" t="n">
        <v>0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M1447" t="n">
        <v>0</v>
      </c>
      <c r="N1447" t="n">
        <v>100</v>
      </c>
      <c r="O1447" t="n">
        <v>25</v>
      </c>
    </row>
    <row r="1448" hidden="1">
      <c r="A1448" s="11" t="n">
        <v>46045</v>
      </c>
      <c r="B1448" t="inlineStr">
        <is>
          <t>Emilly Kamilly Medeiros Miranda</t>
        </is>
      </c>
      <c r="C1448" t="inlineStr">
        <is>
          <t>Técnico II</t>
        </is>
      </c>
      <c r="D1448" t="n">
        <v>21</v>
      </c>
      <c r="E1448" t="n">
        <v>20</v>
      </c>
      <c r="F1448" t="n">
        <v>23.41</v>
      </c>
      <c r="G1448" t="n">
        <v>0</v>
      </c>
      <c r="H1448" t="n">
        <v>0</v>
      </c>
      <c r="I1448" s="3">
        <f>E1448+G1448+H1448</f>
        <v/>
      </c>
      <c r="J1448" s="3">
        <f>ROUND(MIN(IF(C1448="Técnico III",35,IF(C1448="Técnico II",28,IF(C1448="Técnico I",23,IF(C1448="JR",20,IF(C1448="Estágio",10,0))))),IF(C1448="Técnico III",SUMIFS($D:$D,$A:$A,$A1448,$B:$B,"&lt;&gt;Patrícia Karla de Sousa Araújo",$B:$B,"&lt;&gt;Lorena Dias de Araujo",$B:$B,"&lt;&gt;Lucas Luiz Romero")*(35/1083),IF(C1448="Técnico II",SUMIFS($D:$D,$A:$A,$A1448,$B:$B,"&lt;&gt;Patrícia Karla de Sousa Araújo",$B:$B,"&lt;&gt;Lorena Dias de Araujo",$B:$B,"&lt;&gt;Lucas Luiz Romero")*(28/1083),IF(C1448="Técnico I",SUMIFS($D:$D,$A:$A,$A1448,$B:$B,"&lt;&gt;Patrícia Karla de Sousa Araújo",$B:$B,"&lt;&gt;Lorena Dias de Araujo",$B:$B,"&lt;&gt;Lucas Luiz Romero")*(23/1083),IF(C1448="JR",SUMIFS($D:$D,$A:$A,$A1448,$B:$B,"&lt;&gt;Patrícia Karla de Sousa Araújo",$B:$B,"&lt;&gt;Lorena Dias de Araujo",$B:$B,"&lt;&gt;Lucas Luiz Romero")*(20/1083),IF(C1448="Estágio",SUMIFS($D:$D,$A:$A,$A1448,$B:$B,"&lt;&gt;Patrícia Karla de Sousa Araújo",$B:$B,"&lt;&gt;Lorena Dias de Araujo",$B:$B,"&lt;&gt;Lucas Luiz Romero")*(10/1083),0)))))),0)</f>
        <v/>
      </c>
      <c r="K1448" s="3">
        <f>I1448-J1448</f>
        <v/>
      </c>
      <c r="L1448" s="3">
        <f>IF(K1448&lt;-5,"CRÍTICO",IF(K1448&lt;0,"ATENÇÃO",IF(K1448&lt;=5,"BOM","EXCELENTE")))</f>
        <v/>
      </c>
      <c r="M1448" t="n">
        <v>20</v>
      </c>
      <c r="N1448" t="n">
        <v>100</v>
      </c>
      <c r="O1448" t="n">
        <v>34.15094339622641</v>
      </c>
    </row>
    <row r="1449" hidden="1">
      <c r="A1449" s="11" t="n">
        <v>46045</v>
      </c>
      <c r="B1449" t="inlineStr">
        <is>
          <t>Francielson de Oliveira</t>
        </is>
      </c>
      <c r="C1449" t="inlineStr">
        <is>
          <t>Técnico III</t>
        </is>
      </c>
      <c r="D1449" t="n">
        <v>15</v>
      </c>
      <c r="E1449" t="n">
        <v>13</v>
      </c>
      <c r="F1449" t="n">
        <v>21.45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M1449" t="n">
        <v>15</v>
      </c>
      <c r="N1449" t="n">
        <v>100</v>
      </c>
      <c r="O1449" t="n">
        <v>32.7313769751693</v>
      </c>
    </row>
    <row r="1450" hidden="1">
      <c r="A1450" s="11" t="n">
        <v>46045</v>
      </c>
      <c r="B1450" t="inlineStr">
        <is>
          <t>Francilene Ferreira de Jesus</t>
        </is>
      </c>
      <c r="C1450" t="inlineStr">
        <is>
          <t>Técnico II</t>
        </is>
      </c>
      <c r="D1450" t="n">
        <v>20</v>
      </c>
      <c r="E1450" t="n">
        <v>17</v>
      </c>
      <c r="F1450" t="n">
        <v>23.49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M1450" t="n">
        <v>18</v>
      </c>
      <c r="N1450" t="n">
        <v>99.31</v>
      </c>
      <c r="O1450" t="n">
        <v>30.96234309623431</v>
      </c>
    </row>
    <row r="1451" hidden="1">
      <c r="A1451" s="11" t="n">
        <v>46079</v>
      </c>
      <c r="B1451" t="inlineStr">
        <is>
          <t>Gabriel Gomes de Andrade</t>
        </is>
      </c>
      <c r="C1451" t="inlineStr">
        <is>
          <t>Técnico I</t>
        </is>
      </c>
      <c r="D1451" t="n">
        <v>13</v>
      </c>
      <c r="E1451" t="n">
        <v>13</v>
      </c>
      <c r="F1451" t="n">
        <v>28.57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M1451" t="n">
        <v>13</v>
      </c>
      <c r="N1451" t="n">
        <v>96.67</v>
      </c>
      <c r="O1451" t="n">
        <v>31.45161290322581</v>
      </c>
    </row>
    <row r="1452" hidden="1">
      <c r="A1452" s="11" t="n">
        <v>46045</v>
      </c>
      <c r="B1452" t="inlineStr">
        <is>
          <t>Isabella Borges de Oliveira</t>
        </is>
      </c>
      <c r="C1452" t="inlineStr">
        <is>
          <t>Técnico II</t>
        </is>
      </c>
      <c r="D1452" t="n">
        <v>24</v>
      </c>
      <c r="E1452" t="n">
        <v>23</v>
      </c>
      <c r="F1452" t="n">
        <v>23.28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M1452" t="n">
        <v>22</v>
      </c>
      <c r="N1452" t="n">
        <v>100</v>
      </c>
      <c r="O1452" t="n">
        <v>27.67676767676768</v>
      </c>
    </row>
    <row r="1453" hidden="1">
      <c r="A1453" s="11" t="n">
        <v>46045</v>
      </c>
      <c r="B1453" t="inlineStr">
        <is>
          <t>Janaina Lima dos Reis Urany</t>
        </is>
      </c>
      <c r="C1453" t="inlineStr">
        <is>
          <t>Técnico III</t>
        </is>
      </c>
      <c r="D1453" t="n">
        <v>36</v>
      </c>
      <c r="E1453" t="n">
        <v>34</v>
      </c>
      <c r="F1453" t="n">
        <v>18.5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M1453" t="n">
        <v>29</v>
      </c>
      <c r="N1453" t="n">
        <v>100</v>
      </c>
      <c r="O1453" t="n">
        <v>31.17723156532988</v>
      </c>
    </row>
    <row r="1454" hidden="1">
      <c r="A1454" s="11" t="n">
        <v>46045</v>
      </c>
      <c r="B1454" t="inlineStr">
        <is>
          <t>Jaqueline Evangelista da Silva Martins</t>
        </is>
      </c>
      <c r="C1454" t="inlineStr">
        <is>
          <t>Técnico III</t>
        </is>
      </c>
      <c r="D1454" t="n">
        <v>9</v>
      </c>
      <c r="E1454" t="n">
        <v>6</v>
      </c>
      <c r="F1454" t="n">
        <v>10.51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M1454" t="n">
        <v>8</v>
      </c>
      <c r="N1454" t="n">
        <v>100</v>
      </c>
      <c r="O1454" t="n">
        <v>27.60942760942761</v>
      </c>
    </row>
    <row r="1455" hidden="1">
      <c r="A1455" s="11" t="n">
        <v>46045</v>
      </c>
      <c r="B1455" t="inlineStr">
        <is>
          <t>Jessica Faria da Silveira</t>
        </is>
      </c>
      <c r="C1455" t="inlineStr">
        <is>
          <t>Técnico II</t>
        </is>
      </c>
      <c r="D1455" t="n">
        <v>23</v>
      </c>
      <c r="E1455" t="n">
        <v>17</v>
      </c>
      <c r="F1455" t="n">
        <v>15.43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M1455" t="n">
        <v>18</v>
      </c>
      <c r="N1455" t="n">
        <v>96.40000000000001</v>
      </c>
      <c r="O1455" t="n">
        <v>28.76404494382023</v>
      </c>
    </row>
    <row r="1456" hidden="1">
      <c r="A1456" s="11" t="n">
        <v>46045</v>
      </c>
      <c r="B1456" t="inlineStr">
        <is>
          <t>Jéssica Fé Moura</t>
        </is>
      </c>
      <c r="C1456" t="inlineStr">
        <is>
          <t>Técnico III</t>
        </is>
      </c>
      <c r="D1456" t="n">
        <v>0</v>
      </c>
      <c r="E1456" t="n">
        <v>0</v>
      </c>
      <c r="F1456" t="n">
        <v>0</v>
      </c>
      <c r="G1456" t="n">
        <v>0</v>
      </c>
      <c r="H1456" t="n">
        <v>0</v>
      </c>
      <c r="I1456" s="3" t="n">
        <v>0</v>
      </c>
      <c r="J1456" s="3" t="n">
        <v>0</v>
      </c>
      <c r="K1456" s="3" t="n">
        <v>0</v>
      </c>
      <c r="L1456" s="3">
        <f>IF(K1456&lt;-5,"CRÍTICO",IF(K1456&lt;0,"ATENÇÃO",IF(K1456&lt;=5,"BOM","EXCELENTE")))</f>
        <v/>
      </c>
      <c r="M1456" t="n">
        <v>0</v>
      </c>
      <c r="N1456" t="n">
        <v>100</v>
      </c>
      <c r="O1456" t="n">
        <v>33.98058252427185</v>
      </c>
    </row>
    <row r="1457" hidden="1">
      <c r="A1457" s="11" t="n">
        <v>46045</v>
      </c>
      <c r="B1457" t="inlineStr">
        <is>
          <t>Karina Gonçalves Martins</t>
        </is>
      </c>
      <c r="C1457" t="inlineStr">
        <is>
          <t>JR</t>
        </is>
      </c>
      <c r="D1457" t="n">
        <v>5</v>
      </c>
      <c r="E1457" t="n">
        <v>5</v>
      </c>
      <c r="F1457" t="n">
        <v>45.31</v>
      </c>
      <c r="G1457" t="n">
        <v>0</v>
      </c>
      <c r="H1457" t="n">
        <v>0</v>
      </c>
      <c r="I1457" s="3">
        <f>E1457+G1457+H1457</f>
        <v/>
      </c>
      <c r="J1457" s="3">
        <f>ROUND(MIN(IF(C1457="Técnico III",35,IF(C1457="Técnico II",28,IF(C1457="Técnico I",23,IF(C1457="JR",20,IF(C1457="Estágio",10,0))))),IF(C1457="Técnico III",SUMIFS($D:$D,$A:$A,$A1457,$B:$B,"&lt;&gt;Patrícia Karla de Sousa Araújo",$B:$B,"&lt;&gt;Lorena Dias de Araujo",$B:$B,"&lt;&gt;Lucas Luiz Romero")*(35/1083),IF(C1457="Técnico II",SUMIFS($D:$D,$A:$A,$A1457,$B:$B,"&lt;&gt;Patrícia Karla de Sousa Araújo",$B:$B,"&lt;&gt;Lorena Dias de Araujo",$B:$B,"&lt;&gt;Lucas Luiz Romero")*(28/1083),IF(C1457="Técnico I",SUMIFS($D:$D,$A:$A,$A1457,$B:$B,"&lt;&gt;Patrícia Karla de Sousa Araújo",$B:$B,"&lt;&gt;Lorena Dias de Araujo",$B:$B,"&lt;&gt;Lucas Luiz Romero")*(23/1083),IF(C1457="JR",SUMIFS($D:$D,$A:$A,$A1457,$B:$B,"&lt;&gt;Patrícia Karla de Sousa Araújo",$B:$B,"&lt;&gt;Lorena Dias de Araujo",$B:$B,"&lt;&gt;Lucas Luiz Romero")*(20/1083),IF(C1457="Estágio",SUMIFS($D:$D,$A:$A,$A1457,$B:$B,"&lt;&gt;Patrícia Karla de Sousa Araújo",$B:$B,"&lt;&gt;Lorena Dias de Araujo",$B:$B,"&lt;&gt;Lucas Luiz Romero")*(10/1083),0)))))),0)</f>
        <v/>
      </c>
      <c r="K1457" s="3">
        <f>I1457-J1457</f>
        <v/>
      </c>
      <c r="L1457" s="3">
        <f>IF(K1457&lt;-5,"CRÍTICO",IF(K1457&lt;0,"ATENÇÃO",IF(K1457&lt;=5,"BOM","EXCELENTE")))</f>
        <v/>
      </c>
      <c r="M1457" t="n">
        <v>5</v>
      </c>
      <c r="N1457" t="n">
        <v>97.56</v>
      </c>
      <c r="O1457" t="n">
        <v>32.51533742331289</v>
      </c>
    </row>
    <row r="1458" hidden="1">
      <c r="A1458" s="11" t="n">
        <v>46045</v>
      </c>
      <c r="B1458" t="inlineStr">
        <is>
          <t>Kerollen Cristielly de Jesus Siqueira</t>
        </is>
      </c>
      <c r="C1458" t="inlineStr">
        <is>
          <t>Técnico III</t>
        </is>
      </c>
      <c r="D1458" t="n">
        <v>24</v>
      </c>
      <c r="E1458" t="n">
        <v>22</v>
      </c>
      <c r="F1458" t="n">
        <v>19.05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M1458" t="n">
        <v>23</v>
      </c>
      <c r="N1458" t="n">
        <v>97.11</v>
      </c>
      <c r="O1458" t="n">
        <v>37.40831295843521</v>
      </c>
    </row>
    <row r="1459" hidden="1">
      <c r="A1459" s="11" t="n">
        <v>46045</v>
      </c>
      <c r="B1459" t="inlineStr">
        <is>
          <t>Leandro de Souza Silva</t>
        </is>
      </c>
      <c r="C1459" t="inlineStr">
        <is>
          <t>JR</t>
        </is>
      </c>
      <c r="D1459" t="n">
        <v>0</v>
      </c>
      <c r="E1459" t="n">
        <v>0</v>
      </c>
      <c r="F1459" t="n">
        <v>0</v>
      </c>
      <c r="G1459" t="n">
        <v>0</v>
      </c>
      <c r="H1459" t="n">
        <v>0</v>
      </c>
      <c r="I1459" s="3" t="n">
        <v>0</v>
      </c>
      <c r="J1459" s="3" t="n">
        <v>0</v>
      </c>
      <c r="K1459" s="3" t="n">
        <v>0</v>
      </c>
      <c r="L1459" s="3">
        <f>IF(K1459&lt;-5,"CRÍTICO",IF(K1459&lt;0,"ATENÇÃO",IF(K1459&lt;=5,"BOM","EXCELENTE")))</f>
        <v/>
      </c>
      <c r="M1459" t="n">
        <v>0</v>
      </c>
      <c r="N1459" t="n">
        <v>0</v>
      </c>
      <c r="O1459" t="n">
        <v>0</v>
      </c>
    </row>
    <row r="1460" hidden="1">
      <c r="A1460" s="11" t="n">
        <v>46045</v>
      </c>
      <c r="B1460" t="inlineStr">
        <is>
          <t>Leandro Oliveira de Sousa</t>
        </is>
      </c>
      <c r="C1460" t="inlineStr">
        <is>
          <t>Técnico III</t>
        </is>
      </c>
      <c r="D1460" t="n">
        <v>12</v>
      </c>
      <c r="E1460" t="n">
        <v>11</v>
      </c>
      <c r="F1460" t="n">
        <v>32.12</v>
      </c>
      <c r="G1460" t="n">
        <v>0</v>
      </c>
      <c r="H1460" t="n">
        <v>0</v>
      </c>
      <c r="I1460" s="3">
        <f>E1460+G1460+H1460</f>
        <v/>
      </c>
      <c r="J1460" s="3">
        <f>ROUND(MIN(IF(C1460="Técnico III",35,IF(C1460="Técnico II",28,IF(C1460="Técnico I",23,IF(C1460="JR",20,IF(C1460="Estágio",10,0))))),IF(C1460="Técnico III",SUMIFS($D:$D,$A:$A,$A1460,$B:$B,"&lt;&gt;Patrícia Karla de Sousa Araújo",$B:$B,"&lt;&gt;Lorena Dias de Araujo",$B:$B,"&lt;&gt;Lucas Luiz Romero")*(35/1083),IF(C1460="Técnico II",SUMIFS($D:$D,$A:$A,$A1460,$B:$B,"&lt;&gt;Patrícia Karla de Sousa Araújo",$B:$B,"&lt;&gt;Lorena Dias de Araujo",$B:$B,"&lt;&gt;Lucas Luiz Romero")*(28/1083),IF(C1460="Técnico I",SUMIFS($D:$D,$A:$A,$A1460,$B:$B,"&lt;&gt;Patrícia Karla de Sousa Araújo",$B:$B,"&lt;&gt;Lorena Dias de Araujo",$B:$B,"&lt;&gt;Lucas Luiz Romero")*(23/1083),IF(C1460="JR",SUMIFS($D:$D,$A:$A,$A1460,$B:$B,"&lt;&gt;Patrícia Karla de Sousa Araújo",$B:$B,"&lt;&gt;Lorena Dias de Araujo",$B:$B,"&lt;&gt;Lucas Luiz Romero")*(20/1083),IF(C1460="Estágio",SUMIFS($D:$D,$A:$A,$A1460,$B:$B,"&lt;&gt;Patrícia Karla de Sousa Araújo",$B:$B,"&lt;&gt;Lorena Dias de Araujo",$B:$B,"&lt;&gt;Lucas Luiz Romero")*(10/1083),0)))))),0)</f>
        <v/>
      </c>
      <c r="K1460" s="3">
        <f>I1460-J1460</f>
        <v/>
      </c>
      <c r="L1460" s="3">
        <f>IF(K1460&lt;-5,"CRÍTICO",IF(K1460&lt;0,"ATENÇÃO",IF(K1460&lt;=5,"BOM","EXCELENTE")))</f>
        <v/>
      </c>
      <c r="M1460" t="n">
        <v>9</v>
      </c>
      <c r="N1460" t="n">
        <v>100</v>
      </c>
      <c r="O1460" t="n">
        <v>30.47034764826176</v>
      </c>
    </row>
    <row r="1461" hidden="1">
      <c r="A1461" s="11" t="n">
        <v>46045</v>
      </c>
      <c r="B1461" t="inlineStr">
        <is>
          <t>Lizandra Gomes Duarte</t>
        </is>
      </c>
      <c r="C1461" t="inlineStr">
        <is>
          <t>Técnico II</t>
        </is>
      </c>
      <c r="D1461" t="n">
        <v>27</v>
      </c>
      <c r="E1461" t="n">
        <v>23</v>
      </c>
      <c r="F1461" t="n">
        <v>17.29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M1461" t="n">
        <v>21</v>
      </c>
      <c r="N1461" t="n">
        <v>100</v>
      </c>
      <c r="O1461" t="n">
        <v>32.37113402061856</v>
      </c>
    </row>
    <row r="1462" hidden="1">
      <c r="A1462" s="11" t="n">
        <v>46045</v>
      </c>
      <c r="B1462" t="inlineStr">
        <is>
          <t>Lorena Dias de Araujo</t>
        </is>
      </c>
      <c r="C1462" t="inlineStr">
        <is>
          <t>Técnico II</t>
        </is>
      </c>
      <c r="D1462" t="n">
        <v>11</v>
      </c>
      <c r="E1462" t="n">
        <v>11</v>
      </c>
      <c r="F1462" t="n">
        <v>18.28</v>
      </c>
      <c r="G1462" t="n">
        <v>0</v>
      </c>
      <c r="H1462" t="n">
        <v>0</v>
      </c>
      <c r="I1462" s="3" t="n">
        <v>0</v>
      </c>
      <c r="J1462" s="3" t="n">
        <v>0</v>
      </c>
      <c r="K1462" s="3" t="n">
        <v>0</v>
      </c>
      <c r="L1462" s="3">
        <f>IF(K1462&lt;-5,"CRÍTICO",IF(K1462&lt;0,"ATENÇÃO",IF(K1462&lt;=5,"BOM","EXCELENTE")))</f>
        <v/>
      </c>
      <c r="M1462" t="n">
        <v>10</v>
      </c>
      <c r="N1462" t="n">
        <v>98.31999999999999</v>
      </c>
      <c r="O1462" t="n">
        <v>32.31850117096019</v>
      </c>
    </row>
    <row r="1463" hidden="1">
      <c r="A1463" s="11" t="n">
        <v>46045</v>
      </c>
      <c r="B1463" t="inlineStr">
        <is>
          <t>Lucas Luiz Romero</t>
        </is>
      </c>
      <c r="C1463" t="inlineStr">
        <is>
          <t>Técnico III</t>
        </is>
      </c>
      <c r="D1463" t="n">
        <v>23</v>
      </c>
      <c r="E1463" t="n">
        <v>17</v>
      </c>
      <c r="F1463" t="n">
        <v>11.47</v>
      </c>
      <c r="G1463" t="n">
        <v>0</v>
      </c>
      <c r="H1463" t="n">
        <v>0</v>
      </c>
      <c r="I1463" s="3">
        <f>E1463+G1463+H1463</f>
        <v/>
      </c>
      <c r="J1463" s="3">
        <f>ROUND(MIN(IF(C1463="Técnico III",35,IF(C1463="Técnico II",28,IF(C1463="Técnico I",23,IF(C1463="JR",20,IF(C1463="Estágio",10,0))))),IF(C1463="Técnico III",SUMIFS($D:$D,$A:$A,$A1463,$B:$B,"&lt;&gt;Patrícia Karla de Sousa Araújo",$B:$B,"&lt;&gt;Lorena Dias de Araujo",$B:$B,"&lt;&gt;Lucas Luiz Romero")*(35/1083),IF(C1463="Técnico II",SUMIFS($D:$D,$A:$A,$A1463,$B:$B,"&lt;&gt;Patrícia Karla de Sousa Araújo",$B:$B,"&lt;&gt;Lorena Dias de Araujo",$B:$B,"&lt;&gt;Lucas Luiz Romero")*(28/1083),IF(C1463="Técnico I",SUMIFS($D:$D,$A:$A,$A1463,$B:$B,"&lt;&gt;Patrícia Karla de Sousa Araújo",$B:$B,"&lt;&gt;Lorena Dias de Araujo",$B:$B,"&lt;&gt;Lucas Luiz Romero")*(23/1083),IF(C1463="JR",SUMIFS($D:$D,$A:$A,$A1463,$B:$B,"&lt;&gt;Patrícia Karla de Sousa Araújo",$B:$B,"&lt;&gt;Lorena Dias de Araujo",$B:$B,"&lt;&gt;Lucas Luiz Romero")*(20/1083),IF(C1463="Estágio",SUMIFS($D:$D,$A:$A,$A1463,$B:$B,"&lt;&gt;Patrícia Karla de Sousa Araújo",$B:$B,"&lt;&gt;Lorena Dias de Araujo",$B:$B,"&lt;&gt;Lucas Luiz Romero")*(10/1083),0)))))),0)</f>
        <v/>
      </c>
      <c r="K1463" s="3">
        <f>I1463-J1463</f>
        <v/>
      </c>
      <c r="L1463" s="3">
        <f>IF(K1463&lt;-5,"CRÍTICO",IF(K1463&lt;0,"ATENÇÃO",IF(K1463&lt;=5,"BOM","EXCELENTE")))</f>
        <v/>
      </c>
      <c r="M1463" t="n">
        <v>11</v>
      </c>
      <c r="N1463" t="n">
        <v>96.43000000000001</v>
      </c>
      <c r="O1463" t="n">
        <v>27.01525054466231</v>
      </c>
    </row>
    <row r="1464" hidden="1">
      <c r="A1464" s="11" t="n">
        <v>46045</v>
      </c>
      <c r="B1464" t="inlineStr">
        <is>
          <t>Luiz Fernando de Carvalho Junior</t>
        </is>
      </c>
      <c r="C1464" t="inlineStr">
        <is>
          <t>Técnico I</t>
        </is>
      </c>
      <c r="D1464" t="n">
        <v>18</v>
      </c>
      <c r="E1464" t="n">
        <v>18</v>
      </c>
      <c r="F1464" t="n">
        <v>28.28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M1464" t="n">
        <v>14</v>
      </c>
      <c r="N1464" t="n">
        <v>98.89</v>
      </c>
      <c r="O1464" t="n">
        <v>28.02197802197802</v>
      </c>
    </row>
    <row r="1465" hidden="1">
      <c r="A1465" s="11" t="n">
        <v>46045</v>
      </c>
      <c r="B1465" t="inlineStr">
        <is>
          <t>Maria Eduarda Sousa Costa</t>
        </is>
      </c>
      <c r="C1465" t="inlineStr">
        <is>
          <t>Estágio</t>
        </is>
      </c>
      <c r="D1465" t="n">
        <v>9</v>
      </c>
      <c r="E1465" t="n">
        <v>9</v>
      </c>
      <c r="F1465" t="n">
        <v>25.29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M1465" t="n">
        <v>6</v>
      </c>
      <c r="N1465" t="n">
        <v>100</v>
      </c>
      <c r="O1465" t="n">
        <v>33.33333333333333</v>
      </c>
    </row>
    <row r="1466" hidden="1">
      <c r="A1466" s="11" t="n">
        <v>46045</v>
      </c>
      <c r="B1466" t="inlineStr">
        <is>
          <t>Matheus Farias De Souza</t>
        </is>
      </c>
      <c r="C1466" t="inlineStr">
        <is>
          <t>Técnico III</t>
        </is>
      </c>
      <c r="D1466" t="n">
        <v>26</v>
      </c>
      <c r="E1466" t="n">
        <v>26</v>
      </c>
      <c r="F1466" t="n">
        <v>15.42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M1466" t="n">
        <v>23</v>
      </c>
      <c r="N1466" t="n">
        <v>100</v>
      </c>
      <c r="O1466" t="n">
        <v>27.43362831858407</v>
      </c>
    </row>
    <row r="1467" hidden="1">
      <c r="A1467" s="11" t="n">
        <v>46045</v>
      </c>
      <c r="B1467" t="inlineStr">
        <is>
          <t>Maysa Victoria Dias Moura</t>
        </is>
      </c>
      <c r="C1467" t="inlineStr">
        <is>
          <t>Técnico III</t>
        </is>
      </c>
      <c r="D1467" t="n">
        <v>25</v>
      </c>
      <c r="E1467" t="n">
        <v>24</v>
      </c>
      <c r="F1467" t="n">
        <v>15.24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M1467" t="n">
        <v>20</v>
      </c>
      <c r="N1467" t="n">
        <v>98.65000000000001</v>
      </c>
      <c r="O1467" t="n">
        <v>30.97826086956522</v>
      </c>
    </row>
    <row r="1468" hidden="1">
      <c r="A1468" s="11" t="n">
        <v>46045</v>
      </c>
      <c r="B1468" t="inlineStr">
        <is>
          <t>Michelle G Santos</t>
        </is>
      </c>
      <c r="C1468" t="inlineStr">
        <is>
          <t>Estágio</t>
        </is>
      </c>
      <c r="D1468" t="n">
        <v>8</v>
      </c>
      <c r="E1468" t="n">
        <v>8</v>
      </c>
      <c r="F1468" t="n">
        <v>32.1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M1468" t="n">
        <v>4</v>
      </c>
      <c r="N1468" t="n">
        <v>100</v>
      </c>
      <c r="O1468" t="n">
        <v>12</v>
      </c>
    </row>
    <row r="1469" hidden="1">
      <c r="A1469" s="11" t="n">
        <v>46045</v>
      </c>
      <c r="B1469" t="inlineStr">
        <is>
          <t>Milena Sales</t>
        </is>
      </c>
      <c r="C1469" t="inlineStr">
        <is>
          <t>JR</t>
        </is>
      </c>
      <c r="D1469" t="n">
        <v>0</v>
      </c>
      <c r="E1469" t="n">
        <v>0</v>
      </c>
      <c r="F1469" t="n">
        <v>0</v>
      </c>
      <c r="G1469" t="n">
        <v>0</v>
      </c>
      <c r="H1469" t="n">
        <v>0</v>
      </c>
      <c r="I1469" s="3" t="n">
        <v>0</v>
      </c>
      <c r="J1469" s="3" t="n">
        <v>0</v>
      </c>
      <c r="K1469" s="3" t="n">
        <v>0</v>
      </c>
      <c r="L1469" s="3">
        <f>IF(K1469&lt;-5,"CRÍTICO",IF(K1469&lt;0,"ATENÇÃO",IF(K1469&lt;=5,"BOM","EXCELENTE")))</f>
        <v/>
      </c>
      <c r="M1469" t="n">
        <v>0</v>
      </c>
      <c r="N1469" t="n">
        <v>0</v>
      </c>
      <c r="O1469" t="n">
        <v>0</v>
      </c>
    </row>
    <row r="1470" hidden="1">
      <c r="A1470" s="11" t="n">
        <v>46045</v>
      </c>
      <c r="B1470" t="inlineStr">
        <is>
          <t>Patrícia Karla de Sousa Araújo</t>
        </is>
      </c>
      <c r="C1470" t="inlineStr">
        <is>
          <t>Técnico II</t>
        </is>
      </c>
      <c r="D1470" t="n">
        <v>21</v>
      </c>
      <c r="E1470" t="n">
        <v>21</v>
      </c>
      <c r="F1470" t="n">
        <v>18.26</v>
      </c>
      <c r="G1470" t="n">
        <v>0</v>
      </c>
      <c r="H1470" t="n">
        <v>0</v>
      </c>
      <c r="I1470" s="3">
        <f>E1470+G1470+H1470</f>
        <v/>
      </c>
      <c r="J1470" s="3">
        <f>ROUND(MIN(IF(C1470="Técnico III",35,IF(C1470="Técnico II",28,IF(C1470="Técnico I",23,IF(C1470="JR",20,IF(C1470="Estágio",10,0))))),IF(C1470="Técnico III",SUMIFS($D:$D,$A:$A,$A1470,$B:$B,"&lt;&gt;Patrícia Karla de Sousa Araújo",$B:$B,"&lt;&gt;Lorena Dias de Araujo",$B:$B,"&lt;&gt;Lucas Luiz Romero")*(35/1083),IF(C1470="Técnico II",SUMIFS($D:$D,$A:$A,$A1470,$B:$B,"&lt;&gt;Patrícia Karla de Sousa Araújo",$B:$B,"&lt;&gt;Lorena Dias de Araujo",$B:$B,"&lt;&gt;Lucas Luiz Romero")*(28/1083),IF(C1470="Técnico I",SUMIFS($D:$D,$A:$A,$A1470,$B:$B,"&lt;&gt;Patrícia Karla de Sousa Araújo",$B:$B,"&lt;&gt;Lorena Dias de Araujo",$B:$B,"&lt;&gt;Lucas Luiz Romero")*(23/1083),IF(C1470="JR",SUMIFS($D:$D,$A:$A,$A1470,$B:$B,"&lt;&gt;Patrícia Karla de Sousa Araújo",$B:$B,"&lt;&gt;Lorena Dias de Araujo",$B:$B,"&lt;&gt;Lucas Luiz Romero")*(20/1083),IF(C1470="Estágio",SUMIFS($D:$D,$A:$A,$A1470,$B:$B,"&lt;&gt;Patrícia Karla de Sousa Araújo",$B:$B,"&lt;&gt;Lorena Dias de Araujo",$B:$B,"&lt;&gt;Lucas Luiz Romero")*(10/1083),0)))))),0)</f>
        <v/>
      </c>
      <c r="K1470" s="3">
        <f>I1470-J1470</f>
        <v/>
      </c>
      <c r="L1470" s="3">
        <f>IF(K1470&lt;-5,"CRÍTICO",IF(K1470&lt;0,"ATENÇÃO",IF(K1470&lt;=5,"BOM","EXCELENTE")))</f>
        <v/>
      </c>
      <c r="M1470" t="n">
        <v>16</v>
      </c>
      <c r="N1470" t="n">
        <v>97.56</v>
      </c>
      <c r="O1470" t="n">
        <v>31.06796116504854</v>
      </c>
    </row>
    <row r="1471" hidden="1">
      <c r="A1471" s="11" t="n">
        <v>46045</v>
      </c>
      <c r="B1471" t="inlineStr">
        <is>
          <t>Paulo Ricardo Santos</t>
        </is>
      </c>
      <c r="C1471" t="inlineStr">
        <is>
          <t>JR</t>
        </is>
      </c>
      <c r="D1471" t="n">
        <v>0</v>
      </c>
      <c r="E1471" t="n">
        <v>0</v>
      </c>
      <c r="F1471" t="n">
        <v>0</v>
      </c>
      <c r="G1471" t="n">
        <v>0</v>
      </c>
      <c r="H1471" t="n">
        <v>0</v>
      </c>
      <c r="I1471" s="3" t="n">
        <v>0</v>
      </c>
      <c r="J1471" s="3" t="n">
        <v>0</v>
      </c>
      <c r="K1471" s="3" t="n">
        <v>0</v>
      </c>
      <c r="L1471" s="3">
        <f>IF(K1471&lt;-5,"CRÍTICO",IF(K1471&lt;0,"ATENÇÃO",IF(K1471&lt;=5,"BOM","EXCELENTE")))</f>
        <v/>
      </c>
      <c r="M1471" t="n">
        <v>0</v>
      </c>
      <c r="N1471" t="n">
        <v>0</v>
      </c>
      <c r="O1471" t="n">
        <v>0</v>
      </c>
    </row>
    <row r="1472" hidden="1">
      <c r="A1472" s="11" t="n">
        <v>46045</v>
      </c>
      <c r="B1472" t="inlineStr">
        <is>
          <t>Pedro Luiz Mota Sousa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M1472" t="n">
        <v>0</v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Quirino Diogo Leite Torres</t>
        </is>
      </c>
      <c r="C1473" t="inlineStr">
        <is>
          <t>Estágio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M1473" t="n">
        <v>0</v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Raane Batista Matos</t>
        </is>
      </c>
      <c r="C1474" t="inlineStr">
        <is>
          <t>Técnico I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M1474" t="n">
        <v>0</v>
      </c>
      <c r="N1474" t="n">
        <v>100</v>
      </c>
      <c r="O1474" t="n">
        <v>53.84615384615385</v>
      </c>
    </row>
    <row r="1475" hidden="1">
      <c r="A1475" s="11" t="n">
        <v>46045</v>
      </c>
      <c r="B1475" t="inlineStr">
        <is>
          <t>Rafael Gomes de Morais</t>
        </is>
      </c>
      <c r="C1475" t="inlineStr">
        <is>
          <t>Técnico III</t>
        </is>
      </c>
      <c r="D1475" t="n">
        <v>30</v>
      </c>
      <c r="E1475" t="n">
        <v>28</v>
      </c>
      <c r="F1475" t="n">
        <v>12.09</v>
      </c>
      <c r="G1475" t="n">
        <v>0</v>
      </c>
      <c r="H1475" t="n">
        <v>0</v>
      </c>
      <c r="I1475" s="3">
        <f>E1475+G1475+H1475</f>
        <v/>
      </c>
      <c r="J1475" s="3">
        <f>ROUND(MIN(IF(C1475="Técnico III",35,IF(C1475="Técnico II",28,IF(C1475="Técnico I",23,IF(C1475="JR",20,IF(C1475="Estágio",10,0))))),IF(C1475="Técnico III",SUMIFS($D:$D,$A:$A,$A1475,$B:$B,"&lt;&gt;Patrícia Karla de Sousa Araújo",$B:$B,"&lt;&gt;Lorena Dias de Araujo",$B:$B,"&lt;&gt;Lucas Luiz Romero")*(35/1083),IF(C1475="Técnico II",SUMIFS($D:$D,$A:$A,$A1475,$B:$B,"&lt;&gt;Patrícia Karla de Sousa Araújo",$B:$B,"&lt;&gt;Lorena Dias de Araujo",$B:$B,"&lt;&gt;Lucas Luiz Romero")*(28/1083),IF(C1475="Técnico I",SUMIFS($D:$D,$A:$A,$A1475,$B:$B,"&lt;&gt;Patrícia Karla de Sousa Araújo",$B:$B,"&lt;&gt;Lorena Dias de Araujo",$B:$B,"&lt;&gt;Lucas Luiz Romero")*(23/1083),IF(C1475="JR",SUMIFS($D:$D,$A:$A,$A1475,$B:$B,"&lt;&gt;Patrícia Karla de Sousa Araújo",$B:$B,"&lt;&gt;Lorena Dias de Araujo",$B:$B,"&lt;&gt;Lucas Luiz Romero")*(20/1083),IF(C1475="Estágio",SUMIFS($D:$D,$A:$A,$A1475,$B:$B,"&lt;&gt;Patrícia Karla de Sousa Araújo",$B:$B,"&lt;&gt;Lorena Dias de Araujo",$B:$B,"&lt;&gt;Lucas Luiz Romero")*(10/1083),0)))))),0)</f>
        <v/>
      </c>
      <c r="K1475" s="3">
        <f>I1475-J1475</f>
        <v/>
      </c>
      <c r="L1475" s="3">
        <f>IF(K1475&lt;-5,"CRÍTICO",IF(K1475&lt;0,"ATENÇÃO",IF(K1475&lt;=5,"BOM","EXCELENTE")))</f>
        <v/>
      </c>
      <c r="M1475" t="n">
        <v>26</v>
      </c>
      <c r="N1475" t="n">
        <v>100</v>
      </c>
      <c r="O1475" t="n">
        <v>44.05594405594406</v>
      </c>
    </row>
    <row r="1476" hidden="1">
      <c r="A1476" s="11" t="n">
        <v>46045</v>
      </c>
      <c r="B1476" t="inlineStr">
        <is>
          <t>Sara Maria Monteiro Lopes</t>
        </is>
      </c>
      <c r="C1476" t="inlineStr">
        <is>
          <t>Técnico I</t>
        </is>
      </c>
      <c r="D1476" t="n">
        <v>15</v>
      </c>
      <c r="E1476" t="n">
        <v>15</v>
      </c>
      <c r="F1476" t="n">
        <v>33.52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M1476" t="n">
        <v>14</v>
      </c>
      <c r="N1476" t="n">
        <v>100</v>
      </c>
      <c r="O1476" t="n">
        <v>31.87250996015936</v>
      </c>
    </row>
    <row r="1477" hidden="1">
      <c r="A1477" s="11" t="n">
        <v>46045</v>
      </c>
      <c r="B1477" t="inlineStr">
        <is>
          <t>Sarah Steffanie de Lima Borges</t>
        </is>
      </c>
      <c r="C1477" t="inlineStr">
        <is>
          <t>Técnico III</t>
        </is>
      </c>
      <c r="D1477" t="n">
        <v>25</v>
      </c>
      <c r="E1477" t="n">
        <v>25</v>
      </c>
      <c r="F1477" t="n">
        <v>12.34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M1477" t="n">
        <v>23</v>
      </c>
      <c r="N1477" t="n">
        <v>98.41</v>
      </c>
      <c r="O1477" t="n">
        <v>29.22465208747515</v>
      </c>
    </row>
    <row r="1478" hidden="1">
      <c r="A1478" s="11" t="n">
        <v>46048</v>
      </c>
      <c r="B1478" t="inlineStr">
        <is>
          <t>Alisson de Freitas Silva</t>
        </is>
      </c>
      <c r="C1478" t="inlineStr">
        <is>
          <t>Técnico II</t>
        </is>
      </c>
      <c r="D1478" t="n">
        <v>26</v>
      </c>
      <c r="E1478" t="n">
        <v>25</v>
      </c>
      <c r="F1478" t="n">
        <v>17.2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M1478" t="n">
        <v>19</v>
      </c>
      <c r="N1478" t="n">
        <v>96.81</v>
      </c>
      <c r="O1478" t="n">
        <v>27.98053527980535</v>
      </c>
    </row>
    <row r="1479" hidden="1">
      <c r="A1479" s="11" t="n">
        <v>46048</v>
      </c>
      <c r="B1479" t="inlineStr">
        <is>
          <t>Amanda Moura Ferreira</t>
        </is>
      </c>
      <c r="C1479" t="inlineStr">
        <is>
          <t>Técnico III</t>
        </is>
      </c>
      <c r="D1479" t="n">
        <v>0</v>
      </c>
      <c r="E1479" t="n">
        <v>0</v>
      </c>
      <c r="F1479" t="n">
        <v>0</v>
      </c>
      <c r="G1479" t="n">
        <v>0</v>
      </c>
      <c r="H1479" t="n">
        <v>0</v>
      </c>
      <c r="I1479" s="3" t="n">
        <v>0</v>
      </c>
      <c r="J1479" s="3" t="n">
        <v>0</v>
      </c>
      <c r="K1479" s="3" t="n">
        <v>0</v>
      </c>
      <c r="L1479" s="3">
        <f>IF(K1479&lt;-5,"CRÍTICO",IF(K1479&lt;0,"ATENÇÃO",IF(K1479&lt;=5,"BOM","EXCELENTE")))</f>
        <v/>
      </c>
      <c r="M1479" t="n">
        <v>21</v>
      </c>
      <c r="N1479" t="n">
        <v>98.73</v>
      </c>
      <c r="O1479" t="n">
        <v>35.75638506876228</v>
      </c>
    </row>
    <row r="1480" hidden="1">
      <c r="A1480" s="11" t="n">
        <v>46048</v>
      </c>
      <c r="B1480" t="inlineStr">
        <is>
          <t>Ana Karollyne Souza Faria</t>
        </is>
      </c>
      <c r="C1480" t="inlineStr">
        <is>
          <t>Técnico I</t>
        </is>
      </c>
      <c r="D1480" t="n">
        <v>29</v>
      </c>
      <c r="E1480" t="n">
        <v>26</v>
      </c>
      <c r="F1480" t="n">
        <v>20.56</v>
      </c>
      <c r="G1480" t="n">
        <v>0</v>
      </c>
      <c r="H1480" t="n">
        <v>0</v>
      </c>
      <c r="I1480" s="3">
        <f>E1480+G1480+H1480</f>
        <v/>
      </c>
      <c r="J1480" s="3">
        <f>ROUND(MIN(IF(C1480="Técnico III",35,IF(C1480="Técnico II",28,IF(C1480="Técnico I",23,IF(C1480="JR",20,IF(C1480="Estágio",10,0))))),IF(C1480="Técnico III",SUMIFS($D:$D,$A:$A,$A1480,$B:$B,"&lt;&gt;Patrícia Karla de Sousa Araújo",$B:$B,"&lt;&gt;Lorena Dias de Araujo",$B:$B,"&lt;&gt;Lucas Luiz Romero")*(35/1083),IF(C1480="Técnico II",SUMIFS($D:$D,$A:$A,$A1480,$B:$B,"&lt;&gt;Patrícia Karla de Sousa Araújo",$B:$B,"&lt;&gt;Lorena Dias de Araujo",$B:$B,"&lt;&gt;Lucas Luiz Romero")*(28/1083),IF(C1480="Técnico I",SUMIFS($D:$D,$A:$A,$A1480,$B:$B,"&lt;&gt;Patrícia Karla de Sousa Araújo",$B:$B,"&lt;&gt;Lorena Dias de Araujo",$B:$B,"&lt;&gt;Lucas Luiz Romero")*(23/1083),IF(C1480="JR",SUMIFS($D:$D,$A:$A,$A1480,$B:$B,"&lt;&gt;Patrícia Karla de Sousa Araújo",$B:$B,"&lt;&gt;Lorena Dias de Araujo",$B:$B,"&lt;&gt;Lucas Luiz Romero")*(20/1083),IF(C1480="Estágio",SUMIFS($D:$D,$A:$A,$A1480,$B:$B,"&lt;&gt;Patrícia Karla de Sousa Araújo",$B:$B,"&lt;&gt;Lorena Dias de Araujo",$B:$B,"&lt;&gt;Lucas Luiz Romero")*(10/1083),0)))))),0)</f>
        <v/>
      </c>
      <c r="K1480" s="3">
        <f>I1480-J1480</f>
        <v/>
      </c>
      <c r="L1480" s="3">
        <f>IF(K1480&lt;-5,"CRÍTICO",IF(K1480&lt;0,"ATENÇÃO",IF(K1480&lt;=5,"BOM","EXCELENTE")))</f>
        <v/>
      </c>
      <c r="M1480" t="n">
        <v>27</v>
      </c>
      <c r="N1480" t="n">
        <v>98.31999999999999</v>
      </c>
      <c r="O1480" t="n">
        <v>26.76348547717842</v>
      </c>
    </row>
    <row r="1481" hidden="1">
      <c r="A1481" s="11" t="n">
        <v>46048</v>
      </c>
      <c r="B1481" t="inlineStr">
        <is>
          <t>Ana Paula Da Luz Silva Aleixo</t>
        </is>
      </c>
      <c r="C1481" t="inlineStr">
        <is>
          <t>Técnico III</t>
        </is>
      </c>
      <c r="D1481" t="n">
        <v>28</v>
      </c>
      <c r="E1481" t="n">
        <v>24</v>
      </c>
      <c r="F1481" t="n">
        <v>25.26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16</v>
      </c>
      <c r="N1481" t="n">
        <v>99.19</v>
      </c>
      <c r="O1481" t="n">
        <v>27.63713080168776</v>
      </c>
    </row>
    <row r="1482" hidden="1">
      <c r="A1482" s="11" t="n">
        <v>46048</v>
      </c>
      <c r="B1482" t="inlineStr">
        <is>
          <t>Anna Luiza Rezende Tavares</t>
        </is>
      </c>
      <c r="C1482" t="inlineStr">
        <is>
          <t>Estágio</t>
        </is>
      </c>
      <c r="D1482" t="n">
        <v>9</v>
      </c>
      <c r="E1482" t="n">
        <v>9</v>
      </c>
      <c r="F1482" t="n">
        <v>37.02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7</v>
      </c>
      <c r="N1482" t="n">
        <v>100</v>
      </c>
      <c r="O1482" t="n">
        <v>39.56834532374101</v>
      </c>
    </row>
    <row r="1483" hidden="1">
      <c r="A1483" s="11" t="n">
        <v>46048</v>
      </c>
      <c r="B1483" t="inlineStr">
        <is>
          <t>Brenda de Menezes Silva</t>
        </is>
      </c>
      <c r="C1483" t="inlineStr">
        <is>
          <t>Técnico II</t>
        </is>
      </c>
      <c r="D1483" t="n">
        <v>34</v>
      </c>
      <c r="E1483" t="n">
        <v>30</v>
      </c>
      <c r="F1483" t="n">
        <v>14.12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30</v>
      </c>
      <c r="N1483" t="n">
        <v>98.54000000000001</v>
      </c>
      <c r="O1483" t="n">
        <v>28.54477611940299</v>
      </c>
    </row>
    <row r="1484" hidden="1">
      <c r="A1484" s="11" t="n">
        <v>46048</v>
      </c>
      <c r="B1484" t="inlineStr">
        <is>
          <t>Carlos Mateus Cassimiro Nunes</t>
        </is>
      </c>
      <c r="C1484" t="inlineStr">
        <is>
          <t>Técnico II</t>
        </is>
      </c>
      <c r="D1484" t="n">
        <v>23</v>
      </c>
      <c r="E1484" t="n">
        <v>23</v>
      </c>
      <c r="F1484" t="n">
        <v>28.35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21</v>
      </c>
      <c r="N1484" t="n">
        <v>100</v>
      </c>
      <c r="O1484" t="n">
        <v>34.36692506459949</v>
      </c>
    </row>
    <row r="1485" hidden="1">
      <c r="A1485" s="11" t="n">
        <v>46048</v>
      </c>
      <c r="B1485" t="inlineStr">
        <is>
          <t>Claudio de Sousa Velasco Filho</t>
        </is>
      </c>
      <c r="C1485" t="inlineStr">
        <is>
          <t>Estágio</t>
        </is>
      </c>
      <c r="D1485" t="n">
        <v>0</v>
      </c>
      <c r="E1485" t="n">
        <v>0</v>
      </c>
      <c r="F1485" t="n">
        <v>0</v>
      </c>
      <c r="G1485" t="n">
        <v>0</v>
      </c>
      <c r="H1485" t="n">
        <v>0</v>
      </c>
      <c r="I1485" s="3" t="n">
        <v>0</v>
      </c>
      <c r="J1485" s="3" t="n">
        <v>0</v>
      </c>
      <c r="K1485" s="3" t="n">
        <v>0</v>
      </c>
      <c r="L1485" s="3">
        <f>IF(K1485&lt;-5,"CRÍTICO",IF(K1485&lt;0,"ATENÇÃO",IF(K1485&lt;=5,"BOM","EXCELENTE")))</f>
        <v/>
      </c>
      <c r="M1485" t="n">
        <v>0</v>
      </c>
      <c r="N1485" t="n">
        <v>0</v>
      </c>
      <c r="O1485" t="n">
        <v>0</v>
      </c>
    </row>
    <row r="1486" hidden="1">
      <c r="A1486" s="11" t="n">
        <v>46048</v>
      </c>
      <c r="B1486" t="inlineStr">
        <is>
          <t>Clessiane Pereira dos Santos</t>
        </is>
      </c>
      <c r="C1486" t="inlineStr">
        <is>
          <t>Técnico I</t>
        </is>
      </c>
      <c r="D1486" t="n">
        <v>21</v>
      </c>
      <c r="E1486" t="n">
        <v>20</v>
      </c>
      <c r="F1486" t="n">
        <v>25.2</v>
      </c>
      <c r="G1486" t="n">
        <v>0</v>
      </c>
      <c r="H1486" t="n">
        <v>0</v>
      </c>
      <c r="I1486" s="3">
        <f>E1486+G1486+H1486</f>
        <v/>
      </c>
      <c r="J1486" s="3">
        <f>ROUND(MIN(IF(C1486="Técnico III",35,IF(C1486="Técnico II",28,IF(C1486="Técnico I",23,IF(C1486="JR",20,IF(C1486="Estágio",10,0))))),IF(C1486="Técnico III",SUMIFS($D:$D,$A:$A,$A1486,$B:$B,"&lt;&gt;Patrícia Karla de Sousa Araújo",$B:$B,"&lt;&gt;Lorena Dias de Araujo",$B:$B,"&lt;&gt;Lucas Luiz Romero")*(35/1083),IF(C1486="Técnico II",SUMIFS($D:$D,$A:$A,$A1486,$B:$B,"&lt;&gt;Patrícia Karla de Sousa Araújo",$B:$B,"&lt;&gt;Lorena Dias de Araujo",$B:$B,"&lt;&gt;Lucas Luiz Romero")*(28/1083),IF(C1486="Técnico I",SUMIFS($D:$D,$A:$A,$A1486,$B:$B,"&lt;&gt;Patrícia Karla de Sousa Araújo",$B:$B,"&lt;&gt;Lorena Dias de Araujo",$B:$B,"&lt;&gt;Lucas Luiz Romero")*(23/1083),IF(C1486="JR",SUMIFS($D:$D,$A:$A,$A1486,$B:$B,"&lt;&gt;Patrícia Karla de Sousa Araújo",$B:$B,"&lt;&gt;Lorena Dias de Araujo",$B:$B,"&lt;&gt;Lucas Luiz Romero")*(20/1083),IF(C1486="Estágio",SUMIFS($D:$D,$A:$A,$A1486,$B:$B,"&lt;&gt;Patrícia Karla de Sousa Araújo",$B:$B,"&lt;&gt;Lorena Dias de Araujo",$B:$B,"&lt;&gt;Lucas Luiz Romero")*(10/1083),0)))))),0)</f>
        <v/>
      </c>
      <c r="K1486" s="3">
        <f>I1486-J1486</f>
        <v/>
      </c>
      <c r="L1486" s="3">
        <f>IF(K1486&lt;-5,"CRÍTICO",IF(K1486&lt;0,"ATENÇÃO",IF(K1486&lt;=5,"BOM","EXCELENTE")))</f>
        <v/>
      </c>
      <c r="M1486" t="n">
        <v>19</v>
      </c>
      <c r="N1486" t="n">
        <v>100</v>
      </c>
      <c r="O1486" t="n">
        <v>29.51807228915663</v>
      </c>
    </row>
    <row r="1487" hidden="1">
      <c r="A1487" s="11" t="n">
        <v>46048</v>
      </c>
      <c r="B1487" t="inlineStr">
        <is>
          <t>Cristiane Ramos da Silva Rocha</t>
        </is>
      </c>
      <c r="C1487" t="inlineStr">
        <is>
          <t>Técnico III</t>
        </is>
      </c>
      <c r="D1487" t="n">
        <v>34</v>
      </c>
      <c r="E1487" t="n">
        <v>28</v>
      </c>
      <c r="F1487" t="n">
        <v>13.45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30</v>
      </c>
      <c r="N1487" t="n">
        <v>97.45</v>
      </c>
      <c r="O1487" t="n">
        <v>41.421143847487</v>
      </c>
    </row>
    <row r="1488" hidden="1">
      <c r="A1488" s="11" t="n">
        <v>46048</v>
      </c>
      <c r="B1488" t="inlineStr">
        <is>
          <t>Damyllis Lorraine de Oliveira Gonçalves</t>
        </is>
      </c>
      <c r="C1488" t="inlineStr">
        <is>
          <t>Técnico II</t>
        </is>
      </c>
      <c r="D1488" t="n">
        <v>30</v>
      </c>
      <c r="E1488" t="n">
        <v>21</v>
      </c>
      <c r="F1488" t="n">
        <v>20.24</v>
      </c>
      <c r="G1488" t="n">
        <v>0</v>
      </c>
      <c r="H1488" t="n">
        <v>0</v>
      </c>
      <c r="I1488" s="3" t="n">
        <v>0</v>
      </c>
      <c r="J1488" s="3" t="n">
        <v>0</v>
      </c>
      <c r="K1488" s="3" t="n">
        <v>0</v>
      </c>
      <c r="L1488" s="3">
        <f>IF(K1488&lt;-5,"CRÍTICO",IF(K1488&lt;0,"ATENÇÃO",IF(K1488&lt;=5,"BOM","EXCELENTE")))</f>
        <v/>
      </c>
      <c r="M1488" t="n">
        <v>21</v>
      </c>
      <c r="N1488" t="n">
        <v>96.58</v>
      </c>
      <c r="O1488" t="n">
        <v>30.39647577092511</v>
      </c>
    </row>
    <row r="1489" hidden="1">
      <c r="A1489" s="11" t="n">
        <v>46048</v>
      </c>
      <c r="B1489" t="inlineStr">
        <is>
          <t>Daniel Gomes da Silva</t>
        </is>
      </c>
      <c r="C1489" t="inlineStr">
        <is>
          <t>Técnico I</t>
        </is>
      </c>
      <c r="D1489" t="n">
        <v>11</v>
      </c>
      <c r="E1489" t="n">
        <v>11</v>
      </c>
      <c r="F1489" t="n">
        <v>60.52</v>
      </c>
      <c r="G1489" t="n">
        <v>0</v>
      </c>
      <c r="H1489" t="n">
        <v>0</v>
      </c>
      <c r="I1489" s="3">
        <f>E1489+G1489+H1489</f>
        <v/>
      </c>
      <c r="J1489" s="3">
        <f>ROUND(MIN(IF(C1489="Técnico III",35,IF(C1489="Técnico II",28,IF(C1489="Técnico I",23,IF(C1489="JR",20,IF(C1489="Estágio",10,0))))),IF(C1489="Técnico III",SUMIFS($D:$D,$A:$A,$A1489,$B:$B,"&lt;&gt;Patrícia Karla de Sousa Araújo",$B:$B,"&lt;&gt;Lorena Dias de Araujo",$B:$B,"&lt;&gt;Lucas Luiz Romero")*(35/1083),IF(C1489="Técnico II",SUMIFS($D:$D,$A:$A,$A1489,$B:$B,"&lt;&gt;Patrícia Karla de Sousa Araújo",$B:$B,"&lt;&gt;Lorena Dias de Araujo",$B:$B,"&lt;&gt;Lucas Luiz Romero")*(28/1083),IF(C1489="Técnico I",SUMIFS($D:$D,$A:$A,$A1489,$B:$B,"&lt;&gt;Patrícia Karla de Sousa Araújo",$B:$B,"&lt;&gt;Lorena Dias de Araujo",$B:$B,"&lt;&gt;Lucas Luiz Romero")*(23/1083),IF(C1489="JR",SUMIFS($D:$D,$A:$A,$A1489,$B:$B,"&lt;&gt;Patrícia Karla de Sousa Araújo",$B:$B,"&lt;&gt;Lorena Dias de Araujo",$B:$B,"&lt;&gt;Lucas Luiz Romero")*(20/1083),IF(C1489="Estágio",SUMIFS($D:$D,$A:$A,$A1489,$B:$B,"&lt;&gt;Patrícia Karla de Sousa Araújo",$B:$B,"&lt;&gt;Lorena Dias de Araujo",$B:$B,"&lt;&gt;Lucas Luiz Romero")*(10/1083),0)))))),0)</f>
        <v/>
      </c>
      <c r="K1489" s="3">
        <f>I1489-J1489</f>
        <v/>
      </c>
      <c r="L1489" s="3">
        <f>IF(K1489&lt;-5,"CRÍTICO",IF(K1489&lt;0,"ATENÇÃO",IF(K1489&lt;=5,"BOM","EXCELENTE")))</f>
        <v/>
      </c>
      <c r="M1489" t="n">
        <v>11</v>
      </c>
      <c r="N1489" t="n">
        <v>100</v>
      </c>
      <c r="O1489" t="n">
        <v>27.44282744282744</v>
      </c>
    </row>
    <row r="1490" hidden="1">
      <c r="A1490" s="11" t="n">
        <v>46048</v>
      </c>
      <c r="B1490" t="inlineStr">
        <is>
          <t>Davylla Rodrigues Freitas Silva</t>
        </is>
      </c>
      <c r="C1490" t="inlineStr">
        <is>
          <t>Técnico III</t>
        </is>
      </c>
      <c r="D1490" t="n">
        <v>11</v>
      </c>
      <c r="E1490" t="n">
        <v>10</v>
      </c>
      <c r="F1490" t="n">
        <v>18.54</v>
      </c>
      <c r="G1490" t="n">
        <v>0</v>
      </c>
      <c r="H1490" t="n">
        <v>0</v>
      </c>
      <c r="I1490" s="3" t="n">
        <v>0</v>
      </c>
      <c r="J1490" s="3" t="n">
        <v>0</v>
      </c>
      <c r="K1490" s="3" t="n">
        <v>0</v>
      </c>
      <c r="L1490" s="3">
        <f>IF(K1490&lt;-5,"CRÍTICO",IF(K1490&lt;0,"ATENÇÃO",IF(K1490&lt;=5,"BOM","EXCELENTE")))</f>
        <v/>
      </c>
      <c r="M1490" t="n">
        <v>8</v>
      </c>
      <c r="N1490" t="n">
        <v>99.48999999999999</v>
      </c>
      <c r="O1490" t="n">
        <v>40.2</v>
      </c>
    </row>
    <row r="1491" hidden="1">
      <c r="A1491" s="11" t="n">
        <v>46048</v>
      </c>
      <c r="B1491" t="inlineStr">
        <is>
          <t>Emilly Caylane Costa</t>
        </is>
      </c>
      <c r="C1491" t="inlineStr">
        <is>
          <t>Estágio</t>
        </is>
      </c>
      <c r="D1491" t="n">
        <v>0</v>
      </c>
      <c r="E1491" t="n">
        <v>0</v>
      </c>
      <c r="F1491" t="n">
        <v>0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0</v>
      </c>
      <c r="N1491" t="n">
        <v>100</v>
      </c>
      <c r="O1491" t="n">
        <v>25</v>
      </c>
    </row>
    <row r="1492" hidden="1">
      <c r="A1492" s="11" t="n">
        <v>46048</v>
      </c>
      <c r="B1492" t="inlineStr">
        <is>
          <t>Emilly Kamilly Medeiros Miranda</t>
        </is>
      </c>
      <c r="C1492" t="inlineStr">
        <is>
          <t>Técnico II</t>
        </is>
      </c>
      <c r="D1492" t="n">
        <v>32</v>
      </c>
      <c r="E1492" t="n">
        <v>31</v>
      </c>
      <c r="F1492" t="n">
        <v>18.47</v>
      </c>
      <c r="G1492" t="n">
        <v>0</v>
      </c>
      <c r="H1492" t="n">
        <v>0</v>
      </c>
      <c r="I1492" s="3">
        <f>E1492+G1492+H1492</f>
        <v/>
      </c>
      <c r="J1492" s="3">
        <f>ROUND(MIN(IF(C1492="Técnico III",35,IF(C1492="Técnico II",28,IF(C1492="Técnico I",23,IF(C1492="JR",20,IF(C1492="Estágio",10,0))))),IF(C1492="Técnico III",SUMIFS($D:$D,$A:$A,$A1492,$B:$B,"&lt;&gt;Patrícia Karla de Sousa Araújo",$B:$B,"&lt;&gt;Lorena Dias de Araujo",$B:$B,"&lt;&gt;Lucas Luiz Romero")*(35/1083),IF(C1492="Técnico II",SUMIFS($D:$D,$A:$A,$A1492,$B:$B,"&lt;&gt;Patrícia Karla de Sousa Araújo",$B:$B,"&lt;&gt;Lorena Dias de Araujo",$B:$B,"&lt;&gt;Lucas Luiz Romero")*(28/1083),IF(C1492="Técnico I",SUMIFS($D:$D,$A:$A,$A1492,$B:$B,"&lt;&gt;Patrícia Karla de Sousa Araújo",$B:$B,"&lt;&gt;Lorena Dias de Araujo",$B:$B,"&lt;&gt;Lucas Luiz Romero")*(23/1083),IF(C1492="JR",SUMIFS($D:$D,$A:$A,$A1492,$B:$B,"&lt;&gt;Patrícia Karla de Sousa Araújo",$B:$B,"&lt;&gt;Lorena Dias de Araujo",$B:$B,"&lt;&gt;Lucas Luiz Romero")*(20/1083),IF(C1492="Estágio",SUMIFS($D:$D,$A:$A,$A1492,$B:$B,"&lt;&gt;Patrícia Karla de Sousa Araújo",$B:$B,"&lt;&gt;Lorena Dias de Araujo",$B:$B,"&lt;&gt;Lucas Luiz Romero")*(10/1083),0)))))),0)</f>
        <v/>
      </c>
      <c r="K1492" s="3">
        <f>I1492-J1492</f>
        <v/>
      </c>
      <c r="L1492" s="3">
        <f>IF(K1492&lt;-5,"CRÍTICO",IF(K1492&lt;0,"ATENÇÃO",IF(K1492&lt;=5,"BOM","EXCELENTE")))</f>
        <v/>
      </c>
      <c r="M1492" t="n">
        <v>28</v>
      </c>
      <c r="N1492" t="n">
        <v>100</v>
      </c>
      <c r="O1492" t="n">
        <v>34.15094339622641</v>
      </c>
    </row>
    <row r="1493" hidden="1">
      <c r="A1493" s="11" t="n">
        <v>46048</v>
      </c>
      <c r="B1493" t="inlineStr">
        <is>
          <t>Francielson de Oliveira</t>
        </is>
      </c>
      <c r="C1493" t="inlineStr">
        <is>
          <t>Técnico III</t>
        </is>
      </c>
      <c r="D1493" t="n">
        <v>28</v>
      </c>
      <c r="E1493" t="n">
        <v>25</v>
      </c>
      <c r="F1493" t="n">
        <v>15.56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26</v>
      </c>
      <c r="N1493" t="n">
        <v>100</v>
      </c>
      <c r="O1493" t="n">
        <v>32.7313769751693</v>
      </c>
    </row>
    <row r="1494" hidden="1">
      <c r="A1494" s="11" t="n">
        <v>46048</v>
      </c>
      <c r="B1494" t="inlineStr">
        <is>
          <t>Francilene Ferreira de Jesus</t>
        </is>
      </c>
      <c r="C1494" t="inlineStr">
        <is>
          <t>Técnico II</t>
        </is>
      </c>
      <c r="D1494" t="n">
        <v>25</v>
      </c>
      <c r="E1494" t="n">
        <v>24</v>
      </c>
      <c r="F1494" t="n">
        <v>27.03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21</v>
      </c>
      <c r="N1494" t="n">
        <v>99.31</v>
      </c>
      <c r="O1494" t="n">
        <v>30.96234309623431</v>
      </c>
    </row>
    <row r="1495" hidden="1">
      <c r="A1495" s="11" t="n">
        <v>46080</v>
      </c>
      <c r="B1495" t="inlineStr">
        <is>
          <t>Gabriel Gomes de Andrade</t>
        </is>
      </c>
      <c r="C1495" t="inlineStr">
        <is>
          <t>Técnico I</t>
        </is>
      </c>
      <c r="D1495" t="n">
        <v>13</v>
      </c>
      <c r="E1495" t="n">
        <v>13</v>
      </c>
      <c r="F1495" t="n">
        <v>24.18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12</v>
      </c>
      <c r="N1495" t="n">
        <v>96.67</v>
      </c>
      <c r="O1495" t="n">
        <v>31.45161290322581</v>
      </c>
    </row>
    <row r="1496" hidden="1">
      <c r="A1496" s="11" t="n">
        <v>46048</v>
      </c>
      <c r="B1496" t="inlineStr">
        <is>
          <t>Isabella Borges de Oliveira</t>
        </is>
      </c>
      <c r="C1496" t="inlineStr">
        <is>
          <t>Técnico II</t>
        </is>
      </c>
      <c r="D1496" t="n">
        <v>32</v>
      </c>
      <c r="E1496" t="n">
        <v>26</v>
      </c>
      <c r="F1496" t="n">
        <v>17.29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M1496" t="n">
        <v>24</v>
      </c>
      <c r="N1496" t="n">
        <v>100</v>
      </c>
      <c r="O1496" t="n">
        <v>27.67676767676768</v>
      </c>
    </row>
    <row r="1497" hidden="1">
      <c r="A1497" s="11" t="n">
        <v>46048</v>
      </c>
      <c r="B1497" t="inlineStr">
        <is>
          <t>Janaina Lima dos Reis Urany</t>
        </is>
      </c>
      <c r="C1497" t="inlineStr">
        <is>
          <t>Técnico III</t>
        </is>
      </c>
      <c r="D1497" t="n">
        <v>42</v>
      </c>
      <c r="E1497" t="n">
        <v>38</v>
      </c>
      <c r="F1497" t="n">
        <v>13.39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34</v>
      </c>
      <c r="N1497" t="n">
        <v>100</v>
      </c>
      <c r="O1497" t="n">
        <v>31.17723156532988</v>
      </c>
    </row>
    <row r="1498" hidden="1">
      <c r="A1498" s="11" t="n">
        <v>46048</v>
      </c>
      <c r="B1498" t="inlineStr">
        <is>
          <t>Jaqueline Evangelista da Silva Martins</t>
        </is>
      </c>
      <c r="C1498" t="inlineStr">
        <is>
          <t>Técnico III</t>
        </is>
      </c>
      <c r="D1498" t="n">
        <v>24</v>
      </c>
      <c r="E1498" t="n">
        <v>21</v>
      </c>
      <c r="F1498" t="n">
        <v>11.44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18</v>
      </c>
      <c r="N1498" t="n">
        <v>100</v>
      </c>
      <c r="O1498" t="n">
        <v>27.60942760942761</v>
      </c>
    </row>
    <row r="1499" hidden="1">
      <c r="A1499" s="11" t="n">
        <v>46048</v>
      </c>
      <c r="B1499" t="inlineStr">
        <is>
          <t>Jessica Faria da Silveira</t>
        </is>
      </c>
      <c r="C1499" t="inlineStr">
        <is>
          <t>Técnico II</t>
        </is>
      </c>
      <c r="D1499" t="n">
        <v>33</v>
      </c>
      <c r="E1499" t="n">
        <v>28</v>
      </c>
      <c r="F1499" t="n">
        <v>15.02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26</v>
      </c>
      <c r="N1499" t="n">
        <v>96.40000000000001</v>
      </c>
      <c r="O1499" t="n">
        <v>28.76404494382023</v>
      </c>
    </row>
    <row r="1500" hidden="1">
      <c r="A1500" s="11" t="n">
        <v>46048</v>
      </c>
      <c r="B1500" t="inlineStr">
        <is>
          <t>Jéssica Fé Moura</t>
        </is>
      </c>
      <c r="C1500" t="inlineStr">
        <is>
          <t>Técnico III</t>
        </is>
      </c>
      <c r="D1500" t="n">
        <v>0</v>
      </c>
      <c r="E1500" t="n">
        <v>0</v>
      </c>
      <c r="F1500" t="n">
        <v>0</v>
      </c>
      <c r="G1500" t="n">
        <v>0</v>
      </c>
      <c r="H1500" t="n">
        <v>0</v>
      </c>
      <c r="I1500" s="3" t="n">
        <v>0</v>
      </c>
      <c r="J1500" s="3" t="n">
        <v>0</v>
      </c>
      <c r="K1500" s="3" t="n">
        <v>0</v>
      </c>
      <c r="L1500" s="3">
        <f>IF(K1500&lt;-5,"CRÍTICO",IF(K1500&lt;0,"ATENÇÃO",IF(K1500&lt;=5,"BOM","EXCELENTE")))</f>
        <v/>
      </c>
      <c r="M1500" t="n">
        <v>0</v>
      </c>
      <c r="N1500" t="n">
        <v>100</v>
      </c>
      <c r="O1500" t="n">
        <v>33.98058252427185</v>
      </c>
    </row>
    <row r="1501" hidden="1">
      <c r="A1501" s="11" t="n">
        <v>46048</v>
      </c>
      <c r="B1501" t="inlineStr">
        <is>
          <t>Karina Gonçalves Martins</t>
        </is>
      </c>
      <c r="C1501" t="inlineStr">
        <is>
          <t>JR</t>
        </is>
      </c>
      <c r="D1501" t="n">
        <v>8</v>
      </c>
      <c r="E1501" t="n">
        <v>8</v>
      </c>
      <c r="F1501" t="n">
        <v>29.18</v>
      </c>
      <c r="G1501" t="n">
        <v>0</v>
      </c>
      <c r="H1501" t="n">
        <v>0</v>
      </c>
      <c r="I1501" s="3">
        <f>E1501+G1501+H1501</f>
        <v/>
      </c>
      <c r="J1501" s="3">
        <f>ROUND(MIN(IF(C1501="Técnico III",35,IF(C1501="Técnico II",28,IF(C1501="Técnico I",23,IF(C1501="JR",20,IF(C1501="Estágio",10,0))))),IF(C1501="Técnico III",SUMIFS($D:$D,$A:$A,$A1501,$B:$B,"&lt;&gt;Patrícia Karla de Sousa Araújo",$B:$B,"&lt;&gt;Lorena Dias de Araujo",$B:$B,"&lt;&gt;Lucas Luiz Romero")*(35/1083),IF(C1501="Técnico II",SUMIFS($D:$D,$A:$A,$A1501,$B:$B,"&lt;&gt;Patrícia Karla de Sousa Araújo",$B:$B,"&lt;&gt;Lorena Dias de Araujo",$B:$B,"&lt;&gt;Lucas Luiz Romero")*(28/1083),IF(C1501="Técnico I",SUMIFS($D:$D,$A:$A,$A1501,$B:$B,"&lt;&gt;Patrícia Karla de Sousa Araújo",$B:$B,"&lt;&gt;Lorena Dias de Araujo",$B:$B,"&lt;&gt;Lucas Luiz Romero")*(23/1083),IF(C1501="JR",SUMIFS($D:$D,$A:$A,$A1501,$B:$B,"&lt;&gt;Patrícia Karla de Sousa Araújo",$B:$B,"&lt;&gt;Lorena Dias de Araujo",$B:$B,"&lt;&gt;Lucas Luiz Romero")*(20/1083),IF(C1501="Estágio",SUMIFS($D:$D,$A:$A,$A1501,$B:$B,"&lt;&gt;Patrícia Karla de Sousa Araújo",$B:$B,"&lt;&gt;Lorena Dias de Araujo",$B:$B,"&lt;&gt;Lucas Luiz Romero")*(10/1083),0)))))),0)</f>
        <v/>
      </c>
      <c r="K1501" s="3">
        <f>I1501-J1501</f>
        <v/>
      </c>
      <c r="L1501" s="3">
        <f>IF(K1501&lt;-5,"CRÍTICO",IF(K1501&lt;0,"ATENÇÃO",IF(K1501&lt;=5,"BOM","EXCELENTE")))</f>
        <v/>
      </c>
      <c r="M1501" t="n">
        <v>8</v>
      </c>
      <c r="N1501" t="n">
        <v>97.56</v>
      </c>
      <c r="O1501" t="n">
        <v>32.51533742331289</v>
      </c>
    </row>
    <row r="1502" hidden="1">
      <c r="A1502" s="11" t="n">
        <v>46048</v>
      </c>
      <c r="B1502" t="inlineStr">
        <is>
          <t>Kerollen Cristielly de Jesus Siqueira</t>
        </is>
      </c>
      <c r="C1502" t="inlineStr">
        <is>
          <t>Técnico III</t>
        </is>
      </c>
      <c r="D1502" t="n">
        <v>17</v>
      </c>
      <c r="E1502" t="n">
        <v>16</v>
      </c>
      <c r="F1502" t="n">
        <v>27.34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17</v>
      </c>
      <c r="N1502" t="n">
        <v>97.11</v>
      </c>
      <c r="O1502" t="n">
        <v>37.40831295843521</v>
      </c>
    </row>
    <row r="1503" hidden="1">
      <c r="A1503" s="11" t="n">
        <v>46048</v>
      </c>
      <c r="B1503" t="inlineStr">
        <is>
          <t>Leandro de Souza Silva</t>
        </is>
      </c>
      <c r="C1503" t="inlineStr">
        <is>
          <t>JR</t>
        </is>
      </c>
      <c r="D1503" t="n">
        <v>0</v>
      </c>
      <c r="E1503" t="n">
        <v>0</v>
      </c>
      <c r="F1503" t="n">
        <v>0</v>
      </c>
      <c r="G1503" t="n">
        <v>0</v>
      </c>
      <c r="H1503" t="n">
        <v>0</v>
      </c>
      <c r="I1503" s="3" t="n">
        <v>0</v>
      </c>
      <c r="J1503" s="3" t="n">
        <v>0</v>
      </c>
      <c r="K1503" s="3" t="n">
        <v>0</v>
      </c>
      <c r="L1503" s="3">
        <f>IF(K1503&lt;-5,"CRÍTICO",IF(K1503&lt;0,"ATENÇÃO",IF(K1503&lt;=5,"BOM","EXCELENTE")))</f>
        <v/>
      </c>
      <c r="M1503" t="n">
        <v>0</v>
      </c>
      <c r="N1503" t="n">
        <v>0</v>
      </c>
      <c r="O1503" t="n">
        <v>0</v>
      </c>
    </row>
    <row r="1504" hidden="1">
      <c r="A1504" s="11" t="n">
        <v>46048</v>
      </c>
      <c r="B1504" t="inlineStr">
        <is>
          <t>Leandro Oliveira de Sousa</t>
        </is>
      </c>
      <c r="C1504" t="inlineStr">
        <is>
          <t>Técnico III</t>
        </is>
      </c>
      <c r="D1504" t="n">
        <v>26</v>
      </c>
      <c r="E1504" t="n">
        <v>24</v>
      </c>
      <c r="F1504" t="n">
        <v>17.01</v>
      </c>
      <c r="G1504" t="n">
        <v>0</v>
      </c>
      <c r="H1504" t="n">
        <v>0</v>
      </c>
      <c r="I1504" s="3">
        <f>E1504+G1504+H1504</f>
        <v/>
      </c>
      <c r="J1504" s="3">
        <f>ROUND(MIN(IF(C1504="Técnico III",35,IF(C1504="Técnico II",28,IF(C1504="Técnico I",23,IF(C1504="JR",20,IF(C1504="Estágio",10,0))))),IF(C1504="Técnico III",SUMIFS($D:$D,$A:$A,$A1504,$B:$B,"&lt;&gt;Patrícia Karla de Sousa Araújo",$B:$B,"&lt;&gt;Lorena Dias de Araujo",$B:$B,"&lt;&gt;Lucas Luiz Romero")*(35/1083),IF(C1504="Técnico II",SUMIFS($D:$D,$A:$A,$A1504,$B:$B,"&lt;&gt;Patrícia Karla de Sousa Araújo",$B:$B,"&lt;&gt;Lorena Dias de Araujo",$B:$B,"&lt;&gt;Lucas Luiz Romero")*(28/1083),IF(C1504="Técnico I",SUMIFS($D:$D,$A:$A,$A1504,$B:$B,"&lt;&gt;Patrícia Karla de Sousa Araújo",$B:$B,"&lt;&gt;Lorena Dias de Araujo",$B:$B,"&lt;&gt;Lucas Luiz Romero")*(23/1083),IF(C1504="JR",SUMIFS($D:$D,$A:$A,$A1504,$B:$B,"&lt;&gt;Patrícia Karla de Sousa Araújo",$B:$B,"&lt;&gt;Lorena Dias de Araujo",$B:$B,"&lt;&gt;Lucas Luiz Romero")*(20/1083),IF(C1504="Estágio",SUMIFS($D:$D,$A:$A,$A1504,$B:$B,"&lt;&gt;Patrícia Karla de Sousa Araújo",$B:$B,"&lt;&gt;Lorena Dias de Araujo",$B:$B,"&lt;&gt;Lucas Luiz Romero")*(10/1083),0)))))),0)</f>
        <v/>
      </c>
      <c r="K1504" s="3">
        <f>I1504-J1504</f>
        <v/>
      </c>
      <c r="L1504" s="3">
        <f>IF(K1504&lt;-5,"CRÍTICO",IF(K1504&lt;0,"ATENÇÃO",IF(K1504&lt;=5,"BOM","EXCELENTE")))</f>
        <v/>
      </c>
      <c r="M1504" t="n">
        <v>24</v>
      </c>
      <c r="N1504" t="n">
        <v>100</v>
      </c>
      <c r="O1504" t="n">
        <v>30.47034764826176</v>
      </c>
    </row>
    <row r="1505" hidden="1">
      <c r="A1505" s="11" t="n">
        <v>46048</v>
      </c>
      <c r="B1505" t="inlineStr">
        <is>
          <t>Lizandra Gomes Duarte</t>
        </is>
      </c>
      <c r="C1505" t="inlineStr">
        <is>
          <t>Técnico II</t>
        </is>
      </c>
      <c r="D1505" t="n">
        <v>32</v>
      </c>
      <c r="E1505" t="n">
        <v>30</v>
      </c>
      <c r="F1505" t="n">
        <v>20.12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21</v>
      </c>
      <c r="N1505" t="n">
        <v>100</v>
      </c>
      <c r="O1505" t="n">
        <v>32.37113402061856</v>
      </c>
    </row>
    <row r="1506" hidden="1">
      <c r="A1506" s="11" t="n">
        <v>46048</v>
      </c>
      <c r="B1506" t="inlineStr">
        <is>
          <t>Lorena Dias de Araujo</t>
        </is>
      </c>
      <c r="C1506" t="inlineStr">
        <is>
          <t>Técnico II</t>
        </is>
      </c>
      <c r="D1506" t="n">
        <v>34</v>
      </c>
      <c r="E1506" t="n">
        <v>33</v>
      </c>
      <c r="F1506" t="n">
        <v>17.23</v>
      </c>
      <c r="G1506" t="n">
        <v>0</v>
      </c>
      <c r="H1506" t="n">
        <v>0</v>
      </c>
      <c r="I1506" s="3" t="n">
        <v>0</v>
      </c>
      <c r="J1506" s="3" t="n">
        <v>0</v>
      </c>
      <c r="K1506" s="3" t="n">
        <v>0</v>
      </c>
      <c r="L1506" s="3">
        <f>IF(K1506&lt;-5,"CRÍTICO",IF(K1506&lt;0,"ATENÇÃO",IF(K1506&lt;=5,"BOM","EXCELENTE")))</f>
        <v/>
      </c>
      <c r="M1506" t="n">
        <v>29</v>
      </c>
      <c r="N1506" t="n">
        <v>98.31999999999999</v>
      </c>
      <c r="O1506" t="n">
        <v>32.31850117096019</v>
      </c>
    </row>
    <row r="1507" hidden="1">
      <c r="A1507" s="11" t="n">
        <v>46048</v>
      </c>
      <c r="B1507" t="inlineStr">
        <is>
          <t>Lucas Luiz Romero</t>
        </is>
      </c>
      <c r="C1507" t="inlineStr">
        <is>
          <t>Técnico III</t>
        </is>
      </c>
      <c r="D1507" t="n">
        <v>46</v>
      </c>
      <c r="E1507" t="n">
        <v>31</v>
      </c>
      <c r="F1507" t="n">
        <v>13.3</v>
      </c>
      <c r="G1507" t="n">
        <v>0</v>
      </c>
      <c r="H1507" t="n">
        <v>0</v>
      </c>
      <c r="I1507" s="3">
        <f>E1507+G1507+H1507</f>
        <v/>
      </c>
      <c r="J1507" s="3">
        <f>ROUND(MIN(IF(C1507="Técnico III",35,IF(C1507="Técnico II",28,IF(C1507="Técnico I",23,IF(C1507="JR",20,IF(C1507="Estágio",10,0))))),IF(C1507="Técnico III",SUMIFS($D:$D,$A:$A,$A1507,$B:$B,"&lt;&gt;Patrícia Karla de Sousa Araújo",$B:$B,"&lt;&gt;Lorena Dias de Araujo",$B:$B,"&lt;&gt;Lucas Luiz Romero")*(35/1083),IF(C1507="Técnico II",SUMIFS($D:$D,$A:$A,$A1507,$B:$B,"&lt;&gt;Patrícia Karla de Sousa Araújo",$B:$B,"&lt;&gt;Lorena Dias de Araujo",$B:$B,"&lt;&gt;Lucas Luiz Romero")*(28/1083),IF(C1507="Técnico I",SUMIFS($D:$D,$A:$A,$A1507,$B:$B,"&lt;&gt;Patrícia Karla de Sousa Araújo",$B:$B,"&lt;&gt;Lorena Dias de Araujo",$B:$B,"&lt;&gt;Lucas Luiz Romero")*(23/1083),IF(C1507="JR",SUMIFS($D:$D,$A:$A,$A1507,$B:$B,"&lt;&gt;Patrícia Karla de Sousa Araújo",$B:$B,"&lt;&gt;Lorena Dias de Araujo",$B:$B,"&lt;&gt;Lucas Luiz Romero")*(20/1083),IF(C1507="Estágio",SUMIFS($D:$D,$A:$A,$A1507,$B:$B,"&lt;&gt;Patrícia Karla de Sousa Araújo",$B:$B,"&lt;&gt;Lorena Dias de Araujo",$B:$B,"&lt;&gt;Lucas Luiz Romero")*(10/1083),0)))))),0)</f>
        <v/>
      </c>
      <c r="K1507" s="3">
        <f>I1507-J1507</f>
        <v/>
      </c>
      <c r="L1507" s="3">
        <f>IF(K1507&lt;-5,"CRÍTICO",IF(K1507&lt;0,"ATENÇÃO",IF(K1507&lt;=5,"BOM","EXCELENTE")))</f>
        <v/>
      </c>
      <c r="M1507" t="n">
        <v>28</v>
      </c>
      <c r="N1507" t="n">
        <v>96.43000000000001</v>
      </c>
      <c r="O1507" t="n">
        <v>27.01525054466231</v>
      </c>
    </row>
    <row r="1508" hidden="1">
      <c r="A1508" s="11" t="n">
        <v>46048</v>
      </c>
      <c r="B1508" t="inlineStr">
        <is>
          <t>Luiz Fernando de Carvalho Junior</t>
        </is>
      </c>
      <c r="C1508" t="inlineStr">
        <is>
          <t>Técnico I</t>
        </is>
      </c>
      <c r="D1508" t="n">
        <v>25</v>
      </c>
      <c r="E1508" t="n">
        <v>23</v>
      </c>
      <c r="F1508" t="n">
        <v>13.45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22</v>
      </c>
      <c r="N1508" t="n">
        <v>98.89</v>
      </c>
      <c r="O1508" t="n">
        <v>28.02197802197802</v>
      </c>
    </row>
    <row r="1509" hidden="1">
      <c r="A1509" s="11" t="n">
        <v>46048</v>
      </c>
      <c r="B1509" t="inlineStr">
        <is>
          <t>Maria Eduarda Sousa Costa</t>
        </is>
      </c>
      <c r="C1509" t="inlineStr">
        <is>
          <t>Estágio</t>
        </is>
      </c>
      <c r="D1509" t="n">
        <v>0</v>
      </c>
      <c r="E1509" t="n">
        <v>0</v>
      </c>
      <c r="F1509" t="n">
        <v>0</v>
      </c>
      <c r="G1509" t="n">
        <v>0</v>
      </c>
      <c r="H1509" t="n">
        <v>0</v>
      </c>
      <c r="I1509" s="3" t="n">
        <v>0</v>
      </c>
      <c r="J1509" s="3" t="n">
        <v>0</v>
      </c>
      <c r="K1509" s="3" t="n">
        <v>0</v>
      </c>
      <c r="L1509" s="3">
        <f>IF(K1509&lt;-5,"CRÍTICO",IF(K1509&lt;0,"ATENÇÃO",IF(K1509&lt;=5,"BOM","EXCELENTE")))</f>
        <v/>
      </c>
      <c r="M1509" t="n">
        <v>0</v>
      </c>
      <c r="N1509" t="n">
        <v>100</v>
      </c>
      <c r="O1509" t="n">
        <v>33.33333333333333</v>
      </c>
    </row>
    <row r="1510" hidden="1">
      <c r="A1510" s="11" t="n">
        <v>46048</v>
      </c>
      <c r="B1510" t="inlineStr">
        <is>
          <t>Matheus Farias De Souza</t>
        </is>
      </c>
      <c r="C1510" t="inlineStr">
        <is>
          <t>Técnico III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27.43362831858407</v>
      </c>
    </row>
    <row r="1511" hidden="1">
      <c r="A1511" s="11" t="n">
        <v>46048</v>
      </c>
      <c r="B1511" t="inlineStr">
        <is>
          <t>Maysa Victoria Dias Moura</t>
        </is>
      </c>
      <c r="C1511" t="inlineStr">
        <is>
          <t>Técnico III</t>
        </is>
      </c>
      <c r="D1511" t="n">
        <v>46</v>
      </c>
      <c r="E1511" t="n">
        <v>33</v>
      </c>
      <c r="F1511" t="n">
        <v>9.140000000000001</v>
      </c>
      <c r="G1511" t="n">
        <v>0</v>
      </c>
      <c r="H1511" t="n">
        <v>0</v>
      </c>
      <c r="I1511" s="3">
        <f>E1511+G1511+H1511</f>
        <v/>
      </c>
      <c r="J1511" s="3">
        <f>ROUND(MIN(IF(C1511="Técnico III",35,IF(C1511="Técnico II",28,IF(C1511="Técnico I",23,IF(C1511="JR",20,IF(C1511="Estágio",10,0))))),IF(C1511="Técnico III",SUMIFS($D:$D,$A:$A,$A1511,$B:$B,"&lt;&gt;Patrícia Karla de Sousa Araújo",$B:$B,"&lt;&gt;Lorena Dias de Araujo",$B:$B,"&lt;&gt;Lucas Luiz Romero")*(35/1083),IF(C1511="Técnico II",SUMIFS($D:$D,$A:$A,$A1511,$B:$B,"&lt;&gt;Patrícia Karla de Sousa Araújo",$B:$B,"&lt;&gt;Lorena Dias de Araujo",$B:$B,"&lt;&gt;Lucas Luiz Romero")*(28/1083),IF(C1511="Técnico I",SUMIFS($D:$D,$A:$A,$A1511,$B:$B,"&lt;&gt;Patrícia Karla de Sousa Araújo",$B:$B,"&lt;&gt;Lorena Dias de Araujo",$B:$B,"&lt;&gt;Lucas Luiz Romero")*(23/1083),IF(C1511="JR",SUMIFS($D:$D,$A:$A,$A1511,$B:$B,"&lt;&gt;Patrícia Karla de Sousa Araújo",$B:$B,"&lt;&gt;Lorena Dias de Araujo",$B:$B,"&lt;&gt;Lucas Luiz Romero")*(20/1083),IF(C1511="Estágio",SUMIFS($D:$D,$A:$A,$A1511,$B:$B,"&lt;&gt;Patrícia Karla de Sousa Araújo",$B:$B,"&lt;&gt;Lorena Dias de Araujo",$B:$B,"&lt;&gt;Lucas Luiz Romero")*(10/1083),0)))))),0)</f>
        <v/>
      </c>
      <c r="K1511" s="3">
        <f>I1511-J1511</f>
        <v/>
      </c>
      <c r="L1511" s="3">
        <f>IF(K1511&lt;-5,"CRÍTICO",IF(K1511&lt;0,"ATENÇÃO",IF(K1511&lt;=5,"BOM","EXCELENTE")))</f>
        <v/>
      </c>
      <c r="M1511" t="n">
        <v>31</v>
      </c>
      <c r="N1511" t="n">
        <v>98.65000000000001</v>
      </c>
      <c r="O1511" t="n">
        <v>30.97826086956522</v>
      </c>
    </row>
    <row r="1512" hidden="1">
      <c r="A1512" s="11" t="n">
        <v>46048</v>
      </c>
      <c r="B1512" t="inlineStr">
        <is>
          <t>Michelle G Santos</t>
        </is>
      </c>
      <c r="C1512" t="inlineStr">
        <is>
          <t>Estágio</t>
        </is>
      </c>
      <c r="D1512" t="n">
        <v>3</v>
      </c>
      <c r="E1512" t="n">
        <v>3</v>
      </c>
      <c r="F1512" t="n">
        <v>79.17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0</v>
      </c>
      <c r="N1512" t="n">
        <v>100</v>
      </c>
      <c r="O1512" t="n">
        <v>12</v>
      </c>
    </row>
    <row r="1513" hidden="1">
      <c r="A1513" s="11" t="n">
        <v>46048</v>
      </c>
      <c r="B1513" t="inlineStr">
        <is>
          <t>Milena Sales</t>
        </is>
      </c>
      <c r="C1513" t="inlineStr">
        <is>
          <t>JR</t>
        </is>
      </c>
      <c r="D1513" t="n">
        <v>0</v>
      </c>
      <c r="E1513" t="n">
        <v>0</v>
      </c>
      <c r="F1513" t="n">
        <v>0</v>
      </c>
      <c r="G1513" t="n">
        <v>0</v>
      </c>
      <c r="H1513" t="n">
        <v>0</v>
      </c>
      <c r="I1513" s="3" t="n">
        <v>0</v>
      </c>
      <c r="J1513" s="3" t="n">
        <v>0</v>
      </c>
      <c r="K1513" s="3" t="n">
        <v>0</v>
      </c>
      <c r="L1513" s="3">
        <f>IF(K1513&lt;-5,"CRÍTICO",IF(K1513&lt;0,"ATENÇÃO",IF(K1513&lt;=5,"BOM","EXCELENTE")))</f>
        <v/>
      </c>
      <c r="M1513" t="n">
        <v>0</v>
      </c>
      <c r="N1513" t="n">
        <v>0</v>
      </c>
      <c r="O1513" t="n">
        <v>0</v>
      </c>
    </row>
    <row r="1514" hidden="1">
      <c r="A1514" s="11" t="n">
        <v>46048</v>
      </c>
      <c r="B1514" t="inlineStr">
        <is>
          <t>Patrícia Karla de Sousa Araújo</t>
        </is>
      </c>
      <c r="C1514" t="inlineStr">
        <is>
          <t>Técnico II</t>
        </is>
      </c>
      <c r="D1514" t="n">
        <v>20</v>
      </c>
      <c r="E1514" t="n">
        <v>19</v>
      </c>
      <c r="F1514" t="n">
        <v>15.51</v>
      </c>
      <c r="G1514" t="n">
        <v>0</v>
      </c>
      <c r="H1514" t="n">
        <v>0</v>
      </c>
      <c r="I1514" s="3">
        <f>E1514+G1514+H1514</f>
        <v/>
      </c>
      <c r="J1514" s="3">
        <f>ROUND(MIN(IF(C1514="Técnico III",35,IF(C1514="Técnico II",28,IF(C1514="Técnico I",23,IF(C1514="JR",20,IF(C1514="Estágio",10,0))))),IF(C1514="Técnico III",SUMIFS($D:$D,$A:$A,$A1514,$B:$B,"&lt;&gt;Patrícia Karla de Sousa Araújo",$B:$B,"&lt;&gt;Lorena Dias de Araujo",$B:$B,"&lt;&gt;Lucas Luiz Romero")*(35/1083),IF(C1514="Técnico II",SUMIFS($D:$D,$A:$A,$A1514,$B:$B,"&lt;&gt;Patrícia Karla de Sousa Araújo",$B:$B,"&lt;&gt;Lorena Dias de Araujo",$B:$B,"&lt;&gt;Lucas Luiz Romero")*(28/1083),IF(C1514="Técnico I",SUMIFS($D:$D,$A:$A,$A1514,$B:$B,"&lt;&gt;Patrícia Karla de Sousa Araújo",$B:$B,"&lt;&gt;Lorena Dias de Araujo",$B:$B,"&lt;&gt;Lucas Luiz Romero")*(23/1083),IF(C1514="JR",SUMIFS($D:$D,$A:$A,$A1514,$B:$B,"&lt;&gt;Patrícia Karla de Sousa Araújo",$B:$B,"&lt;&gt;Lorena Dias de Araujo",$B:$B,"&lt;&gt;Lucas Luiz Romero")*(20/1083),IF(C1514="Estágio",SUMIFS($D:$D,$A:$A,$A1514,$B:$B,"&lt;&gt;Patrícia Karla de Sousa Araújo",$B:$B,"&lt;&gt;Lorena Dias de Araujo",$B:$B,"&lt;&gt;Lucas Luiz Romero")*(10/1083),0)))))),0)</f>
        <v/>
      </c>
      <c r="K1514" s="3">
        <f>I1514-J1514</f>
        <v/>
      </c>
      <c r="L1514" s="3">
        <f>IF(K1514&lt;-5,"CRÍTICO",IF(K1514&lt;0,"ATENÇÃO",IF(K1514&lt;=5,"BOM","EXCELENTE")))</f>
        <v/>
      </c>
      <c r="M1514" t="n">
        <v>17</v>
      </c>
      <c r="N1514" t="n">
        <v>97.56</v>
      </c>
      <c r="O1514" t="n">
        <v>31.06796116504854</v>
      </c>
    </row>
    <row r="1515" hidden="1">
      <c r="A1515" s="11" t="n">
        <v>46048</v>
      </c>
      <c r="B1515" t="inlineStr">
        <is>
          <t>Paulo Ricardo Santos</t>
        </is>
      </c>
      <c r="C1515" t="inlineStr">
        <is>
          <t>JR</t>
        </is>
      </c>
      <c r="D1515" t="n">
        <v>0</v>
      </c>
      <c r="E1515" t="n">
        <v>0</v>
      </c>
      <c r="F1515" t="n">
        <v>0</v>
      </c>
      <c r="G1515" t="n">
        <v>0</v>
      </c>
      <c r="H1515" t="n">
        <v>0</v>
      </c>
      <c r="I1515" s="3" t="n">
        <v>0</v>
      </c>
      <c r="J1515" s="3" t="n">
        <v>0</v>
      </c>
      <c r="K1515" s="3" t="n">
        <v>0</v>
      </c>
      <c r="L1515" s="3">
        <f>IF(K1515&lt;-5,"CRÍTICO",IF(K1515&lt;0,"ATENÇÃO",IF(K1515&lt;=5,"BOM","EXCELENTE")))</f>
        <v/>
      </c>
      <c r="M1515" t="n">
        <v>0</v>
      </c>
      <c r="N1515" t="n">
        <v>0</v>
      </c>
      <c r="O1515" t="n">
        <v>0</v>
      </c>
    </row>
    <row r="1516" hidden="1">
      <c r="A1516" s="11" t="n">
        <v>46048</v>
      </c>
      <c r="B1516" t="inlineStr">
        <is>
          <t>Pedro Luiz Mota Sousa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Quirino Diogo Leite Torres</t>
        </is>
      </c>
      <c r="C1517" t="inlineStr">
        <is>
          <t>Estágio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Raane Batista Matos</t>
        </is>
      </c>
      <c r="C1518" t="inlineStr">
        <is>
          <t>Técnico I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100</v>
      </c>
      <c r="O1518" t="n">
        <v>53.84615384615385</v>
      </c>
    </row>
    <row r="1519" hidden="1">
      <c r="A1519" s="11" t="n">
        <v>46048</v>
      </c>
      <c r="B1519" t="inlineStr">
        <is>
          <t>Rafael Gomes de Morais</t>
        </is>
      </c>
      <c r="C1519" t="inlineStr">
        <is>
          <t>Técnico III</t>
        </is>
      </c>
      <c r="D1519" t="n">
        <v>35</v>
      </c>
      <c r="E1519" t="n">
        <v>33</v>
      </c>
      <c r="F1519" t="n">
        <v>12.1</v>
      </c>
      <c r="G1519" t="n">
        <v>0</v>
      </c>
      <c r="H1519" t="n">
        <v>0</v>
      </c>
      <c r="I1519" s="3">
        <f>E1519+G1519+H1519</f>
        <v/>
      </c>
      <c r="J1519" s="3">
        <f>ROUND(MIN(IF(C1519="Técnico III",35,IF(C1519="Técnico II",28,IF(C1519="Técnico I",23,IF(C1519="JR",20,IF(C1519="Estágio",10,0))))),IF(C1519="Técnico III",SUMIFS($D:$D,$A:$A,$A1519,$B:$B,"&lt;&gt;Patrícia Karla de Sousa Araújo",$B:$B,"&lt;&gt;Lorena Dias de Araujo",$B:$B,"&lt;&gt;Lucas Luiz Romero")*(35/1083),IF(C1519="Técnico II",SUMIFS($D:$D,$A:$A,$A1519,$B:$B,"&lt;&gt;Patrícia Karla de Sousa Araújo",$B:$B,"&lt;&gt;Lorena Dias de Araujo",$B:$B,"&lt;&gt;Lucas Luiz Romero")*(28/1083),IF(C1519="Técnico I",SUMIFS($D:$D,$A:$A,$A1519,$B:$B,"&lt;&gt;Patrícia Karla de Sousa Araújo",$B:$B,"&lt;&gt;Lorena Dias de Araujo",$B:$B,"&lt;&gt;Lucas Luiz Romero")*(23/1083),IF(C1519="JR",SUMIFS($D:$D,$A:$A,$A1519,$B:$B,"&lt;&gt;Patrícia Karla de Sousa Araújo",$B:$B,"&lt;&gt;Lorena Dias de Araujo",$B:$B,"&lt;&gt;Lucas Luiz Romero")*(20/1083),IF(C1519="Estágio",SUMIFS($D:$D,$A:$A,$A1519,$B:$B,"&lt;&gt;Patrícia Karla de Sousa Araújo",$B:$B,"&lt;&gt;Lorena Dias de Araujo",$B:$B,"&lt;&gt;Lucas Luiz Romero")*(10/1083),0)))))),0)</f>
        <v/>
      </c>
      <c r="K1519" s="3">
        <f>I1519-J1519</f>
        <v/>
      </c>
      <c r="L1519" s="3">
        <f>IF(K1519&lt;-5,"CRÍTICO",IF(K1519&lt;0,"ATENÇÃO",IF(K1519&lt;=5,"BOM","EXCELENTE")))</f>
        <v/>
      </c>
      <c r="M1519" t="n">
        <v>33</v>
      </c>
      <c r="N1519" t="n">
        <v>100</v>
      </c>
      <c r="O1519" t="n">
        <v>44.05594405594406</v>
      </c>
    </row>
    <row r="1520" hidden="1">
      <c r="A1520" s="11" t="n">
        <v>46048</v>
      </c>
      <c r="B1520" t="inlineStr">
        <is>
          <t>Sara Maria Monteiro Lopes</t>
        </is>
      </c>
      <c r="C1520" t="inlineStr">
        <is>
          <t>Técnico I</t>
        </is>
      </c>
      <c r="D1520" t="n">
        <v>13</v>
      </c>
      <c r="E1520" t="n">
        <v>13</v>
      </c>
      <c r="F1520" t="n">
        <v>23.44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13</v>
      </c>
      <c r="N1520" t="n">
        <v>100</v>
      </c>
      <c r="O1520" t="n">
        <v>31.87250996015936</v>
      </c>
    </row>
    <row r="1521" hidden="1">
      <c r="A1521" s="11" t="n">
        <v>46048</v>
      </c>
      <c r="B1521" t="inlineStr">
        <is>
          <t>Sarah Steffanie de Lima Borges</t>
        </is>
      </c>
      <c r="C1521" t="inlineStr">
        <is>
          <t>Técnico III</t>
        </is>
      </c>
      <c r="D1521" t="n">
        <v>26</v>
      </c>
      <c r="E1521" t="n">
        <v>26</v>
      </c>
      <c r="F1521" t="n">
        <v>17.21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24</v>
      </c>
      <c r="N1521" t="n">
        <v>98.41</v>
      </c>
      <c r="O1521" t="n">
        <v>29.22465208747515</v>
      </c>
    </row>
    <row r="1522" hidden="1">
      <c r="A1522" s="11" t="n">
        <v>46049</v>
      </c>
      <c r="B1522" t="inlineStr">
        <is>
          <t>Alisson de Freitas Silva</t>
        </is>
      </c>
      <c r="C1522" t="inlineStr">
        <is>
          <t>Técnico II</t>
        </is>
      </c>
      <c r="D1522" t="n">
        <v>30</v>
      </c>
      <c r="E1522" t="n">
        <v>28</v>
      </c>
      <c r="F1522" t="n">
        <v>22.28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21</v>
      </c>
      <c r="N1522" t="n">
        <v>96.81</v>
      </c>
      <c r="O1522" t="n">
        <v>27.98053527980535</v>
      </c>
    </row>
    <row r="1523" hidden="1">
      <c r="A1523" s="11" t="n">
        <v>46049</v>
      </c>
      <c r="B1523" t="inlineStr">
        <is>
          <t>Amanda Moura Ferreira</t>
        </is>
      </c>
      <c r="C1523" t="inlineStr">
        <is>
          <t>Técnico III</t>
        </is>
      </c>
      <c r="D1523" t="n">
        <v>0</v>
      </c>
      <c r="E1523" t="n">
        <v>0</v>
      </c>
      <c r="F1523" t="n">
        <v>0</v>
      </c>
      <c r="G1523" t="n">
        <v>0</v>
      </c>
      <c r="H1523" t="n">
        <v>0</v>
      </c>
      <c r="I1523" s="3" t="n">
        <v>0</v>
      </c>
      <c r="J1523" s="3" t="n">
        <v>0</v>
      </c>
      <c r="K1523" s="3" t="n">
        <v>0</v>
      </c>
      <c r="L1523" s="3">
        <f>IF(K1523&lt;-5,"CRÍTICO",IF(K1523&lt;0,"ATENÇÃO",IF(K1523&lt;=5,"BOM","EXCELENTE")))</f>
        <v/>
      </c>
      <c r="M1523" t="n">
        <v>29</v>
      </c>
      <c r="N1523" t="n">
        <v>98.73</v>
      </c>
      <c r="O1523" t="n">
        <v>35.75638506876228</v>
      </c>
    </row>
    <row r="1524" hidden="1">
      <c r="A1524" s="11" t="n">
        <v>46049</v>
      </c>
      <c r="B1524" t="inlineStr">
        <is>
          <t>Ana Karollyne Souza Faria</t>
        </is>
      </c>
      <c r="C1524" t="inlineStr">
        <is>
          <t>Técnico I</t>
        </is>
      </c>
      <c r="D1524" t="n">
        <v>26</v>
      </c>
      <c r="E1524" t="n">
        <v>26</v>
      </c>
      <c r="F1524" t="n">
        <v>27.04</v>
      </c>
      <c r="G1524" t="n">
        <v>0</v>
      </c>
      <c r="H1524" t="n">
        <v>0</v>
      </c>
      <c r="I1524" s="3">
        <f>E1524+G1524+H1524</f>
        <v/>
      </c>
      <c r="J1524" s="3">
        <f>ROUND(MIN(IF(C1524="Técnico III",35,IF(C1524="Técnico II",28,IF(C1524="Técnico I",23,IF(C1524="JR",20,IF(C1524="Estágio",10,0))))),IF(C1524="Técnico III",SUMIFS($D:$D,$A:$A,$A1524,$B:$B,"&lt;&gt;Patrícia Karla de Sousa Araújo",$B:$B,"&lt;&gt;Lorena Dias de Araujo",$B:$B,"&lt;&gt;Lucas Luiz Romero")*(35/1083),IF(C1524="Técnico II",SUMIFS($D:$D,$A:$A,$A1524,$B:$B,"&lt;&gt;Patrícia Karla de Sousa Araújo",$B:$B,"&lt;&gt;Lorena Dias de Araujo",$B:$B,"&lt;&gt;Lucas Luiz Romero")*(28/1083),IF(C1524="Técnico I",SUMIFS($D:$D,$A:$A,$A1524,$B:$B,"&lt;&gt;Patrícia Karla de Sousa Araújo",$B:$B,"&lt;&gt;Lorena Dias de Araujo",$B:$B,"&lt;&gt;Lucas Luiz Romero")*(23/1083),IF(C1524="JR",SUMIFS($D:$D,$A:$A,$A1524,$B:$B,"&lt;&gt;Patrícia Karla de Sousa Araújo",$B:$B,"&lt;&gt;Lorena Dias de Araujo",$B:$B,"&lt;&gt;Lucas Luiz Romero")*(20/1083),IF(C1524="Estágio",SUMIFS($D:$D,$A:$A,$A1524,$B:$B,"&lt;&gt;Patrícia Karla de Sousa Araújo",$B:$B,"&lt;&gt;Lorena Dias de Araujo",$B:$B,"&lt;&gt;Lucas Luiz Romero")*(10/1083),0)))))),0)</f>
        <v/>
      </c>
      <c r="K1524" s="3">
        <f>I1524-J1524</f>
        <v/>
      </c>
      <c r="L1524" s="3">
        <f>IF(K1524&lt;-5,"CRÍTICO",IF(K1524&lt;0,"ATENÇÃO",IF(K1524&lt;=5,"BOM","EXCELENTE")))</f>
        <v/>
      </c>
      <c r="M1524" t="n">
        <v>24</v>
      </c>
      <c r="N1524" t="n">
        <v>98.31999999999999</v>
      </c>
      <c r="O1524" t="n">
        <v>26.76348547717842</v>
      </c>
    </row>
    <row r="1525" hidden="1">
      <c r="A1525" s="11" t="n">
        <v>46049</v>
      </c>
      <c r="B1525" t="inlineStr">
        <is>
          <t>Ana Paula Da Luz Silva Aleixo</t>
        </is>
      </c>
      <c r="C1525" t="inlineStr">
        <is>
          <t>Técnico III</t>
        </is>
      </c>
      <c r="D1525" t="n">
        <v>41</v>
      </c>
      <c r="E1525" t="n">
        <v>37</v>
      </c>
      <c r="F1525" t="n">
        <v>15.36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31</v>
      </c>
      <c r="N1525" t="n">
        <v>99.19</v>
      </c>
      <c r="O1525" t="n">
        <v>27.63713080168776</v>
      </c>
    </row>
    <row r="1526" hidden="1">
      <c r="A1526" s="11" t="n">
        <v>46049</v>
      </c>
      <c r="B1526" t="inlineStr">
        <is>
          <t>Anna Luiza Rezende Tavares</t>
        </is>
      </c>
      <c r="C1526" t="inlineStr">
        <is>
          <t>Estágio</t>
        </is>
      </c>
      <c r="D1526" t="n">
        <v>13</v>
      </c>
      <c r="E1526" t="n">
        <v>12</v>
      </c>
      <c r="F1526" t="n">
        <v>17.16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10</v>
      </c>
      <c r="N1526" t="n">
        <v>100</v>
      </c>
      <c r="O1526" t="n">
        <v>39.56834532374101</v>
      </c>
    </row>
    <row r="1527" hidden="1">
      <c r="A1527" s="11" t="n">
        <v>46049</v>
      </c>
      <c r="B1527" t="inlineStr">
        <is>
          <t>Brenda de Menezes Silva</t>
        </is>
      </c>
      <c r="C1527" t="inlineStr">
        <is>
          <t>Técnico II</t>
        </is>
      </c>
      <c r="D1527" t="n">
        <v>35</v>
      </c>
      <c r="E1527" t="n">
        <v>30</v>
      </c>
      <c r="F1527" t="n">
        <v>12.37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26</v>
      </c>
      <c r="N1527" t="n">
        <v>98.54000000000001</v>
      </c>
      <c r="O1527" t="n">
        <v>28.54477611940299</v>
      </c>
    </row>
    <row r="1528" hidden="1">
      <c r="A1528" s="11" t="n">
        <v>46049</v>
      </c>
      <c r="B1528" t="inlineStr">
        <is>
          <t>Carlos Mateus Cassimiro Nunes</t>
        </is>
      </c>
      <c r="C1528" t="inlineStr">
        <is>
          <t>Técnico II</t>
        </is>
      </c>
      <c r="D1528" t="n">
        <v>24</v>
      </c>
      <c r="E1528" t="n">
        <v>24</v>
      </c>
      <c r="F1528" t="n">
        <v>32.26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22</v>
      </c>
      <c r="N1528" t="n">
        <v>100</v>
      </c>
      <c r="O1528" t="n">
        <v>34.36692506459949</v>
      </c>
    </row>
    <row r="1529" hidden="1">
      <c r="A1529" s="11" t="n">
        <v>46049</v>
      </c>
      <c r="B1529" t="inlineStr">
        <is>
          <t>Claudio de Sousa Velasco Filho</t>
        </is>
      </c>
      <c r="C1529" t="inlineStr">
        <is>
          <t>Estágio</t>
        </is>
      </c>
      <c r="D1529" t="n">
        <v>0</v>
      </c>
      <c r="E1529" t="n">
        <v>0</v>
      </c>
      <c r="F1529" t="n">
        <v>0</v>
      </c>
      <c r="G1529" t="n">
        <v>0</v>
      </c>
      <c r="H1529" t="n">
        <v>0</v>
      </c>
      <c r="I1529" s="3" t="n">
        <v>0</v>
      </c>
      <c r="J1529" s="3" t="n">
        <v>0</v>
      </c>
      <c r="K1529" s="3" t="n">
        <v>0</v>
      </c>
      <c r="L1529" s="3">
        <f>IF(K1529&lt;-5,"CRÍTICO",IF(K1529&lt;0,"ATENÇÃO",IF(K1529&lt;=5,"BOM","EXCELENTE")))</f>
        <v/>
      </c>
      <c r="M1529" t="n">
        <v>0</v>
      </c>
      <c r="N1529" t="n">
        <v>0</v>
      </c>
      <c r="O1529" t="n">
        <v>0</v>
      </c>
    </row>
    <row r="1530" hidden="1">
      <c r="A1530" s="11" t="n">
        <v>46049</v>
      </c>
      <c r="B1530" t="inlineStr">
        <is>
          <t>Clessiane Pereira dos Santos</t>
        </is>
      </c>
      <c r="C1530" t="inlineStr">
        <is>
          <t>Técnico I</t>
        </is>
      </c>
      <c r="D1530" t="n">
        <v>28</v>
      </c>
      <c r="E1530" t="n">
        <v>26</v>
      </c>
      <c r="F1530" t="n">
        <v>17.39</v>
      </c>
      <c r="G1530" t="n">
        <v>0</v>
      </c>
      <c r="H1530" t="n">
        <v>0</v>
      </c>
      <c r="I1530" s="3">
        <f>E1530+G1530+H1530</f>
        <v/>
      </c>
      <c r="J1530" s="3">
        <f>ROUND(MIN(IF(C1530="Técnico III",35,IF(C1530="Técnico II",28,IF(C1530="Técnico I",23,IF(C1530="JR",20,IF(C1530="Estágio",10,0))))),IF(C1530="Técnico III",SUMIFS($D:$D,$A:$A,$A1530,$B:$B,"&lt;&gt;Patrícia Karla de Sousa Araújo",$B:$B,"&lt;&gt;Lorena Dias de Araujo",$B:$B,"&lt;&gt;Lucas Luiz Romero")*(35/1083),IF(C1530="Técnico II",SUMIFS($D:$D,$A:$A,$A1530,$B:$B,"&lt;&gt;Patrícia Karla de Sousa Araújo",$B:$B,"&lt;&gt;Lorena Dias de Araujo",$B:$B,"&lt;&gt;Lucas Luiz Romero")*(28/1083),IF(C1530="Técnico I",SUMIFS($D:$D,$A:$A,$A1530,$B:$B,"&lt;&gt;Patrícia Karla de Sousa Araújo",$B:$B,"&lt;&gt;Lorena Dias de Araujo",$B:$B,"&lt;&gt;Lucas Luiz Romero")*(23/1083),IF(C1530="JR",SUMIFS($D:$D,$A:$A,$A1530,$B:$B,"&lt;&gt;Patrícia Karla de Sousa Araújo",$B:$B,"&lt;&gt;Lorena Dias de Araujo",$B:$B,"&lt;&gt;Lucas Luiz Romero")*(20/1083),IF(C1530="Estágio",SUMIFS($D:$D,$A:$A,$A1530,$B:$B,"&lt;&gt;Patrícia Karla de Sousa Araújo",$B:$B,"&lt;&gt;Lorena Dias de Araujo",$B:$B,"&lt;&gt;Lucas Luiz Romero")*(10/1083),0)))))),0)</f>
        <v/>
      </c>
      <c r="K1530" s="3">
        <f>I1530-J1530</f>
        <v/>
      </c>
      <c r="L1530" s="3">
        <f>IF(K1530&lt;-5,"CRÍTICO",IF(K1530&lt;0,"ATENÇÃO",IF(K1530&lt;=5,"BOM","EXCELENTE")))</f>
        <v/>
      </c>
      <c r="M1530" t="n">
        <v>22</v>
      </c>
      <c r="N1530" t="n">
        <v>100</v>
      </c>
      <c r="O1530" t="n">
        <v>29.51807228915663</v>
      </c>
    </row>
    <row r="1531" hidden="1">
      <c r="A1531" s="11" t="n">
        <v>46049</v>
      </c>
      <c r="B1531" t="inlineStr">
        <is>
          <t>Cristiane Ramos da Silva Rocha</t>
        </is>
      </c>
      <c r="C1531" t="inlineStr">
        <is>
          <t>Técnico III</t>
        </is>
      </c>
      <c r="D1531" t="n">
        <v>29</v>
      </c>
      <c r="E1531" t="n">
        <v>28</v>
      </c>
      <c r="F1531" t="n">
        <v>18.44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25</v>
      </c>
      <c r="N1531" t="n">
        <v>97.45</v>
      </c>
      <c r="O1531" t="n">
        <v>41.421143847487</v>
      </c>
    </row>
    <row r="1532" hidden="1">
      <c r="A1532" s="11" t="n">
        <v>46049</v>
      </c>
      <c r="B1532" t="inlineStr">
        <is>
          <t>Damyllis Lorraine de Oliveira Gonçalves</t>
        </is>
      </c>
      <c r="C1532" t="inlineStr">
        <is>
          <t>Técnico II</t>
        </is>
      </c>
      <c r="D1532" t="n">
        <v>35</v>
      </c>
      <c r="E1532" t="n">
        <v>25</v>
      </c>
      <c r="F1532" t="n">
        <v>13.29</v>
      </c>
      <c r="G1532" t="n">
        <v>0</v>
      </c>
      <c r="H1532" t="n">
        <v>0</v>
      </c>
      <c r="I1532" s="3" t="n">
        <v>0</v>
      </c>
      <c r="J1532" s="3" t="n">
        <v>0</v>
      </c>
      <c r="K1532" s="3" t="n">
        <v>0</v>
      </c>
      <c r="L1532" s="3">
        <f>IF(K1532&lt;-5,"CRÍTICO",IF(K1532&lt;0,"ATENÇÃO",IF(K1532&lt;=5,"BOM","EXCELENTE")))</f>
        <v/>
      </c>
      <c r="M1532" t="n">
        <v>19</v>
      </c>
      <c r="N1532" t="n">
        <v>96.58</v>
      </c>
      <c r="O1532" t="n">
        <v>30.39647577092511</v>
      </c>
    </row>
    <row r="1533" hidden="1">
      <c r="A1533" s="11" t="n">
        <v>46049</v>
      </c>
      <c r="B1533" t="inlineStr">
        <is>
          <t>Daniel Gomes da Silva</t>
        </is>
      </c>
      <c r="C1533" t="inlineStr">
        <is>
          <t>Técnico I</t>
        </is>
      </c>
      <c r="D1533" t="n">
        <v>22</v>
      </c>
      <c r="E1533" t="n">
        <v>22</v>
      </c>
      <c r="F1533" t="n">
        <v>22.29</v>
      </c>
      <c r="G1533" t="n">
        <v>0</v>
      </c>
      <c r="H1533" t="n">
        <v>0</v>
      </c>
      <c r="I1533" s="3">
        <f>E1533+G1533+H1533</f>
        <v/>
      </c>
      <c r="J1533" s="3">
        <f>ROUND(MIN(IF(C1533="Técnico III",35,IF(C1533="Técnico II",28,IF(C1533="Técnico I",23,IF(C1533="JR",20,IF(C1533="Estágio",10,0))))),IF(C1533="Técnico III",SUMIFS($D:$D,$A:$A,$A1533,$B:$B,"&lt;&gt;Patrícia Karla de Sousa Araújo",$B:$B,"&lt;&gt;Lorena Dias de Araujo",$B:$B,"&lt;&gt;Lucas Luiz Romero")*(35/1083),IF(C1533="Técnico II",SUMIFS($D:$D,$A:$A,$A1533,$B:$B,"&lt;&gt;Patrícia Karla de Sousa Araújo",$B:$B,"&lt;&gt;Lorena Dias de Araujo",$B:$B,"&lt;&gt;Lucas Luiz Romero")*(28/1083),IF(C1533="Técnico I",SUMIFS($D:$D,$A:$A,$A1533,$B:$B,"&lt;&gt;Patrícia Karla de Sousa Araújo",$B:$B,"&lt;&gt;Lorena Dias de Araujo",$B:$B,"&lt;&gt;Lucas Luiz Romero")*(23/1083),IF(C1533="JR",SUMIFS($D:$D,$A:$A,$A1533,$B:$B,"&lt;&gt;Patrícia Karla de Sousa Araújo",$B:$B,"&lt;&gt;Lorena Dias de Araujo",$B:$B,"&lt;&gt;Lucas Luiz Romero")*(20/1083),IF(C1533="Estágio",SUMIFS($D:$D,$A:$A,$A1533,$B:$B,"&lt;&gt;Patrícia Karla de Sousa Araújo",$B:$B,"&lt;&gt;Lorena Dias de Araujo",$B:$B,"&lt;&gt;Lucas Luiz Romero")*(10/1083),0)))))),0)</f>
        <v/>
      </c>
      <c r="K1533" s="3">
        <f>I1533-J1533</f>
        <v/>
      </c>
      <c r="L1533" s="3">
        <f>IF(K1533&lt;-5,"CRÍTICO",IF(K1533&lt;0,"ATENÇÃO",IF(K1533&lt;=5,"BOM","EXCELENTE")))</f>
        <v/>
      </c>
      <c r="M1533" t="n">
        <v>27</v>
      </c>
      <c r="N1533" t="n">
        <v>100</v>
      </c>
      <c r="O1533" t="n">
        <v>27.44282744282744</v>
      </c>
    </row>
    <row r="1534" hidden="1">
      <c r="A1534" s="11" t="n">
        <v>46049</v>
      </c>
      <c r="B1534" t="inlineStr">
        <is>
          <t>Davylla Rodrigues Freitas Silva</t>
        </is>
      </c>
      <c r="C1534" t="inlineStr">
        <is>
          <t>Técnico III</t>
        </is>
      </c>
      <c r="D1534" t="n">
        <v>29</v>
      </c>
      <c r="E1534" t="n">
        <v>28</v>
      </c>
      <c r="F1534" t="n">
        <v>26.43</v>
      </c>
      <c r="G1534" t="n">
        <v>0</v>
      </c>
      <c r="H1534" t="n">
        <v>0</v>
      </c>
      <c r="I1534" s="3" t="n">
        <v>0</v>
      </c>
      <c r="J1534" s="3" t="n">
        <v>0</v>
      </c>
      <c r="K1534" s="3" t="n">
        <v>0</v>
      </c>
      <c r="L1534" s="3">
        <f>IF(K1534&lt;-5,"CRÍTICO",IF(K1534&lt;0,"ATENÇÃO",IF(K1534&lt;=5,"BOM","EXCELENTE")))</f>
        <v/>
      </c>
      <c r="M1534" t="n">
        <v>26</v>
      </c>
      <c r="N1534" t="n">
        <v>99.48999999999999</v>
      </c>
      <c r="O1534" t="n">
        <v>40.2</v>
      </c>
    </row>
    <row r="1535" hidden="1">
      <c r="A1535" s="11" t="n">
        <v>46049</v>
      </c>
      <c r="B1535" t="inlineStr">
        <is>
          <t>Emilly Caylane Costa</t>
        </is>
      </c>
      <c r="C1535" t="inlineStr">
        <is>
          <t>Estágio</t>
        </is>
      </c>
      <c r="D1535" t="n">
        <v>0</v>
      </c>
      <c r="E1535" t="n">
        <v>0</v>
      </c>
      <c r="F1535" t="n">
        <v>0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0</v>
      </c>
      <c r="N1535" t="n">
        <v>100</v>
      </c>
      <c r="O1535" t="n">
        <v>25</v>
      </c>
    </row>
    <row r="1536" hidden="1">
      <c r="A1536" s="11" t="n">
        <v>46049</v>
      </c>
      <c r="B1536" t="inlineStr">
        <is>
          <t>Emilly Kamilly Medeiros Miranda</t>
        </is>
      </c>
      <c r="C1536" t="inlineStr">
        <is>
          <t>Técnico II</t>
        </is>
      </c>
      <c r="D1536" t="n">
        <v>38</v>
      </c>
      <c r="E1536" t="n">
        <v>34</v>
      </c>
      <c r="F1536" t="n">
        <v>15.32</v>
      </c>
      <c r="G1536" t="n">
        <v>0</v>
      </c>
      <c r="H1536" t="n">
        <v>0</v>
      </c>
      <c r="I1536" s="3">
        <f>E1536+G1536+H1536</f>
        <v/>
      </c>
      <c r="J1536" s="3">
        <f>ROUND(MIN(IF(C1536="Técnico III",35,IF(C1536="Técnico II",28,IF(C1536="Técnico I",23,IF(C1536="JR",20,IF(C1536="Estágio",10,0))))),IF(C1536="Técnico III",SUMIFS($D:$D,$A:$A,$A1536,$B:$B,"&lt;&gt;Patrícia Karla de Sousa Araújo",$B:$B,"&lt;&gt;Lorena Dias de Araujo",$B:$B,"&lt;&gt;Lucas Luiz Romero")*(35/1083),IF(C1536="Técnico II",SUMIFS($D:$D,$A:$A,$A1536,$B:$B,"&lt;&gt;Patrícia Karla de Sousa Araújo",$B:$B,"&lt;&gt;Lorena Dias de Araujo",$B:$B,"&lt;&gt;Lucas Luiz Romero")*(28/1083),IF(C1536="Técnico I",SUMIFS($D:$D,$A:$A,$A1536,$B:$B,"&lt;&gt;Patrícia Karla de Sousa Araújo",$B:$B,"&lt;&gt;Lorena Dias de Araujo",$B:$B,"&lt;&gt;Lucas Luiz Romero")*(23/1083),IF(C1536="JR",SUMIFS($D:$D,$A:$A,$A1536,$B:$B,"&lt;&gt;Patrícia Karla de Sousa Araújo",$B:$B,"&lt;&gt;Lorena Dias de Araujo",$B:$B,"&lt;&gt;Lucas Luiz Romero")*(20/1083),IF(C1536="Estágio",SUMIFS($D:$D,$A:$A,$A1536,$B:$B,"&lt;&gt;Patrícia Karla de Sousa Araújo",$B:$B,"&lt;&gt;Lorena Dias de Araujo",$B:$B,"&lt;&gt;Lucas Luiz Romero")*(10/1083),0)))))),0)</f>
        <v/>
      </c>
      <c r="K1536" s="3">
        <f>I1536-J1536</f>
        <v/>
      </c>
      <c r="L1536" s="3">
        <f>IF(K1536&lt;-5,"CRÍTICO",IF(K1536&lt;0,"ATENÇÃO",IF(K1536&lt;=5,"BOM","EXCELENTE")))</f>
        <v/>
      </c>
      <c r="M1536" t="n">
        <v>30</v>
      </c>
      <c r="N1536" t="n">
        <v>100</v>
      </c>
      <c r="O1536" t="n">
        <v>34.15094339622641</v>
      </c>
    </row>
    <row r="1537" hidden="1">
      <c r="A1537" s="11" t="n">
        <v>46049</v>
      </c>
      <c r="B1537" t="inlineStr">
        <is>
          <t>Francielson de Oliveira</t>
        </is>
      </c>
      <c r="C1537" t="inlineStr">
        <is>
          <t>Técnico III</t>
        </is>
      </c>
      <c r="D1537" t="n">
        <v>25</v>
      </c>
      <c r="E1537" t="n">
        <v>23</v>
      </c>
      <c r="F1537" t="n">
        <v>15.08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25</v>
      </c>
      <c r="N1537" t="n">
        <v>100</v>
      </c>
      <c r="O1537" t="n">
        <v>32.7313769751693</v>
      </c>
    </row>
    <row r="1538" hidden="1">
      <c r="A1538" s="11" t="n">
        <v>46049</v>
      </c>
      <c r="B1538" t="inlineStr">
        <is>
          <t>Francilene Ferreira de Jesus</t>
        </is>
      </c>
      <c r="C1538" t="inlineStr">
        <is>
          <t>Técnico II</t>
        </is>
      </c>
      <c r="D1538" t="n">
        <v>34</v>
      </c>
      <c r="E1538" t="n">
        <v>33</v>
      </c>
      <c r="F1538" t="n">
        <v>21.52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99.31</v>
      </c>
      <c r="O1538" t="n">
        <v>30.96234309623431</v>
      </c>
    </row>
    <row r="1539" hidden="1">
      <c r="A1539" s="11" t="n">
        <v>46083</v>
      </c>
      <c r="B1539" t="inlineStr">
        <is>
          <t>Gabriel Gomes de Andrade</t>
        </is>
      </c>
      <c r="C1539" t="inlineStr">
        <is>
          <t>Técnico I</t>
        </is>
      </c>
      <c r="D1539" t="n">
        <v>22</v>
      </c>
      <c r="E1539" t="n">
        <v>21</v>
      </c>
      <c r="F1539" t="n">
        <v>20.11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20</v>
      </c>
      <c r="N1539" t="n">
        <v>99.05</v>
      </c>
      <c r="O1539" t="n">
        <v>26.62192393736018</v>
      </c>
    </row>
    <row r="1540" hidden="1">
      <c r="A1540" s="11" t="n">
        <v>46049</v>
      </c>
      <c r="B1540" t="inlineStr">
        <is>
          <t>Isabella Borges de Oliveira</t>
        </is>
      </c>
      <c r="C1540" t="inlineStr">
        <is>
          <t>Técnico II</t>
        </is>
      </c>
      <c r="D1540" t="n">
        <v>36</v>
      </c>
      <c r="E1540" t="n">
        <v>32</v>
      </c>
      <c r="F1540" t="n">
        <v>17.36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M1540" t="n">
        <v>28</v>
      </c>
      <c r="N1540" t="n">
        <v>100</v>
      </c>
      <c r="O1540" t="n">
        <v>27.67676767676768</v>
      </c>
    </row>
    <row r="1541" hidden="1">
      <c r="A1541" s="11" t="n">
        <v>46049</v>
      </c>
      <c r="B1541" t="inlineStr">
        <is>
          <t>Janaina Lima dos Reis Urany</t>
        </is>
      </c>
      <c r="C1541" t="inlineStr">
        <is>
          <t>Técnico III</t>
        </is>
      </c>
      <c r="D1541" t="n">
        <v>38</v>
      </c>
      <c r="E1541" t="n">
        <v>36</v>
      </c>
      <c r="F1541" t="n">
        <v>18.37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30</v>
      </c>
      <c r="N1541" t="n">
        <v>100</v>
      </c>
      <c r="O1541" t="n">
        <v>31.17723156532988</v>
      </c>
    </row>
    <row r="1542" hidden="1">
      <c r="A1542" s="11" t="n">
        <v>46049</v>
      </c>
      <c r="B1542" t="inlineStr">
        <is>
          <t>Jaqueline Evangelista da Silva Martins</t>
        </is>
      </c>
      <c r="C1542" t="inlineStr">
        <is>
          <t>Técnico III</t>
        </is>
      </c>
      <c r="D1542" t="n">
        <v>17</v>
      </c>
      <c r="E1542" t="n">
        <v>15</v>
      </c>
      <c r="F1542" t="n">
        <v>10.24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14</v>
      </c>
      <c r="N1542" t="n">
        <v>100</v>
      </c>
      <c r="O1542" t="n">
        <v>27.60942760942761</v>
      </c>
    </row>
    <row r="1543" hidden="1">
      <c r="A1543" s="11" t="n">
        <v>46049</v>
      </c>
      <c r="B1543" t="inlineStr">
        <is>
          <t>Jessica Faria da Silveira</t>
        </is>
      </c>
      <c r="C1543" t="inlineStr">
        <is>
          <t>Técnico II</t>
        </is>
      </c>
      <c r="D1543" t="n">
        <v>32</v>
      </c>
      <c r="E1543" t="n">
        <v>23</v>
      </c>
      <c r="F1543" t="n">
        <v>15.2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23</v>
      </c>
      <c r="N1543" t="n">
        <v>96.40000000000001</v>
      </c>
      <c r="O1543" t="n">
        <v>28.76404494382023</v>
      </c>
    </row>
    <row r="1544" hidden="1">
      <c r="A1544" s="11" t="n">
        <v>46049</v>
      </c>
      <c r="B1544" t="inlineStr">
        <is>
          <t>Jéssica Fé Moura</t>
        </is>
      </c>
      <c r="C1544" t="inlineStr">
        <is>
          <t>Técnico III</t>
        </is>
      </c>
      <c r="D1544" t="n">
        <v>0</v>
      </c>
      <c r="E1544" t="n">
        <v>0</v>
      </c>
      <c r="F1544" t="n">
        <v>0</v>
      </c>
      <c r="G1544" t="n">
        <v>0</v>
      </c>
      <c r="H1544" t="n">
        <v>0</v>
      </c>
      <c r="I1544" s="3" t="n">
        <v>0</v>
      </c>
      <c r="J1544" s="3" t="n">
        <v>0</v>
      </c>
      <c r="K1544" s="3" t="n">
        <v>0</v>
      </c>
      <c r="L1544" s="3">
        <f>IF(K1544&lt;-5,"CRÍTICO",IF(K1544&lt;0,"ATENÇÃO",IF(K1544&lt;=5,"BOM","EXCELENTE")))</f>
        <v/>
      </c>
      <c r="M1544" t="n">
        <v>0</v>
      </c>
      <c r="N1544" t="n">
        <v>100</v>
      </c>
      <c r="O1544" t="n">
        <v>33.98058252427185</v>
      </c>
    </row>
    <row r="1545" hidden="1">
      <c r="A1545" s="11" t="n">
        <v>46049</v>
      </c>
      <c r="B1545" t="inlineStr">
        <is>
          <t>Karina Gonçalves Martins</t>
        </is>
      </c>
      <c r="C1545" t="inlineStr">
        <is>
          <t>JR</t>
        </is>
      </c>
      <c r="D1545" t="n">
        <v>8</v>
      </c>
      <c r="E1545" t="n">
        <v>8</v>
      </c>
      <c r="F1545" t="n">
        <v>32.2</v>
      </c>
      <c r="G1545" t="n">
        <v>0</v>
      </c>
      <c r="H1545" t="n">
        <v>0</v>
      </c>
      <c r="I1545" s="3">
        <f>E1545+G1545+H1545</f>
        <v/>
      </c>
      <c r="J1545" s="3">
        <f>ROUND(MIN(IF(C1545="Técnico III",35,IF(C1545="Técnico II",28,IF(C1545="Técnico I",23,IF(C1545="JR",20,IF(C1545="Estágio",10,0))))),IF(C1545="Técnico III",SUMIFS($D:$D,$A:$A,$A1545,$B:$B,"&lt;&gt;Patrícia Karla de Sousa Araújo",$B:$B,"&lt;&gt;Lorena Dias de Araujo",$B:$B,"&lt;&gt;Lucas Luiz Romero")*(35/1083),IF(C1545="Técnico II",SUMIFS($D:$D,$A:$A,$A1545,$B:$B,"&lt;&gt;Patrícia Karla de Sousa Araújo",$B:$B,"&lt;&gt;Lorena Dias de Araujo",$B:$B,"&lt;&gt;Lucas Luiz Romero")*(28/1083),IF(C1545="Técnico I",SUMIFS($D:$D,$A:$A,$A1545,$B:$B,"&lt;&gt;Patrícia Karla de Sousa Araújo",$B:$B,"&lt;&gt;Lorena Dias de Araujo",$B:$B,"&lt;&gt;Lucas Luiz Romero")*(23/1083),IF(C1545="JR",SUMIFS($D:$D,$A:$A,$A1545,$B:$B,"&lt;&gt;Patrícia Karla de Sousa Araújo",$B:$B,"&lt;&gt;Lorena Dias de Araujo",$B:$B,"&lt;&gt;Lucas Luiz Romero")*(20/1083),IF(C1545="Estágio",SUMIFS($D:$D,$A:$A,$A1545,$B:$B,"&lt;&gt;Patrícia Karla de Sousa Araújo",$B:$B,"&lt;&gt;Lorena Dias de Araujo",$B:$B,"&lt;&gt;Lucas Luiz Romero")*(10/1083),0)))))),0)</f>
        <v/>
      </c>
      <c r="K1545" s="3">
        <f>I1545-J1545</f>
        <v/>
      </c>
      <c r="L1545" s="3">
        <f>IF(K1545&lt;-5,"CRÍTICO",IF(K1545&lt;0,"ATENÇÃO",IF(K1545&lt;=5,"BOM","EXCELENTE")))</f>
        <v/>
      </c>
      <c r="M1545" t="n">
        <v>5</v>
      </c>
      <c r="N1545" t="n">
        <v>97.56</v>
      </c>
      <c r="O1545" t="n">
        <v>32.51533742331289</v>
      </c>
    </row>
    <row r="1546" hidden="1">
      <c r="A1546" s="11" t="n">
        <v>46049</v>
      </c>
      <c r="B1546" t="inlineStr">
        <is>
          <t>Kerollen Cristielly de Jesus Siqueira</t>
        </is>
      </c>
      <c r="C1546" t="inlineStr">
        <is>
          <t>Técnico III</t>
        </is>
      </c>
      <c r="D1546" t="n">
        <v>14</v>
      </c>
      <c r="E1546" t="n">
        <v>14</v>
      </c>
      <c r="F1546" t="n">
        <v>20.52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14</v>
      </c>
      <c r="N1546" t="n">
        <v>97.11</v>
      </c>
      <c r="O1546" t="n">
        <v>37.40831295843521</v>
      </c>
    </row>
    <row r="1547" hidden="1">
      <c r="A1547" s="11" t="n">
        <v>46049</v>
      </c>
      <c r="B1547" t="inlineStr">
        <is>
          <t>Leandro de Souza Silva</t>
        </is>
      </c>
      <c r="C1547" t="inlineStr">
        <is>
          <t>JR</t>
        </is>
      </c>
      <c r="D1547" t="n">
        <v>0</v>
      </c>
      <c r="E1547" t="n">
        <v>0</v>
      </c>
      <c r="F1547" t="n">
        <v>0</v>
      </c>
      <c r="G1547" t="n">
        <v>0</v>
      </c>
      <c r="H1547" t="n">
        <v>0</v>
      </c>
      <c r="I1547" s="3" t="n">
        <v>0</v>
      </c>
      <c r="J1547" s="3" t="n">
        <v>0</v>
      </c>
      <c r="K1547" s="3" t="n">
        <v>0</v>
      </c>
      <c r="L1547" s="3">
        <f>IF(K1547&lt;-5,"CRÍTICO",IF(K1547&lt;0,"ATENÇÃO",IF(K1547&lt;=5,"BOM","EXCELENTE")))</f>
        <v/>
      </c>
      <c r="M1547" t="n">
        <v>0</v>
      </c>
      <c r="N1547" t="n">
        <v>0</v>
      </c>
      <c r="O1547" t="n">
        <v>0</v>
      </c>
    </row>
    <row r="1548" hidden="1">
      <c r="A1548" s="11" t="n">
        <v>46049</v>
      </c>
      <c r="B1548" t="inlineStr">
        <is>
          <t>Leandro Oliveira de Sousa</t>
        </is>
      </c>
      <c r="C1548" t="inlineStr">
        <is>
          <t>Técnico III</t>
        </is>
      </c>
      <c r="D1548" t="n">
        <v>25</v>
      </c>
      <c r="E1548" t="n">
        <v>25</v>
      </c>
      <c r="F1548" t="n">
        <v>18.42</v>
      </c>
      <c r="G1548" t="n">
        <v>0</v>
      </c>
      <c r="H1548" t="n">
        <v>0</v>
      </c>
      <c r="I1548" s="3">
        <f>E1548+G1548+H1548</f>
        <v/>
      </c>
      <c r="J1548" s="3">
        <f>ROUND(MIN(IF(C1548="Técnico III",35,IF(C1548="Técnico II",28,IF(C1548="Técnico I",23,IF(C1548="JR",20,IF(C1548="Estágio",10,0))))),IF(C1548="Técnico III",SUMIFS($D:$D,$A:$A,$A1548,$B:$B,"&lt;&gt;Patrícia Karla de Sousa Araújo",$B:$B,"&lt;&gt;Lorena Dias de Araujo",$B:$B,"&lt;&gt;Lucas Luiz Romero")*(35/1083),IF(C1548="Técnico II",SUMIFS($D:$D,$A:$A,$A1548,$B:$B,"&lt;&gt;Patrícia Karla de Sousa Araújo",$B:$B,"&lt;&gt;Lorena Dias de Araujo",$B:$B,"&lt;&gt;Lucas Luiz Romero")*(28/1083),IF(C1548="Técnico I",SUMIFS($D:$D,$A:$A,$A1548,$B:$B,"&lt;&gt;Patrícia Karla de Sousa Araújo",$B:$B,"&lt;&gt;Lorena Dias de Araujo",$B:$B,"&lt;&gt;Lucas Luiz Romero")*(23/1083),IF(C1548="JR",SUMIFS($D:$D,$A:$A,$A1548,$B:$B,"&lt;&gt;Patrícia Karla de Sousa Araújo",$B:$B,"&lt;&gt;Lorena Dias de Araujo",$B:$B,"&lt;&gt;Lucas Luiz Romero")*(20/1083),IF(C1548="Estágio",SUMIFS($D:$D,$A:$A,$A1548,$B:$B,"&lt;&gt;Patrícia Karla de Sousa Araújo",$B:$B,"&lt;&gt;Lorena Dias de Araujo",$B:$B,"&lt;&gt;Lucas Luiz Romero")*(10/1083),0)))))),0)</f>
        <v/>
      </c>
      <c r="K1548" s="3">
        <f>I1548-J1548</f>
        <v/>
      </c>
      <c r="L1548" s="3">
        <f>IF(K1548&lt;-5,"CRÍTICO",IF(K1548&lt;0,"ATENÇÃO",IF(K1548&lt;=5,"BOM","EXCELENTE")))</f>
        <v/>
      </c>
      <c r="M1548" t="n">
        <v>18</v>
      </c>
      <c r="N1548" t="n">
        <v>100</v>
      </c>
      <c r="O1548" t="n">
        <v>30.47034764826176</v>
      </c>
    </row>
    <row r="1549" hidden="1">
      <c r="A1549" s="11" t="n">
        <v>46049</v>
      </c>
      <c r="B1549" t="inlineStr">
        <is>
          <t>Lizandra Gomes Duarte</t>
        </is>
      </c>
      <c r="C1549" t="inlineStr">
        <is>
          <t>Técnico II</t>
        </is>
      </c>
      <c r="D1549" t="n">
        <v>39</v>
      </c>
      <c r="E1549" t="n">
        <v>37</v>
      </c>
      <c r="F1549" t="n">
        <v>18.31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24</v>
      </c>
      <c r="N1549" t="n">
        <v>100</v>
      </c>
      <c r="O1549" t="n">
        <v>32.37113402061856</v>
      </c>
    </row>
    <row r="1550" hidden="1">
      <c r="A1550" s="11" t="n">
        <v>46049</v>
      </c>
      <c r="B1550" t="inlineStr">
        <is>
          <t>Lorena Dias de Araujo</t>
        </is>
      </c>
      <c r="C1550" t="inlineStr">
        <is>
          <t>Técnico II</t>
        </is>
      </c>
      <c r="D1550" t="n">
        <v>25</v>
      </c>
      <c r="E1550" t="n">
        <v>23</v>
      </c>
      <c r="F1550" t="n">
        <v>20.28</v>
      </c>
      <c r="G1550" t="n">
        <v>0</v>
      </c>
      <c r="H1550" t="n">
        <v>0</v>
      </c>
      <c r="I1550" s="3" t="n">
        <v>0</v>
      </c>
      <c r="J1550" s="3" t="n">
        <v>0</v>
      </c>
      <c r="K1550" s="3" t="n">
        <v>0</v>
      </c>
      <c r="L1550" s="3">
        <f>IF(K1550&lt;-5,"CRÍTICO",IF(K1550&lt;0,"ATENÇÃO",IF(K1550&lt;=5,"BOM","EXCELENTE")))</f>
        <v/>
      </c>
      <c r="M1550" t="n">
        <v>19</v>
      </c>
      <c r="N1550" t="n">
        <v>98.31999999999999</v>
      </c>
      <c r="O1550" t="n">
        <v>32.31850117096019</v>
      </c>
    </row>
    <row r="1551" hidden="1">
      <c r="A1551" s="11" t="n">
        <v>46049</v>
      </c>
      <c r="B1551" t="inlineStr">
        <is>
          <t>Lucas Luiz Romero</t>
        </is>
      </c>
      <c r="C1551" t="inlineStr">
        <is>
          <t>Técnico III</t>
        </is>
      </c>
      <c r="D1551" t="n">
        <v>169</v>
      </c>
      <c r="E1551" t="n">
        <v>32</v>
      </c>
      <c r="F1551" t="n">
        <v>2</v>
      </c>
      <c r="G1551" t="n">
        <v>0</v>
      </c>
      <c r="H1551" t="n">
        <v>0</v>
      </c>
      <c r="I1551" s="3">
        <f>E1551+G1551+H1551</f>
        <v/>
      </c>
      <c r="J1551" s="3">
        <f>ROUND(MIN(IF(C1551="Técnico III",35,IF(C1551="Técnico II",28,IF(C1551="Técnico I",23,IF(C1551="JR",20,IF(C1551="Estágio",10,0))))),IF(C1551="Técnico III",SUMIFS($D:$D,$A:$A,$A1551,$B:$B,"&lt;&gt;Patrícia Karla de Sousa Araújo",$B:$B,"&lt;&gt;Lorena Dias de Araujo",$B:$B,"&lt;&gt;Lucas Luiz Romero")*(35/1083),IF(C1551="Técnico II",SUMIFS($D:$D,$A:$A,$A1551,$B:$B,"&lt;&gt;Patrícia Karla de Sousa Araújo",$B:$B,"&lt;&gt;Lorena Dias de Araujo",$B:$B,"&lt;&gt;Lucas Luiz Romero")*(28/1083),IF(C1551="Técnico I",SUMIFS($D:$D,$A:$A,$A1551,$B:$B,"&lt;&gt;Patrícia Karla de Sousa Araújo",$B:$B,"&lt;&gt;Lorena Dias de Araujo",$B:$B,"&lt;&gt;Lucas Luiz Romero")*(23/1083),IF(C1551="JR",SUMIFS($D:$D,$A:$A,$A1551,$B:$B,"&lt;&gt;Patrícia Karla de Sousa Araújo",$B:$B,"&lt;&gt;Lorena Dias de Araujo",$B:$B,"&lt;&gt;Lucas Luiz Romero")*(20/1083),IF(C1551="Estágio",SUMIFS($D:$D,$A:$A,$A1551,$B:$B,"&lt;&gt;Patrícia Karla de Sousa Araújo",$B:$B,"&lt;&gt;Lorena Dias de Araujo",$B:$B,"&lt;&gt;Lucas Luiz Romero")*(10/1083),0)))))),0)</f>
        <v/>
      </c>
      <c r="K1551" s="3">
        <f>I1551-J1551</f>
        <v/>
      </c>
      <c r="L1551" s="3">
        <f>IF(K1551&lt;-5,"CRÍTICO",IF(K1551&lt;0,"ATENÇÃO",IF(K1551&lt;=5,"BOM","EXCELENTE")))</f>
        <v/>
      </c>
      <c r="M1551" t="n">
        <v>13</v>
      </c>
      <c r="N1551" t="n">
        <v>96.43000000000001</v>
      </c>
      <c r="O1551" t="n">
        <v>27.01525054466231</v>
      </c>
    </row>
    <row r="1552" hidden="1">
      <c r="A1552" s="11" t="n">
        <v>46049</v>
      </c>
      <c r="B1552" t="inlineStr">
        <is>
          <t>Luiz Fernando de Carvalho Junior</t>
        </is>
      </c>
      <c r="C1552" t="inlineStr">
        <is>
          <t>Técnico I</t>
        </is>
      </c>
      <c r="D1552" t="n">
        <v>15</v>
      </c>
      <c r="E1552" t="n">
        <v>15</v>
      </c>
      <c r="F1552" t="n">
        <v>32.16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98.89</v>
      </c>
      <c r="O1552" t="n">
        <v>28.02197802197802</v>
      </c>
    </row>
    <row r="1553" hidden="1">
      <c r="A1553" s="11" t="n">
        <v>46049</v>
      </c>
      <c r="B1553" t="inlineStr">
        <is>
          <t>Maria Eduarda Sousa Costa</t>
        </is>
      </c>
      <c r="C1553" t="inlineStr">
        <is>
          <t>Estágio</t>
        </is>
      </c>
      <c r="D1553" t="n">
        <v>7</v>
      </c>
      <c r="E1553" t="n">
        <v>5</v>
      </c>
      <c r="F1553" t="n">
        <v>40.53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4</v>
      </c>
      <c r="N1553" t="n">
        <v>100</v>
      </c>
      <c r="O1553" t="n">
        <v>33.33333333333333</v>
      </c>
    </row>
    <row r="1554" hidden="1">
      <c r="A1554" s="11" t="n">
        <v>46049</v>
      </c>
      <c r="B1554" t="inlineStr">
        <is>
          <t>Matheus Farias De Souza</t>
        </is>
      </c>
      <c r="C1554" t="inlineStr">
        <is>
          <t>Técnico III</t>
        </is>
      </c>
      <c r="D1554" t="n">
        <v>0</v>
      </c>
      <c r="E1554" t="n">
        <v>0</v>
      </c>
      <c r="F1554" t="n">
        <v>0</v>
      </c>
      <c r="G1554" t="n">
        <v>0</v>
      </c>
      <c r="H1554" t="n">
        <v>0</v>
      </c>
      <c r="I1554" s="3" t="n">
        <v>0</v>
      </c>
      <c r="J1554" s="3" t="n">
        <v>0</v>
      </c>
      <c r="K1554" s="3" t="n">
        <v>0</v>
      </c>
      <c r="L1554" s="3">
        <f>IF(K1554&lt;-5,"CRÍTICO",IF(K1554&lt;0,"ATENÇÃO",IF(K1554&lt;=5,"BOM","EXCELENTE")))</f>
        <v/>
      </c>
      <c r="M1554" t="n">
        <v>0</v>
      </c>
      <c r="N1554" t="n">
        <v>100</v>
      </c>
      <c r="O1554" t="n">
        <v>27.43362831858407</v>
      </c>
    </row>
    <row r="1555" hidden="1">
      <c r="A1555" s="11" t="n">
        <v>46049</v>
      </c>
      <c r="B1555" t="inlineStr">
        <is>
          <t>Maysa Victoria Dias Moura</t>
        </is>
      </c>
      <c r="C1555" t="inlineStr">
        <is>
          <t>Técnico III</t>
        </is>
      </c>
      <c r="D1555" t="n">
        <v>24</v>
      </c>
      <c r="E1555" t="n">
        <v>22</v>
      </c>
      <c r="F1555" t="n">
        <v>18.24</v>
      </c>
      <c r="G1555" t="n">
        <v>0</v>
      </c>
      <c r="H1555" t="n">
        <v>0</v>
      </c>
      <c r="I1555" s="3">
        <f>E1555+G1555+H1555</f>
        <v/>
      </c>
      <c r="J1555" s="3">
        <f>ROUND(MIN(IF(C1555="Técnico III",35,IF(C1555="Técnico II",28,IF(C1555="Técnico I",23,IF(C1555="JR",20,IF(C1555="Estágio",10,0))))),IF(C1555="Técnico III",SUMIFS($D:$D,$A:$A,$A1555,$B:$B,"&lt;&gt;Patrícia Karla de Sousa Araújo",$B:$B,"&lt;&gt;Lorena Dias de Araujo",$B:$B,"&lt;&gt;Lucas Luiz Romero")*(35/1083),IF(C1555="Técnico II",SUMIFS($D:$D,$A:$A,$A1555,$B:$B,"&lt;&gt;Patrícia Karla de Sousa Araújo",$B:$B,"&lt;&gt;Lorena Dias de Araujo",$B:$B,"&lt;&gt;Lucas Luiz Romero")*(28/1083),IF(C1555="Técnico I",SUMIFS($D:$D,$A:$A,$A1555,$B:$B,"&lt;&gt;Patrícia Karla de Sousa Araújo",$B:$B,"&lt;&gt;Lorena Dias de Araujo",$B:$B,"&lt;&gt;Lucas Luiz Romero")*(23/1083),IF(C1555="JR",SUMIFS($D:$D,$A:$A,$A1555,$B:$B,"&lt;&gt;Patrícia Karla de Sousa Araújo",$B:$B,"&lt;&gt;Lorena Dias de Araujo",$B:$B,"&lt;&gt;Lucas Luiz Romero")*(20/1083),IF(C1555="Estágio",SUMIFS($D:$D,$A:$A,$A1555,$B:$B,"&lt;&gt;Patrícia Karla de Sousa Araújo",$B:$B,"&lt;&gt;Lorena Dias de Araujo",$B:$B,"&lt;&gt;Lucas Luiz Romero")*(10/1083),0)))))),0)</f>
        <v/>
      </c>
      <c r="K1555" s="3">
        <f>I1555-J1555</f>
        <v/>
      </c>
      <c r="L1555" s="3">
        <f>IF(K1555&lt;-5,"CRÍTICO",IF(K1555&lt;0,"ATENÇÃO",IF(K1555&lt;=5,"BOM","EXCELENTE")))</f>
        <v/>
      </c>
      <c r="M1555" t="n">
        <v>18</v>
      </c>
      <c r="N1555" t="n">
        <v>98.65000000000001</v>
      </c>
      <c r="O1555" t="n">
        <v>30.97826086956522</v>
      </c>
    </row>
    <row r="1556" hidden="1">
      <c r="A1556" s="11" t="n">
        <v>46049</v>
      </c>
      <c r="B1556" t="inlineStr">
        <is>
          <t>Michelle G Santos</t>
        </is>
      </c>
      <c r="C1556" t="inlineStr">
        <is>
          <t>Estágio</t>
        </is>
      </c>
      <c r="D1556" t="n">
        <v>6</v>
      </c>
      <c r="E1556" t="n">
        <v>6</v>
      </c>
      <c r="F1556" t="n">
        <v>45.33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5</v>
      </c>
      <c r="N1556" t="n">
        <v>100</v>
      </c>
      <c r="O1556" t="n">
        <v>12</v>
      </c>
    </row>
    <row r="1557" hidden="1">
      <c r="A1557" s="11" t="n">
        <v>46049</v>
      </c>
      <c r="B1557" t="inlineStr">
        <is>
          <t>Milena Sales</t>
        </is>
      </c>
      <c r="C1557" t="inlineStr">
        <is>
          <t>JR</t>
        </is>
      </c>
      <c r="D1557" t="n">
        <v>0</v>
      </c>
      <c r="E1557" t="n">
        <v>0</v>
      </c>
      <c r="F1557" t="n">
        <v>0</v>
      </c>
      <c r="G1557" t="n">
        <v>0</v>
      </c>
      <c r="H1557" t="n">
        <v>0</v>
      </c>
      <c r="I1557" s="3" t="n">
        <v>0</v>
      </c>
      <c r="J1557" s="3" t="n">
        <v>0</v>
      </c>
      <c r="K1557" s="3" t="n">
        <v>0</v>
      </c>
      <c r="L1557" s="3">
        <f>IF(K1557&lt;-5,"CRÍTICO",IF(K1557&lt;0,"ATENÇÃO",IF(K1557&lt;=5,"BOM","EXCELENTE")))</f>
        <v/>
      </c>
      <c r="M1557" t="n">
        <v>0</v>
      </c>
      <c r="N1557" t="n">
        <v>0</v>
      </c>
      <c r="O1557" t="n">
        <v>0</v>
      </c>
    </row>
    <row r="1558" hidden="1">
      <c r="A1558" s="11" t="n">
        <v>46049</v>
      </c>
      <c r="B1558" t="inlineStr">
        <is>
          <t>Patrícia Karla de Sousa Araújo</t>
        </is>
      </c>
      <c r="C1558" t="inlineStr">
        <is>
          <t>Técnico II</t>
        </is>
      </c>
      <c r="D1558" t="n">
        <v>11</v>
      </c>
      <c r="E1558" t="n">
        <v>11</v>
      </c>
      <c r="F1558" t="n">
        <v>24.09</v>
      </c>
      <c r="G1558" t="n">
        <v>0</v>
      </c>
      <c r="H1558" t="n">
        <v>0</v>
      </c>
      <c r="I1558" s="3">
        <f>E1558+G1558+H1558</f>
        <v/>
      </c>
      <c r="J1558" s="3">
        <f>ROUND(MIN(IF(C1558="Técnico III",35,IF(C1558="Técnico II",28,IF(C1558="Técnico I",23,IF(C1558="JR",20,IF(C1558="Estágio",10,0))))),IF(C1558="Técnico III",SUMIFS($D:$D,$A:$A,$A1558,$B:$B,"&lt;&gt;Patrícia Karla de Sousa Araújo",$B:$B,"&lt;&gt;Lorena Dias de Araujo",$B:$B,"&lt;&gt;Lucas Luiz Romero")*(35/1083),IF(C1558="Técnico II",SUMIFS($D:$D,$A:$A,$A1558,$B:$B,"&lt;&gt;Patrícia Karla de Sousa Araújo",$B:$B,"&lt;&gt;Lorena Dias de Araujo",$B:$B,"&lt;&gt;Lucas Luiz Romero")*(28/1083),IF(C1558="Técnico I",SUMIFS($D:$D,$A:$A,$A1558,$B:$B,"&lt;&gt;Patrícia Karla de Sousa Araújo",$B:$B,"&lt;&gt;Lorena Dias de Araujo",$B:$B,"&lt;&gt;Lucas Luiz Romero")*(23/1083),IF(C1558="JR",SUMIFS($D:$D,$A:$A,$A1558,$B:$B,"&lt;&gt;Patrícia Karla de Sousa Araújo",$B:$B,"&lt;&gt;Lorena Dias de Araujo",$B:$B,"&lt;&gt;Lucas Luiz Romero")*(20/1083),IF(C1558="Estágio",SUMIFS($D:$D,$A:$A,$A1558,$B:$B,"&lt;&gt;Patrícia Karla de Sousa Araújo",$B:$B,"&lt;&gt;Lorena Dias de Araujo",$B:$B,"&lt;&gt;Lucas Luiz Romero")*(10/1083),0)))))),0)</f>
        <v/>
      </c>
      <c r="K1558" s="3">
        <f>I1558-J1558</f>
        <v/>
      </c>
      <c r="L1558" s="3">
        <f>IF(K1558&lt;-5,"CRÍTICO",IF(K1558&lt;0,"ATENÇÃO",IF(K1558&lt;=5,"BOM","EXCELENTE")))</f>
        <v/>
      </c>
      <c r="M1558" t="n">
        <v>8</v>
      </c>
      <c r="N1558" t="n">
        <v>97.56</v>
      </c>
      <c r="O1558" t="n">
        <v>31.06796116504854</v>
      </c>
    </row>
    <row r="1559" hidden="1">
      <c r="A1559" s="11" t="n">
        <v>46049</v>
      </c>
      <c r="B1559" t="inlineStr">
        <is>
          <t>Paulo Ricardo Santos</t>
        </is>
      </c>
      <c r="C1559" t="inlineStr">
        <is>
          <t>JR</t>
        </is>
      </c>
      <c r="D1559" t="n">
        <v>0</v>
      </c>
      <c r="E1559" t="n">
        <v>0</v>
      </c>
      <c r="F1559" t="n">
        <v>0</v>
      </c>
      <c r="G1559" t="n">
        <v>0</v>
      </c>
      <c r="H1559" t="n">
        <v>0</v>
      </c>
      <c r="I1559" s="3" t="n">
        <v>0</v>
      </c>
      <c r="J1559" s="3" t="n">
        <v>0</v>
      </c>
      <c r="K1559" s="3" t="n">
        <v>0</v>
      </c>
      <c r="L1559" s="3">
        <f>IF(K1559&lt;-5,"CRÍTICO",IF(K1559&lt;0,"ATENÇÃO",IF(K1559&lt;=5,"BOM","EXCELENTE")))</f>
        <v/>
      </c>
      <c r="M1559" t="n">
        <v>0</v>
      </c>
      <c r="N1559" t="n">
        <v>0</v>
      </c>
      <c r="O1559" t="n">
        <v>0</v>
      </c>
    </row>
    <row r="1560" hidden="1">
      <c r="A1560" s="11" t="n">
        <v>46049</v>
      </c>
      <c r="B1560" t="inlineStr">
        <is>
          <t>Pedro Luiz Mota Sousa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Quirino Diogo Leite Torres</t>
        </is>
      </c>
      <c r="C1561" t="inlineStr">
        <is>
          <t>Estágio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Raane Batista Matos</t>
        </is>
      </c>
      <c r="C1562" t="inlineStr">
        <is>
          <t>Técnico I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100</v>
      </c>
      <c r="O1562" t="n">
        <v>53.84615384615385</v>
      </c>
    </row>
    <row r="1563" hidden="1">
      <c r="A1563" s="11" t="n">
        <v>46049</v>
      </c>
      <c r="B1563" t="inlineStr">
        <is>
          <t>Rafael Gomes de Morais</t>
        </is>
      </c>
      <c r="C1563" t="inlineStr">
        <is>
          <t>Técnico III</t>
        </is>
      </c>
      <c r="D1563" t="n">
        <v>39</v>
      </c>
      <c r="E1563" t="n">
        <v>34</v>
      </c>
      <c r="F1563" t="n">
        <v>13.44</v>
      </c>
      <c r="G1563" t="n">
        <v>0</v>
      </c>
      <c r="H1563" t="n">
        <v>0</v>
      </c>
      <c r="I1563" s="3">
        <f>E1563+G1563+H1563</f>
        <v/>
      </c>
      <c r="J1563" s="3">
        <f>ROUND(MIN(IF(C1563="Técnico III",35,IF(C1563="Técnico II",28,IF(C1563="Técnico I",23,IF(C1563="JR",20,IF(C1563="Estágio",10,0))))),IF(C1563="Técnico III",SUMIFS($D:$D,$A:$A,$A1563,$B:$B,"&lt;&gt;Patrícia Karla de Sousa Araújo",$B:$B,"&lt;&gt;Lorena Dias de Araujo",$B:$B,"&lt;&gt;Lucas Luiz Romero")*(35/1083),IF(C1563="Técnico II",SUMIFS($D:$D,$A:$A,$A1563,$B:$B,"&lt;&gt;Patrícia Karla de Sousa Araújo",$B:$B,"&lt;&gt;Lorena Dias de Araujo",$B:$B,"&lt;&gt;Lucas Luiz Romero")*(28/1083),IF(C1563="Técnico I",SUMIFS($D:$D,$A:$A,$A1563,$B:$B,"&lt;&gt;Patrícia Karla de Sousa Araújo",$B:$B,"&lt;&gt;Lorena Dias de Araujo",$B:$B,"&lt;&gt;Lucas Luiz Romero")*(23/1083),IF(C1563="JR",SUMIFS($D:$D,$A:$A,$A1563,$B:$B,"&lt;&gt;Patrícia Karla de Sousa Araújo",$B:$B,"&lt;&gt;Lorena Dias de Araujo",$B:$B,"&lt;&gt;Lucas Luiz Romero")*(20/1083),IF(C1563="Estágio",SUMIFS($D:$D,$A:$A,$A1563,$B:$B,"&lt;&gt;Patrícia Karla de Sousa Araújo",$B:$B,"&lt;&gt;Lorena Dias de Araujo",$B:$B,"&lt;&gt;Lucas Luiz Romero")*(10/1083),0)))))),0)</f>
        <v/>
      </c>
      <c r="K1563" s="3">
        <f>I1563-J1563</f>
        <v/>
      </c>
      <c r="L1563" s="3">
        <f>IF(K1563&lt;-5,"CRÍTICO",IF(K1563&lt;0,"ATENÇÃO",IF(K1563&lt;=5,"BOM","EXCELENTE")))</f>
        <v/>
      </c>
      <c r="M1563" t="n">
        <v>28</v>
      </c>
      <c r="N1563" t="n">
        <v>100</v>
      </c>
      <c r="O1563" t="n">
        <v>44.05594405594406</v>
      </c>
    </row>
    <row r="1564" hidden="1">
      <c r="A1564" s="11" t="n">
        <v>46049</v>
      </c>
      <c r="B1564" t="inlineStr">
        <is>
          <t>Sara Maria Monteiro Lopes</t>
        </is>
      </c>
      <c r="C1564" t="inlineStr">
        <is>
          <t>Técnico I</t>
        </is>
      </c>
      <c r="D1564" t="n">
        <v>21</v>
      </c>
      <c r="E1564" t="n">
        <v>20</v>
      </c>
      <c r="F1564" t="n">
        <v>21.58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17</v>
      </c>
      <c r="N1564" t="n">
        <v>100</v>
      </c>
      <c r="O1564" t="n">
        <v>31.87250996015936</v>
      </c>
    </row>
    <row r="1565" hidden="1">
      <c r="A1565" s="11" t="n">
        <v>46049</v>
      </c>
      <c r="B1565" t="inlineStr">
        <is>
          <t>Sarah Steffanie de Lima Borges</t>
        </is>
      </c>
      <c r="C1565" t="inlineStr">
        <is>
          <t>Técnico III</t>
        </is>
      </c>
      <c r="D1565" t="n">
        <v>32</v>
      </c>
      <c r="E1565" t="n">
        <v>31</v>
      </c>
      <c r="F1565" t="n">
        <v>16.49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29</v>
      </c>
      <c r="N1565" t="n">
        <v>98.41</v>
      </c>
      <c r="O1565" t="n">
        <v>29.22465208747515</v>
      </c>
    </row>
    <row r="1566" hidden="1">
      <c r="A1566" s="11" t="n">
        <v>46050</v>
      </c>
      <c r="B1566" t="inlineStr">
        <is>
          <t>Alisson de Freitas Silva</t>
        </is>
      </c>
      <c r="C1566" t="inlineStr">
        <is>
          <t>Técnico II</t>
        </is>
      </c>
      <c r="D1566" t="n">
        <v>45</v>
      </c>
      <c r="E1566" t="n">
        <v>40</v>
      </c>
      <c r="F1566" t="n">
        <v>12.1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39</v>
      </c>
      <c r="N1566" t="n">
        <v>96.81</v>
      </c>
      <c r="O1566" t="n">
        <v>27.98053527980535</v>
      </c>
    </row>
    <row r="1567" hidden="1">
      <c r="A1567" s="11" t="n">
        <v>46050</v>
      </c>
      <c r="B1567" t="inlineStr">
        <is>
          <t>Amanda Moura Ferreira</t>
        </is>
      </c>
      <c r="C1567" t="inlineStr">
        <is>
          <t>Técnico III</t>
        </is>
      </c>
      <c r="D1567" t="n">
        <v>0</v>
      </c>
      <c r="E1567" t="n">
        <v>0</v>
      </c>
      <c r="F1567" t="n">
        <v>0</v>
      </c>
      <c r="G1567" t="n">
        <v>0</v>
      </c>
      <c r="H1567" t="n">
        <v>0</v>
      </c>
      <c r="I1567" s="3" t="n">
        <v>0</v>
      </c>
      <c r="J1567" s="3" t="n">
        <v>0</v>
      </c>
      <c r="K1567" s="3" t="n">
        <v>0</v>
      </c>
      <c r="L1567" s="3">
        <f>IF(K1567&lt;-5,"CRÍTICO",IF(K1567&lt;0,"ATENÇÃO",IF(K1567&lt;=5,"BOM","EXCELENTE")))</f>
        <v/>
      </c>
      <c r="M1567" t="n">
        <v>36</v>
      </c>
      <c r="N1567" t="n">
        <v>98.73</v>
      </c>
      <c r="O1567" t="n">
        <v>35.75638506876228</v>
      </c>
    </row>
    <row r="1568" hidden="1">
      <c r="A1568" s="11" t="n">
        <v>46050</v>
      </c>
      <c r="B1568" t="inlineStr">
        <is>
          <t>Ana Karollyne Souza Faria</t>
        </is>
      </c>
      <c r="C1568" t="inlineStr">
        <is>
          <t>Técnico I</t>
        </is>
      </c>
      <c r="D1568" t="n">
        <v>28</v>
      </c>
      <c r="E1568" t="n">
        <v>28</v>
      </c>
      <c r="F1568" t="n">
        <v>22.02</v>
      </c>
      <c r="G1568" t="n">
        <v>0</v>
      </c>
      <c r="H1568" t="n">
        <v>0</v>
      </c>
      <c r="I1568" s="3">
        <f>E1568+G1568+H1568</f>
        <v/>
      </c>
      <c r="J1568" s="3">
        <f>ROUND(MIN(IF(C1568="Técnico III",35,IF(C1568="Técnico II",28,IF(C1568="Técnico I",23,IF(C1568="JR",20,IF(C1568="Estágio",10,0))))),IF(C1568="Técnico III",SUMIFS($D:$D,$A:$A,$A1568,$B:$B,"&lt;&gt;Patrícia Karla de Sousa Araújo",$B:$B,"&lt;&gt;Lorena Dias de Araujo",$B:$B,"&lt;&gt;Lucas Luiz Romero")*(35/1083),IF(C1568="Técnico II",SUMIFS($D:$D,$A:$A,$A1568,$B:$B,"&lt;&gt;Patrícia Karla de Sousa Araújo",$B:$B,"&lt;&gt;Lorena Dias de Araujo",$B:$B,"&lt;&gt;Lucas Luiz Romero")*(28/1083),IF(C1568="Técnico I",SUMIFS($D:$D,$A:$A,$A1568,$B:$B,"&lt;&gt;Patrícia Karla de Sousa Araújo",$B:$B,"&lt;&gt;Lorena Dias de Araujo",$B:$B,"&lt;&gt;Lucas Luiz Romero")*(23/1083),IF(C1568="JR",SUMIFS($D:$D,$A:$A,$A1568,$B:$B,"&lt;&gt;Patrícia Karla de Sousa Araújo",$B:$B,"&lt;&gt;Lorena Dias de Araujo",$B:$B,"&lt;&gt;Lucas Luiz Romero")*(20/1083),IF(C1568="Estágio",SUMIFS($D:$D,$A:$A,$A1568,$B:$B,"&lt;&gt;Patrícia Karla de Sousa Araújo",$B:$B,"&lt;&gt;Lorena Dias de Araujo",$B:$B,"&lt;&gt;Lucas Luiz Romero")*(10/1083),0)))))),0)</f>
        <v/>
      </c>
      <c r="K1568" s="3">
        <f>I1568-J1568</f>
        <v/>
      </c>
      <c r="L1568" s="3">
        <f>IF(K1568&lt;-5,"CRÍTICO",IF(K1568&lt;0,"ATENÇÃO",IF(K1568&lt;=5,"BOM","EXCELENTE")))</f>
        <v/>
      </c>
      <c r="M1568" t="n">
        <v>24</v>
      </c>
      <c r="N1568" t="n">
        <v>98.31999999999999</v>
      </c>
      <c r="O1568" t="n">
        <v>26.76348547717842</v>
      </c>
    </row>
    <row r="1569" hidden="1">
      <c r="A1569" s="11" t="n">
        <v>46050</v>
      </c>
      <c r="B1569" t="inlineStr">
        <is>
          <t>Ana Paula Da Luz Silva Aleixo</t>
        </is>
      </c>
      <c r="C1569" t="inlineStr">
        <is>
          <t>Técnico III</t>
        </is>
      </c>
      <c r="D1569" t="n">
        <v>26</v>
      </c>
      <c r="E1569" t="n">
        <v>23</v>
      </c>
      <c r="F1569" t="n">
        <v>25.17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20</v>
      </c>
      <c r="N1569" t="n">
        <v>99.19</v>
      </c>
      <c r="O1569" t="n">
        <v>27.63713080168776</v>
      </c>
    </row>
    <row r="1570" hidden="1">
      <c r="A1570" s="11" t="n">
        <v>46050</v>
      </c>
      <c r="B1570" t="inlineStr">
        <is>
          <t>Anna Luiza Rezende Tavares</t>
        </is>
      </c>
      <c r="C1570" t="inlineStr">
        <is>
          <t>Estágio</t>
        </is>
      </c>
      <c r="D1570" t="n">
        <v>13</v>
      </c>
      <c r="E1570" t="n">
        <v>13</v>
      </c>
      <c r="F1570" t="n">
        <v>20.5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13</v>
      </c>
      <c r="N1570" t="n">
        <v>100</v>
      </c>
      <c r="O1570" t="n">
        <v>39.56834532374101</v>
      </c>
    </row>
    <row r="1571" hidden="1">
      <c r="A1571" s="11" t="n">
        <v>46050</v>
      </c>
      <c r="B1571" t="inlineStr">
        <is>
          <t>Brenda de Menezes Silva</t>
        </is>
      </c>
      <c r="C1571" t="inlineStr">
        <is>
          <t>Técnico II</t>
        </is>
      </c>
      <c r="D1571" t="n">
        <v>46</v>
      </c>
      <c r="E1571" t="n">
        <v>35</v>
      </c>
      <c r="F1571" t="n">
        <v>13.3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38</v>
      </c>
      <c r="N1571" t="n">
        <v>98.54000000000001</v>
      </c>
      <c r="O1571" t="n">
        <v>28.54477611940299</v>
      </c>
    </row>
    <row r="1572" hidden="1">
      <c r="A1572" s="11" t="n">
        <v>46050</v>
      </c>
      <c r="B1572" t="inlineStr">
        <is>
          <t>Carlos Mateus Cassimiro Nunes</t>
        </is>
      </c>
      <c r="C1572" t="inlineStr">
        <is>
          <t>Técnico II</t>
        </is>
      </c>
      <c r="D1572" t="n">
        <v>24</v>
      </c>
      <c r="E1572" t="n">
        <v>24</v>
      </c>
      <c r="F1572" t="n">
        <v>25.34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20</v>
      </c>
      <c r="N1572" t="n">
        <v>100</v>
      </c>
      <c r="O1572" t="n">
        <v>34.36692506459949</v>
      </c>
    </row>
    <row r="1573" hidden="1">
      <c r="A1573" s="11" t="n">
        <v>46050</v>
      </c>
      <c r="B1573" t="inlineStr">
        <is>
          <t>Claudio de Sousa Velasco Filho</t>
        </is>
      </c>
      <c r="C1573" t="inlineStr">
        <is>
          <t>Estágio</t>
        </is>
      </c>
      <c r="D1573" t="n">
        <v>0</v>
      </c>
      <c r="E1573" t="n">
        <v>0</v>
      </c>
      <c r="F1573" t="n">
        <v>0</v>
      </c>
      <c r="G1573" t="n">
        <v>0</v>
      </c>
      <c r="H1573" t="n">
        <v>0</v>
      </c>
      <c r="I1573" s="3" t="n">
        <v>0</v>
      </c>
      <c r="J1573" s="3" t="n">
        <v>0</v>
      </c>
      <c r="K1573" s="3" t="n">
        <v>0</v>
      </c>
      <c r="L1573" s="3">
        <f>IF(K1573&lt;-5,"CRÍTICO",IF(K1573&lt;0,"ATENÇÃO",IF(K1573&lt;=5,"BOM","EXCELENTE")))</f>
        <v/>
      </c>
      <c r="M1573" t="n">
        <v>0</v>
      </c>
      <c r="N1573" t="n">
        <v>0</v>
      </c>
      <c r="O1573" t="n">
        <v>0</v>
      </c>
    </row>
    <row r="1574" hidden="1">
      <c r="A1574" s="11" t="n">
        <v>46050</v>
      </c>
      <c r="B1574" t="inlineStr">
        <is>
          <t>Clessiane Pereira dos Santos</t>
        </is>
      </c>
      <c r="C1574" t="inlineStr">
        <is>
          <t>Técnico I</t>
        </is>
      </c>
      <c r="D1574" t="n">
        <v>28</v>
      </c>
      <c r="E1574" t="n">
        <v>25</v>
      </c>
      <c r="F1574" t="n">
        <v>18.56</v>
      </c>
      <c r="G1574" t="n">
        <v>0</v>
      </c>
      <c r="H1574" t="n">
        <v>0</v>
      </c>
      <c r="I1574" s="3">
        <f>E1574+G1574+H1574</f>
        <v/>
      </c>
      <c r="J1574" s="3">
        <f>ROUND(MIN(IF(C1574="Técnico III",35,IF(C1574="Técnico II",28,IF(C1574="Técnico I",23,IF(C1574="JR",20,IF(C1574="Estágio",10,0))))),IF(C1574="Técnico III",SUMIFS($D:$D,$A:$A,$A1574,$B:$B,"&lt;&gt;Patrícia Karla de Sousa Araújo",$B:$B,"&lt;&gt;Lorena Dias de Araujo",$B:$B,"&lt;&gt;Lucas Luiz Romero")*(35/1083),IF(C1574="Técnico II",SUMIFS($D:$D,$A:$A,$A1574,$B:$B,"&lt;&gt;Patrícia Karla de Sousa Araújo",$B:$B,"&lt;&gt;Lorena Dias de Araujo",$B:$B,"&lt;&gt;Lucas Luiz Romero")*(28/1083),IF(C1574="Técnico I",SUMIFS($D:$D,$A:$A,$A1574,$B:$B,"&lt;&gt;Patrícia Karla de Sousa Araújo",$B:$B,"&lt;&gt;Lorena Dias de Araujo",$B:$B,"&lt;&gt;Lucas Luiz Romero")*(23/1083),IF(C1574="JR",SUMIFS($D:$D,$A:$A,$A1574,$B:$B,"&lt;&gt;Patrícia Karla de Sousa Araújo",$B:$B,"&lt;&gt;Lorena Dias de Araujo",$B:$B,"&lt;&gt;Lucas Luiz Romero")*(20/1083),IF(C1574="Estágio",SUMIFS($D:$D,$A:$A,$A1574,$B:$B,"&lt;&gt;Patrícia Karla de Sousa Araújo",$B:$B,"&lt;&gt;Lorena Dias de Araujo",$B:$B,"&lt;&gt;Lucas Luiz Romero")*(10/1083),0)))))),0)</f>
        <v/>
      </c>
      <c r="K1574" s="3">
        <f>I1574-J1574</f>
        <v/>
      </c>
      <c r="L1574" s="3">
        <f>IF(K1574&lt;-5,"CRÍTICO",IF(K1574&lt;0,"ATENÇÃO",IF(K1574&lt;=5,"BOM","EXCELENTE")))</f>
        <v/>
      </c>
      <c r="M1574" t="n">
        <v>26</v>
      </c>
      <c r="N1574" t="n">
        <v>100</v>
      </c>
      <c r="O1574" t="n">
        <v>29.51807228915663</v>
      </c>
    </row>
    <row r="1575" hidden="1">
      <c r="A1575" s="11" t="n">
        <v>46050</v>
      </c>
      <c r="B1575" t="inlineStr">
        <is>
          <t>Cristiane Ramos da Silva Rocha</t>
        </is>
      </c>
      <c r="C1575" t="inlineStr">
        <is>
          <t>Técnico III</t>
        </is>
      </c>
      <c r="D1575" t="n">
        <v>43</v>
      </c>
      <c r="E1575" t="n">
        <v>37</v>
      </c>
      <c r="F1575" t="n">
        <v>12.12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36</v>
      </c>
      <c r="N1575" t="n">
        <v>97.45</v>
      </c>
      <c r="O1575" t="n">
        <v>41.421143847487</v>
      </c>
    </row>
    <row r="1576" hidden="1">
      <c r="A1576" s="11" t="n">
        <v>46050</v>
      </c>
      <c r="B1576" t="inlineStr">
        <is>
          <t>Damyllis Lorraine de Oliveira Gonçalves</t>
        </is>
      </c>
      <c r="C1576" t="inlineStr">
        <is>
          <t>Técnico II</t>
        </is>
      </c>
      <c r="D1576" t="n">
        <v>41</v>
      </c>
      <c r="E1576" t="n">
        <v>32</v>
      </c>
      <c r="F1576" t="n">
        <v>13.51</v>
      </c>
      <c r="G1576" t="n">
        <v>0</v>
      </c>
      <c r="H1576" t="n">
        <v>0</v>
      </c>
      <c r="I1576" s="3" t="n">
        <v>0</v>
      </c>
      <c r="J1576" s="3" t="n">
        <v>0</v>
      </c>
      <c r="K1576" s="3" t="n">
        <v>0</v>
      </c>
      <c r="L1576" s="3">
        <f>IF(K1576&lt;-5,"CRÍTICO",IF(K1576&lt;0,"ATENÇÃO",IF(K1576&lt;=5,"BOM","EXCELENTE")))</f>
        <v/>
      </c>
      <c r="M1576" t="n">
        <v>30</v>
      </c>
      <c r="N1576" t="n">
        <v>96.58</v>
      </c>
      <c r="O1576" t="n">
        <v>30.39647577092511</v>
      </c>
    </row>
    <row r="1577" hidden="1">
      <c r="A1577" s="11" t="n">
        <v>46050</v>
      </c>
      <c r="B1577" t="inlineStr">
        <is>
          <t>Daniel Gomes da Silva</t>
        </is>
      </c>
      <c r="C1577" t="inlineStr">
        <is>
          <t>Técnico I</t>
        </is>
      </c>
      <c r="D1577" t="n">
        <v>26</v>
      </c>
      <c r="E1577" t="n">
        <v>23</v>
      </c>
      <c r="F1577" t="n">
        <v>24.19</v>
      </c>
      <c r="G1577" t="n">
        <v>0</v>
      </c>
      <c r="H1577" t="n">
        <v>0</v>
      </c>
      <c r="I1577" s="3">
        <f>E1577+G1577+H1577</f>
        <v/>
      </c>
      <c r="J1577" s="3">
        <f>ROUND(MIN(IF(C1577="Técnico III",35,IF(C1577="Técnico II",28,IF(C1577="Técnico I",23,IF(C1577="JR",20,IF(C1577="Estágio",10,0))))),IF(C1577="Técnico III",SUMIFS($D:$D,$A:$A,$A1577,$B:$B,"&lt;&gt;Patrícia Karla de Sousa Araújo",$B:$B,"&lt;&gt;Lorena Dias de Araujo",$B:$B,"&lt;&gt;Lucas Luiz Romero")*(35/1083),IF(C1577="Técnico II",SUMIFS($D:$D,$A:$A,$A1577,$B:$B,"&lt;&gt;Patrícia Karla de Sousa Araújo",$B:$B,"&lt;&gt;Lorena Dias de Araujo",$B:$B,"&lt;&gt;Lucas Luiz Romero")*(28/1083),IF(C1577="Técnico I",SUMIFS($D:$D,$A:$A,$A1577,$B:$B,"&lt;&gt;Patrícia Karla de Sousa Araújo",$B:$B,"&lt;&gt;Lorena Dias de Araujo",$B:$B,"&lt;&gt;Lucas Luiz Romero")*(23/1083),IF(C1577="JR",SUMIFS($D:$D,$A:$A,$A1577,$B:$B,"&lt;&gt;Patrícia Karla de Sousa Araújo",$B:$B,"&lt;&gt;Lorena Dias de Araujo",$B:$B,"&lt;&gt;Lucas Luiz Romero")*(20/1083),IF(C1577="Estágio",SUMIFS($D:$D,$A:$A,$A1577,$B:$B,"&lt;&gt;Patrícia Karla de Sousa Araújo",$B:$B,"&lt;&gt;Lorena Dias de Araujo",$B:$B,"&lt;&gt;Lucas Luiz Romero")*(10/1083),0)))))),0)</f>
        <v/>
      </c>
      <c r="K1577" s="3">
        <f>I1577-J1577</f>
        <v/>
      </c>
      <c r="L1577" s="3">
        <f>IF(K1577&lt;-5,"CRÍTICO",IF(K1577&lt;0,"ATENÇÃO",IF(K1577&lt;=5,"BOM","EXCELENTE")))</f>
        <v/>
      </c>
      <c r="M1577" t="n">
        <v>28</v>
      </c>
      <c r="N1577" t="n">
        <v>100</v>
      </c>
      <c r="O1577" t="n">
        <v>27.44282744282744</v>
      </c>
    </row>
    <row r="1578" hidden="1">
      <c r="A1578" s="11" t="n">
        <v>46050</v>
      </c>
      <c r="B1578" t="inlineStr">
        <is>
          <t>Davylla Rodrigues Freitas Silva</t>
        </is>
      </c>
      <c r="C1578" t="inlineStr">
        <is>
          <t>Técnico III</t>
        </is>
      </c>
      <c r="D1578" t="n">
        <v>32</v>
      </c>
      <c r="E1578" t="n">
        <v>32</v>
      </c>
      <c r="F1578" t="n">
        <v>22.01</v>
      </c>
      <c r="G1578" t="n">
        <v>0</v>
      </c>
      <c r="H1578" t="n">
        <v>0</v>
      </c>
      <c r="I1578" s="3" t="n">
        <v>0</v>
      </c>
      <c r="J1578" s="3" t="n">
        <v>0</v>
      </c>
      <c r="K1578" s="3" t="n">
        <v>0</v>
      </c>
      <c r="L1578" s="3">
        <f>IF(K1578&lt;-5,"CRÍTICO",IF(K1578&lt;0,"ATENÇÃO",IF(K1578&lt;=5,"BOM","EXCELENTE")))</f>
        <v/>
      </c>
      <c r="M1578" t="n">
        <v>31</v>
      </c>
      <c r="N1578" t="n">
        <v>99.48999999999999</v>
      </c>
      <c r="O1578" t="n">
        <v>40.2</v>
      </c>
    </row>
    <row r="1579" hidden="1">
      <c r="A1579" s="11" t="n">
        <v>46050</v>
      </c>
      <c r="B1579" t="inlineStr">
        <is>
          <t>Emilly Caylane Costa</t>
        </is>
      </c>
      <c r="C1579" t="inlineStr">
        <is>
          <t>Estágio</t>
        </is>
      </c>
      <c r="D1579" t="n">
        <v>2</v>
      </c>
      <c r="E1579" t="n">
        <v>2</v>
      </c>
      <c r="F1579" t="n">
        <v>55.02</v>
      </c>
      <c r="G1579" t="n">
        <v>0</v>
      </c>
      <c r="H1579" t="n">
        <v>0</v>
      </c>
      <c r="I1579" s="3">
        <f>E1579+G1579+H1579</f>
        <v/>
      </c>
      <c r="J1579" s="3">
        <f>ROUND(MIN(IF(C1579="Técnico III",35,IF(C1579="Técnico II",28,IF(C1579="Técnico I",23,IF(C1579="JR",20,IF(C1579="Estágio",10,0))))),IF(C1579="Técnico III",SUMIFS($D:$D,$A:$A,$A1579,$B:$B,"&lt;&gt;Patrícia Karla de Sousa Araújo",$B:$B,"&lt;&gt;Lorena Dias de Araujo",$B:$B,"&lt;&gt;Lucas Luiz Romero")*(35/1083),IF(C1579="Técnico II",SUMIFS($D:$D,$A:$A,$A1579,$B:$B,"&lt;&gt;Patrícia Karla de Sousa Araújo",$B:$B,"&lt;&gt;Lorena Dias de Araujo",$B:$B,"&lt;&gt;Lucas Luiz Romero")*(28/1083),IF(C1579="Técnico I",SUMIFS($D:$D,$A:$A,$A1579,$B:$B,"&lt;&gt;Patrícia Karla de Sousa Araújo",$B:$B,"&lt;&gt;Lorena Dias de Araujo",$B:$B,"&lt;&gt;Lucas Luiz Romero")*(23/1083),IF(C1579="JR",SUMIFS($D:$D,$A:$A,$A1579,$B:$B,"&lt;&gt;Patrícia Karla de Sousa Araújo",$B:$B,"&lt;&gt;Lorena Dias de Araujo",$B:$B,"&lt;&gt;Lucas Luiz Romero")*(20/1083),IF(C1579="Estágio",SUMIFS($D:$D,$A:$A,$A1579,$B:$B,"&lt;&gt;Patrícia Karla de Sousa Araújo",$B:$B,"&lt;&gt;Lorena Dias de Araujo",$B:$B,"&lt;&gt;Lucas Luiz Romero")*(10/1083),0)))))),0)</f>
        <v/>
      </c>
      <c r="K1579" s="3">
        <f>I1579-J1579</f>
        <v/>
      </c>
      <c r="L1579" s="3">
        <f>IF(K1579&lt;-5,"CRÍTICO",IF(K1579&lt;0,"ATENÇÃO",IF(K1579&lt;=5,"BOM","EXCELENTE")))</f>
        <v/>
      </c>
      <c r="M1579" t="n">
        <v>0</v>
      </c>
      <c r="N1579" t="n">
        <v>100</v>
      </c>
      <c r="O1579" t="n">
        <v>25</v>
      </c>
    </row>
    <row r="1580" hidden="1">
      <c r="A1580" s="11" t="n">
        <v>46050</v>
      </c>
      <c r="B1580" t="inlineStr">
        <is>
          <t>Emilly Kamilly Medeiros Miranda</t>
        </is>
      </c>
      <c r="C1580" t="inlineStr">
        <is>
          <t>Técnico II</t>
        </is>
      </c>
      <c r="D1580" t="n">
        <v>33</v>
      </c>
      <c r="E1580" t="n">
        <v>31</v>
      </c>
      <c r="F1580" t="n">
        <v>20.15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31</v>
      </c>
      <c r="N1580" t="n">
        <v>100</v>
      </c>
      <c r="O1580" t="n">
        <v>34.15094339622641</v>
      </c>
    </row>
    <row r="1581" hidden="1">
      <c r="A1581" s="11" t="n">
        <v>46050</v>
      </c>
      <c r="B1581" t="inlineStr">
        <is>
          <t>Francielson de Oliveira</t>
        </is>
      </c>
      <c r="C1581" t="inlineStr">
        <is>
          <t>Técnico III</t>
        </is>
      </c>
      <c r="D1581" t="n">
        <v>33</v>
      </c>
      <c r="E1581" t="n">
        <v>30</v>
      </c>
      <c r="F1581" t="n">
        <v>15.08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32</v>
      </c>
      <c r="N1581" t="n">
        <v>100</v>
      </c>
      <c r="O1581" t="n">
        <v>32.7313769751693</v>
      </c>
    </row>
    <row r="1582" hidden="1">
      <c r="A1582" s="11" t="n">
        <v>46050</v>
      </c>
      <c r="B1582" t="inlineStr">
        <is>
          <t>Francilene Ferreira de Jesus</t>
        </is>
      </c>
      <c r="C1582" t="inlineStr">
        <is>
          <t>Técnico II</t>
        </is>
      </c>
      <c r="D1582" t="n">
        <v>32</v>
      </c>
      <c r="E1582" t="n">
        <v>30</v>
      </c>
      <c r="F1582" t="n">
        <v>20.37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28</v>
      </c>
      <c r="N1582" t="n">
        <v>99.31</v>
      </c>
      <c r="O1582" t="n">
        <v>30.96234309623431</v>
      </c>
    </row>
    <row r="1583" hidden="1">
      <c r="A1583" s="11" t="n">
        <v>46084</v>
      </c>
      <c r="B1583" t="inlineStr">
        <is>
          <t>Gabriel Gomes de Andrade</t>
        </is>
      </c>
      <c r="C1583" t="inlineStr">
        <is>
          <t>Técnico I</t>
        </is>
      </c>
      <c r="D1583" t="n">
        <v>21</v>
      </c>
      <c r="E1583" t="n">
        <v>21</v>
      </c>
      <c r="F1583" t="n">
        <v>27.26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21</v>
      </c>
      <c r="N1583" t="n">
        <v>99.05</v>
      </c>
      <c r="O1583" t="n">
        <v>26.62192393736018</v>
      </c>
    </row>
    <row r="1584" hidden="1">
      <c r="A1584" s="11" t="n">
        <v>46050</v>
      </c>
      <c r="B1584" t="inlineStr">
        <is>
          <t>Isabella Borges de Oliveira</t>
        </is>
      </c>
      <c r="C1584" t="inlineStr">
        <is>
          <t>Técnico II</t>
        </is>
      </c>
      <c r="D1584" t="n">
        <v>36</v>
      </c>
      <c r="E1584" t="n">
        <v>34</v>
      </c>
      <c r="F1584" t="n">
        <v>18.46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M1584" t="n">
        <v>30</v>
      </c>
      <c r="N1584" t="n">
        <v>100</v>
      </c>
      <c r="O1584" t="n">
        <v>27.67676767676768</v>
      </c>
    </row>
    <row r="1585" hidden="1">
      <c r="A1585" s="11" t="n">
        <v>46050</v>
      </c>
      <c r="B1585" t="inlineStr">
        <is>
          <t>Janaina Lima dos Reis Urany</t>
        </is>
      </c>
      <c r="C1585" t="inlineStr">
        <is>
          <t>Técnico III</t>
        </is>
      </c>
      <c r="D1585" t="n">
        <v>55</v>
      </c>
      <c r="E1585" t="n">
        <v>50</v>
      </c>
      <c r="F1585" t="n">
        <v>11.53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47</v>
      </c>
      <c r="N1585" t="n">
        <v>100</v>
      </c>
      <c r="O1585" t="n">
        <v>31.17723156532988</v>
      </c>
    </row>
    <row r="1586" hidden="1">
      <c r="A1586" s="11" t="n">
        <v>46050</v>
      </c>
      <c r="B1586" t="inlineStr">
        <is>
          <t>Jaqueline Evangelista da Silva Martins</t>
        </is>
      </c>
      <c r="C1586" t="inlineStr">
        <is>
          <t>Técnico III</t>
        </is>
      </c>
      <c r="D1586" t="n">
        <v>18</v>
      </c>
      <c r="E1586" t="n">
        <v>15</v>
      </c>
      <c r="F1586" t="n">
        <v>12.07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16</v>
      </c>
      <c r="N1586" t="n">
        <v>100</v>
      </c>
      <c r="O1586" t="n">
        <v>27.60942760942761</v>
      </c>
    </row>
    <row r="1587" hidden="1">
      <c r="A1587" s="11" t="n">
        <v>46050</v>
      </c>
      <c r="B1587" t="inlineStr">
        <is>
          <t>Jessica Faria da Silveira</t>
        </is>
      </c>
      <c r="C1587" t="inlineStr">
        <is>
          <t>Técnico II</t>
        </is>
      </c>
      <c r="D1587" t="n">
        <v>47</v>
      </c>
      <c r="E1587" t="n">
        <v>38</v>
      </c>
      <c r="F1587" t="n">
        <v>12.23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37</v>
      </c>
      <c r="N1587" t="n">
        <v>96.40000000000001</v>
      </c>
      <c r="O1587" t="n">
        <v>28.76404494382023</v>
      </c>
    </row>
    <row r="1588" hidden="1">
      <c r="A1588" s="11" t="n">
        <v>46050</v>
      </c>
      <c r="B1588" t="inlineStr">
        <is>
          <t>Jéssica Fé Moura</t>
        </is>
      </c>
      <c r="C1588" t="inlineStr">
        <is>
          <t>Técnico III</t>
        </is>
      </c>
      <c r="D1588" t="n">
        <v>0</v>
      </c>
      <c r="E1588" t="n">
        <v>0</v>
      </c>
      <c r="F1588" t="n">
        <v>0</v>
      </c>
      <c r="G1588" t="n">
        <v>0</v>
      </c>
      <c r="H1588" t="n">
        <v>0</v>
      </c>
      <c r="I1588" s="3" t="n">
        <v>0</v>
      </c>
      <c r="J1588" s="3" t="n">
        <v>0</v>
      </c>
      <c r="K1588" s="3" t="n">
        <v>0</v>
      </c>
      <c r="L1588" s="3">
        <f>IF(K1588&lt;-5,"CRÍTICO",IF(K1588&lt;0,"ATENÇÃO",IF(K1588&lt;=5,"BOM","EXCELENTE")))</f>
        <v/>
      </c>
      <c r="M1588" t="n">
        <v>0</v>
      </c>
      <c r="N1588" t="n">
        <v>100</v>
      </c>
      <c r="O1588" t="n">
        <v>33.98058252427185</v>
      </c>
    </row>
    <row r="1589" hidden="1">
      <c r="A1589" s="11" t="n">
        <v>46050</v>
      </c>
      <c r="B1589" t="inlineStr">
        <is>
          <t>Karina Gonçalves Martins</t>
        </is>
      </c>
      <c r="C1589" t="inlineStr">
        <is>
          <t>JR</t>
        </is>
      </c>
      <c r="D1589" t="n">
        <v>9</v>
      </c>
      <c r="E1589" t="n">
        <v>9</v>
      </c>
      <c r="F1589" t="n">
        <v>23.36</v>
      </c>
      <c r="G1589" t="n">
        <v>0</v>
      </c>
      <c r="H1589" t="n">
        <v>0</v>
      </c>
      <c r="I1589" s="3">
        <f>E1589+G1589+H1589</f>
        <v/>
      </c>
      <c r="J1589" s="3">
        <f>ROUND(MIN(IF(C1589="Técnico III",35,IF(C1589="Técnico II",28,IF(C1589="Técnico I",23,IF(C1589="JR",20,IF(C1589="Estágio",10,0))))),IF(C1589="Técnico III",SUMIFS($D:$D,$A:$A,$A1589,$B:$B,"&lt;&gt;Patrícia Karla de Sousa Araújo",$B:$B,"&lt;&gt;Lorena Dias de Araujo",$B:$B,"&lt;&gt;Lucas Luiz Romero")*(35/1083),IF(C1589="Técnico II",SUMIFS($D:$D,$A:$A,$A1589,$B:$B,"&lt;&gt;Patrícia Karla de Sousa Araújo",$B:$B,"&lt;&gt;Lorena Dias de Araujo",$B:$B,"&lt;&gt;Lucas Luiz Romero")*(28/1083),IF(C1589="Técnico I",SUMIFS($D:$D,$A:$A,$A1589,$B:$B,"&lt;&gt;Patrícia Karla de Sousa Araújo",$B:$B,"&lt;&gt;Lorena Dias de Araujo",$B:$B,"&lt;&gt;Lucas Luiz Romero")*(23/1083),IF(C1589="JR",SUMIFS($D:$D,$A:$A,$A1589,$B:$B,"&lt;&gt;Patrícia Karla de Sousa Araújo",$B:$B,"&lt;&gt;Lorena Dias de Araujo",$B:$B,"&lt;&gt;Lucas Luiz Romero")*(20/1083),IF(C1589="Estágio",SUMIFS($D:$D,$A:$A,$A1589,$B:$B,"&lt;&gt;Patrícia Karla de Sousa Araújo",$B:$B,"&lt;&gt;Lorena Dias de Araujo",$B:$B,"&lt;&gt;Lucas Luiz Romero")*(10/1083),0)))))),0)</f>
        <v/>
      </c>
      <c r="K1589" s="3">
        <f>I1589-J1589</f>
        <v/>
      </c>
      <c r="L1589" s="3">
        <f>IF(K1589&lt;-5,"CRÍTICO",IF(K1589&lt;0,"ATENÇÃO",IF(K1589&lt;=5,"BOM","EXCELENTE")))</f>
        <v/>
      </c>
      <c r="M1589" t="n">
        <v>10</v>
      </c>
      <c r="N1589" t="n">
        <v>97.56</v>
      </c>
      <c r="O1589" t="n">
        <v>32.51533742331289</v>
      </c>
    </row>
    <row r="1590" hidden="1">
      <c r="A1590" s="11" t="n">
        <v>46050</v>
      </c>
      <c r="B1590" t="inlineStr">
        <is>
          <t>Kerollen Cristielly de Jesus Siqueira</t>
        </is>
      </c>
      <c r="C1590" t="inlineStr">
        <is>
          <t>Técnico III</t>
        </is>
      </c>
      <c r="D1590" t="n">
        <v>18</v>
      </c>
      <c r="E1590" t="n">
        <v>18</v>
      </c>
      <c r="F1590" t="n">
        <v>19.17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18</v>
      </c>
      <c r="N1590" t="n">
        <v>97.11</v>
      </c>
      <c r="O1590" t="n">
        <v>37.40831295843521</v>
      </c>
    </row>
    <row r="1591" hidden="1">
      <c r="A1591" s="11" t="n">
        <v>46050</v>
      </c>
      <c r="B1591" t="inlineStr">
        <is>
          <t>Leandro de Souza Silva</t>
        </is>
      </c>
      <c r="C1591" t="inlineStr">
        <is>
          <t>JR</t>
        </is>
      </c>
      <c r="D1591" t="n">
        <v>0</v>
      </c>
      <c r="E1591" t="n">
        <v>0</v>
      </c>
      <c r="F1591" t="n">
        <v>0</v>
      </c>
      <c r="G1591" t="n">
        <v>0</v>
      </c>
      <c r="H1591" t="n">
        <v>0</v>
      </c>
      <c r="I1591" s="3" t="n">
        <v>0</v>
      </c>
      <c r="J1591" s="3" t="n">
        <v>0</v>
      </c>
      <c r="K1591" s="3" t="n">
        <v>0</v>
      </c>
      <c r="L1591" s="3">
        <f>IF(K1591&lt;-5,"CRÍTICO",IF(K1591&lt;0,"ATENÇÃO",IF(K1591&lt;=5,"BOM","EXCELENTE")))</f>
        <v/>
      </c>
      <c r="M1591" t="n">
        <v>0</v>
      </c>
      <c r="N1591" t="n">
        <v>0</v>
      </c>
      <c r="O1591" t="n">
        <v>0</v>
      </c>
    </row>
    <row r="1592" hidden="1">
      <c r="A1592" s="11" t="n">
        <v>46050</v>
      </c>
      <c r="B1592" t="inlineStr">
        <is>
          <t>Leandro Oliveira de Sousa</t>
        </is>
      </c>
      <c r="C1592" t="inlineStr">
        <is>
          <t>Técnico III</t>
        </is>
      </c>
      <c r="D1592" t="n">
        <v>29</v>
      </c>
      <c r="E1592" t="n">
        <v>26</v>
      </c>
      <c r="F1592" t="n">
        <v>17.18</v>
      </c>
      <c r="G1592" t="n">
        <v>0</v>
      </c>
      <c r="H1592" t="n">
        <v>0</v>
      </c>
      <c r="I1592" s="3">
        <f>E1592+G1592+H1592</f>
        <v/>
      </c>
      <c r="J1592" s="3">
        <f>ROUND(MIN(IF(C1592="Técnico III",35,IF(C1592="Técnico II",28,IF(C1592="Técnico I",23,IF(C1592="JR",20,IF(C1592="Estágio",10,0))))),IF(C1592="Técnico III",SUMIFS($D:$D,$A:$A,$A1592,$B:$B,"&lt;&gt;Patrícia Karla de Sousa Araújo",$B:$B,"&lt;&gt;Lorena Dias de Araujo",$B:$B,"&lt;&gt;Lucas Luiz Romero")*(35/1083),IF(C1592="Técnico II",SUMIFS($D:$D,$A:$A,$A1592,$B:$B,"&lt;&gt;Patrícia Karla de Sousa Araújo",$B:$B,"&lt;&gt;Lorena Dias de Araujo",$B:$B,"&lt;&gt;Lucas Luiz Romero")*(28/1083),IF(C1592="Técnico I",SUMIFS($D:$D,$A:$A,$A1592,$B:$B,"&lt;&gt;Patrícia Karla de Sousa Araújo",$B:$B,"&lt;&gt;Lorena Dias de Araujo",$B:$B,"&lt;&gt;Lucas Luiz Romero")*(23/1083),IF(C1592="JR",SUMIFS($D:$D,$A:$A,$A1592,$B:$B,"&lt;&gt;Patrícia Karla de Sousa Araújo",$B:$B,"&lt;&gt;Lorena Dias de Araujo",$B:$B,"&lt;&gt;Lucas Luiz Romero")*(20/1083),IF(C1592="Estágio",SUMIFS($D:$D,$A:$A,$A1592,$B:$B,"&lt;&gt;Patrícia Karla de Sousa Araújo",$B:$B,"&lt;&gt;Lorena Dias de Araujo",$B:$B,"&lt;&gt;Lucas Luiz Romero")*(10/1083),0)))))),0)</f>
        <v/>
      </c>
      <c r="K1592" s="3">
        <f>I1592-J1592</f>
        <v/>
      </c>
      <c r="L1592" s="3">
        <f>IF(K1592&lt;-5,"CRÍTICO",IF(K1592&lt;0,"ATENÇÃO",IF(K1592&lt;=5,"BOM","EXCELENTE")))</f>
        <v/>
      </c>
      <c r="M1592" t="n">
        <v>28</v>
      </c>
      <c r="N1592" t="n">
        <v>100</v>
      </c>
      <c r="O1592" t="n">
        <v>30.47034764826176</v>
      </c>
    </row>
    <row r="1593" hidden="1">
      <c r="A1593" s="11" t="n">
        <v>46050</v>
      </c>
      <c r="B1593" t="inlineStr">
        <is>
          <t>Lizandra Gomes Duarte</t>
        </is>
      </c>
      <c r="C1593" t="inlineStr">
        <is>
          <t>Técnico II</t>
        </is>
      </c>
      <c r="D1593" t="n">
        <v>35</v>
      </c>
      <c r="E1593" t="n">
        <v>30</v>
      </c>
      <c r="F1593" t="n">
        <v>16.51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25</v>
      </c>
      <c r="N1593" t="n">
        <v>100</v>
      </c>
      <c r="O1593" t="n">
        <v>32.37113402061856</v>
      </c>
    </row>
    <row r="1594" hidden="1">
      <c r="A1594" s="11" t="n">
        <v>46050</v>
      </c>
      <c r="B1594" t="inlineStr">
        <is>
          <t>Lorena Dias de Araujo</t>
        </is>
      </c>
      <c r="C1594" t="inlineStr">
        <is>
          <t>Técnico II</t>
        </is>
      </c>
      <c r="D1594" t="n">
        <v>42</v>
      </c>
      <c r="E1594" t="n">
        <v>40</v>
      </c>
      <c r="F1594" t="n">
        <v>13.55</v>
      </c>
      <c r="G1594" t="n">
        <v>0</v>
      </c>
      <c r="H1594" t="n">
        <v>0</v>
      </c>
      <c r="I1594" s="3" t="n">
        <v>0</v>
      </c>
      <c r="J1594" s="3" t="n">
        <v>0</v>
      </c>
      <c r="K1594" s="3" t="n">
        <v>0</v>
      </c>
      <c r="L1594" s="3">
        <f>IF(K1594&lt;-5,"CRÍTICO",IF(K1594&lt;0,"ATENÇÃO",IF(K1594&lt;=5,"BOM","EXCELENTE")))</f>
        <v/>
      </c>
      <c r="M1594" t="n">
        <v>35</v>
      </c>
      <c r="N1594" t="n">
        <v>98.31999999999999</v>
      </c>
      <c r="O1594" t="n">
        <v>32.31850117096019</v>
      </c>
    </row>
    <row r="1595" hidden="1">
      <c r="A1595" s="11" t="n">
        <v>46050</v>
      </c>
      <c r="B1595" t="inlineStr">
        <is>
          <t>Lucas Luiz Romero</t>
        </is>
      </c>
      <c r="C1595" t="inlineStr">
        <is>
          <t>Técnico III</t>
        </is>
      </c>
      <c r="D1595" t="n">
        <v>137</v>
      </c>
      <c r="E1595" t="n">
        <v>28</v>
      </c>
      <c r="F1595" t="n">
        <v>2.36</v>
      </c>
      <c r="G1595" t="n">
        <v>0</v>
      </c>
      <c r="H1595" t="n">
        <v>0</v>
      </c>
      <c r="I1595" s="3">
        <f>E1595+G1595+H1595</f>
        <v/>
      </c>
      <c r="J1595" s="3">
        <f>ROUND(MIN(IF(C1595="Técnico III",35,IF(C1595="Técnico II",28,IF(C1595="Técnico I",23,IF(C1595="JR",20,IF(C1595="Estágio",10,0))))),IF(C1595="Técnico III",SUMIFS($D:$D,$A:$A,$A1595,$B:$B,"&lt;&gt;Patrícia Karla de Sousa Araújo",$B:$B,"&lt;&gt;Lorena Dias de Araujo",$B:$B,"&lt;&gt;Lucas Luiz Romero")*(35/1083),IF(C1595="Técnico II",SUMIFS($D:$D,$A:$A,$A1595,$B:$B,"&lt;&gt;Patrícia Karla de Sousa Araújo",$B:$B,"&lt;&gt;Lorena Dias de Araujo",$B:$B,"&lt;&gt;Lucas Luiz Romero")*(28/1083),IF(C1595="Técnico I",SUMIFS($D:$D,$A:$A,$A1595,$B:$B,"&lt;&gt;Patrícia Karla de Sousa Araújo",$B:$B,"&lt;&gt;Lorena Dias de Araujo",$B:$B,"&lt;&gt;Lucas Luiz Romero")*(23/1083),IF(C1595="JR",SUMIFS($D:$D,$A:$A,$A1595,$B:$B,"&lt;&gt;Patrícia Karla de Sousa Araújo",$B:$B,"&lt;&gt;Lorena Dias de Araujo",$B:$B,"&lt;&gt;Lucas Luiz Romero")*(20/1083),IF(C1595="Estágio",SUMIFS($D:$D,$A:$A,$A1595,$B:$B,"&lt;&gt;Patrícia Karla de Sousa Araújo",$B:$B,"&lt;&gt;Lorena Dias de Araujo",$B:$B,"&lt;&gt;Lucas Luiz Romero")*(10/1083),0)))))),0)</f>
        <v/>
      </c>
      <c r="K1595" s="3">
        <f>I1595-J1595</f>
        <v/>
      </c>
      <c r="L1595" s="3">
        <f>IF(K1595&lt;-5,"CRÍTICO",IF(K1595&lt;0,"ATENÇÃO",IF(K1595&lt;=5,"BOM","EXCELENTE")))</f>
        <v/>
      </c>
      <c r="M1595" t="n">
        <v>13</v>
      </c>
      <c r="N1595" t="n">
        <v>96.43000000000001</v>
      </c>
      <c r="O1595" t="n">
        <v>27.01525054466231</v>
      </c>
    </row>
    <row r="1596" hidden="1">
      <c r="A1596" s="11" t="n">
        <v>46050</v>
      </c>
      <c r="B1596" t="inlineStr">
        <is>
          <t>Luiz Fernando de Carvalho Junior</t>
        </is>
      </c>
      <c r="C1596" t="inlineStr">
        <is>
          <t>Técnico I</t>
        </is>
      </c>
      <c r="D1596" t="n">
        <v>19</v>
      </c>
      <c r="E1596" t="n">
        <v>19</v>
      </c>
      <c r="F1596" t="n">
        <v>22.33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16</v>
      </c>
      <c r="N1596" t="n">
        <v>98.89</v>
      </c>
      <c r="O1596" t="n">
        <v>28.02197802197802</v>
      </c>
    </row>
    <row r="1597" hidden="1">
      <c r="A1597" s="11" t="n">
        <v>46050</v>
      </c>
      <c r="B1597" t="inlineStr">
        <is>
          <t>Maria Eduarda Sousa Costa</t>
        </is>
      </c>
      <c r="C1597" t="inlineStr">
        <is>
          <t>Estágio</t>
        </is>
      </c>
      <c r="D1597" t="n">
        <v>0</v>
      </c>
      <c r="E1597" t="n">
        <v>0</v>
      </c>
      <c r="F1597" t="n">
        <v>0</v>
      </c>
      <c r="G1597" t="n">
        <v>0</v>
      </c>
      <c r="H1597" t="n">
        <v>0</v>
      </c>
      <c r="I1597" s="3" t="n">
        <v>0</v>
      </c>
      <c r="J1597" s="3" t="n">
        <v>0</v>
      </c>
      <c r="K1597" s="3" t="n">
        <v>0</v>
      </c>
      <c r="L1597" s="3">
        <f>IF(K1597&lt;-5,"CRÍTICO",IF(K1597&lt;0,"ATENÇÃO",IF(K1597&lt;=5,"BOM","EXCELENTE")))</f>
        <v/>
      </c>
      <c r="M1597" t="n">
        <v>0</v>
      </c>
      <c r="N1597" t="n">
        <v>100</v>
      </c>
      <c r="O1597" t="n">
        <v>33.33333333333333</v>
      </c>
    </row>
    <row r="1598" hidden="1">
      <c r="A1598" s="11" t="n">
        <v>46050</v>
      </c>
      <c r="B1598" t="inlineStr">
        <is>
          <t>Matheus Farias De Souza</t>
        </is>
      </c>
      <c r="C1598" t="inlineStr">
        <is>
          <t>Técnico III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27.43362831858407</v>
      </c>
    </row>
    <row r="1599" hidden="1">
      <c r="A1599" s="11" t="n">
        <v>46050</v>
      </c>
      <c r="B1599" t="inlineStr">
        <is>
          <t>Maysa Victoria Dias Moura</t>
        </is>
      </c>
      <c r="C1599" t="inlineStr">
        <is>
          <t>Técnico III</t>
        </is>
      </c>
      <c r="D1599" t="n">
        <v>49</v>
      </c>
      <c r="E1599" t="n">
        <v>42</v>
      </c>
      <c r="F1599" t="n">
        <v>10.25</v>
      </c>
      <c r="G1599" t="n">
        <v>0</v>
      </c>
      <c r="H1599" t="n">
        <v>0</v>
      </c>
      <c r="I1599" s="3">
        <f>E1599+G1599+H1599</f>
        <v/>
      </c>
      <c r="J1599" s="3">
        <f>ROUND(MIN(IF(C1599="Técnico III",35,IF(C1599="Técnico II",28,IF(C1599="Técnico I",23,IF(C1599="JR",20,IF(C1599="Estágio",10,0))))),IF(C1599="Técnico III",SUMIFS($D:$D,$A:$A,$A1599,$B:$B,"&lt;&gt;Patrícia Karla de Sousa Araújo",$B:$B,"&lt;&gt;Lorena Dias de Araujo",$B:$B,"&lt;&gt;Lucas Luiz Romero")*(35/1083),IF(C1599="Técnico II",SUMIFS($D:$D,$A:$A,$A1599,$B:$B,"&lt;&gt;Patrícia Karla de Sousa Araújo",$B:$B,"&lt;&gt;Lorena Dias de Araujo",$B:$B,"&lt;&gt;Lucas Luiz Romero")*(28/1083),IF(C1599="Técnico I",SUMIFS($D:$D,$A:$A,$A1599,$B:$B,"&lt;&gt;Patrícia Karla de Sousa Araújo",$B:$B,"&lt;&gt;Lorena Dias de Araujo",$B:$B,"&lt;&gt;Lucas Luiz Romero")*(23/1083),IF(C1599="JR",SUMIFS($D:$D,$A:$A,$A1599,$B:$B,"&lt;&gt;Patrícia Karla de Sousa Araújo",$B:$B,"&lt;&gt;Lorena Dias de Araujo",$B:$B,"&lt;&gt;Lucas Luiz Romero")*(20/1083),IF(C1599="Estágio",SUMIFS($D:$D,$A:$A,$A1599,$B:$B,"&lt;&gt;Patrícia Karla de Sousa Araújo",$B:$B,"&lt;&gt;Lorena Dias de Araujo",$B:$B,"&lt;&gt;Lucas Luiz Romero")*(10/1083),0)))))),0)</f>
        <v/>
      </c>
      <c r="K1599" s="3">
        <f>I1599-J1599</f>
        <v/>
      </c>
      <c r="L1599" s="3">
        <f>IF(K1599&lt;-5,"CRÍTICO",IF(K1599&lt;0,"ATENÇÃO",IF(K1599&lt;=5,"BOM","EXCELENTE")))</f>
        <v/>
      </c>
      <c r="M1599" t="n">
        <v>31</v>
      </c>
      <c r="N1599" t="n">
        <v>98.65000000000001</v>
      </c>
      <c r="O1599" t="n">
        <v>30.97826086956522</v>
      </c>
    </row>
    <row r="1600" hidden="1">
      <c r="A1600" s="11" t="n">
        <v>46050</v>
      </c>
      <c r="B1600" t="inlineStr">
        <is>
          <t>Michelle G Santos</t>
        </is>
      </c>
      <c r="C1600" t="inlineStr">
        <is>
          <t>Estágio</t>
        </is>
      </c>
      <c r="D1600" t="n">
        <v>8</v>
      </c>
      <c r="E1600" t="n">
        <v>7</v>
      </c>
      <c r="F1600" t="n">
        <v>37.04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</v>
      </c>
      <c r="N1600" t="n">
        <v>100</v>
      </c>
      <c r="O1600" t="n">
        <v>12</v>
      </c>
    </row>
    <row r="1601" hidden="1">
      <c r="A1601" s="11" t="n">
        <v>46050</v>
      </c>
      <c r="B1601" t="inlineStr">
        <is>
          <t>Milena Sales</t>
        </is>
      </c>
      <c r="C1601" t="inlineStr">
        <is>
          <t>JR</t>
        </is>
      </c>
      <c r="D1601" t="n">
        <v>0</v>
      </c>
      <c r="E1601" t="n">
        <v>0</v>
      </c>
      <c r="F1601" t="n">
        <v>0</v>
      </c>
      <c r="G1601" t="n">
        <v>0</v>
      </c>
      <c r="H1601" t="n">
        <v>0</v>
      </c>
      <c r="I1601" s="3" t="n">
        <v>0</v>
      </c>
      <c r="J1601" s="3" t="n">
        <v>0</v>
      </c>
      <c r="K1601" s="3" t="n">
        <v>0</v>
      </c>
      <c r="L1601" s="3">
        <f>IF(K1601&lt;-5,"CRÍTICO",IF(K1601&lt;0,"ATENÇÃO",IF(K1601&lt;=5,"BOM","EXCELENTE")))</f>
        <v/>
      </c>
      <c r="M1601" t="n">
        <v>0</v>
      </c>
      <c r="N1601" t="n">
        <v>0</v>
      </c>
      <c r="O1601" t="n">
        <v>0</v>
      </c>
    </row>
    <row r="1602" hidden="1">
      <c r="A1602" s="11" t="n">
        <v>46050</v>
      </c>
      <c r="B1602" t="inlineStr">
        <is>
          <t>Patrícia Karla de Sousa Araújo</t>
        </is>
      </c>
      <c r="C1602" t="inlineStr">
        <is>
          <t>Técnico II</t>
        </is>
      </c>
      <c r="D1602" t="n">
        <v>30</v>
      </c>
      <c r="E1602" t="n">
        <v>30</v>
      </c>
      <c r="F1602" t="n">
        <v>18.43</v>
      </c>
      <c r="G1602" t="n">
        <v>0</v>
      </c>
      <c r="H1602" t="n">
        <v>0</v>
      </c>
      <c r="I1602" s="3">
        <f>E1602+G1602+H1602</f>
        <v/>
      </c>
      <c r="J1602" s="3">
        <f>ROUND(MIN(IF(C1602="Técnico III",35,IF(C1602="Técnico II",28,IF(C1602="Técnico I",23,IF(C1602="JR",20,IF(C1602="Estágio",10,0))))),IF(C1602="Técnico III",SUMIFS($D:$D,$A:$A,$A1602,$B:$B,"&lt;&gt;Patrícia Karla de Sousa Araújo",$B:$B,"&lt;&gt;Lorena Dias de Araujo",$B:$B,"&lt;&gt;Lucas Luiz Romero")*(35/1083),IF(C1602="Técnico II",SUMIFS($D:$D,$A:$A,$A1602,$B:$B,"&lt;&gt;Patrícia Karla de Sousa Araújo",$B:$B,"&lt;&gt;Lorena Dias de Araujo",$B:$B,"&lt;&gt;Lucas Luiz Romero")*(28/1083),IF(C1602="Técnico I",SUMIFS($D:$D,$A:$A,$A1602,$B:$B,"&lt;&gt;Patrícia Karla de Sousa Araújo",$B:$B,"&lt;&gt;Lorena Dias de Araujo",$B:$B,"&lt;&gt;Lucas Luiz Romero")*(23/1083),IF(C1602="JR",SUMIFS($D:$D,$A:$A,$A1602,$B:$B,"&lt;&gt;Patrícia Karla de Sousa Araújo",$B:$B,"&lt;&gt;Lorena Dias de Araujo",$B:$B,"&lt;&gt;Lucas Luiz Romero")*(20/1083),IF(C1602="Estágio",SUMIFS($D:$D,$A:$A,$A1602,$B:$B,"&lt;&gt;Patrícia Karla de Sousa Araújo",$B:$B,"&lt;&gt;Lorena Dias de Araujo",$B:$B,"&lt;&gt;Lucas Luiz Romero")*(10/1083),0)))))),0)</f>
        <v/>
      </c>
      <c r="K1602" s="3">
        <f>I1602-J1602</f>
        <v/>
      </c>
      <c r="L1602" s="3">
        <f>IF(K1602&lt;-5,"CRÍTICO",IF(K1602&lt;0,"ATENÇÃO",IF(K1602&lt;=5,"BOM","EXCELENTE")))</f>
        <v/>
      </c>
      <c r="M1602" t="n">
        <v>25</v>
      </c>
      <c r="N1602" t="n">
        <v>97.56</v>
      </c>
      <c r="O1602" t="n">
        <v>31.06796116504854</v>
      </c>
    </row>
    <row r="1603" hidden="1">
      <c r="A1603" s="11" t="n">
        <v>46050</v>
      </c>
      <c r="B1603" t="inlineStr">
        <is>
          <t>Paulo Ricardo Santos</t>
        </is>
      </c>
      <c r="C1603" t="inlineStr">
        <is>
          <t>JR</t>
        </is>
      </c>
      <c r="D1603" t="n">
        <v>0</v>
      </c>
      <c r="E1603" t="n">
        <v>0</v>
      </c>
      <c r="F1603" t="n">
        <v>0</v>
      </c>
      <c r="G1603" t="n">
        <v>0</v>
      </c>
      <c r="H1603" t="n">
        <v>0</v>
      </c>
      <c r="I1603" s="3" t="n">
        <v>0</v>
      </c>
      <c r="J1603" s="3" t="n">
        <v>0</v>
      </c>
      <c r="K1603" s="3" t="n">
        <v>0</v>
      </c>
      <c r="L1603" s="3">
        <f>IF(K1603&lt;-5,"CRÍTICO",IF(K1603&lt;0,"ATENÇÃO",IF(K1603&lt;=5,"BOM","EXCELENTE")))</f>
        <v/>
      </c>
      <c r="M1603" t="n">
        <v>0</v>
      </c>
      <c r="N1603" t="n">
        <v>0</v>
      </c>
      <c r="O1603" t="n">
        <v>0</v>
      </c>
    </row>
    <row r="1604" hidden="1">
      <c r="A1604" s="11" t="n">
        <v>46050</v>
      </c>
      <c r="B1604" t="inlineStr">
        <is>
          <t>Pedro Luiz Mota Sousa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Quirino Diogo Leite Torres</t>
        </is>
      </c>
      <c r="C1605" t="inlineStr">
        <is>
          <t>Estágio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Raane Batista Matos</t>
        </is>
      </c>
      <c r="C1606" t="inlineStr">
        <is>
          <t>Técnico I</t>
        </is>
      </c>
      <c r="D1606" t="n">
        <v>2</v>
      </c>
      <c r="E1606" t="n">
        <v>2</v>
      </c>
      <c r="F1606" t="n">
        <v>13.56</v>
      </c>
      <c r="G1606" t="n">
        <v>0</v>
      </c>
      <c r="H1606" t="n">
        <v>0</v>
      </c>
      <c r="I1606" s="3">
        <f>E1606+G1606+H1606</f>
        <v/>
      </c>
      <c r="J1606" s="3">
        <f>ROUND(MIN(IF(C1606="Técnico III",35,IF(C1606="Técnico II",28,IF(C1606="Técnico I",23,IF(C1606="JR",20,IF(C1606="Estágio",10,0))))),IF(C1606="Técnico III",SUMIFS($D:$D,$A:$A,$A1606,$B:$B,"&lt;&gt;Patrícia Karla de Sousa Araújo",$B:$B,"&lt;&gt;Lorena Dias de Araujo",$B:$B,"&lt;&gt;Lucas Luiz Romero")*(35/1083),IF(C1606="Técnico II",SUMIFS($D:$D,$A:$A,$A1606,$B:$B,"&lt;&gt;Patrícia Karla de Sousa Araújo",$B:$B,"&lt;&gt;Lorena Dias de Araujo",$B:$B,"&lt;&gt;Lucas Luiz Romero")*(28/1083),IF(C1606="Técnico I",SUMIFS($D:$D,$A:$A,$A1606,$B:$B,"&lt;&gt;Patrícia Karla de Sousa Araújo",$B:$B,"&lt;&gt;Lorena Dias de Araujo",$B:$B,"&lt;&gt;Lucas Luiz Romero")*(23/1083),IF(C1606="JR",SUMIFS($D:$D,$A:$A,$A1606,$B:$B,"&lt;&gt;Patrícia Karla de Sousa Araújo",$B:$B,"&lt;&gt;Lorena Dias de Araujo",$B:$B,"&lt;&gt;Lucas Luiz Romero")*(20/1083),IF(C1606="Estágio",SUMIFS($D:$D,$A:$A,$A1606,$B:$B,"&lt;&gt;Patrícia Karla de Sousa Araújo",$B:$B,"&lt;&gt;Lorena Dias de Araujo",$B:$B,"&lt;&gt;Lucas Luiz Romero")*(10/1083),0)))))),0)</f>
        <v/>
      </c>
      <c r="K1606" s="3">
        <f>I1606-J1606</f>
        <v/>
      </c>
      <c r="L1606" s="3">
        <f>IF(K1606&lt;-5,"CRÍTICO",IF(K1606&lt;0,"ATENÇÃO",IF(K1606&lt;=5,"BOM","EXCELENTE")))</f>
        <v/>
      </c>
      <c r="M1606" t="n">
        <v>2</v>
      </c>
      <c r="N1606" t="n">
        <v>100</v>
      </c>
      <c r="O1606" t="n">
        <v>53.84615384615385</v>
      </c>
    </row>
    <row r="1607" hidden="1">
      <c r="A1607" s="11" t="n">
        <v>46050</v>
      </c>
      <c r="B1607" t="inlineStr">
        <is>
          <t>Rafael Gomes de Morais</t>
        </is>
      </c>
      <c r="C1607" t="inlineStr">
        <is>
          <t>Técnico III</t>
        </is>
      </c>
      <c r="D1607" t="n">
        <v>39</v>
      </c>
      <c r="E1607" t="n">
        <v>36</v>
      </c>
      <c r="F1607" t="n">
        <v>14.18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40</v>
      </c>
      <c r="N1607" t="n">
        <v>100</v>
      </c>
      <c r="O1607" t="n">
        <v>44.05594405594406</v>
      </c>
    </row>
    <row r="1608" hidden="1">
      <c r="A1608" s="11" t="n">
        <v>46050</v>
      </c>
      <c r="B1608" t="inlineStr">
        <is>
          <t>Sara Maria Monteiro Lopes</t>
        </is>
      </c>
      <c r="C1608" t="inlineStr">
        <is>
          <t>Técnico I</t>
        </is>
      </c>
      <c r="D1608" t="n">
        <v>13</v>
      </c>
      <c r="E1608" t="n">
        <v>13</v>
      </c>
      <c r="F1608" t="n">
        <v>40.5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7</v>
      </c>
      <c r="N1608" t="n">
        <v>100</v>
      </c>
      <c r="O1608" t="n">
        <v>31.87250996015936</v>
      </c>
    </row>
    <row r="1609" hidden="1">
      <c r="A1609" s="11" t="n">
        <v>46050</v>
      </c>
      <c r="B1609" t="inlineStr">
        <is>
          <t>Sarah Steffanie de Lima Borges</t>
        </is>
      </c>
      <c r="C1609" t="inlineStr">
        <is>
          <t>Técnico III</t>
        </is>
      </c>
      <c r="D1609" t="n">
        <v>30</v>
      </c>
      <c r="E1609" t="n">
        <v>30</v>
      </c>
      <c r="F1609" t="n">
        <v>17.19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27</v>
      </c>
      <c r="N1609" t="n">
        <v>98.41</v>
      </c>
      <c r="O1609" t="n">
        <v>29.22465208747515</v>
      </c>
    </row>
    <row r="1610" hidden="1">
      <c r="A1610" s="11" t="n">
        <v>46051</v>
      </c>
      <c r="B1610" t="inlineStr">
        <is>
          <t>Alisson de Freitas Silva</t>
        </is>
      </c>
      <c r="C1610" t="inlineStr">
        <is>
          <t>Técnico II</t>
        </is>
      </c>
      <c r="D1610" t="n">
        <v>26</v>
      </c>
      <c r="E1610" t="n">
        <v>22</v>
      </c>
      <c r="F1610" t="n">
        <v>15.41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21</v>
      </c>
      <c r="N1610" t="n">
        <v>96.81</v>
      </c>
      <c r="O1610" t="n">
        <v>27.98053527980535</v>
      </c>
    </row>
    <row r="1611" hidden="1">
      <c r="A1611" s="11" t="n">
        <v>46051</v>
      </c>
      <c r="B1611" t="inlineStr">
        <is>
          <t>Amanda Moura Ferreira</t>
        </is>
      </c>
      <c r="C1611" t="inlineStr">
        <is>
          <t>Técnico III</t>
        </is>
      </c>
      <c r="D1611" t="n">
        <v>0</v>
      </c>
      <c r="E1611" t="n">
        <v>0</v>
      </c>
      <c r="F1611" t="n">
        <v>0</v>
      </c>
      <c r="G1611" t="n">
        <v>0</v>
      </c>
      <c r="H1611" t="n">
        <v>0</v>
      </c>
      <c r="I1611" s="3" t="n">
        <v>0</v>
      </c>
      <c r="J1611" s="3" t="n">
        <v>0</v>
      </c>
      <c r="K1611" s="3" t="n">
        <v>0</v>
      </c>
      <c r="L1611" s="3">
        <f>IF(K1611&lt;-5,"CRÍTICO",IF(K1611&lt;0,"ATENÇÃO",IF(K1611&lt;=5,"BOM","EXCELENTE")))</f>
        <v/>
      </c>
      <c r="M1611" t="n">
        <v>28</v>
      </c>
      <c r="N1611" t="n">
        <v>98.73</v>
      </c>
      <c r="O1611" t="n">
        <v>35.75638506876228</v>
      </c>
    </row>
    <row r="1612" hidden="1">
      <c r="A1612" s="11" t="n">
        <v>46051</v>
      </c>
      <c r="B1612" t="inlineStr">
        <is>
          <t>Ana Karollyne Souza Faria</t>
        </is>
      </c>
      <c r="C1612" t="inlineStr">
        <is>
          <t>Técnico I</t>
        </is>
      </c>
      <c r="D1612" t="n">
        <v>33</v>
      </c>
      <c r="E1612" t="n">
        <v>28</v>
      </c>
      <c r="F1612" t="n">
        <v>15.09</v>
      </c>
      <c r="G1612" t="n">
        <v>0</v>
      </c>
      <c r="H1612" t="n">
        <v>0</v>
      </c>
      <c r="I1612" s="3">
        <f>E1612+G1612+H1612</f>
        <v/>
      </c>
      <c r="J1612" s="3">
        <f>ROUND(MIN(IF(C1612="Técnico III",35,IF(C1612="Técnico II",28,IF(C1612="Técnico I",23,IF(C1612="JR",20,IF(C1612="Estágio",10,0))))),IF(C1612="Técnico III",SUMIFS($D:$D,$A:$A,$A1612,$B:$B,"&lt;&gt;Patrícia Karla de Sousa Araújo",$B:$B,"&lt;&gt;Lorena Dias de Araujo",$B:$B,"&lt;&gt;Lucas Luiz Romero")*(35/1083),IF(C1612="Técnico II",SUMIFS($D:$D,$A:$A,$A1612,$B:$B,"&lt;&gt;Patrícia Karla de Sousa Araújo",$B:$B,"&lt;&gt;Lorena Dias de Araujo",$B:$B,"&lt;&gt;Lucas Luiz Romero")*(28/1083),IF(C1612="Técnico I",SUMIFS($D:$D,$A:$A,$A1612,$B:$B,"&lt;&gt;Patrícia Karla de Sousa Araújo",$B:$B,"&lt;&gt;Lorena Dias de Araujo",$B:$B,"&lt;&gt;Lucas Luiz Romero")*(23/1083),IF(C1612="JR",SUMIFS($D:$D,$A:$A,$A1612,$B:$B,"&lt;&gt;Patrícia Karla de Sousa Araújo",$B:$B,"&lt;&gt;Lorena Dias de Araujo",$B:$B,"&lt;&gt;Lucas Luiz Romero")*(20/1083),IF(C1612="Estágio",SUMIFS($D:$D,$A:$A,$A1612,$B:$B,"&lt;&gt;Patrícia Karla de Sousa Araújo",$B:$B,"&lt;&gt;Lorena Dias de Araujo",$B:$B,"&lt;&gt;Lucas Luiz Romero")*(10/1083),0)))))),0)</f>
        <v/>
      </c>
      <c r="K1612" s="3">
        <f>I1612-J1612</f>
        <v/>
      </c>
      <c r="L1612" s="3">
        <f>IF(K1612&lt;-5,"CRÍTICO",IF(K1612&lt;0,"ATENÇÃO",IF(K1612&lt;=5,"BOM","EXCELENTE")))</f>
        <v/>
      </c>
      <c r="M1612" t="n">
        <v>29</v>
      </c>
      <c r="N1612" t="n">
        <v>98.31999999999999</v>
      </c>
      <c r="O1612" t="n">
        <v>26.76348547717842</v>
      </c>
    </row>
    <row r="1613" hidden="1">
      <c r="A1613" s="11" t="n">
        <v>46051</v>
      </c>
      <c r="B1613" t="inlineStr">
        <is>
          <t>Ana Paula Da Luz Silva Aleixo</t>
        </is>
      </c>
      <c r="C1613" t="inlineStr">
        <is>
          <t>Técnico III</t>
        </is>
      </c>
      <c r="D1613" t="n">
        <v>32</v>
      </c>
      <c r="E1613" t="n">
        <v>27</v>
      </c>
      <c r="F1613" t="n">
        <v>17.06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t="n">
        <v>21</v>
      </c>
      <c r="N1613" t="n">
        <v>99.19</v>
      </c>
      <c r="O1613" t="n">
        <v>27.63713080168776</v>
      </c>
    </row>
    <row r="1614" hidden="1">
      <c r="A1614" s="11" t="n">
        <v>46051</v>
      </c>
      <c r="B1614" t="inlineStr">
        <is>
          <t>Anna Luiza Rezende Tavares</t>
        </is>
      </c>
      <c r="C1614" t="inlineStr">
        <is>
          <t>Estágio</t>
        </is>
      </c>
      <c r="D1614" t="n">
        <v>11</v>
      </c>
      <c r="E1614" t="n">
        <v>10</v>
      </c>
      <c r="F1614" t="n">
        <v>29.13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t="n">
        <v>8</v>
      </c>
      <c r="N1614" t="n">
        <v>100</v>
      </c>
      <c r="O1614" t="n">
        <v>39.56834532374101</v>
      </c>
    </row>
    <row r="1615" hidden="1">
      <c r="A1615" s="11" t="n">
        <v>46051</v>
      </c>
      <c r="B1615" t="inlineStr">
        <is>
          <t>Brenda de Menezes Silva</t>
        </is>
      </c>
      <c r="C1615" t="inlineStr">
        <is>
          <t>Técnico II</t>
        </is>
      </c>
      <c r="D1615" t="n">
        <v>33</v>
      </c>
      <c r="E1615" t="n">
        <v>28</v>
      </c>
      <c r="F1615" t="n">
        <v>13.55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M1615" t="n">
        <v>30</v>
      </c>
      <c r="N1615" t="n">
        <v>98.54000000000001</v>
      </c>
      <c r="O1615" t="n">
        <v>28.54477611940299</v>
      </c>
    </row>
    <row r="1616" hidden="1">
      <c r="A1616" s="11" t="n">
        <v>46051</v>
      </c>
      <c r="B1616" t="inlineStr">
        <is>
          <t>Carlos Mateus Cassimiro Nunes</t>
        </is>
      </c>
      <c r="C1616" t="inlineStr">
        <is>
          <t>Técnico II</t>
        </is>
      </c>
      <c r="D1616" t="n">
        <v>32</v>
      </c>
      <c r="E1616" t="n">
        <v>29</v>
      </c>
      <c r="F1616" t="n">
        <v>18.49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t="n">
        <v>27</v>
      </c>
      <c r="N1616" t="n">
        <v>100</v>
      </c>
      <c r="O1616" t="n">
        <v>34.36692506459949</v>
      </c>
    </row>
    <row r="1617" hidden="1">
      <c r="A1617" s="11" t="n">
        <v>46051</v>
      </c>
      <c r="B1617" t="inlineStr">
        <is>
          <t>Claudio de Sousa Velasco Filho</t>
        </is>
      </c>
      <c r="C1617" t="inlineStr">
        <is>
          <t>Estágio</t>
        </is>
      </c>
      <c r="D1617" t="n">
        <v>0</v>
      </c>
      <c r="E1617" t="n">
        <v>0</v>
      </c>
      <c r="F1617" t="n">
        <v>0</v>
      </c>
      <c r="G1617" t="n">
        <v>0</v>
      </c>
      <c r="H1617" t="n">
        <v>0</v>
      </c>
      <c r="I1617" s="3" t="n">
        <v>0</v>
      </c>
      <c r="J1617" s="3" t="n">
        <v>0</v>
      </c>
      <c r="K1617" s="3" t="n">
        <v>0</v>
      </c>
      <c r="L1617" s="3">
        <f>IF(K1617&lt;-5,"CRÍTICO",IF(K1617&lt;0,"ATENÇÃO",IF(K1617&lt;=5,"BOM","EXCELENTE")))</f>
        <v/>
      </c>
      <c r="M1617" t="n">
        <v>0</v>
      </c>
      <c r="N1617" t="n">
        <v>0</v>
      </c>
      <c r="O1617" t="n">
        <v>0</v>
      </c>
    </row>
    <row r="1618" hidden="1">
      <c r="A1618" s="11" t="n">
        <v>46051</v>
      </c>
      <c r="B1618" t="inlineStr">
        <is>
          <t>Clessiane Pereira dos Santos</t>
        </is>
      </c>
      <c r="C1618" t="inlineStr">
        <is>
          <t>Técnico I</t>
        </is>
      </c>
      <c r="D1618" t="n">
        <v>15</v>
      </c>
      <c r="E1618" t="n">
        <v>14</v>
      </c>
      <c r="F1618" t="n">
        <v>40.43</v>
      </c>
      <c r="G1618" t="n">
        <v>0</v>
      </c>
      <c r="H1618" t="n">
        <v>0</v>
      </c>
      <c r="I1618" s="3">
        <f>E1618+G1618+H1618</f>
        <v/>
      </c>
      <c r="J1618" s="3">
        <f>ROUND(MIN(IF(C1618="Técnico III",35,IF(C1618="Técnico II",28,IF(C1618="Técnico I",23,IF(C1618="JR",20,IF(C1618="Estágio",10,0))))),IF(C1618="Técnico III",SUMIFS($D:$D,$A:$A,$A1618,$B:$B,"&lt;&gt;Patrícia Karla de Sousa Araújo",$B:$B,"&lt;&gt;Lorena Dias de Araujo",$B:$B,"&lt;&gt;Lucas Luiz Romero")*(35/1083),IF(C1618="Técnico II",SUMIFS($D:$D,$A:$A,$A1618,$B:$B,"&lt;&gt;Patrícia Karla de Sousa Araújo",$B:$B,"&lt;&gt;Lorena Dias de Araujo",$B:$B,"&lt;&gt;Lucas Luiz Romero")*(28/1083),IF(C1618="Técnico I",SUMIFS($D:$D,$A:$A,$A1618,$B:$B,"&lt;&gt;Patrícia Karla de Sousa Araújo",$B:$B,"&lt;&gt;Lorena Dias de Araujo",$B:$B,"&lt;&gt;Lucas Luiz Romero")*(23/1083),IF(C1618="JR",SUMIFS($D:$D,$A:$A,$A1618,$B:$B,"&lt;&gt;Patrícia Karla de Sousa Araújo",$B:$B,"&lt;&gt;Lorena Dias de Araujo",$B:$B,"&lt;&gt;Lucas Luiz Romero")*(20/1083),IF(C1618="Estágio",SUMIFS($D:$D,$A:$A,$A1618,$B:$B,"&lt;&gt;Patrícia Karla de Sousa Araújo",$B:$B,"&lt;&gt;Lorena Dias de Araujo",$B:$B,"&lt;&gt;Lucas Luiz Romero")*(10/1083),0)))))),0)</f>
        <v/>
      </c>
      <c r="K1618" s="3">
        <f>I1618-J1618</f>
        <v/>
      </c>
      <c r="L1618" s="3">
        <f>IF(K1618&lt;-5,"CRÍTICO",IF(K1618&lt;0,"ATENÇÃO",IF(K1618&lt;=5,"BOM","EXCELENTE")))</f>
        <v/>
      </c>
      <c r="M1618" t="n">
        <v>12</v>
      </c>
      <c r="N1618" t="n">
        <v>100</v>
      </c>
      <c r="O1618" t="n">
        <v>29.51807228915663</v>
      </c>
    </row>
    <row r="1619" hidden="1">
      <c r="A1619" s="11" t="n">
        <v>46051</v>
      </c>
      <c r="B1619" t="inlineStr">
        <is>
          <t>Cristiane Ramos da Silva Rocha</t>
        </is>
      </c>
      <c r="C1619" t="inlineStr">
        <is>
          <t>Técnico III</t>
        </is>
      </c>
      <c r="D1619" t="n">
        <v>38</v>
      </c>
      <c r="E1619" t="n">
        <v>31</v>
      </c>
      <c r="F1619" t="n">
        <v>12.01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t="n">
        <v>25</v>
      </c>
      <c r="N1619" t="n">
        <v>97.45</v>
      </c>
      <c r="O1619" t="n">
        <v>41.421143847487</v>
      </c>
    </row>
    <row r="1620" hidden="1">
      <c r="A1620" s="11" t="n">
        <v>46051</v>
      </c>
      <c r="B1620" t="inlineStr">
        <is>
          <t>Damyllis Lorraine de Oliveira Gonçalves</t>
        </is>
      </c>
      <c r="C1620" t="inlineStr">
        <is>
          <t>Técnico II</t>
        </is>
      </c>
      <c r="D1620" t="n">
        <v>40</v>
      </c>
      <c r="E1620" t="n">
        <v>33</v>
      </c>
      <c r="F1620" t="n">
        <v>13.31</v>
      </c>
      <c r="G1620" t="n">
        <v>0</v>
      </c>
      <c r="H1620" t="n">
        <v>0</v>
      </c>
      <c r="I1620" s="3" t="n">
        <v>0</v>
      </c>
      <c r="J1620" s="3" t="n">
        <v>0</v>
      </c>
      <c r="K1620" s="3" t="n">
        <v>0</v>
      </c>
      <c r="L1620" s="3">
        <f>IF(K1620&lt;-5,"CRÍTICO",IF(K1620&lt;0,"ATENÇÃO",IF(K1620&lt;=5,"BOM","EXCELENTE")))</f>
        <v/>
      </c>
      <c r="M1620" t="n">
        <v>28</v>
      </c>
      <c r="N1620" t="n">
        <v>96.58</v>
      </c>
      <c r="O1620" t="n">
        <v>30.39647577092511</v>
      </c>
    </row>
    <row r="1621" hidden="1">
      <c r="A1621" s="11" t="n">
        <v>46051</v>
      </c>
      <c r="B1621" t="inlineStr">
        <is>
          <t>Daniel Gomes da Silva</t>
        </is>
      </c>
      <c r="C1621" t="inlineStr">
        <is>
          <t>Técnico I</t>
        </is>
      </c>
      <c r="D1621" t="n">
        <v>22</v>
      </c>
      <c r="E1621" t="n">
        <v>21</v>
      </c>
      <c r="F1621" t="n">
        <v>20.19</v>
      </c>
      <c r="G1621" t="n">
        <v>0</v>
      </c>
      <c r="H1621" t="n">
        <v>0</v>
      </c>
      <c r="I1621" s="3">
        <f>E1621+G1621+H1621</f>
        <v/>
      </c>
      <c r="J1621" s="3">
        <f>ROUND(MIN(IF(C1621="Técnico III",35,IF(C1621="Técnico II",28,IF(C1621="Técnico I",23,IF(C1621="JR",20,IF(C1621="Estágio",10,0))))),IF(C1621="Técnico III",SUMIFS($D:$D,$A:$A,$A1621,$B:$B,"&lt;&gt;Patrícia Karla de Sousa Araújo",$B:$B,"&lt;&gt;Lorena Dias de Araujo",$B:$B,"&lt;&gt;Lucas Luiz Romero")*(35/1083),IF(C1621="Técnico II",SUMIFS($D:$D,$A:$A,$A1621,$B:$B,"&lt;&gt;Patrícia Karla de Sousa Araújo",$B:$B,"&lt;&gt;Lorena Dias de Araujo",$B:$B,"&lt;&gt;Lucas Luiz Romero")*(28/1083),IF(C1621="Técnico I",SUMIFS($D:$D,$A:$A,$A1621,$B:$B,"&lt;&gt;Patrícia Karla de Sousa Araújo",$B:$B,"&lt;&gt;Lorena Dias de Araujo",$B:$B,"&lt;&gt;Lucas Luiz Romero")*(23/1083),IF(C1621="JR",SUMIFS($D:$D,$A:$A,$A1621,$B:$B,"&lt;&gt;Patrícia Karla de Sousa Araújo",$B:$B,"&lt;&gt;Lorena Dias de Araujo",$B:$B,"&lt;&gt;Lucas Luiz Romero")*(20/1083),IF(C1621="Estágio",SUMIFS($D:$D,$A:$A,$A1621,$B:$B,"&lt;&gt;Patrícia Karla de Sousa Araújo",$B:$B,"&lt;&gt;Lorena Dias de Araujo",$B:$B,"&lt;&gt;Lucas Luiz Romero")*(10/1083),0)))))),0)</f>
        <v/>
      </c>
      <c r="K1621" s="3">
        <f>I1621-J1621</f>
        <v/>
      </c>
      <c r="L1621" s="3">
        <f>IF(K1621&lt;-5,"CRÍTICO",IF(K1621&lt;0,"ATENÇÃO",IF(K1621&lt;=5,"BOM","EXCELENTE")))</f>
        <v/>
      </c>
      <c r="M1621" t="n">
        <v>22</v>
      </c>
      <c r="N1621" t="n">
        <v>100</v>
      </c>
      <c r="O1621" t="n">
        <v>27.44282744282744</v>
      </c>
    </row>
    <row r="1622" hidden="1">
      <c r="A1622" s="11" t="n">
        <v>46051</v>
      </c>
      <c r="B1622" t="inlineStr">
        <is>
          <t>Davylla Rodrigues Freitas Silva</t>
        </is>
      </c>
      <c r="C1622" t="inlineStr">
        <is>
          <t>Técnico III</t>
        </is>
      </c>
      <c r="D1622" t="n">
        <v>33</v>
      </c>
      <c r="E1622" t="n">
        <v>31</v>
      </c>
      <c r="F1622" t="n">
        <v>20.03</v>
      </c>
      <c r="G1622" t="n">
        <v>0</v>
      </c>
      <c r="H1622" t="n">
        <v>0</v>
      </c>
      <c r="I1622" s="3" t="n">
        <v>0</v>
      </c>
      <c r="J1622" s="3" t="n">
        <v>0</v>
      </c>
      <c r="K1622" s="3" t="n">
        <v>0</v>
      </c>
      <c r="L1622" s="3">
        <f>IF(K1622&lt;-5,"CRÍTICO",IF(K1622&lt;0,"ATENÇÃO",IF(K1622&lt;=5,"BOM","EXCELENTE")))</f>
        <v/>
      </c>
      <c r="M1622" t="n">
        <v>31</v>
      </c>
      <c r="N1622" t="n">
        <v>99.48999999999999</v>
      </c>
      <c r="O1622" t="n">
        <v>40.2</v>
      </c>
    </row>
    <row r="1623" hidden="1">
      <c r="A1623" s="11" t="n">
        <v>46051</v>
      </c>
      <c r="B1623" t="inlineStr">
        <is>
          <t>Emilly Caylane Costa</t>
        </is>
      </c>
      <c r="C1623" t="inlineStr">
        <is>
          <t>Estágio</t>
        </is>
      </c>
      <c r="D1623" t="n">
        <v>5</v>
      </c>
      <c r="E1623" t="n">
        <v>4</v>
      </c>
      <c r="F1623" t="n">
        <v>32.18</v>
      </c>
      <c r="G1623" t="n">
        <v>0</v>
      </c>
      <c r="H1623" t="n">
        <v>0</v>
      </c>
      <c r="I1623" s="3">
        <f>E1623+G1623+H1623</f>
        <v/>
      </c>
      <c r="J1623" s="3">
        <f>ROUND(MIN(IF(C1623="Técnico III",35,IF(C1623="Técnico II",28,IF(C1623="Técnico I",23,IF(C1623="JR",20,IF(C1623="Estágio",10,0))))),IF(C1623="Técnico III",SUMIFS($D:$D,$A:$A,$A1623,$B:$B,"&lt;&gt;Patrícia Karla de Sousa Araújo",$B:$B,"&lt;&gt;Lorena Dias de Araujo",$B:$B,"&lt;&gt;Lucas Luiz Romero")*(35/1083),IF(C1623="Técnico II",SUMIFS($D:$D,$A:$A,$A1623,$B:$B,"&lt;&gt;Patrícia Karla de Sousa Araújo",$B:$B,"&lt;&gt;Lorena Dias de Araujo",$B:$B,"&lt;&gt;Lucas Luiz Romero")*(28/1083),IF(C1623="Técnico I",SUMIFS($D:$D,$A:$A,$A1623,$B:$B,"&lt;&gt;Patrícia Karla de Sousa Araújo",$B:$B,"&lt;&gt;Lorena Dias de Araujo",$B:$B,"&lt;&gt;Lucas Luiz Romero")*(23/1083),IF(C1623="JR",SUMIFS($D:$D,$A:$A,$A1623,$B:$B,"&lt;&gt;Patrícia Karla de Sousa Araújo",$B:$B,"&lt;&gt;Lorena Dias de Araujo",$B:$B,"&lt;&gt;Lucas Luiz Romero")*(20/1083),IF(C1623="Estágio",SUMIFS($D:$D,$A:$A,$A1623,$B:$B,"&lt;&gt;Patrícia Karla de Sousa Araújo",$B:$B,"&lt;&gt;Lorena Dias de Araujo",$B:$B,"&lt;&gt;Lucas Luiz Romero")*(10/1083),0)))))),0)</f>
        <v/>
      </c>
      <c r="K1623" s="3">
        <f>I1623-J1623</f>
        <v/>
      </c>
      <c r="L1623" s="3">
        <f>IF(K1623&lt;-5,"CRÍTICO",IF(K1623&lt;0,"ATENÇÃO",IF(K1623&lt;=5,"BOM","EXCELENTE")))</f>
        <v/>
      </c>
      <c r="M1623" t="n">
        <v>2</v>
      </c>
      <c r="N1623" t="n">
        <v>100</v>
      </c>
      <c r="O1623" t="n">
        <v>25</v>
      </c>
    </row>
    <row r="1624" hidden="1">
      <c r="A1624" s="11" t="n">
        <v>46051</v>
      </c>
      <c r="B1624" t="inlineStr">
        <is>
          <t>Emilly Kamilly Medeiros Miranda</t>
        </is>
      </c>
      <c r="C1624" t="inlineStr">
        <is>
          <t>Técnico II</t>
        </is>
      </c>
      <c r="D1624" t="n">
        <v>26</v>
      </c>
      <c r="E1624" t="n">
        <v>23</v>
      </c>
      <c r="F1624" t="n">
        <v>18.35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t="n">
        <v>18</v>
      </c>
      <c r="N1624" t="n">
        <v>100</v>
      </c>
      <c r="O1624" t="n">
        <v>34.15094339622641</v>
      </c>
    </row>
    <row r="1625" hidden="1">
      <c r="A1625" s="11" t="n">
        <v>46051</v>
      </c>
      <c r="B1625" t="inlineStr">
        <is>
          <t>Francielson de Oliveira</t>
        </is>
      </c>
      <c r="C1625" t="inlineStr">
        <is>
          <t>Técnico III</t>
        </is>
      </c>
      <c r="D1625" t="n">
        <v>30</v>
      </c>
      <c r="E1625" t="n">
        <v>28</v>
      </c>
      <c r="F1625" t="n">
        <v>15.56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t="n">
        <v>27</v>
      </c>
      <c r="N1625" t="n">
        <v>100</v>
      </c>
      <c r="O1625" t="n">
        <v>32.7313769751693</v>
      </c>
    </row>
    <row r="1626" hidden="1">
      <c r="A1626" s="11" t="n">
        <v>46051</v>
      </c>
      <c r="B1626" t="inlineStr">
        <is>
          <t>Francilene Ferreira de Jesus</t>
        </is>
      </c>
      <c r="C1626" t="inlineStr">
        <is>
          <t>Técnico II</t>
        </is>
      </c>
      <c r="D1626" t="n">
        <v>50</v>
      </c>
      <c r="E1626" t="n">
        <v>43</v>
      </c>
      <c r="F1626" t="n">
        <v>14.14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t="n">
        <v>37</v>
      </c>
      <c r="N1626" t="n">
        <v>99.31</v>
      </c>
      <c r="O1626" t="n">
        <v>30.96234309623431</v>
      </c>
    </row>
    <row r="1627" hidden="1">
      <c r="A1627" s="11" t="n">
        <v>46085</v>
      </c>
      <c r="B1627" t="inlineStr">
        <is>
          <t>Gabriel Gomes de Andrade</t>
        </is>
      </c>
      <c r="C1627" t="inlineStr">
        <is>
          <t>Técnico I</t>
        </is>
      </c>
      <c r="D1627" t="n">
        <v>21</v>
      </c>
      <c r="E1627" t="n">
        <v>21</v>
      </c>
      <c r="F1627" t="n">
        <v>25.35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t="n">
        <v>21</v>
      </c>
      <c r="N1627" t="n">
        <v>99.05</v>
      </c>
      <c r="O1627" t="n">
        <v>26.62192393736018</v>
      </c>
    </row>
    <row r="1628" hidden="1">
      <c r="A1628" s="11" t="n">
        <v>46051</v>
      </c>
      <c r="B1628" t="inlineStr">
        <is>
          <t>Isabella Borges de Oliveira</t>
        </is>
      </c>
      <c r="C1628" t="inlineStr">
        <is>
          <t>Técnico II</t>
        </is>
      </c>
      <c r="D1628" t="n">
        <v>35</v>
      </c>
      <c r="E1628" t="n">
        <v>31</v>
      </c>
      <c r="F1628" t="n">
        <v>18.21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M1628" t="n">
        <v>30</v>
      </c>
      <c r="N1628" t="n">
        <v>100</v>
      </c>
      <c r="O1628" t="n">
        <v>27.67676767676768</v>
      </c>
    </row>
    <row r="1629" hidden="1">
      <c r="A1629" s="11" t="n">
        <v>46051</v>
      </c>
      <c r="B1629" t="inlineStr">
        <is>
          <t>Janaina Lima dos Reis Urany</t>
        </is>
      </c>
      <c r="C1629" t="inlineStr">
        <is>
          <t>Técnico III</t>
        </is>
      </c>
      <c r="D1629" t="n">
        <v>47</v>
      </c>
      <c r="E1629" t="n">
        <v>37</v>
      </c>
      <c r="F1629" t="n">
        <v>11.52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t="n">
        <v>38</v>
      </c>
      <c r="N1629" t="n">
        <v>100</v>
      </c>
      <c r="O1629" t="n">
        <v>31.17723156532988</v>
      </c>
    </row>
    <row r="1630" hidden="1">
      <c r="A1630" s="11" t="n">
        <v>46051</v>
      </c>
      <c r="B1630" t="inlineStr">
        <is>
          <t>Jaqueline Evangelista da Silva Martins</t>
        </is>
      </c>
      <c r="C1630" t="inlineStr">
        <is>
          <t>Técnico III</t>
        </is>
      </c>
      <c r="D1630" t="n">
        <v>44</v>
      </c>
      <c r="E1630" t="n">
        <v>18</v>
      </c>
      <c r="F1630" t="n">
        <v>4.09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M1630" t="n">
        <v>14</v>
      </c>
      <c r="N1630" t="n">
        <v>100</v>
      </c>
      <c r="O1630" t="n">
        <v>27.60942760942761</v>
      </c>
    </row>
    <row r="1631" hidden="1">
      <c r="A1631" s="11" t="n">
        <v>46051</v>
      </c>
      <c r="B1631" t="inlineStr">
        <is>
          <t>Jessica Faria da Silveira</t>
        </is>
      </c>
      <c r="C1631" t="inlineStr">
        <is>
          <t>Técnico II</t>
        </is>
      </c>
      <c r="D1631" t="n">
        <v>39</v>
      </c>
      <c r="E1631" t="n">
        <v>21</v>
      </c>
      <c r="F1631" t="n">
        <v>13.43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t="n">
        <v>23</v>
      </c>
      <c r="N1631" t="n">
        <v>96.40000000000001</v>
      </c>
      <c r="O1631" t="n">
        <v>28.76404494382023</v>
      </c>
    </row>
    <row r="1632" hidden="1">
      <c r="A1632" s="11" t="n">
        <v>46051</v>
      </c>
      <c r="B1632" t="inlineStr">
        <is>
          <t>Jéssica Fé Moura</t>
        </is>
      </c>
      <c r="C1632" t="inlineStr">
        <is>
          <t>Técnico III</t>
        </is>
      </c>
      <c r="D1632" t="n">
        <v>0</v>
      </c>
      <c r="E1632" t="n">
        <v>0</v>
      </c>
      <c r="F1632" t="n">
        <v>0</v>
      </c>
      <c r="G1632" t="n">
        <v>0</v>
      </c>
      <c r="H1632" t="n">
        <v>0</v>
      </c>
      <c r="I1632" s="3" t="n">
        <v>0</v>
      </c>
      <c r="J1632" s="3" t="n">
        <v>0</v>
      </c>
      <c r="K1632" s="3" t="n">
        <v>0</v>
      </c>
      <c r="L1632" s="3">
        <f>IF(K1632&lt;-5,"CRÍTICO",IF(K1632&lt;0,"ATENÇÃO",IF(K1632&lt;=5,"BOM","EXCELENTE")))</f>
        <v/>
      </c>
      <c r="M1632" t="n">
        <v>0</v>
      </c>
      <c r="N1632" t="n">
        <v>100</v>
      </c>
      <c r="O1632" t="n">
        <v>33.98058252427185</v>
      </c>
    </row>
    <row r="1633" hidden="1">
      <c r="A1633" s="11" t="n">
        <v>46051</v>
      </c>
      <c r="B1633" t="inlineStr">
        <is>
          <t>Karina Gonçalves Martins</t>
        </is>
      </c>
      <c r="C1633" t="inlineStr">
        <is>
          <t>JR</t>
        </is>
      </c>
      <c r="D1633" t="n">
        <v>10</v>
      </c>
      <c r="E1633" t="n">
        <v>8</v>
      </c>
      <c r="F1633" t="n">
        <v>24.14</v>
      </c>
      <c r="G1633" t="n">
        <v>0</v>
      </c>
      <c r="H1633" t="n">
        <v>0</v>
      </c>
      <c r="I1633" s="3">
        <f>E1633+G1633+H1633</f>
        <v/>
      </c>
      <c r="J1633" s="3">
        <f>ROUND(MIN(IF(C1633="Técnico III",35,IF(C1633="Técnico II",28,IF(C1633="Técnico I",23,IF(C1633="JR",20,IF(C1633="Estágio",10,0))))),IF(C1633="Técnico III",SUMIFS($D:$D,$A:$A,$A1633,$B:$B,"&lt;&gt;Patrícia Karla de Sousa Araújo",$B:$B,"&lt;&gt;Lorena Dias de Araujo",$B:$B,"&lt;&gt;Lucas Luiz Romero")*(35/1083),IF(C1633="Técnico II",SUMIFS($D:$D,$A:$A,$A1633,$B:$B,"&lt;&gt;Patrícia Karla de Sousa Araújo",$B:$B,"&lt;&gt;Lorena Dias de Araujo",$B:$B,"&lt;&gt;Lucas Luiz Romero")*(28/1083),IF(C1633="Técnico I",SUMIFS($D:$D,$A:$A,$A1633,$B:$B,"&lt;&gt;Patrícia Karla de Sousa Araújo",$B:$B,"&lt;&gt;Lorena Dias de Araujo",$B:$B,"&lt;&gt;Lucas Luiz Romero")*(23/1083),IF(C1633="JR",SUMIFS($D:$D,$A:$A,$A1633,$B:$B,"&lt;&gt;Patrícia Karla de Sousa Araújo",$B:$B,"&lt;&gt;Lorena Dias de Araujo",$B:$B,"&lt;&gt;Lucas Luiz Romero")*(20/1083),IF(C1633="Estágio",SUMIFS($D:$D,$A:$A,$A1633,$B:$B,"&lt;&gt;Patrícia Karla de Sousa Araújo",$B:$B,"&lt;&gt;Lorena Dias de Araujo",$B:$B,"&lt;&gt;Lucas Luiz Romero")*(10/1083),0)))))),0)</f>
        <v/>
      </c>
      <c r="K1633" s="3">
        <f>I1633-J1633</f>
        <v/>
      </c>
      <c r="L1633" s="3">
        <f>IF(K1633&lt;-5,"CRÍTICO",IF(K1633&lt;0,"ATENÇÃO",IF(K1633&lt;=5,"BOM","EXCELENTE")))</f>
        <v/>
      </c>
      <c r="M1633" t="n">
        <v>7</v>
      </c>
      <c r="N1633" t="n">
        <v>97.56</v>
      </c>
      <c r="O1633" t="n">
        <v>32.51533742331289</v>
      </c>
    </row>
    <row r="1634" hidden="1">
      <c r="A1634" s="11" t="n">
        <v>46051</v>
      </c>
      <c r="B1634" t="inlineStr">
        <is>
          <t>Kerollen Cristielly de Jesus Siqueira</t>
        </is>
      </c>
      <c r="C1634" t="inlineStr">
        <is>
          <t>Técnico III</t>
        </is>
      </c>
      <c r="D1634" t="n">
        <v>14</v>
      </c>
      <c r="E1634" t="n">
        <v>14</v>
      </c>
      <c r="F1634" t="n">
        <v>30.26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t="n">
        <v>14</v>
      </c>
      <c r="N1634" t="n">
        <v>97.11</v>
      </c>
      <c r="O1634" t="n">
        <v>37.40831295843521</v>
      </c>
    </row>
    <row r="1635" hidden="1">
      <c r="A1635" s="11" t="n">
        <v>46051</v>
      </c>
      <c r="B1635" t="inlineStr">
        <is>
          <t>Leandro de Souza Silva</t>
        </is>
      </c>
      <c r="C1635" t="inlineStr">
        <is>
          <t>JR</t>
        </is>
      </c>
      <c r="D1635" t="n">
        <v>0</v>
      </c>
      <c r="E1635" t="n">
        <v>0</v>
      </c>
      <c r="F1635" t="n">
        <v>0</v>
      </c>
      <c r="G1635" t="n">
        <v>0</v>
      </c>
      <c r="H1635" t="n">
        <v>0</v>
      </c>
      <c r="I1635" s="3" t="n">
        <v>0</v>
      </c>
      <c r="J1635" s="3" t="n">
        <v>0</v>
      </c>
      <c r="K1635" s="3" t="n">
        <v>0</v>
      </c>
      <c r="L1635" s="3">
        <f>IF(K1635&lt;-5,"CRÍTICO",IF(K1635&lt;0,"ATENÇÃO",IF(K1635&lt;=5,"BOM","EXCELENTE")))</f>
        <v/>
      </c>
      <c r="M1635" t="n">
        <v>0</v>
      </c>
      <c r="N1635" t="n">
        <v>0</v>
      </c>
      <c r="O1635" t="n">
        <v>0</v>
      </c>
    </row>
    <row r="1636" hidden="1">
      <c r="A1636" s="11" t="n">
        <v>46051</v>
      </c>
      <c r="B1636" t="inlineStr">
        <is>
          <t>Leandro Oliveira de Sousa</t>
        </is>
      </c>
      <c r="C1636" t="inlineStr">
        <is>
          <t>Técnico III</t>
        </is>
      </c>
      <c r="D1636" t="n">
        <v>32</v>
      </c>
      <c r="E1636" t="n">
        <v>29</v>
      </c>
      <c r="F1636" t="n">
        <v>15</v>
      </c>
      <c r="G1636" t="n">
        <v>0</v>
      </c>
      <c r="H1636" t="n">
        <v>0</v>
      </c>
      <c r="I1636" s="3">
        <f>E1636+G1636+H1636</f>
        <v/>
      </c>
      <c r="J1636" s="3">
        <f>ROUND(MIN(IF(C1636="Técnico III",35,IF(C1636="Técnico II",28,IF(C1636="Técnico I",23,IF(C1636="JR",20,IF(C1636="Estágio",10,0))))),IF(C1636="Técnico III",SUMIFS($D:$D,$A:$A,$A1636,$B:$B,"&lt;&gt;Patrícia Karla de Sousa Araújo",$B:$B,"&lt;&gt;Lorena Dias de Araujo",$B:$B,"&lt;&gt;Lucas Luiz Romero")*(35/1083),IF(C1636="Técnico II",SUMIFS($D:$D,$A:$A,$A1636,$B:$B,"&lt;&gt;Patrícia Karla de Sousa Araújo",$B:$B,"&lt;&gt;Lorena Dias de Araujo",$B:$B,"&lt;&gt;Lucas Luiz Romero")*(28/1083),IF(C1636="Técnico I",SUMIFS($D:$D,$A:$A,$A1636,$B:$B,"&lt;&gt;Patrícia Karla de Sousa Araújo",$B:$B,"&lt;&gt;Lorena Dias de Araujo",$B:$B,"&lt;&gt;Lucas Luiz Romero")*(23/1083),IF(C1636="JR",SUMIFS($D:$D,$A:$A,$A1636,$B:$B,"&lt;&gt;Patrícia Karla de Sousa Araújo",$B:$B,"&lt;&gt;Lorena Dias de Araujo",$B:$B,"&lt;&gt;Lucas Luiz Romero")*(20/1083),IF(C1636="Estágio",SUMIFS($D:$D,$A:$A,$A1636,$B:$B,"&lt;&gt;Patrícia Karla de Sousa Araújo",$B:$B,"&lt;&gt;Lorena Dias de Araujo",$B:$B,"&lt;&gt;Lucas Luiz Romero")*(10/1083),0)))))),0)</f>
        <v/>
      </c>
      <c r="K1636" s="3">
        <f>I1636-J1636</f>
        <v/>
      </c>
      <c r="L1636" s="3">
        <f>IF(K1636&lt;-5,"CRÍTICO",IF(K1636&lt;0,"ATENÇÃO",IF(K1636&lt;=5,"BOM","EXCELENTE")))</f>
        <v/>
      </c>
      <c r="M1636" t="n">
        <v>25</v>
      </c>
      <c r="N1636" t="n">
        <v>100</v>
      </c>
      <c r="O1636" t="n">
        <v>30.47034764826176</v>
      </c>
    </row>
    <row r="1637" hidden="1">
      <c r="A1637" s="11" t="n">
        <v>46051</v>
      </c>
      <c r="B1637" t="inlineStr">
        <is>
          <t>Lizandra Gomes Duarte</t>
        </is>
      </c>
      <c r="C1637" t="inlineStr">
        <is>
          <t>Técnico II</t>
        </is>
      </c>
      <c r="D1637" t="n">
        <v>28</v>
      </c>
      <c r="E1637" t="n">
        <v>23</v>
      </c>
      <c r="F1637" t="n">
        <v>23.54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t="n">
        <v>31</v>
      </c>
      <c r="N1637" t="n">
        <v>100</v>
      </c>
      <c r="O1637" t="n">
        <v>32.37113402061856</v>
      </c>
    </row>
    <row r="1638" hidden="1">
      <c r="A1638" s="11" t="n">
        <v>46051</v>
      </c>
      <c r="B1638" t="inlineStr">
        <is>
          <t>Lorena Dias de Araujo</t>
        </is>
      </c>
      <c r="C1638" t="inlineStr">
        <is>
          <t>Técnico II</t>
        </is>
      </c>
      <c r="D1638" t="n">
        <v>26</v>
      </c>
      <c r="E1638" t="n">
        <v>23</v>
      </c>
      <c r="F1638" t="n">
        <v>15.59</v>
      </c>
      <c r="G1638" t="n">
        <v>0</v>
      </c>
      <c r="H1638" t="n">
        <v>0</v>
      </c>
      <c r="I1638" s="3" t="n">
        <v>0</v>
      </c>
      <c r="J1638" s="3" t="n">
        <v>0</v>
      </c>
      <c r="K1638" s="3" t="n">
        <v>0</v>
      </c>
      <c r="L1638" s="3">
        <f>IF(K1638&lt;-5,"CRÍTICO",IF(K1638&lt;0,"ATENÇÃO",IF(K1638&lt;=5,"BOM","EXCELENTE")))</f>
        <v/>
      </c>
      <c r="M1638" t="n">
        <v>15</v>
      </c>
      <c r="N1638" t="n">
        <v>98.31999999999999</v>
      </c>
      <c r="O1638" t="n">
        <v>32.31850117096019</v>
      </c>
    </row>
    <row r="1639" hidden="1">
      <c r="A1639" s="11" t="n">
        <v>46051</v>
      </c>
      <c r="B1639" t="inlineStr">
        <is>
          <t>Lucas Luiz Romero</t>
        </is>
      </c>
      <c r="C1639" t="inlineStr">
        <is>
          <t>Técnico III</t>
        </is>
      </c>
      <c r="D1639" t="n">
        <v>96</v>
      </c>
      <c r="E1639" t="n">
        <v>35</v>
      </c>
      <c r="F1639" t="n">
        <v>5.04</v>
      </c>
      <c r="G1639" t="n">
        <v>0</v>
      </c>
      <c r="H1639" t="n">
        <v>0</v>
      </c>
      <c r="I1639" s="3">
        <f>E1639+G1639+H1639</f>
        <v/>
      </c>
      <c r="J1639" s="3">
        <f>ROUND(MIN(IF(C1639="Técnico III",35,IF(C1639="Técnico II",28,IF(C1639="Técnico I",23,IF(C1639="JR",20,IF(C1639="Estágio",10,0))))),IF(C1639="Técnico III",SUMIFS($D:$D,$A:$A,$A1639,$B:$B,"&lt;&gt;Patrícia Karla de Sousa Araújo",$B:$B,"&lt;&gt;Lorena Dias de Araujo",$B:$B,"&lt;&gt;Lucas Luiz Romero")*(35/1083),IF(C1639="Técnico II",SUMIFS($D:$D,$A:$A,$A1639,$B:$B,"&lt;&gt;Patrícia Karla de Sousa Araújo",$B:$B,"&lt;&gt;Lorena Dias de Araujo",$B:$B,"&lt;&gt;Lucas Luiz Romero")*(28/1083),IF(C1639="Técnico I",SUMIFS($D:$D,$A:$A,$A1639,$B:$B,"&lt;&gt;Patrícia Karla de Sousa Araújo",$B:$B,"&lt;&gt;Lorena Dias de Araujo",$B:$B,"&lt;&gt;Lucas Luiz Romero")*(23/1083),IF(C1639="JR",SUMIFS($D:$D,$A:$A,$A1639,$B:$B,"&lt;&gt;Patrícia Karla de Sousa Araújo",$B:$B,"&lt;&gt;Lorena Dias de Araujo",$B:$B,"&lt;&gt;Lucas Luiz Romero")*(20/1083),IF(C1639="Estágio",SUMIFS($D:$D,$A:$A,$A1639,$B:$B,"&lt;&gt;Patrícia Karla de Sousa Araújo",$B:$B,"&lt;&gt;Lorena Dias de Araujo",$B:$B,"&lt;&gt;Lucas Luiz Romero")*(10/1083),0)))))),0)</f>
        <v/>
      </c>
      <c r="K1639" s="3">
        <f>I1639-J1639</f>
        <v/>
      </c>
      <c r="L1639" s="3">
        <f>IF(K1639&lt;-5,"CRÍTICO",IF(K1639&lt;0,"ATENÇÃO",IF(K1639&lt;=5,"BOM","EXCELENTE")))</f>
        <v/>
      </c>
      <c r="M1639" t="n">
        <v>15</v>
      </c>
      <c r="N1639" t="n">
        <v>96.43000000000001</v>
      </c>
      <c r="O1639" t="n">
        <v>27.01525054466231</v>
      </c>
    </row>
    <row r="1640" hidden="1">
      <c r="A1640" s="11" t="n">
        <v>46051</v>
      </c>
      <c r="B1640" t="inlineStr">
        <is>
          <t>Luiz Fernando de Carvalho Junior</t>
        </is>
      </c>
      <c r="C1640" t="inlineStr">
        <is>
          <t>Técnico I</t>
        </is>
      </c>
      <c r="D1640" t="n">
        <v>20</v>
      </c>
      <c r="E1640" t="n">
        <v>17</v>
      </c>
      <c r="F1640" t="n">
        <v>22.09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M1640" t="n">
        <v>17</v>
      </c>
      <c r="N1640" t="n">
        <v>98.89</v>
      </c>
      <c r="O1640" t="n">
        <v>28.02197802197802</v>
      </c>
    </row>
    <row r="1641" hidden="1">
      <c r="A1641" s="11" t="n">
        <v>46051</v>
      </c>
      <c r="B1641" t="inlineStr">
        <is>
          <t>Maria Eduarda Sousa Costa</t>
        </is>
      </c>
      <c r="C1641" t="inlineStr">
        <is>
          <t>Estágio</t>
        </is>
      </c>
      <c r="D1641" t="n">
        <v>8</v>
      </c>
      <c r="E1641" t="n">
        <v>8</v>
      </c>
      <c r="F1641" t="n">
        <v>25.39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t="n">
        <v>7</v>
      </c>
      <c r="N1641" t="n">
        <v>100</v>
      </c>
      <c r="O1641" t="n">
        <v>33.33333333333333</v>
      </c>
    </row>
    <row r="1642" hidden="1">
      <c r="A1642" s="11" t="n">
        <v>46051</v>
      </c>
      <c r="B1642" t="inlineStr">
        <is>
          <t>Matheus Farias De Souza</t>
        </is>
      </c>
      <c r="C1642" t="inlineStr">
        <is>
          <t>Técnico III</t>
        </is>
      </c>
      <c r="D1642" t="n">
        <v>0</v>
      </c>
      <c r="E1642" t="n">
        <v>0</v>
      </c>
      <c r="F1642" t="n">
        <v>0</v>
      </c>
      <c r="G1642" t="n">
        <v>0</v>
      </c>
      <c r="H1642" t="n">
        <v>0</v>
      </c>
      <c r="I1642" s="3" t="n">
        <v>0</v>
      </c>
      <c r="J1642" s="3" t="n">
        <v>0</v>
      </c>
      <c r="K1642" s="3" t="n">
        <v>0</v>
      </c>
      <c r="L1642" s="3">
        <f>IF(K1642&lt;-5,"CRÍTICO",IF(K1642&lt;0,"ATENÇÃO",IF(K1642&lt;=5,"BOM","EXCELENTE")))</f>
        <v/>
      </c>
      <c r="M1642" t="n">
        <v>0</v>
      </c>
      <c r="N1642" t="n">
        <v>100</v>
      </c>
      <c r="O1642" t="n">
        <v>27.43362831858407</v>
      </c>
    </row>
    <row r="1643" hidden="1">
      <c r="A1643" s="11" t="n">
        <v>46051</v>
      </c>
      <c r="B1643" t="inlineStr">
        <is>
          <t>Maysa Victoria Dias Moura</t>
        </is>
      </c>
      <c r="C1643" t="inlineStr">
        <is>
          <t>Técnico III</t>
        </is>
      </c>
      <c r="D1643" t="n">
        <v>50</v>
      </c>
      <c r="E1643" t="n">
        <v>31</v>
      </c>
      <c r="F1643" t="n">
        <v>7.17</v>
      </c>
      <c r="G1643" t="n">
        <v>0</v>
      </c>
      <c r="H1643" t="n">
        <v>0</v>
      </c>
      <c r="I1643" s="3">
        <f>E1643+G1643+H1643</f>
        <v/>
      </c>
      <c r="J1643" s="3">
        <f>ROUND(MIN(IF(C1643="Técnico III",35,IF(C1643="Técnico II",28,IF(C1643="Técnico I",23,IF(C1643="JR",20,IF(C1643="Estágio",10,0))))),IF(C1643="Técnico III",SUMIFS($D:$D,$A:$A,$A1643,$B:$B,"&lt;&gt;Patrícia Karla de Sousa Araújo",$B:$B,"&lt;&gt;Lorena Dias de Araujo",$B:$B,"&lt;&gt;Lucas Luiz Romero")*(35/1083),IF(C1643="Técnico II",SUMIFS($D:$D,$A:$A,$A1643,$B:$B,"&lt;&gt;Patrícia Karla de Sousa Araújo",$B:$B,"&lt;&gt;Lorena Dias de Araujo",$B:$B,"&lt;&gt;Lucas Luiz Romero")*(28/1083),IF(C1643="Técnico I",SUMIFS($D:$D,$A:$A,$A1643,$B:$B,"&lt;&gt;Patrícia Karla de Sousa Araújo",$B:$B,"&lt;&gt;Lorena Dias de Araujo",$B:$B,"&lt;&gt;Lucas Luiz Romero")*(23/1083),IF(C1643="JR",SUMIFS($D:$D,$A:$A,$A1643,$B:$B,"&lt;&gt;Patrícia Karla de Sousa Araújo",$B:$B,"&lt;&gt;Lorena Dias de Araujo",$B:$B,"&lt;&gt;Lucas Luiz Romero")*(20/1083),IF(C1643="Estágio",SUMIFS($D:$D,$A:$A,$A1643,$B:$B,"&lt;&gt;Patrícia Karla de Sousa Araújo",$B:$B,"&lt;&gt;Lorena Dias de Araujo",$B:$B,"&lt;&gt;Lucas Luiz Romero")*(10/1083),0)))))),0)</f>
        <v/>
      </c>
      <c r="K1643" s="3">
        <f>I1643-J1643</f>
        <v/>
      </c>
      <c r="L1643" s="3">
        <f>IF(K1643&lt;-5,"CRÍTICO",IF(K1643&lt;0,"ATENÇÃO",IF(K1643&lt;=5,"BOM","EXCELENTE")))</f>
        <v/>
      </c>
      <c r="M1643" t="n">
        <v>28</v>
      </c>
      <c r="N1643" t="n">
        <v>98.65000000000001</v>
      </c>
      <c r="O1643" t="n">
        <v>30.97826086956522</v>
      </c>
    </row>
    <row r="1644" hidden="1">
      <c r="A1644" s="11" t="n">
        <v>46051</v>
      </c>
      <c r="B1644" t="inlineStr">
        <is>
          <t>Michelle G Santos</t>
        </is>
      </c>
      <c r="C1644" t="inlineStr">
        <is>
          <t>Estágio</t>
        </is>
      </c>
      <c r="D1644" t="n">
        <v>9</v>
      </c>
      <c r="E1644" t="n">
        <v>9</v>
      </c>
      <c r="F1644" t="n">
        <v>32.01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t="n">
        <v>5</v>
      </c>
      <c r="N1644" t="n">
        <v>100</v>
      </c>
      <c r="O1644" t="n">
        <v>12</v>
      </c>
    </row>
    <row r="1645" hidden="1">
      <c r="A1645" s="11" t="n">
        <v>46051</v>
      </c>
      <c r="B1645" t="inlineStr">
        <is>
          <t>Milena Sales</t>
        </is>
      </c>
      <c r="C1645" t="inlineStr">
        <is>
          <t>JR</t>
        </is>
      </c>
      <c r="D1645" t="n">
        <v>0</v>
      </c>
      <c r="E1645" t="n">
        <v>0</v>
      </c>
      <c r="F1645" t="n">
        <v>0</v>
      </c>
      <c r="G1645" t="n">
        <v>0</v>
      </c>
      <c r="H1645" t="n">
        <v>0</v>
      </c>
      <c r="I1645" s="3" t="n">
        <v>0</v>
      </c>
      <c r="J1645" s="3" t="n">
        <v>0</v>
      </c>
      <c r="K1645" s="3" t="n">
        <v>0</v>
      </c>
      <c r="L1645" s="3">
        <f>IF(K1645&lt;-5,"CRÍTICO",IF(K1645&lt;0,"ATENÇÃO",IF(K1645&lt;=5,"BOM","EXCELENTE")))</f>
        <v/>
      </c>
      <c r="M1645" t="n">
        <v>0</v>
      </c>
      <c r="N1645" t="n">
        <v>0</v>
      </c>
      <c r="O1645" t="n">
        <v>0</v>
      </c>
    </row>
    <row r="1646" hidden="1">
      <c r="A1646" s="11" t="n">
        <v>46051</v>
      </c>
      <c r="B1646" t="inlineStr">
        <is>
          <t>Patrícia Karla de Sousa Araújo</t>
        </is>
      </c>
      <c r="C1646" t="inlineStr">
        <is>
          <t>Técnico II</t>
        </is>
      </c>
      <c r="D1646" t="n">
        <v>21</v>
      </c>
      <c r="E1646" t="n">
        <v>16</v>
      </c>
      <c r="F1646" t="n">
        <v>20.58</v>
      </c>
      <c r="G1646" t="n">
        <v>0</v>
      </c>
      <c r="H1646" t="n">
        <v>0</v>
      </c>
      <c r="I1646" s="3">
        <f>E1646+G1646+H1646</f>
        <v/>
      </c>
      <c r="J1646" s="3">
        <f>ROUND(MIN(IF(C1646="Técnico III",35,IF(C1646="Técnico II",28,IF(C1646="Técnico I",23,IF(C1646="JR",20,IF(C1646="Estágio",10,0))))),IF(C1646="Técnico III",SUMIFS($D:$D,$A:$A,$A1646,$B:$B,"&lt;&gt;Patrícia Karla de Sousa Araújo",$B:$B,"&lt;&gt;Lorena Dias de Araujo",$B:$B,"&lt;&gt;Lucas Luiz Romero")*(35/1083),IF(C1646="Técnico II",SUMIFS($D:$D,$A:$A,$A1646,$B:$B,"&lt;&gt;Patrícia Karla de Sousa Araújo",$B:$B,"&lt;&gt;Lorena Dias de Araujo",$B:$B,"&lt;&gt;Lucas Luiz Romero")*(28/1083),IF(C1646="Técnico I",SUMIFS($D:$D,$A:$A,$A1646,$B:$B,"&lt;&gt;Patrícia Karla de Sousa Araújo",$B:$B,"&lt;&gt;Lorena Dias de Araujo",$B:$B,"&lt;&gt;Lucas Luiz Romero")*(23/1083),IF(C1646="JR",SUMIFS($D:$D,$A:$A,$A1646,$B:$B,"&lt;&gt;Patrícia Karla de Sousa Araújo",$B:$B,"&lt;&gt;Lorena Dias de Araujo",$B:$B,"&lt;&gt;Lucas Luiz Romero")*(20/1083),IF(C1646="Estágio",SUMIFS($D:$D,$A:$A,$A1646,$B:$B,"&lt;&gt;Patrícia Karla de Sousa Araújo",$B:$B,"&lt;&gt;Lorena Dias de Araujo",$B:$B,"&lt;&gt;Lucas Luiz Romero")*(10/1083),0)))))),0)</f>
        <v/>
      </c>
      <c r="K1646" s="3">
        <f>I1646-J1646</f>
        <v/>
      </c>
      <c r="L1646" s="3">
        <f>IF(K1646&lt;-5,"CRÍTICO",IF(K1646&lt;0,"ATENÇÃO",IF(K1646&lt;=5,"BOM","EXCELENTE")))</f>
        <v/>
      </c>
      <c r="M1646" t="n">
        <v>11</v>
      </c>
      <c r="N1646" t="n">
        <v>97.56</v>
      </c>
      <c r="O1646" t="n">
        <v>31.06796116504854</v>
      </c>
    </row>
    <row r="1647" hidden="1">
      <c r="A1647" s="11" t="n">
        <v>46051</v>
      </c>
      <c r="B1647" t="inlineStr">
        <is>
          <t>Paulo Ricardo Santos</t>
        </is>
      </c>
      <c r="C1647" t="inlineStr">
        <is>
          <t>JR</t>
        </is>
      </c>
      <c r="D1647" t="n">
        <v>0</v>
      </c>
      <c r="E1647" t="n">
        <v>0</v>
      </c>
      <c r="F1647" t="n">
        <v>0</v>
      </c>
      <c r="G1647" t="n">
        <v>0</v>
      </c>
      <c r="H1647" t="n">
        <v>0</v>
      </c>
      <c r="I1647" s="3" t="n">
        <v>0</v>
      </c>
      <c r="J1647" s="3" t="n">
        <v>0</v>
      </c>
      <c r="K1647" s="3" t="n">
        <v>0</v>
      </c>
      <c r="L1647" s="3">
        <f>IF(K1647&lt;-5,"CRÍTICO",IF(K1647&lt;0,"ATENÇÃO",IF(K1647&lt;=5,"BOM","EXCELENTE")))</f>
        <v/>
      </c>
      <c r="M1647" t="n">
        <v>0</v>
      </c>
      <c r="N1647" t="n">
        <v>0</v>
      </c>
      <c r="O1647" t="n">
        <v>0</v>
      </c>
    </row>
    <row r="1648" hidden="1">
      <c r="A1648" s="11" t="n">
        <v>46051</v>
      </c>
      <c r="B1648" t="inlineStr">
        <is>
          <t>Pedro Luiz Mota Sousa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M1648" t="n">
        <v>0</v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Quirino Diogo Leite Torres</t>
        </is>
      </c>
      <c r="C1649" t="inlineStr">
        <is>
          <t>Estágio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M1649" t="n">
        <v>0</v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Raane Batista Matos</t>
        </is>
      </c>
      <c r="C1650" t="inlineStr">
        <is>
          <t>Técnico I</t>
        </is>
      </c>
      <c r="D1650" t="n">
        <v>8</v>
      </c>
      <c r="E1650" t="n">
        <v>5</v>
      </c>
      <c r="F1650" t="n">
        <v>43.53</v>
      </c>
      <c r="G1650" t="n">
        <v>0</v>
      </c>
      <c r="H1650" t="n">
        <v>0</v>
      </c>
      <c r="I1650" s="3">
        <f>E1650+G1650+H1650</f>
        <v/>
      </c>
      <c r="J1650" s="3">
        <f>ROUND(MIN(IF(C1650="Técnico III",35,IF(C1650="Técnico II",28,IF(C1650="Técnico I",23,IF(C1650="JR",20,IF(C1650="Estágio",10,0))))),IF(C1650="Técnico III",SUMIFS($D:$D,$A:$A,$A1650,$B:$B,"&lt;&gt;Patrícia Karla de Sousa Araújo",$B:$B,"&lt;&gt;Lorena Dias de Araujo",$B:$B,"&lt;&gt;Lucas Luiz Romero")*(35/1083),IF(C1650="Técnico II",SUMIFS($D:$D,$A:$A,$A1650,$B:$B,"&lt;&gt;Patrícia Karla de Sousa Araújo",$B:$B,"&lt;&gt;Lorena Dias de Araujo",$B:$B,"&lt;&gt;Lucas Luiz Romero")*(28/1083),IF(C1650="Técnico I",SUMIFS($D:$D,$A:$A,$A1650,$B:$B,"&lt;&gt;Patrícia Karla de Sousa Araújo",$B:$B,"&lt;&gt;Lorena Dias de Araujo",$B:$B,"&lt;&gt;Lucas Luiz Romero")*(23/1083),IF(C1650="JR",SUMIFS($D:$D,$A:$A,$A1650,$B:$B,"&lt;&gt;Patrícia Karla de Sousa Araújo",$B:$B,"&lt;&gt;Lorena Dias de Araujo",$B:$B,"&lt;&gt;Lucas Luiz Romero")*(20/1083),IF(C1650="Estágio",SUMIFS($D:$D,$A:$A,$A1650,$B:$B,"&lt;&gt;Patrícia Karla de Sousa Araújo",$B:$B,"&lt;&gt;Lorena Dias de Araujo",$B:$B,"&lt;&gt;Lucas Luiz Romero")*(10/1083),0)))))),0)</f>
        <v/>
      </c>
      <c r="K1650" s="3">
        <f>I1650-J1650</f>
        <v/>
      </c>
      <c r="L1650" s="3">
        <f>IF(K1650&lt;-5,"CRÍTICO",IF(K1650&lt;0,"ATENÇÃO",IF(K1650&lt;=5,"BOM","EXCELENTE")))</f>
        <v/>
      </c>
      <c r="M1650" t="n">
        <v>6</v>
      </c>
      <c r="N1650" t="n">
        <v>100</v>
      </c>
      <c r="O1650" t="n">
        <v>53.84615384615385</v>
      </c>
    </row>
    <row r="1651" hidden="1">
      <c r="A1651" s="11" t="n">
        <v>46051</v>
      </c>
      <c r="B1651" t="inlineStr">
        <is>
          <t>Rafael Gomes de Morais</t>
        </is>
      </c>
      <c r="C1651" t="inlineStr">
        <is>
          <t>Técnico III</t>
        </is>
      </c>
      <c r="D1651" t="n">
        <v>50</v>
      </c>
      <c r="E1651" t="n">
        <v>45</v>
      </c>
      <c r="F1651" t="n">
        <v>10.49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t="n">
        <v>34</v>
      </c>
      <c r="N1651" t="n">
        <v>100</v>
      </c>
      <c r="O1651" t="n">
        <v>44.05594405594406</v>
      </c>
    </row>
    <row r="1652" hidden="1">
      <c r="A1652" s="11" t="n">
        <v>46051</v>
      </c>
      <c r="B1652" t="inlineStr">
        <is>
          <t>Sara Maria Monteiro Lopes</t>
        </is>
      </c>
      <c r="C1652" t="inlineStr">
        <is>
          <t>Técnico I</t>
        </is>
      </c>
      <c r="D1652" t="n">
        <v>13</v>
      </c>
      <c r="E1652" t="n">
        <v>10</v>
      </c>
      <c r="F1652" t="n">
        <v>55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t="n">
        <v>10</v>
      </c>
      <c r="N1652" t="n">
        <v>100</v>
      </c>
      <c r="O1652" t="n">
        <v>31.87250996015936</v>
      </c>
    </row>
    <row r="1653" hidden="1">
      <c r="A1653" s="11" t="n">
        <v>46051</v>
      </c>
      <c r="B1653" t="inlineStr">
        <is>
          <t>Sarah Steffanie de Lima Borges</t>
        </is>
      </c>
      <c r="C1653" t="inlineStr">
        <is>
          <t>Técnico III</t>
        </is>
      </c>
      <c r="D1653" t="n">
        <v>33</v>
      </c>
      <c r="E1653" t="n">
        <v>32</v>
      </c>
      <c r="F1653" t="n">
        <v>15.01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M1653" t="n">
        <v>29</v>
      </c>
      <c r="N1653" t="n">
        <v>98.41</v>
      </c>
      <c r="O1653" t="n">
        <v>29.22465208747515</v>
      </c>
    </row>
    <row r="1654" hidden="1">
      <c r="A1654" s="11" t="n">
        <v>46052</v>
      </c>
      <c r="B1654" t="inlineStr">
        <is>
          <t>Alisson de Freitas Silva</t>
        </is>
      </c>
      <c r="C1654" t="inlineStr">
        <is>
          <t>Técnico II</t>
        </is>
      </c>
      <c r="D1654" t="n">
        <v>39</v>
      </c>
      <c r="E1654" t="n">
        <v>32</v>
      </c>
      <c r="F1654" t="n">
        <v>14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t="n">
        <v>23</v>
      </c>
      <c r="N1654" t="n">
        <v>96.81</v>
      </c>
      <c r="O1654" t="n">
        <v>27.98053527980535</v>
      </c>
    </row>
    <row r="1655" hidden="1">
      <c r="A1655" s="11" t="n">
        <v>46052</v>
      </c>
      <c r="B1655" t="inlineStr">
        <is>
          <t>Amanda Moura Ferreira</t>
        </is>
      </c>
      <c r="C1655" t="inlineStr">
        <is>
          <t>Técnico III</t>
        </is>
      </c>
      <c r="D1655" t="n">
        <v>0</v>
      </c>
      <c r="E1655" t="n">
        <v>0</v>
      </c>
      <c r="F1655" t="n">
        <v>0</v>
      </c>
      <c r="G1655" t="n">
        <v>0</v>
      </c>
      <c r="H1655" t="n">
        <v>0</v>
      </c>
      <c r="I1655" s="3" t="n">
        <v>0</v>
      </c>
      <c r="J1655" s="3" t="n">
        <v>0</v>
      </c>
      <c r="K1655" s="3" t="n">
        <v>0</v>
      </c>
      <c r="L1655" s="3">
        <f>IF(K1655&lt;-5,"CRÍTICO",IF(K1655&lt;0,"ATENÇÃO",IF(K1655&lt;=5,"BOM","EXCELENTE")))</f>
        <v/>
      </c>
      <c r="M1655" t="n">
        <v>29</v>
      </c>
      <c r="N1655" t="n">
        <v>98.73</v>
      </c>
      <c r="O1655" t="n">
        <v>35.75638506876228</v>
      </c>
    </row>
    <row r="1656" hidden="1">
      <c r="A1656" s="11" t="n">
        <v>46052</v>
      </c>
      <c r="B1656" t="inlineStr">
        <is>
          <t>Ana Karollyne Souza Faria</t>
        </is>
      </c>
      <c r="C1656" t="inlineStr">
        <is>
          <t>Técnico I</t>
        </is>
      </c>
      <c r="D1656" t="n">
        <v>26</v>
      </c>
      <c r="E1656" t="n">
        <v>25</v>
      </c>
      <c r="F1656" t="n">
        <v>25.45</v>
      </c>
      <c r="G1656" t="n">
        <v>0</v>
      </c>
      <c r="H1656" t="n">
        <v>0</v>
      </c>
      <c r="I1656" s="3">
        <f>E1656+G1656+H1656</f>
        <v/>
      </c>
      <c r="J1656" s="3">
        <f>ROUND(MIN(IF(C1656="Técnico III",35,IF(C1656="Técnico II",28,IF(C1656="Técnico I",23,IF(C1656="JR",20,IF(C1656="Estágio",10,0))))),IF(C1656="Técnico III",SUMIFS($D:$D,$A:$A,$A1656,$B:$B,"&lt;&gt;Patrícia Karla de Sousa Araújo",$B:$B,"&lt;&gt;Lorena Dias de Araujo",$B:$B,"&lt;&gt;Lucas Luiz Romero")*(35/1083),IF(C1656="Técnico II",SUMIFS($D:$D,$A:$A,$A1656,$B:$B,"&lt;&gt;Patrícia Karla de Sousa Araújo",$B:$B,"&lt;&gt;Lorena Dias de Araujo",$B:$B,"&lt;&gt;Lucas Luiz Romero")*(28/1083),IF(C1656="Técnico I",SUMIFS($D:$D,$A:$A,$A1656,$B:$B,"&lt;&gt;Patrícia Karla de Sousa Araújo",$B:$B,"&lt;&gt;Lorena Dias de Araujo",$B:$B,"&lt;&gt;Lucas Luiz Romero")*(23/1083),IF(C1656="JR",SUMIFS($D:$D,$A:$A,$A1656,$B:$B,"&lt;&gt;Patrícia Karla de Sousa Araújo",$B:$B,"&lt;&gt;Lorena Dias de Araujo",$B:$B,"&lt;&gt;Lucas Luiz Romero")*(20/1083),IF(C1656="Estágio",SUMIFS($D:$D,$A:$A,$A1656,$B:$B,"&lt;&gt;Patrícia Karla de Sousa Araújo",$B:$B,"&lt;&gt;Lorena Dias de Araujo",$B:$B,"&lt;&gt;Lucas Luiz Romero")*(10/1083),0)))))),0)</f>
        <v/>
      </c>
      <c r="K1656" s="3">
        <f>I1656-J1656</f>
        <v/>
      </c>
      <c r="L1656" s="3">
        <f>IF(K1656&lt;-5,"CRÍTICO",IF(K1656&lt;0,"ATENÇÃO",IF(K1656&lt;=5,"BOM","EXCELENTE")))</f>
        <v/>
      </c>
      <c r="M1656" t="n">
        <v>21</v>
      </c>
      <c r="N1656" t="n">
        <v>98.31999999999999</v>
      </c>
      <c r="O1656" t="n">
        <v>26.76348547717842</v>
      </c>
    </row>
    <row r="1657" hidden="1">
      <c r="A1657" s="11" t="n">
        <v>46052</v>
      </c>
      <c r="B1657" t="inlineStr">
        <is>
          <t>Ana Paula Da Luz Silva Aleixo</t>
        </is>
      </c>
      <c r="C1657" t="inlineStr">
        <is>
          <t>Técnico III</t>
        </is>
      </c>
      <c r="D1657" t="n">
        <v>27</v>
      </c>
      <c r="E1657" t="n">
        <v>25</v>
      </c>
      <c r="F1657" t="n">
        <v>20.38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t="n">
        <v>23</v>
      </c>
      <c r="N1657" t="n">
        <v>99.19</v>
      </c>
      <c r="O1657" t="n">
        <v>27.63713080168776</v>
      </c>
    </row>
    <row r="1658" hidden="1">
      <c r="A1658" s="11" t="n">
        <v>46052</v>
      </c>
      <c r="B1658" t="inlineStr">
        <is>
          <t>Anna Luiza Rezende Tavares</t>
        </is>
      </c>
      <c r="C1658" t="inlineStr">
        <is>
          <t>Estágio</t>
        </is>
      </c>
      <c r="D1658" t="n">
        <v>0</v>
      </c>
      <c r="E1658" t="n">
        <v>0</v>
      </c>
      <c r="F1658" t="n">
        <v>0</v>
      </c>
      <c r="G1658" t="n">
        <v>0</v>
      </c>
      <c r="H1658" t="n">
        <v>0</v>
      </c>
      <c r="I1658" s="3" t="n">
        <v>0</v>
      </c>
      <c r="J1658" s="3" t="n">
        <v>0</v>
      </c>
      <c r="K1658" s="3" t="n">
        <v>0</v>
      </c>
      <c r="L1658" s="3">
        <f>IF(K1658&lt;-5,"CRÍTICO",IF(K1658&lt;0,"ATENÇÃO",IF(K1658&lt;=5,"BOM","EXCELENTE")))</f>
        <v/>
      </c>
      <c r="M1658" t="n">
        <v>0</v>
      </c>
      <c r="N1658" t="n">
        <v>100</v>
      </c>
      <c r="O1658" t="n">
        <v>39.56834532374101</v>
      </c>
    </row>
    <row r="1659" hidden="1">
      <c r="A1659" s="11" t="n">
        <v>46052</v>
      </c>
      <c r="B1659" t="inlineStr">
        <is>
          <t>Brenda de Menezes Silva</t>
        </is>
      </c>
      <c r="C1659" t="inlineStr">
        <is>
          <t>Técnico II</t>
        </is>
      </c>
      <c r="D1659" t="n">
        <v>21</v>
      </c>
      <c r="E1659" t="n">
        <v>18</v>
      </c>
      <c r="F1659" t="n">
        <v>18.55</v>
      </c>
      <c r="G1659" t="n">
        <v>0</v>
      </c>
      <c r="H1659" t="n">
        <v>0</v>
      </c>
      <c r="I1659" s="3">
        <f>E1659+G1659+H1659</f>
        <v/>
      </c>
      <c r="J1659" s="3">
        <f>ROUND(MIN(IF(C1659="Técnico III",35,IF(C1659="Técnico II",28,IF(C1659="Técnico I",23,IF(C1659="JR",20,IF(C1659="Estágio",10,0))))),IF(C1659="Técnico III",SUMIFS($D:$D,$A:$A,$A1659,$B:$B,"&lt;&gt;Patrícia Karla de Sousa Araújo",$B:$B,"&lt;&gt;Lorena Dias de Araujo",$B:$B,"&lt;&gt;Lucas Luiz Romero")*(35/1083),IF(C1659="Técnico II",SUMIFS($D:$D,$A:$A,$A1659,$B:$B,"&lt;&gt;Patrícia Karla de Sousa Araújo",$B:$B,"&lt;&gt;Lorena Dias de Araujo",$B:$B,"&lt;&gt;Lucas Luiz Romero")*(28/1083),IF(C1659="Técnico I",SUMIFS($D:$D,$A:$A,$A1659,$B:$B,"&lt;&gt;Patrícia Karla de Sousa Araújo",$B:$B,"&lt;&gt;Lorena Dias de Araujo",$B:$B,"&lt;&gt;Lucas Luiz Romero")*(23/1083),IF(C1659="JR",SUMIFS($D:$D,$A:$A,$A1659,$B:$B,"&lt;&gt;Patrícia Karla de Sousa Araújo",$B:$B,"&lt;&gt;Lorena Dias de Araujo",$B:$B,"&lt;&gt;Lucas Luiz Romero")*(20/1083),IF(C1659="Estágio",SUMIFS($D:$D,$A:$A,$A1659,$B:$B,"&lt;&gt;Patrícia Karla de Sousa Araújo",$B:$B,"&lt;&gt;Lorena Dias de Araujo",$B:$B,"&lt;&gt;Lucas Luiz Romero")*(10/1083),0)))))),0)</f>
        <v/>
      </c>
      <c r="K1659" s="3">
        <f>I1659-J1659</f>
        <v/>
      </c>
      <c r="L1659" s="3">
        <f>IF(K1659&lt;-5,"CRÍTICO",IF(K1659&lt;0,"ATENÇÃO",IF(K1659&lt;=5,"BOM","EXCELENTE")))</f>
        <v/>
      </c>
      <c r="M1659" t="n">
        <v>22</v>
      </c>
      <c r="N1659" t="n">
        <v>98.54000000000001</v>
      </c>
      <c r="O1659" t="n">
        <v>28.54477611940299</v>
      </c>
    </row>
    <row r="1660" hidden="1">
      <c r="A1660" s="11" t="n">
        <v>46052</v>
      </c>
      <c r="B1660" t="inlineStr">
        <is>
          <t>Carlos Mateus Cassimiro Nunes</t>
        </is>
      </c>
      <c r="C1660" t="inlineStr">
        <is>
          <t>Técnico II</t>
        </is>
      </c>
      <c r="D1660" t="n">
        <v>15</v>
      </c>
      <c r="E1660" t="n">
        <v>14</v>
      </c>
      <c r="F1660" t="n">
        <v>34.13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t="n">
        <v>16</v>
      </c>
      <c r="N1660" t="n">
        <v>100</v>
      </c>
      <c r="O1660" t="n">
        <v>34.36692506459949</v>
      </c>
    </row>
    <row r="1661" hidden="1">
      <c r="A1661" s="11" t="n">
        <v>46052</v>
      </c>
      <c r="B1661" t="inlineStr">
        <is>
          <t>Claudio de Sousa Velasco Filho</t>
        </is>
      </c>
      <c r="C1661" t="inlineStr">
        <is>
          <t>Estágio</t>
        </is>
      </c>
      <c r="D1661" t="n">
        <v>0</v>
      </c>
      <c r="E1661" t="n">
        <v>0</v>
      </c>
      <c r="F1661" t="n">
        <v>0</v>
      </c>
      <c r="G1661" t="n">
        <v>0</v>
      </c>
      <c r="H1661" t="n">
        <v>0</v>
      </c>
      <c r="I1661" s="3" t="n">
        <v>0</v>
      </c>
      <c r="J1661" s="3" t="n">
        <v>0</v>
      </c>
      <c r="K1661" s="3" t="n">
        <v>0</v>
      </c>
      <c r="L1661" s="3">
        <f>IF(K1661&lt;-5,"CRÍTICO",IF(K1661&lt;0,"ATENÇÃO",IF(K1661&lt;=5,"BOM","EXCELENTE")))</f>
        <v/>
      </c>
      <c r="M1661" t="n">
        <v>0</v>
      </c>
      <c r="N1661" t="n">
        <v>0</v>
      </c>
      <c r="O1661" t="n">
        <v>0</v>
      </c>
    </row>
    <row r="1662" hidden="1">
      <c r="A1662" s="11" t="n">
        <v>46052</v>
      </c>
      <c r="B1662" t="inlineStr">
        <is>
          <t>Clessiane Pereira dos Santos</t>
        </is>
      </c>
      <c r="C1662" t="inlineStr">
        <is>
          <t>Técnico I</t>
        </is>
      </c>
      <c r="D1662" t="n">
        <v>25</v>
      </c>
      <c r="E1662" t="n">
        <v>23</v>
      </c>
      <c r="F1662" t="n">
        <v>24.1</v>
      </c>
      <c r="G1662" t="n">
        <v>0</v>
      </c>
      <c r="H1662" t="n">
        <v>0</v>
      </c>
      <c r="I1662" s="3">
        <f>E1662+G1662+H1662</f>
        <v/>
      </c>
      <c r="J1662" s="3">
        <f>ROUND(MIN(IF(C1662="Técnico III",35,IF(C1662="Técnico II",28,IF(C1662="Técnico I",23,IF(C1662="JR",20,IF(C1662="Estágio",10,0))))),IF(C1662="Técnico III",SUMIFS($D:$D,$A:$A,$A1662,$B:$B,"&lt;&gt;Patrícia Karla de Sousa Araújo",$B:$B,"&lt;&gt;Lorena Dias de Araujo",$B:$B,"&lt;&gt;Lucas Luiz Romero")*(35/1083),IF(C1662="Técnico II",SUMIFS($D:$D,$A:$A,$A1662,$B:$B,"&lt;&gt;Patrícia Karla de Sousa Araújo",$B:$B,"&lt;&gt;Lorena Dias de Araujo",$B:$B,"&lt;&gt;Lucas Luiz Romero")*(28/1083),IF(C1662="Técnico I",SUMIFS($D:$D,$A:$A,$A1662,$B:$B,"&lt;&gt;Patrícia Karla de Sousa Araújo",$B:$B,"&lt;&gt;Lorena Dias de Araujo",$B:$B,"&lt;&gt;Lucas Luiz Romero")*(23/1083),IF(C1662="JR",SUMIFS($D:$D,$A:$A,$A1662,$B:$B,"&lt;&gt;Patrícia Karla de Sousa Araújo",$B:$B,"&lt;&gt;Lorena Dias de Araujo",$B:$B,"&lt;&gt;Lucas Luiz Romero")*(20/1083),IF(C1662="Estágio",SUMIFS($D:$D,$A:$A,$A1662,$B:$B,"&lt;&gt;Patrícia Karla de Sousa Araújo",$B:$B,"&lt;&gt;Lorena Dias de Araujo",$B:$B,"&lt;&gt;Lucas Luiz Romero")*(10/1083),0)))))),0)</f>
        <v/>
      </c>
      <c r="K1662" s="3">
        <f>I1662-J1662</f>
        <v/>
      </c>
      <c r="L1662" s="3">
        <f>IF(K1662&lt;-5,"CRÍTICO",IF(K1662&lt;0,"ATENÇÃO",IF(K1662&lt;=5,"BOM","EXCELENTE")))</f>
        <v/>
      </c>
      <c r="M1662" t="n">
        <v>21</v>
      </c>
      <c r="N1662" t="n">
        <v>100</v>
      </c>
      <c r="O1662" t="n">
        <v>29.51807228915663</v>
      </c>
    </row>
    <row r="1663" hidden="1">
      <c r="A1663" s="11" t="n">
        <v>46052</v>
      </c>
      <c r="B1663" t="inlineStr">
        <is>
          <t>Cristiane Ramos da Silva Rocha</t>
        </is>
      </c>
      <c r="C1663" t="inlineStr">
        <is>
          <t>Técnico III</t>
        </is>
      </c>
      <c r="D1663" t="n">
        <v>51</v>
      </c>
      <c r="E1663" t="n">
        <v>44</v>
      </c>
      <c r="F1663" t="n">
        <v>10.35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t="n">
        <v>45</v>
      </c>
      <c r="N1663" t="n">
        <v>97.45</v>
      </c>
      <c r="O1663" t="n">
        <v>41.421143847487</v>
      </c>
    </row>
    <row r="1664" hidden="1">
      <c r="A1664" s="11" t="n">
        <v>46052</v>
      </c>
      <c r="B1664" t="inlineStr">
        <is>
          <t>Damyllis Lorraine de Oliveira Gonçalves</t>
        </is>
      </c>
      <c r="C1664" t="inlineStr">
        <is>
          <t>Técnico II</t>
        </is>
      </c>
      <c r="D1664" t="n">
        <v>30</v>
      </c>
      <c r="E1664" t="n">
        <v>28</v>
      </c>
      <c r="F1664" t="n">
        <v>15.34</v>
      </c>
      <c r="G1664" t="n">
        <v>0</v>
      </c>
      <c r="H1664" t="n">
        <v>0</v>
      </c>
      <c r="I1664" s="3" t="n">
        <v>0</v>
      </c>
      <c r="J1664" s="3" t="n">
        <v>0</v>
      </c>
      <c r="K1664" s="3" t="n">
        <v>0</v>
      </c>
      <c r="L1664" s="3">
        <f>IF(K1664&lt;-5,"CRÍTICO",IF(K1664&lt;0,"ATENÇÃO",IF(K1664&lt;=5,"BOM","EXCELENTE")))</f>
        <v/>
      </c>
      <c r="M1664" t="n">
        <v>24</v>
      </c>
      <c r="N1664" t="n">
        <v>96.58</v>
      </c>
      <c r="O1664" t="n">
        <v>30.39647577092511</v>
      </c>
    </row>
    <row r="1665" hidden="1">
      <c r="A1665" s="11" t="n">
        <v>46052</v>
      </c>
      <c r="B1665" t="inlineStr">
        <is>
          <t>Daniel Gomes da Silva</t>
        </is>
      </c>
      <c r="C1665" t="inlineStr">
        <is>
          <t>Técnico I</t>
        </is>
      </c>
      <c r="D1665" t="n">
        <v>26</v>
      </c>
      <c r="E1665" t="n">
        <v>26</v>
      </c>
      <c r="F1665" t="n">
        <v>18.47</v>
      </c>
      <c r="G1665" t="n">
        <v>0</v>
      </c>
      <c r="H1665" t="n">
        <v>0</v>
      </c>
      <c r="I1665" s="3">
        <f>E1665+G1665+H1665</f>
        <v/>
      </c>
      <c r="J1665" s="3">
        <f>ROUND(MIN(IF(C1665="Técnico III",35,IF(C1665="Técnico II",28,IF(C1665="Técnico I",23,IF(C1665="JR",20,IF(C1665="Estágio",10,0))))),IF(C1665="Técnico III",SUMIFS($D:$D,$A:$A,$A1665,$B:$B,"&lt;&gt;Patrícia Karla de Sousa Araújo",$B:$B,"&lt;&gt;Lorena Dias de Araujo",$B:$B,"&lt;&gt;Lucas Luiz Romero")*(35/1083),IF(C1665="Técnico II",SUMIFS($D:$D,$A:$A,$A1665,$B:$B,"&lt;&gt;Patrícia Karla de Sousa Araújo",$B:$B,"&lt;&gt;Lorena Dias de Araujo",$B:$B,"&lt;&gt;Lucas Luiz Romero")*(28/1083),IF(C1665="Técnico I",SUMIFS($D:$D,$A:$A,$A1665,$B:$B,"&lt;&gt;Patrícia Karla de Sousa Araújo",$B:$B,"&lt;&gt;Lorena Dias de Araujo",$B:$B,"&lt;&gt;Lucas Luiz Romero")*(23/1083),IF(C1665="JR",SUMIFS($D:$D,$A:$A,$A1665,$B:$B,"&lt;&gt;Patrícia Karla de Sousa Araújo",$B:$B,"&lt;&gt;Lorena Dias de Araujo",$B:$B,"&lt;&gt;Lucas Luiz Romero")*(20/1083),IF(C1665="Estágio",SUMIFS($D:$D,$A:$A,$A1665,$B:$B,"&lt;&gt;Patrícia Karla de Sousa Araújo",$B:$B,"&lt;&gt;Lorena Dias de Araujo",$B:$B,"&lt;&gt;Lucas Luiz Romero")*(10/1083),0)))))),0)</f>
        <v/>
      </c>
      <c r="K1665" s="3">
        <f>I1665-J1665</f>
        <v/>
      </c>
      <c r="L1665" s="3">
        <f>IF(K1665&lt;-5,"CRÍTICO",IF(K1665&lt;0,"ATENÇÃO",IF(K1665&lt;=5,"BOM","EXCELENTE")))</f>
        <v/>
      </c>
      <c r="M1665" t="n">
        <v>29</v>
      </c>
      <c r="N1665" t="n">
        <v>100</v>
      </c>
      <c r="O1665" t="n">
        <v>27.44282744282744</v>
      </c>
    </row>
    <row r="1666" hidden="1">
      <c r="A1666" s="11" t="n">
        <v>46052</v>
      </c>
      <c r="B1666" t="inlineStr">
        <is>
          <t>Davylla Rodrigues Freitas Silva</t>
        </is>
      </c>
      <c r="C1666" t="inlineStr">
        <is>
          <t>Técnico III</t>
        </is>
      </c>
      <c r="D1666" t="n">
        <v>38</v>
      </c>
      <c r="E1666" t="n">
        <v>38</v>
      </c>
      <c r="F1666" t="n">
        <v>18.43</v>
      </c>
      <c r="G1666" t="n">
        <v>0</v>
      </c>
      <c r="H1666" t="n">
        <v>0</v>
      </c>
      <c r="I1666" s="3" t="n">
        <v>0</v>
      </c>
      <c r="J1666" s="3" t="n">
        <v>0</v>
      </c>
      <c r="K1666" s="3" t="n">
        <v>0</v>
      </c>
      <c r="L1666" s="3">
        <f>IF(K1666&lt;-5,"CRÍTICO",IF(K1666&lt;0,"ATENÇÃO",IF(K1666&lt;=5,"BOM","EXCELENTE")))</f>
        <v/>
      </c>
      <c r="M1666" t="n">
        <v>38</v>
      </c>
      <c r="N1666" t="n">
        <v>99.48999999999999</v>
      </c>
      <c r="O1666" t="n">
        <v>40.2</v>
      </c>
    </row>
    <row r="1667" hidden="1">
      <c r="A1667" s="11" t="n">
        <v>46052</v>
      </c>
      <c r="B1667" t="inlineStr">
        <is>
          <t>Emilly Caylane Costa</t>
        </is>
      </c>
      <c r="C1667" t="inlineStr">
        <is>
          <t>Estágio</t>
        </is>
      </c>
      <c r="D1667" t="n">
        <v>3</v>
      </c>
      <c r="E1667" t="n">
        <v>3</v>
      </c>
      <c r="F1667" t="n">
        <v>65.23</v>
      </c>
      <c r="G1667" t="n">
        <v>0</v>
      </c>
      <c r="H1667" t="n">
        <v>0</v>
      </c>
      <c r="I1667" s="3">
        <f>E1667+G1667+H1667</f>
        <v/>
      </c>
      <c r="J1667" s="3">
        <f>ROUND(MIN(IF(C1667="Técnico III",35,IF(C1667="Técnico II",28,IF(C1667="Técnico I",23,IF(C1667="JR",20,IF(C1667="Estágio",10,0))))),IF(C1667="Técnico III",SUMIFS($D:$D,$A:$A,$A1667,$B:$B,"&lt;&gt;Patrícia Karla de Sousa Araújo",$B:$B,"&lt;&gt;Lorena Dias de Araujo",$B:$B,"&lt;&gt;Lucas Luiz Romero")*(35/1083),IF(C1667="Técnico II",SUMIFS($D:$D,$A:$A,$A1667,$B:$B,"&lt;&gt;Patrícia Karla de Sousa Araújo",$B:$B,"&lt;&gt;Lorena Dias de Araujo",$B:$B,"&lt;&gt;Lucas Luiz Romero")*(28/1083),IF(C1667="Técnico I",SUMIFS($D:$D,$A:$A,$A1667,$B:$B,"&lt;&gt;Patrícia Karla de Sousa Araújo",$B:$B,"&lt;&gt;Lorena Dias de Araujo",$B:$B,"&lt;&gt;Lucas Luiz Romero")*(23/1083),IF(C1667="JR",SUMIFS($D:$D,$A:$A,$A1667,$B:$B,"&lt;&gt;Patrícia Karla de Sousa Araújo",$B:$B,"&lt;&gt;Lorena Dias de Araujo",$B:$B,"&lt;&gt;Lucas Luiz Romero")*(20/1083),IF(C1667="Estágio",SUMIFS($D:$D,$A:$A,$A1667,$B:$B,"&lt;&gt;Patrícia Karla de Sousa Araújo",$B:$B,"&lt;&gt;Lorena Dias de Araujo",$B:$B,"&lt;&gt;Lucas Luiz Romero")*(10/1083),0)))))),0)</f>
        <v/>
      </c>
      <c r="K1667" s="3">
        <f>I1667-J1667</f>
        <v/>
      </c>
      <c r="L1667" s="3">
        <f>IF(K1667&lt;-5,"CRÍTICO",IF(K1667&lt;0,"ATENÇÃO",IF(K1667&lt;=5,"BOM","EXCELENTE")))</f>
        <v/>
      </c>
      <c r="M1667" t="n">
        <v>2</v>
      </c>
      <c r="N1667" t="n">
        <v>100</v>
      </c>
      <c r="O1667" t="n">
        <v>25</v>
      </c>
    </row>
    <row r="1668" hidden="1">
      <c r="A1668" s="11" t="n">
        <v>46052</v>
      </c>
      <c r="B1668" t="inlineStr">
        <is>
          <t>Emilly Kamilly Medeiros Miranda</t>
        </is>
      </c>
      <c r="C1668" t="inlineStr">
        <is>
          <t>Técnico II</t>
        </is>
      </c>
      <c r="D1668" t="n">
        <v>35</v>
      </c>
      <c r="E1668" t="n">
        <v>32</v>
      </c>
      <c r="F1668" t="n">
        <v>14.19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t="n">
        <v>31</v>
      </c>
      <c r="N1668" t="n">
        <v>100</v>
      </c>
      <c r="O1668" t="n">
        <v>34.15094339622641</v>
      </c>
    </row>
    <row r="1669" hidden="1">
      <c r="A1669" s="11" t="n">
        <v>46052</v>
      </c>
      <c r="B1669" t="inlineStr">
        <is>
          <t>Francielson de Oliveira</t>
        </is>
      </c>
      <c r="C1669" t="inlineStr">
        <is>
          <t>Técnico III</t>
        </is>
      </c>
      <c r="D1669" t="n">
        <v>30</v>
      </c>
      <c r="E1669" t="n">
        <v>27</v>
      </c>
      <c r="F1669" t="n">
        <v>15.39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t="n">
        <v>28</v>
      </c>
      <c r="N1669" t="n">
        <v>100</v>
      </c>
      <c r="O1669" t="n">
        <v>32.7313769751693</v>
      </c>
    </row>
    <row r="1670" hidden="1">
      <c r="A1670" s="11" t="n">
        <v>46052</v>
      </c>
      <c r="B1670" t="inlineStr">
        <is>
          <t>Francilene Ferreira de Jesus</t>
        </is>
      </c>
      <c r="C1670" t="inlineStr">
        <is>
          <t>Técnico II</t>
        </is>
      </c>
      <c r="D1670" t="n">
        <v>44</v>
      </c>
      <c r="E1670" t="n">
        <v>39</v>
      </c>
      <c r="F1670" t="n">
        <v>17.06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t="n">
        <v>38</v>
      </c>
      <c r="N1670" t="n">
        <v>99.31</v>
      </c>
      <c r="O1670" t="n">
        <v>30.96234309623431</v>
      </c>
    </row>
    <row r="1671" hidden="1">
      <c r="A1671" s="11" t="n">
        <v>46086</v>
      </c>
      <c r="B1671" t="inlineStr">
        <is>
          <t>Gabriel Gomes de Andrade</t>
        </is>
      </c>
      <c r="C1671" t="inlineStr">
        <is>
          <t>Técnico I</t>
        </is>
      </c>
      <c r="D1671" t="n">
        <v>18</v>
      </c>
      <c r="E1671" t="n">
        <v>16</v>
      </c>
      <c r="F1671" t="n">
        <v>23.34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t="n">
        <v>27</v>
      </c>
      <c r="N1671" t="n">
        <v>99.05</v>
      </c>
      <c r="O1671" t="n">
        <v>26.62192393736018</v>
      </c>
    </row>
    <row r="1672" hidden="1">
      <c r="A1672" s="11" t="n">
        <v>46052</v>
      </c>
      <c r="B1672" t="inlineStr">
        <is>
          <t>Isabella Borges de Oliveira</t>
        </is>
      </c>
      <c r="C1672" t="inlineStr">
        <is>
          <t>Técnico II</t>
        </is>
      </c>
      <c r="D1672" t="n">
        <v>36</v>
      </c>
      <c r="E1672" t="n">
        <v>35</v>
      </c>
      <c r="F1672" t="n">
        <v>19.03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M1672" t="n">
        <v>31</v>
      </c>
      <c r="N1672" t="n">
        <v>100</v>
      </c>
      <c r="O1672" t="n">
        <v>27.67676767676768</v>
      </c>
    </row>
    <row r="1673" hidden="1">
      <c r="A1673" s="11" t="n">
        <v>46052</v>
      </c>
      <c r="B1673" t="inlineStr">
        <is>
          <t>Janaina Lima dos Reis Urany</t>
        </is>
      </c>
      <c r="C1673" t="inlineStr">
        <is>
          <t>Técnico III</t>
        </is>
      </c>
      <c r="D1673" t="n">
        <v>65</v>
      </c>
      <c r="E1673" t="n">
        <v>59</v>
      </c>
      <c r="F1673" t="n">
        <v>10.26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t="n">
        <v>58</v>
      </c>
      <c r="N1673" t="n">
        <v>100</v>
      </c>
      <c r="O1673" t="n">
        <v>31.17723156532988</v>
      </c>
    </row>
    <row r="1674" hidden="1">
      <c r="A1674" s="11" t="n">
        <v>46052</v>
      </c>
      <c r="B1674" t="inlineStr">
        <is>
          <t>Jaqueline Evangelista da Silva Martins</t>
        </is>
      </c>
      <c r="C1674" t="inlineStr">
        <is>
          <t>Técnico III</t>
        </is>
      </c>
      <c r="D1674" t="n">
        <v>22</v>
      </c>
      <c r="E1674" t="n">
        <v>17</v>
      </c>
      <c r="F1674" t="n">
        <v>12.06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M1674" t="n">
        <v>15</v>
      </c>
      <c r="N1674" t="n">
        <v>100</v>
      </c>
      <c r="O1674" t="n">
        <v>27.60942760942761</v>
      </c>
    </row>
    <row r="1675" hidden="1">
      <c r="A1675" s="11" t="n">
        <v>46052</v>
      </c>
      <c r="B1675" t="inlineStr">
        <is>
          <t>Jessica Faria da Silveira</t>
        </is>
      </c>
      <c r="C1675" t="inlineStr">
        <is>
          <t>Técnico II</t>
        </is>
      </c>
      <c r="D1675" t="n">
        <v>23</v>
      </c>
      <c r="E1675" t="n">
        <v>14</v>
      </c>
      <c r="F1675" t="n">
        <v>20.24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t="n">
        <v>14</v>
      </c>
      <c r="N1675" t="n">
        <v>96.40000000000001</v>
      </c>
      <c r="O1675" t="n">
        <v>28.76404494382023</v>
      </c>
    </row>
    <row r="1676" hidden="1">
      <c r="A1676" s="11" t="n">
        <v>46052</v>
      </c>
      <c r="B1676" t="inlineStr">
        <is>
          <t>Jéssica Fé Moura</t>
        </is>
      </c>
      <c r="C1676" t="inlineStr">
        <is>
          <t>Técnico III</t>
        </is>
      </c>
      <c r="D1676" t="n">
        <v>0</v>
      </c>
      <c r="E1676" t="n">
        <v>0</v>
      </c>
      <c r="F1676" t="n">
        <v>0</v>
      </c>
      <c r="G1676" t="n">
        <v>0</v>
      </c>
      <c r="H1676" t="n">
        <v>0</v>
      </c>
      <c r="I1676" s="3" t="n">
        <v>0</v>
      </c>
      <c r="J1676" s="3" t="n">
        <v>0</v>
      </c>
      <c r="K1676" s="3" t="n">
        <v>0</v>
      </c>
      <c r="L1676" s="3">
        <f>IF(K1676&lt;-5,"CRÍTICO",IF(K1676&lt;0,"ATENÇÃO",IF(K1676&lt;=5,"BOM","EXCELENTE")))</f>
        <v/>
      </c>
      <c r="M1676" t="n">
        <v>0</v>
      </c>
      <c r="N1676" t="n">
        <v>100</v>
      </c>
      <c r="O1676" t="n">
        <v>33.98058252427185</v>
      </c>
    </row>
    <row r="1677" hidden="1">
      <c r="A1677" s="11" t="n">
        <v>46052</v>
      </c>
      <c r="B1677" t="inlineStr">
        <is>
          <t>Karina Gonçalves Martins</t>
        </is>
      </c>
      <c r="C1677" t="inlineStr">
        <is>
          <t>JR</t>
        </is>
      </c>
      <c r="D1677" t="n">
        <v>19</v>
      </c>
      <c r="E1677" t="n">
        <v>19</v>
      </c>
      <c r="F1677" t="n">
        <v>28.27</v>
      </c>
      <c r="G1677" t="n">
        <v>0</v>
      </c>
      <c r="H1677" t="n">
        <v>0</v>
      </c>
      <c r="I1677" s="3">
        <f>E1677+G1677+H1677</f>
        <v/>
      </c>
      <c r="J1677" s="3">
        <f>ROUND(MIN(IF(C1677="Técnico III",35,IF(C1677="Técnico II",28,IF(C1677="Técnico I",23,IF(C1677="JR",20,IF(C1677="Estágio",10,0))))),IF(C1677="Técnico III",SUMIFS($D:$D,$A:$A,$A1677,$B:$B,"&lt;&gt;Patrícia Karla de Sousa Araújo",$B:$B,"&lt;&gt;Lorena Dias de Araujo",$B:$B,"&lt;&gt;Lucas Luiz Romero")*(35/1083),IF(C1677="Técnico II",SUMIFS($D:$D,$A:$A,$A1677,$B:$B,"&lt;&gt;Patrícia Karla de Sousa Araújo",$B:$B,"&lt;&gt;Lorena Dias de Araujo",$B:$B,"&lt;&gt;Lucas Luiz Romero")*(28/1083),IF(C1677="Técnico I",SUMIFS($D:$D,$A:$A,$A1677,$B:$B,"&lt;&gt;Patrícia Karla de Sousa Araújo",$B:$B,"&lt;&gt;Lorena Dias de Araujo",$B:$B,"&lt;&gt;Lucas Luiz Romero")*(23/1083),IF(C1677="JR",SUMIFS($D:$D,$A:$A,$A1677,$B:$B,"&lt;&gt;Patrícia Karla de Sousa Araújo",$B:$B,"&lt;&gt;Lorena Dias de Araujo",$B:$B,"&lt;&gt;Lucas Luiz Romero")*(20/1083),IF(C1677="Estágio",SUMIFS($D:$D,$A:$A,$A1677,$B:$B,"&lt;&gt;Patrícia Karla de Sousa Araújo",$B:$B,"&lt;&gt;Lorena Dias de Araujo",$B:$B,"&lt;&gt;Lucas Luiz Romero")*(10/1083),0)))))),0)</f>
        <v/>
      </c>
      <c r="K1677" s="3">
        <f>I1677-J1677</f>
        <v/>
      </c>
      <c r="L1677" s="3">
        <f>IF(K1677&lt;-5,"CRÍTICO",IF(K1677&lt;0,"ATENÇÃO",IF(K1677&lt;=5,"BOM","EXCELENTE")))</f>
        <v/>
      </c>
      <c r="M1677" t="n">
        <v>16</v>
      </c>
      <c r="N1677" t="n">
        <v>97.56</v>
      </c>
      <c r="O1677" t="n">
        <v>32.51533742331289</v>
      </c>
    </row>
    <row r="1678" hidden="1">
      <c r="A1678" s="11" t="n">
        <v>46052</v>
      </c>
      <c r="B1678" t="inlineStr">
        <is>
          <t>Kerollen Cristielly de Jesus Siqueira</t>
        </is>
      </c>
      <c r="C1678" t="inlineStr">
        <is>
          <t>Técnico III</t>
        </is>
      </c>
      <c r="D1678" t="n">
        <v>18</v>
      </c>
      <c r="E1678" t="n">
        <v>17</v>
      </c>
      <c r="F1678" t="n">
        <v>24.15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t="n">
        <v>16</v>
      </c>
      <c r="N1678" t="n">
        <v>97.11</v>
      </c>
      <c r="O1678" t="n">
        <v>37.40831295843521</v>
      </c>
    </row>
    <row r="1679" hidden="1">
      <c r="A1679" s="11" t="n">
        <v>46052</v>
      </c>
      <c r="B1679" t="inlineStr">
        <is>
          <t>Leandro de Souza Silva</t>
        </is>
      </c>
      <c r="C1679" t="inlineStr">
        <is>
          <t>JR</t>
        </is>
      </c>
      <c r="D1679" t="n">
        <v>0</v>
      </c>
      <c r="E1679" t="n">
        <v>0</v>
      </c>
      <c r="F1679" t="n">
        <v>0</v>
      </c>
      <c r="G1679" t="n">
        <v>0</v>
      </c>
      <c r="H1679" t="n">
        <v>0</v>
      </c>
      <c r="I1679" s="3" t="n">
        <v>0</v>
      </c>
      <c r="J1679" s="3" t="n">
        <v>0</v>
      </c>
      <c r="K1679" s="3" t="n">
        <v>0</v>
      </c>
      <c r="L1679" s="3">
        <f>IF(K1679&lt;-5,"CRÍTICO",IF(K1679&lt;0,"ATENÇÃO",IF(K1679&lt;=5,"BOM","EXCELENTE")))</f>
        <v/>
      </c>
      <c r="M1679" t="n">
        <v>0</v>
      </c>
      <c r="N1679" t="n">
        <v>0</v>
      </c>
      <c r="O1679" t="n">
        <v>0</v>
      </c>
    </row>
    <row r="1680" hidden="1">
      <c r="A1680" s="11" t="n">
        <v>46052</v>
      </c>
      <c r="B1680" t="inlineStr">
        <is>
          <t>Leandro Oliveira de Sousa</t>
        </is>
      </c>
      <c r="C1680" t="inlineStr">
        <is>
          <t>Técnico III</t>
        </is>
      </c>
      <c r="D1680" t="n">
        <v>26</v>
      </c>
      <c r="E1680" t="n">
        <v>26</v>
      </c>
      <c r="F1680" t="n">
        <v>17.37</v>
      </c>
      <c r="G1680" t="n">
        <v>0</v>
      </c>
      <c r="H1680" t="n">
        <v>0</v>
      </c>
      <c r="I1680" s="3">
        <f>E1680+G1680+H1680</f>
        <v/>
      </c>
      <c r="J1680" s="3">
        <f>ROUND(MIN(IF(C1680="Técnico III",35,IF(C1680="Técnico II",28,IF(C1680="Técnico I",23,IF(C1680="JR",20,IF(C1680="Estágio",10,0))))),IF(C1680="Técnico III",SUMIFS($D:$D,$A:$A,$A1680,$B:$B,"&lt;&gt;Patrícia Karla de Sousa Araújo",$B:$B,"&lt;&gt;Lorena Dias de Araujo",$B:$B,"&lt;&gt;Lucas Luiz Romero")*(35/1083),IF(C1680="Técnico II",SUMIFS($D:$D,$A:$A,$A1680,$B:$B,"&lt;&gt;Patrícia Karla de Sousa Araújo",$B:$B,"&lt;&gt;Lorena Dias de Araujo",$B:$B,"&lt;&gt;Lucas Luiz Romero")*(28/1083),IF(C1680="Técnico I",SUMIFS($D:$D,$A:$A,$A1680,$B:$B,"&lt;&gt;Patrícia Karla de Sousa Araújo",$B:$B,"&lt;&gt;Lorena Dias de Araujo",$B:$B,"&lt;&gt;Lucas Luiz Romero")*(23/1083),IF(C1680="JR",SUMIFS($D:$D,$A:$A,$A1680,$B:$B,"&lt;&gt;Patrícia Karla de Sousa Araújo",$B:$B,"&lt;&gt;Lorena Dias de Araujo",$B:$B,"&lt;&gt;Lucas Luiz Romero")*(20/1083),IF(C1680="Estágio",SUMIFS($D:$D,$A:$A,$A1680,$B:$B,"&lt;&gt;Patrícia Karla de Sousa Araújo",$B:$B,"&lt;&gt;Lorena Dias de Araujo",$B:$B,"&lt;&gt;Lucas Luiz Romero")*(10/1083),0)))))),0)</f>
        <v/>
      </c>
      <c r="K1680" s="3">
        <f>I1680-J1680</f>
        <v/>
      </c>
      <c r="L1680" s="3">
        <f>IF(K1680&lt;-5,"CRÍTICO",IF(K1680&lt;0,"ATENÇÃO",IF(K1680&lt;=5,"BOM","EXCELENTE")))</f>
        <v/>
      </c>
      <c r="M1680" t="n">
        <v>28</v>
      </c>
      <c r="N1680" t="n">
        <v>100</v>
      </c>
      <c r="O1680" t="n">
        <v>30.47034764826176</v>
      </c>
    </row>
    <row r="1681" hidden="1">
      <c r="A1681" s="11" t="n">
        <v>46052</v>
      </c>
      <c r="B1681" t="inlineStr">
        <is>
          <t>Lizandra Gomes Duarte</t>
        </is>
      </c>
      <c r="C1681" t="inlineStr">
        <is>
          <t>Técnico II</t>
        </is>
      </c>
      <c r="D1681" t="n">
        <v>45</v>
      </c>
      <c r="E1681" t="n">
        <v>41</v>
      </c>
      <c r="F1681" t="n">
        <v>15.44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t="n">
        <v>30</v>
      </c>
      <c r="N1681" t="n">
        <v>100</v>
      </c>
      <c r="O1681" t="n">
        <v>32.37113402061856</v>
      </c>
    </row>
    <row r="1682" hidden="1">
      <c r="A1682" s="11" t="n">
        <v>46052</v>
      </c>
      <c r="B1682" t="inlineStr">
        <is>
          <t>Lorena Dias de Araujo</t>
        </is>
      </c>
      <c r="C1682" t="inlineStr">
        <is>
          <t>Técnico II</t>
        </is>
      </c>
      <c r="D1682" t="n">
        <v>37</v>
      </c>
      <c r="E1682" t="n">
        <v>36</v>
      </c>
      <c r="F1682" t="n">
        <v>15.48</v>
      </c>
      <c r="G1682" t="n">
        <v>0</v>
      </c>
      <c r="H1682" t="n">
        <v>0</v>
      </c>
      <c r="I1682" s="3" t="n">
        <v>0</v>
      </c>
      <c r="J1682" s="3" t="n">
        <v>0</v>
      </c>
      <c r="K1682" s="3" t="n">
        <v>0</v>
      </c>
      <c r="L1682" s="3">
        <f>IF(K1682&lt;-5,"CRÍTICO",IF(K1682&lt;0,"ATENÇÃO",IF(K1682&lt;=5,"BOM","EXCELENTE")))</f>
        <v/>
      </c>
      <c r="M1682" t="n">
        <v>29</v>
      </c>
      <c r="N1682" t="n">
        <v>98.31999999999999</v>
      </c>
      <c r="O1682" t="n">
        <v>32.31850117096019</v>
      </c>
    </row>
    <row r="1683" hidden="1">
      <c r="A1683" s="11" t="n">
        <v>46052</v>
      </c>
      <c r="B1683" t="inlineStr">
        <is>
          <t>Lucas Luiz Romero</t>
        </is>
      </c>
      <c r="C1683" t="inlineStr">
        <is>
          <t>Técnico III</t>
        </is>
      </c>
      <c r="D1683" t="n">
        <v>112</v>
      </c>
      <c r="E1683" t="n">
        <v>24</v>
      </c>
      <c r="F1683" t="n">
        <v>3.32</v>
      </c>
      <c r="G1683" t="n">
        <v>0</v>
      </c>
      <c r="H1683" t="n">
        <v>0</v>
      </c>
      <c r="I1683" s="3">
        <f>E1683+G1683+H1683</f>
        <v/>
      </c>
      <c r="J1683" s="3">
        <f>ROUND(MIN(IF(C1683="Técnico III",35,IF(C1683="Técnico II",28,IF(C1683="Técnico I",23,IF(C1683="JR",20,IF(C1683="Estágio",10,0))))),IF(C1683="Técnico III",SUMIFS($D:$D,$A:$A,$A1683,$B:$B,"&lt;&gt;Patrícia Karla de Sousa Araújo",$B:$B,"&lt;&gt;Lorena Dias de Araujo",$B:$B,"&lt;&gt;Lucas Luiz Romero")*(35/1083),IF(C1683="Técnico II",SUMIFS($D:$D,$A:$A,$A1683,$B:$B,"&lt;&gt;Patrícia Karla de Sousa Araújo",$B:$B,"&lt;&gt;Lorena Dias de Araujo",$B:$B,"&lt;&gt;Lucas Luiz Romero")*(28/1083),IF(C1683="Técnico I",SUMIFS($D:$D,$A:$A,$A1683,$B:$B,"&lt;&gt;Patrícia Karla de Sousa Araújo",$B:$B,"&lt;&gt;Lorena Dias de Araujo",$B:$B,"&lt;&gt;Lucas Luiz Romero")*(23/1083),IF(C1683="JR",SUMIFS($D:$D,$A:$A,$A1683,$B:$B,"&lt;&gt;Patrícia Karla de Sousa Araújo",$B:$B,"&lt;&gt;Lorena Dias de Araujo",$B:$B,"&lt;&gt;Lucas Luiz Romero")*(20/1083),IF(C1683="Estágio",SUMIFS($D:$D,$A:$A,$A1683,$B:$B,"&lt;&gt;Patrícia Karla de Sousa Araújo",$B:$B,"&lt;&gt;Lorena Dias de Araujo",$B:$B,"&lt;&gt;Lucas Luiz Romero")*(10/1083),0)))))),0)</f>
        <v/>
      </c>
      <c r="K1683" s="3">
        <f>I1683-J1683</f>
        <v/>
      </c>
      <c r="L1683" s="3">
        <f>IF(K1683&lt;-5,"CRÍTICO",IF(K1683&lt;0,"ATENÇÃO",IF(K1683&lt;=5,"BOM","EXCELENTE")))</f>
        <v/>
      </c>
      <c r="M1683" t="n">
        <v>9</v>
      </c>
      <c r="N1683" t="n">
        <v>96.43000000000001</v>
      </c>
      <c r="O1683" t="n">
        <v>27.01525054466231</v>
      </c>
    </row>
    <row r="1684" hidden="1">
      <c r="A1684" s="11" t="n">
        <v>46052</v>
      </c>
      <c r="B1684" t="inlineStr">
        <is>
          <t>Luiz Fernando de Carvalho Junior</t>
        </is>
      </c>
      <c r="C1684" t="inlineStr">
        <is>
          <t>Técnico I</t>
        </is>
      </c>
      <c r="D1684" t="n">
        <v>20</v>
      </c>
      <c r="E1684" t="n">
        <v>20</v>
      </c>
      <c r="F1684" t="n">
        <v>26.48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M1684" t="n">
        <v>17</v>
      </c>
      <c r="N1684" t="n">
        <v>98.89</v>
      </c>
      <c r="O1684" t="n">
        <v>28.02197802197802</v>
      </c>
    </row>
    <row r="1685" hidden="1">
      <c r="A1685" s="11" t="n">
        <v>46052</v>
      </c>
      <c r="B1685" t="inlineStr">
        <is>
          <t>Maria Eduarda Sousa Costa</t>
        </is>
      </c>
      <c r="C1685" t="inlineStr">
        <is>
          <t>Estágio</t>
        </is>
      </c>
      <c r="D1685" t="n">
        <v>9</v>
      </c>
      <c r="E1685" t="n">
        <v>8</v>
      </c>
      <c r="F1685" t="n">
        <v>43.5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t="n">
        <v>7</v>
      </c>
      <c r="N1685" t="n">
        <v>100</v>
      </c>
      <c r="O1685" t="n">
        <v>33.33333333333333</v>
      </c>
    </row>
    <row r="1686" hidden="1">
      <c r="A1686" s="11" t="n">
        <v>46052</v>
      </c>
      <c r="B1686" t="inlineStr">
        <is>
          <t>Matheus Farias De Souza</t>
        </is>
      </c>
      <c r="C1686" t="inlineStr">
        <is>
          <t>Técnico III</t>
        </is>
      </c>
      <c r="D1686" t="n">
        <v>0</v>
      </c>
      <c r="E1686" t="n">
        <v>0</v>
      </c>
      <c r="F1686" t="n">
        <v>0</v>
      </c>
      <c r="G1686" t="n">
        <v>0</v>
      </c>
      <c r="H1686" t="n">
        <v>0</v>
      </c>
      <c r="I1686" s="3" t="n">
        <v>0</v>
      </c>
      <c r="J1686" s="3" t="n">
        <v>0</v>
      </c>
      <c r="K1686" s="3" t="n">
        <v>0</v>
      </c>
      <c r="L1686" s="3">
        <f>IF(K1686&lt;-5,"CRÍTICO",IF(K1686&lt;0,"ATENÇÃO",IF(K1686&lt;=5,"BOM","EXCELENTE")))</f>
        <v/>
      </c>
      <c r="M1686" t="n">
        <v>0</v>
      </c>
      <c r="N1686" t="n">
        <v>100</v>
      </c>
      <c r="O1686" t="n">
        <v>27.43362831858407</v>
      </c>
    </row>
    <row r="1687" hidden="1">
      <c r="A1687" s="11" t="n">
        <v>46052</v>
      </c>
      <c r="B1687" t="inlineStr">
        <is>
          <t>Maysa Victoria Dias Moura</t>
        </is>
      </c>
      <c r="C1687" t="inlineStr">
        <is>
          <t>Técnico III</t>
        </is>
      </c>
      <c r="D1687" t="n">
        <v>39</v>
      </c>
      <c r="E1687" t="n">
        <v>34</v>
      </c>
      <c r="F1687" t="n">
        <v>11.56</v>
      </c>
      <c r="G1687" t="n">
        <v>0</v>
      </c>
      <c r="H1687" t="n">
        <v>0</v>
      </c>
      <c r="I1687" s="3">
        <f>E1687+G1687+H1687</f>
        <v/>
      </c>
      <c r="J1687" s="3">
        <f>ROUND(MIN(IF(C1687="Técnico III",35,IF(C1687="Técnico II",28,IF(C1687="Técnico I",23,IF(C1687="JR",20,IF(C1687="Estágio",10,0))))),IF(C1687="Técnico III",SUMIFS($D:$D,$A:$A,$A1687,$B:$B,"&lt;&gt;Patrícia Karla de Sousa Araújo",$B:$B,"&lt;&gt;Lorena Dias de Araujo",$B:$B,"&lt;&gt;Lucas Luiz Romero")*(35/1083),IF(C1687="Técnico II",SUMIFS($D:$D,$A:$A,$A1687,$B:$B,"&lt;&gt;Patrícia Karla de Sousa Araújo",$B:$B,"&lt;&gt;Lorena Dias de Araujo",$B:$B,"&lt;&gt;Lucas Luiz Romero")*(28/1083),IF(C1687="Técnico I",SUMIFS($D:$D,$A:$A,$A1687,$B:$B,"&lt;&gt;Patrícia Karla de Sousa Araújo",$B:$B,"&lt;&gt;Lorena Dias de Araujo",$B:$B,"&lt;&gt;Lucas Luiz Romero")*(23/1083),IF(C1687="JR",SUMIFS($D:$D,$A:$A,$A1687,$B:$B,"&lt;&gt;Patrícia Karla de Sousa Araújo",$B:$B,"&lt;&gt;Lorena Dias de Araujo",$B:$B,"&lt;&gt;Lucas Luiz Romero")*(20/1083),IF(C1687="Estágio",SUMIFS($D:$D,$A:$A,$A1687,$B:$B,"&lt;&gt;Patrícia Karla de Sousa Araújo",$B:$B,"&lt;&gt;Lorena Dias de Araujo",$B:$B,"&lt;&gt;Lucas Luiz Romero")*(10/1083),0)))))),0)</f>
        <v/>
      </c>
      <c r="K1687" s="3">
        <f>I1687-J1687</f>
        <v/>
      </c>
      <c r="L1687" s="3">
        <f>IF(K1687&lt;-5,"CRÍTICO",IF(K1687&lt;0,"ATENÇÃO",IF(K1687&lt;=5,"BOM","EXCELENTE")))</f>
        <v/>
      </c>
      <c r="M1687" t="n">
        <v>31</v>
      </c>
      <c r="N1687" t="n">
        <v>98.65000000000001</v>
      </c>
      <c r="O1687" t="n">
        <v>30.97826086956522</v>
      </c>
    </row>
    <row r="1688" hidden="1">
      <c r="A1688" s="11" t="n">
        <v>46052</v>
      </c>
      <c r="B1688" t="inlineStr">
        <is>
          <t>Michelle G Santos</t>
        </is>
      </c>
      <c r="C1688" t="inlineStr">
        <is>
          <t>Estágio</t>
        </is>
      </c>
      <c r="D1688" t="n">
        <v>3</v>
      </c>
      <c r="E1688" t="n">
        <v>3</v>
      </c>
      <c r="F1688" t="n">
        <v>176.58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t="n">
        <v>2</v>
      </c>
      <c r="N1688" t="n">
        <v>100</v>
      </c>
      <c r="O1688" t="n">
        <v>12</v>
      </c>
    </row>
    <row r="1689" hidden="1">
      <c r="A1689" s="11" t="n">
        <v>46052</v>
      </c>
      <c r="B1689" t="inlineStr">
        <is>
          <t>Milena Sales</t>
        </is>
      </c>
      <c r="C1689" t="inlineStr">
        <is>
          <t>JR</t>
        </is>
      </c>
      <c r="D1689" t="n">
        <v>0</v>
      </c>
      <c r="E1689" t="n">
        <v>0</v>
      </c>
      <c r="F1689" t="n">
        <v>0</v>
      </c>
      <c r="G1689" t="n">
        <v>0</v>
      </c>
      <c r="H1689" t="n">
        <v>0</v>
      </c>
      <c r="I1689" s="3" t="n">
        <v>0</v>
      </c>
      <c r="J1689" s="3" t="n">
        <v>0</v>
      </c>
      <c r="K1689" s="3" t="n">
        <v>0</v>
      </c>
      <c r="L1689" s="3">
        <f>IF(K1689&lt;-5,"CRÍTICO",IF(K1689&lt;0,"ATENÇÃO",IF(K1689&lt;=5,"BOM","EXCELENTE")))</f>
        <v/>
      </c>
      <c r="M1689" t="n">
        <v>0</v>
      </c>
      <c r="N1689" t="n">
        <v>0</v>
      </c>
      <c r="O1689" t="n">
        <v>0</v>
      </c>
    </row>
    <row r="1690" hidden="1">
      <c r="A1690" s="11" t="n">
        <v>46052</v>
      </c>
      <c r="B1690" t="inlineStr">
        <is>
          <t>Patrícia Karla de Sousa Araújo</t>
        </is>
      </c>
      <c r="C1690" t="inlineStr">
        <is>
          <t>Técnico II</t>
        </is>
      </c>
      <c r="D1690" t="n">
        <v>27</v>
      </c>
      <c r="E1690" t="n">
        <v>25</v>
      </c>
      <c r="F1690" t="n">
        <v>20.23</v>
      </c>
      <c r="G1690" t="n">
        <v>0</v>
      </c>
      <c r="H1690" t="n">
        <v>0</v>
      </c>
      <c r="I1690" s="3">
        <f>E1690+G1690+H1690</f>
        <v/>
      </c>
      <c r="J1690" s="3">
        <f>ROUND(MIN(IF(C1690="Técnico III",35,IF(C1690="Técnico II",28,IF(C1690="Técnico I",23,IF(C1690="JR",20,IF(C1690="Estágio",10,0))))),IF(C1690="Técnico III",SUMIFS($D:$D,$A:$A,$A1690,$B:$B,"&lt;&gt;Patrícia Karla de Sousa Araújo",$B:$B,"&lt;&gt;Lorena Dias de Araujo",$B:$B,"&lt;&gt;Lucas Luiz Romero")*(35/1083),IF(C1690="Técnico II",SUMIFS($D:$D,$A:$A,$A1690,$B:$B,"&lt;&gt;Patrícia Karla de Sousa Araújo",$B:$B,"&lt;&gt;Lorena Dias de Araujo",$B:$B,"&lt;&gt;Lucas Luiz Romero")*(28/1083),IF(C1690="Técnico I",SUMIFS($D:$D,$A:$A,$A1690,$B:$B,"&lt;&gt;Patrícia Karla de Sousa Araújo",$B:$B,"&lt;&gt;Lorena Dias de Araujo",$B:$B,"&lt;&gt;Lucas Luiz Romero")*(23/1083),IF(C1690="JR",SUMIFS($D:$D,$A:$A,$A1690,$B:$B,"&lt;&gt;Patrícia Karla de Sousa Araújo",$B:$B,"&lt;&gt;Lorena Dias de Araujo",$B:$B,"&lt;&gt;Lucas Luiz Romero")*(20/1083),IF(C1690="Estágio",SUMIFS($D:$D,$A:$A,$A1690,$B:$B,"&lt;&gt;Patrícia Karla de Sousa Araújo",$B:$B,"&lt;&gt;Lorena Dias de Araujo",$B:$B,"&lt;&gt;Lucas Luiz Romero")*(10/1083),0)))))),0)</f>
        <v/>
      </c>
      <c r="K1690" s="3">
        <f>I1690-J1690</f>
        <v/>
      </c>
      <c r="L1690" s="3">
        <f>IF(K1690&lt;-5,"CRÍTICO",IF(K1690&lt;0,"ATENÇÃO",IF(K1690&lt;=5,"BOM","EXCELENTE")))</f>
        <v/>
      </c>
      <c r="M1690" t="n">
        <v>25</v>
      </c>
      <c r="N1690" t="n">
        <v>97.56</v>
      </c>
      <c r="O1690" t="n">
        <v>31.06796116504854</v>
      </c>
    </row>
    <row r="1691" hidden="1">
      <c r="A1691" s="11" t="n">
        <v>46052</v>
      </c>
      <c r="B1691" t="inlineStr">
        <is>
          <t>Paulo Ricardo Santos</t>
        </is>
      </c>
      <c r="C1691" t="inlineStr">
        <is>
          <t>JR</t>
        </is>
      </c>
      <c r="D1691" t="n">
        <v>0</v>
      </c>
      <c r="E1691" t="n">
        <v>0</v>
      </c>
      <c r="F1691" t="n">
        <v>0</v>
      </c>
      <c r="G1691" t="n">
        <v>0</v>
      </c>
      <c r="H1691" t="n">
        <v>0</v>
      </c>
      <c r="I1691" s="3" t="n">
        <v>0</v>
      </c>
      <c r="J1691" s="3" t="n">
        <v>0</v>
      </c>
      <c r="K1691" s="3" t="n">
        <v>0</v>
      </c>
      <c r="L1691" s="3">
        <f>IF(K1691&lt;-5,"CRÍTICO",IF(K1691&lt;0,"ATENÇÃO",IF(K1691&lt;=5,"BOM","EXCELENTE")))</f>
        <v/>
      </c>
      <c r="M1691" t="n">
        <v>0</v>
      </c>
      <c r="N1691" t="n">
        <v>0</v>
      </c>
      <c r="O1691" t="n">
        <v>0</v>
      </c>
    </row>
    <row r="1692" hidden="1">
      <c r="A1692" s="11" t="n">
        <v>46052</v>
      </c>
      <c r="B1692" t="inlineStr">
        <is>
          <t>Pedro Luiz Mota Sousa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M1692" t="n">
        <v>0</v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Quirino Diogo Leite Torres</t>
        </is>
      </c>
      <c r="C1693" t="inlineStr">
        <is>
          <t>Estágio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M1693" t="n">
        <v>0</v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Raane Batista Matos</t>
        </is>
      </c>
      <c r="C1694" t="inlineStr">
        <is>
          <t>Técnico I</t>
        </is>
      </c>
      <c r="D1694" t="n">
        <v>8</v>
      </c>
      <c r="E1694" t="n">
        <v>8</v>
      </c>
      <c r="F1694" t="n">
        <v>59.11</v>
      </c>
      <c r="G1694" t="n">
        <v>0</v>
      </c>
      <c r="H1694" t="n">
        <v>0</v>
      </c>
      <c r="I1694" s="3">
        <f>E1694+G1694+H1694</f>
        <v/>
      </c>
      <c r="J1694" s="3">
        <f>ROUND(MIN(IF(C1694="Técnico III",35,IF(C1694="Técnico II",28,IF(C1694="Técnico I",23,IF(C1694="JR",20,IF(C1694="Estágio",10,0))))),IF(C1694="Técnico III",SUMIFS($D:$D,$A:$A,$A1694,$B:$B,"&lt;&gt;Patrícia Karla de Sousa Araújo",$B:$B,"&lt;&gt;Lorena Dias de Araujo",$B:$B,"&lt;&gt;Lucas Luiz Romero")*(35/1083),IF(C1694="Técnico II",SUMIFS($D:$D,$A:$A,$A1694,$B:$B,"&lt;&gt;Patrícia Karla de Sousa Araújo",$B:$B,"&lt;&gt;Lorena Dias de Araujo",$B:$B,"&lt;&gt;Lucas Luiz Romero")*(28/1083),IF(C1694="Técnico I",SUMIFS($D:$D,$A:$A,$A1694,$B:$B,"&lt;&gt;Patrícia Karla de Sousa Araújo",$B:$B,"&lt;&gt;Lorena Dias de Araujo",$B:$B,"&lt;&gt;Lucas Luiz Romero")*(23/1083),IF(C1694="JR",SUMIFS($D:$D,$A:$A,$A1694,$B:$B,"&lt;&gt;Patrícia Karla de Sousa Araújo",$B:$B,"&lt;&gt;Lorena Dias de Araujo",$B:$B,"&lt;&gt;Lucas Luiz Romero")*(20/1083),IF(C1694="Estágio",SUMIFS($D:$D,$A:$A,$A1694,$B:$B,"&lt;&gt;Patrícia Karla de Sousa Araújo",$B:$B,"&lt;&gt;Lorena Dias de Araujo",$B:$B,"&lt;&gt;Lucas Luiz Romero")*(10/1083),0)))))),0)</f>
        <v/>
      </c>
      <c r="K1694" s="3">
        <f>I1694-J1694</f>
        <v/>
      </c>
      <c r="L1694" s="3">
        <f>IF(K1694&lt;-5,"CRÍTICO",IF(K1694&lt;0,"ATENÇÃO",IF(K1694&lt;=5,"BOM","EXCELENTE")))</f>
        <v/>
      </c>
      <c r="M1694" t="n">
        <v>5</v>
      </c>
      <c r="N1694" t="n">
        <v>100</v>
      </c>
      <c r="O1694" t="n">
        <v>53.84615384615385</v>
      </c>
    </row>
    <row r="1695" hidden="1">
      <c r="A1695" s="11" t="n">
        <v>46052</v>
      </c>
      <c r="B1695" t="inlineStr">
        <is>
          <t>Rafael Gomes de Morais</t>
        </is>
      </c>
      <c r="C1695" t="inlineStr">
        <is>
          <t>Técnico III</t>
        </is>
      </c>
      <c r="D1695" t="n">
        <v>28</v>
      </c>
      <c r="E1695" t="n">
        <v>28</v>
      </c>
      <c r="F1695" t="n">
        <v>15.44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t="n">
        <v>29</v>
      </c>
      <c r="N1695" t="n">
        <v>100</v>
      </c>
      <c r="O1695" t="n">
        <v>44.05594405594406</v>
      </c>
    </row>
    <row r="1696" hidden="1">
      <c r="A1696" s="11" t="n">
        <v>46052</v>
      </c>
      <c r="B1696" t="inlineStr">
        <is>
          <t>Sara Maria Monteiro Lopes</t>
        </is>
      </c>
      <c r="C1696" t="inlineStr">
        <is>
          <t>Técnico I</t>
        </is>
      </c>
      <c r="D1696" t="n">
        <v>14</v>
      </c>
      <c r="E1696" t="n">
        <v>14</v>
      </c>
      <c r="F1696" t="n">
        <v>29.08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t="n">
        <v>15</v>
      </c>
      <c r="N1696" t="n">
        <v>100</v>
      </c>
      <c r="O1696" t="n">
        <v>31.87250996015936</v>
      </c>
    </row>
    <row r="1697" hidden="1">
      <c r="A1697" s="11" t="n">
        <v>46052</v>
      </c>
      <c r="B1697" t="inlineStr">
        <is>
          <t>Sarah Steffanie de Lima Borges</t>
        </is>
      </c>
      <c r="C1697" t="inlineStr">
        <is>
          <t>Técnico III</t>
        </is>
      </c>
      <c r="D1697" t="n">
        <v>37</v>
      </c>
      <c r="E1697" t="n">
        <v>36</v>
      </c>
      <c r="F1697" t="n">
        <v>12.14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M1697" t="n">
        <v>29</v>
      </c>
      <c r="N1697" t="n">
        <v>98.41</v>
      </c>
      <c r="O1697" t="n">
        <v>29.22465208747515</v>
      </c>
    </row>
    <row r="1698" hidden="1">
      <c r="A1698" s="11" t="n">
        <v>46055</v>
      </c>
      <c r="B1698" t="inlineStr">
        <is>
          <t>Alisson de Freitas Silva</t>
        </is>
      </c>
      <c r="C1698" t="inlineStr">
        <is>
          <t>Técnico II</t>
        </is>
      </c>
      <c r="D1698" t="n">
        <v>50</v>
      </c>
      <c r="E1698" t="n">
        <v>43</v>
      </c>
      <c r="F1698" t="n">
        <v>12.21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t="n">
        <v>40</v>
      </c>
      <c r="N1698" t="n">
        <v>98.31999999999999</v>
      </c>
      <c r="O1698" t="n">
        <v>30.3030303030303</v>
      </c>
    </row>
    <row r="1699" hidden="1">
      <c r="A1699" s="11" t="n">
        <v>46055</v>
      </c>
      <c r="B1699" t="inlineStr">
        <is>
          <t>Amanda Moura Ferreira</t>
        </is>
      </c>
      <c r="C1699" t="inlineStr">
        <is>
          <t>Técnico III</t>
        </is>
      </c>
      <c r="D1699" t="n">
        <v>0</v>
      </c>
      <c r="E1699" t="n">
        <v>0</v>
      </c>
      <c r="F1699" t="n">
        <v>0</v>
      </c>
      <c r="G1699" t="n">
        <v>0</v>
      </c>
      <c r="H1699" t="n">
        <v>0</v>
      </c>
      <c r="I1699" s="3" t="n">
        <v>0</v>
      </c>
      <c r="J1699" s="3" t="n">
        <v>0</v>
      </c>
      <c r="K1699" s="3" t="n">
        <v>0</v>
      </c>
      <c r="L1699" s="3">
        <f>IF(K1699&lt;-5,"CRÍTICO",IF(K1699&lt;0,"ATENÇÃO",IF(K1699&lt;=5,"BOM","EXCELENTE")))</f>
        <v/>
      </c>
      <c r="M1699" t="n">
        <v>30</v>
      </c>
      <c r="N1699" t="n">
        <v>98.68000000000001</v>
      </c>
      <c r="O1699" t="n">
        <v>26.21951219512195</v>
      </c>
    </row>
    <row r="1700" hidden="1">
      <c r="A1700" s="11" t="n">
        <v>46055</v>
      </c>
      <c r="B1700" t="inlineStr">
        <is>
          <t>Ana Karollyne Souza Faria</t>
        </is>
      </c>
      <c r="C1700" t="inlineStr">
        <is>
          <t>Técnico I</t>
        </is>
      </c>
      <c r="D1700" t="n">
        <v>29</v>
      </c>
      <c r="E1700" t="n">
        <v>27</v>
      </c>
      <c r="F1700" t="n">
        <v>24.08</v>
      </c>
      <c r="G1700" t="n">
        <v>0</v>
      </c>
      <c r="H1700" t="n">
        <v>0</v>
      </c>
      <c r="I1700" s="3">
        <f>E1700+G1700+H1700</f>
        <v/>
      </c>
      <c r="J1700" s="3">
        <f>ROUND(MIN(IF(C1700="Técnico III",35,IF(C1700="Técnico II",28,IF(C1700="Técnico I",23,IF(C1700="JR",20,IF(C1700="Estágio",10,0))))),IF(C1700="Técnico III",SUMIFS($D:$D,$A:$A,$A1700,$B:$B,"&lt;&gt;Patrícia Karla de Sousa Araújo",$B:$B,"&lt;&gt;Lorena Dias de Araujo",$B:$B,"&lt;&gt;Lucas Luiz Romero")*(35/1083),IF(C1700="Técnico II",SUMIFS($D:$D,$A:$A,$A1700,$B:$B,"&lt;&gt;Patrícia Karla de Sousa Araújo",$B:$B,"&lt;&gt;Lorena Dias de Araujo",$B:$B,"&lt;&gt;Lucas Luiz Romero")*(28/1083),IF(C1700="Técnico I",SUMIFS($D:$D,$A:$A,$A1700,$B:$B,"&lt;&gt;Patrícia Karla de Sousa Araújo",$B:$B,"&lt;&gt;Lorena Dias de Araujo",$B:$B,"&lt;&gt;Lucas Luiz Romero")*(23/1083),IF(C1700="JR",SUMIFS($D:$D,$A:$A,$A1700,$B:$B,"&lt;&gt;Patrícia Karla de Sousa Araújo",$B:$B,"&lt;&gt;Lorena Dias de Araujo",$B:$B,"&lt;&gt;Lucas Luiz Romero")*(20/1083),IF(C1700="Estágio",SUMIFS($D:$D,$A:$A,$A1700,$B:$B,"&lt;&gt;Patrícia Karla de Sousa Araújo",$B:$B,"&lt;&gt;Lorena Dias de Araujo",$B:$B,"&lt;&gt;Lucas Luiz Romero")*(10/1083),0)))))),0)</f>
        <v/>
      </c>
      <c r="K1700" s="3">
        <f>I1700-J1700</f>
        <v/>
      </c>
      <c r="L1700" s="3">
        <f>IF(K1700&lt;-5,"CRÍTICO",IF(K1700&lt;0,"ATENÇÃO",IF(K1700&lt;=5,"BOM","EXCELENTE")))</f>
        <v/>
      </c>
      <c r="M1700" t="n">
        <v>28</v>
      </c>
      <c r="N1700" t="n">
        <v>100</v>
      </c>
      <c r="O1700" t="n">
        <v>31.74224343675418</v>
      </c>
    </row>
    <row r="1701" hidden="1">
      <c r="A1701" s="11" t="n">
        <v>46055</v>
      </c>
      <c r="B1701" t="inlineStr">
        <is>
          <t>Ana Paula Da Luz Silva Aleixo</t>
        </is>
      </c>
      <c r="C1701" t="inlineStr">
        <is>
          <t>Técnico III</t>
        </is>
      </c>
      <c r="D1701" t="n">
        <v>25</v>
      </c>
      <c r="E1701" t="n">
        <v>24</v>
      </c>
      <c r="F1701" t="n">
        <v>20.55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t="n">
        <v>23</v>
      </c>
      <c r="N1701" t="n">
        <v>98.25</v>
      </c>
      <c r="O1701" t="n">
        <v>25.83518930957684</v>
      </c>
    </row>
    <row r="1702" hidden="1">
      <c r="A1702" s="11" t="n">
        <v>46055</v>
      </c>
      <c r="B1702" t="inlineStr">
        <is>
          <t>Anna Luiza Rezende Tavares</t>
        </is>
      </c>
      <c r="C1702" t="inlineStr">
        <is>
          <t>Estágio</t>
        </is>
      </c>
      <c r="D1702" t="n">
        <v>0</v>
      </c>
      <c r="E1702" t="n">
        <v>0</v>
      </c>
      <c r="F1702" t="n">
        <v>0</v>
      </c>
      <c r="G1702" t="n">
        <v>0</v>
      </c>
      <c r="H1702" t="n">
        <v>0</v>
      </c>
      <c r="I1702" s="3" t="n">
        <v>0</v>
      </c>
      <c r="J1702" s="3" t="n">
        <v>0</v>
      </c>
      <c r="K1702" s="3" t="n">
        <v>0</v>
      </c>
      <c r="L1702" s="3">
        <f>IF(K1702&lt;-5,"CRÍTICO",IF(K1702&lt;0,"ATENÇÃO",IF(K1702&lt;=5,"BOM","EXCELENTE")))</f>
        <v/>
      </c>
      <c r="M1702" t="n">
        <v>0</v>
      </c>
      <c r="N1702" t="n">
        <v>97.5</v>
      </c>
      <c r="O1702" t="n">
        <v>30.07518796992481</v>
      </c>
    </row>
    <row r="1703" hidden="1">
      <c r="A1703" s="11" t="n">
        <v>46055</v>
      </c>
      <c r="B1703" t="inlineStr">
        <is>
          <t>Brenda de Menezes Silva</t>
        </is>
      </c>
      <c r="C1703" t="inlineStr">
        <is>
          <t>Técnico II</t>
        </is>
      </c>
      <c r="D1703" t="n">
        <v>32</v>
      </c>
      <c r="E1703" t="n">
        <v>30</v>
      </c>
      <c r="F1703" t="n">
        <v>12.35</v>
      </c>
      <c r="G1703" t="n">
        <v>0</v>
      </c>
      <c r="H1703" t="n">
        <v>0</v>
      </c>
      <c r="I1703" s="3">
        <f>E1703+G1703+H1703</f>
        <v/>
      </c>
      <c r="J1703" s="3">
        <f>ROUND(MIN(IF(C1703="Técnico III",35,IF(C1703="Técnico II",28,IF(C1703="Técnico I",23,IF(C1703="JR",20,IF(C1703="Estágio",10,0))))),IF(C1703="Técnico III",SUMIFS($D:$D,$A:$A,$A1703,$B:$B,"&lt;&gt;Patrícia Karla de Sousa Araújo",$B:$B,"&lt;&gt;Lorena Dias de Araujo",$B:$B,"&lt;&gt;Lucas Luiz Romero")*(35/1083),IF(C1703="Técnico II",SUMIFS($D:$D,$A:$A,$A1703,$B:$B,"&lt;&gt;Patrícia Karla de Sousa Araújo",$B:$B,"&lt;&gt;Lorena Dias de Araujo",$B:$B,"&lt;&gt;Lucas Luiz Romero")*(28/1083),IF(C1703="Técnico I",SUMIFS($D:$D,$A:$A,$A1703,$B:$B,"&lt;&gt;Patrícia Karla de Sousa Araújo",$B:$B,"&lt;&gt;Lorena Dias de Araujo",$B:$B,"&lt;&gt;Lucas Luiz Romero")*(23/1083),IF(C1703="JR",SUMIFS($D:$D,$A:$A,$A1703,$B:$B,"&lt;&gt;Patrícia Karla de Sousa Araújo",$B:$B,"&lt;&gt;Lorena Dias de Araujo",$B:$B,"&lt;&gt;Lucas Luiz Romero")*(20/1083),IF(C1703="Estágio",SUMIFS($D:$D,$A:$A,$A1703,$B:$B,"&lt;&gt;Patrícia Karla de Sousa Araújo",$B:$B,"&lt;&gt;Lorena Dias de Araujo",$B:$B,"&lt;&gt;Lucas Luiz Romero")*(10/1083),0)))))),0)</f>
        <v/>
      </c>
      <c r="K1703" s="3">
        <f>I1703-J1703</f>
        <v/>
      </c>
      <c r="L1703" s="3">
        <f>IF(K1703&lt;-5,"CRÍTICO",IF(K1703&lt;0,"ATENÇÃO",IF(K1703&lt;=5,"BOM","EXCELENTE")))</f>
        <v/>
      </c>
      <c r="M1703" t="n">
        <v>30</v>
      </c>
      <c r="N1703" t="n">
        <v>100</v>
      </c>
      <c r="O1703" t="n">
        <v>29.71311475409836</v>
      </c>
    </row>
    <row r="1704" hidden="1">
      <c r="A1704" s="11" t="n">
        <v>46055</v>
      </c>
      <c r="B1704" t="inlineStr">
        <is>
          <t>Carlos Mateus Cassimiro Nunes</t>
        </is>
      </c>
      <c r="C1704" t="inlineStr">
        <is>
          <t>Técnico II</t>
        </is>
      </c>
      <c r="D1704" t="n">
        <v>21</v>
      </c>
      <c r="E1704" t="n">
        <v>19</v>
      </c>
      <c r="F1704" t="n">
        <v>31.46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t="n">
        <v>18</v>
      </c>
      <c r="N1704" t="n">
        <v>99.22</v>
      </c>
      <c r="O1704" t="n">
        <v>35.25641025641026</v>
      </c>
    </row>
    <row r="1705" hidden="1">
      <c r="A1705" s="11" t="n">
        <v>46055</v>
      </c>
      <c r="B1705" t="inlineStr">
        <is>
          <t>Claudio de Sousa Velasco Filho</t>
        </is>
      </c>
      <c r="C1705" t="inlineStr">
        <is>
          <t>Estágio</t>
        </is>
      </c>
      <c r="D1705" t="n">
        <v>0</v>
      </c>
      <c r="E1705" t="n">
        <v>0</v>
      </c>
      <c r="F1705" t="n">
        <v>0</v>
      </c>
      <c r="G1705" t="n">
        <v>0</v>
      </c>
      <c r="H1705" t="n">
        <v>0</v>
      </c>
      <c r="I1705" s="3" t="n">
        <v>0</v>
      </c>
      <c r="J1705" s="3" t="n">
        <v>0</v>
      </c>
      <c r="K1705" s="3" t="n">
        <v>0</v>
      </c>
      <c r="L1705" s="3">
        <f>IF(K1705&lt;-5,"CRÍTICO",IF(K1705&lt;0,"ATENÇÃO",IF(K1705&lt;=5,"BOM","EXCELENTE")))</f>
        <v/>
      </c>
      <c r="M1705" t="n">
        <v>0</v>
      </c>
      <c r="N1705" t="n">
        <v>0</v>
      </c>
      <c r="O1705" t="n">
        <v>0</v>
      </c>
    </row>
    <row r="1706" hidden="1">
      <c r="A1706" s="11" t="n">
        <v>46055</v>
      </c>
      <c r="B1706" t="inlineStr">
        <is>
          <t>Clessiane Pereira dos Santos</t>
        </is>
      </c>
      <c r="C1706" t="inlineStr">
        <is>
          <t>Técnico I</t>
        </is>
      </c>
      <c r="D1706" t="n">
        <v>1</v>
      </c>
      <c r="E1706" t="n">
        <v>1</v>
      </c>
      <c r="F1706" t="n">
        <v>22.31</v>
      </c>
      <c r="G1706" t="n">
        <v>0</v>
      </c>
      <c r="H1706" t="n">
        <v>0</v>
      </c>
      <c r="I1706" s="3">
        <f>E1706+G1706+H1706</f>
        <v/>
      </c>
      <c r="J1706" s="3">
        <f>ROUND(MIN(IF(C1706="Técnico III",35,IF(C1706="Técnico II",28,IF(C1706="Técnico I",23,IF(C1706="JR",20,IF(C1706="Estágio",10,0))))),IF(C1706="Técnico III",SUMIFS($D:$D,$A:$A,$A1706,$B:$B,"&lt;&gt;Patrícia Karla de Sousa Araújo",$B:$B,"&lt;&gt;Lorena Dias de Araujo",$B:$B,"&lt;&gt;Lucas Luiz Romero")*(35/1083),IF(C1706="Técnico II",SUMIFS($D:$D,$A:$A,$A1706,$B:$B,"&lt;&gt;Patrícia Karla de Sousa Araújo",$B:$B,"&lt;&gt;Lorena Dias de Araujo",$B:$B,"&lt;&gt;Lucas Luiz Romero")*(28/1083),IF(C1706="Técnico I",SUMIFS($D:$D,$A:$A,$A1706,$B:$B,"&lt;&gt;Patrícia Karla de Sousa Araújo",$B:$B,"&lt;&gt;Lorena Dias de Araujo",$B:$B,"&lt;&gt;Lucas Luiz Romero")*(23/1083),IF(C1706="JR",SUMIFS($D:$D,$A:$A,$A1706,$B:$B,"&lt;&gt;Patrícia Karla de Sousa Araújo",$B:$B,"&lt;&gt;Lorena Dias de Araujo",$B:$B,"&lt;&gt;Lucas Luiz Romero")*(20/1083),IF(C1706="Estágio",SUMIFS($D:$D,$A:$A,$A1706,$B:$B,"&lt;&gt;Patrícia Karla de Sousa Araújo",$B:$B,"&lt;&gt;Lorena Dias de Araujo",$B:$B,"&lt;&gt;Lucas Luiz Romero")*(10/1083),0)))))),0)</f>
        <v/>
      </c>
      <c r="K1706" s="3">
        <f>I1706-J1706</f>
        <v/>
      </c>
      <c r="L1706" s="3">
        <f>IF(K1706&lt;-5,"CRÍTICO",IF(K1706&lt;0,"ATENÇÃO",IF(K1706&lt;=5,"BOM","EXCELENTE")))</f>
        <v/>
      </c>
      <c r="M1706" t="n">
        <v>23</v>
      </c>
      <c r="N1706" t="n">
        <v>98.75</v>
      </c>
      <c r="O1706" t="n">
        <v>24.32432432432433</v>
      </c>
    </row>
    <row r="1707" hidden="1">
      <c r="A1707" s="11" t="n">
        <v>46055</v>
      </c>
      <c r="B1707" t="inlineStr">
        <is>
          <t>Cristiane Ramos da Silva Rocha</t>
        </is>
      </c>
      <c r="C1707" t="inlineStr">
        <is>
          <t>Técnico III</t>
        </is>
      </c>
      <c r="D1707" t="n">
        <v>46</v>
      </c>
      <c r="E1707" t="n">
        <v>42</v>
      </c>
      <c r="F1707" t="n">
        <v>10.55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t="n">
        <v>35</v>
      </c>
      <c r="N1707" t="n">
        <v>93.48</v>
      </c>
      <c r="O1707" t="n">
        <v>31.52804642166344</v>
      </c>
    </row>
    <row r="1708" hidden="1">
      <c r="A1708" s="11" t="n">
        <v>46055</v>
      </c>
      <c r="B1708" t="inlineStr">
        <is>
          <t>Damyllis Lorraine de Oliveira Gonçalves</t>
        </is>
      </c>
      <c r="C1708" t="inlineStr">
        <is>
          <t>Técnico II</t>
        </is>
      </c>
      <c r="D1708" t="n">
        <v>40</v>
      </c>
      <c r="E1708" t="n">
        <v>34</v>
      </c>
      <c r="F1708" t="n">
        <v>15.02</v>
      </c>
      <c r="G1708" t="n">
        <v>0</v>
      </c>
      <c r="H1708" t="n">
        <v>0</v>
      </c>
      <c r="I1708" s="3" t="n">
        <v>0</v>
      </c>
      <c r="J1708" s="3" t="n">
        <v>0</v>
      </c>
      <c r="K1708" s="3" t="n">
        <v>0</v>
      </c>
      <c r="L1708" s="3">
        <f>IF(K1708&lt;-5,"CRÍTICO",IF(K1708&lt;0,"ATENÇÃO",IF(K1708&lt;=5,"BOM","EXCELENTE")))</f>
        <v/>
      </c>
      <c r="M1708" t="n">
        <v>32</v>
      </c>
      <c r="N1708" t="n">
        <v>99.16</v>
      </c>
      <c r="O1708" t="n">
        <v>26.13908872901678</v>
      </c>
    </row>
    <row r="1709" hidden="1">
      <c r="A1709" s="11" t="n">
        <v>46055</v>
      </c>
      <c r="B1709" t="inlineStr">
        <is>
          <t>Daniel Gomes da Silva</t>
        </is>
      </c>
      <c r="C1709" t="inlineStr">
        <is>
          <t>Técnico I</t>
        </is>
      </c>
      <c r="D1709" t="n">
        <v>9</v>
      </c>
      <c r="E1709" t="n">
        <v>9</v>
      </c>
      <c r="F1709" t="n">
        <v>30.3</v>
      </c>
      <c r="G1709" t="n">
        <v>0</v>
      </c>
      <c r="H1709" t="n">
        <v>0</v>
      </c>
      <c r="I1709" s="3">
        <f>E1709+G1709+H1709</f>
        <v/>
      </c>
      <c r="J1709" s="3">
        <f>ROUND(MIN(IF(C1709="Técnico III",35,IF(C1709="Técnico II",28,IF(C1709="Técnico I",23,IF(C1709="JR",20,IF(C1709="Estágio",10,0))))),IF(C1709="Técnico III",SUMIFS($D:$D,$A:$A,$A1709,$B:$B,"&lt;&gt;Patrícia Karla de Sousa Araújo",$B:$B,"&lt;&gt;Lorena Dias de Araujo",$B:$B,"&lt;&gt;Lucas Luiz Romero")*(35/1083),IF(C1709="Técnico II",SUMIFS($D:$D,$A:$A,$A1709,$B:$B,"&lt;&gt;Patrícia Karla de Sousa Araújo",$B:$B,"&lt;&gt;Lorena Dias de Araujo",$B:$B,"&lt;&gt;Lucas Luiz Romero")*(28/1083),IF(C1709="Técnico I",SUMIFS($D:$D,$A:$A,$A1709,$B:$B,"&lt;&gt;Patrícia Karla de Sousa Araújo",$B:$B,"&lt;&gt;Lorena Dias de Araujo",$B:$B,"&lt;&gt;Lucas Luiz Romero")*(23/1083),IF(C1709="JR",SUMIFS($D:$D,$A:$A,$A1709,$B:$B,"&lt;&gt;Patrícia Karla de Sousa Araújo",$B:$B,"&lt;&gt;Lorena Dias de Araujo",$B:$B,"&lt;&gt;Lucas Luiz Romero")*(20/1083),IF(C1709="Estágio",SUMIFS($D:$D,$A:$A,$A1709,$B:$B,"&lt;&gt;Patrícia Karla de Sousa Araújo",$B:$B,"&lt;&gt;Lorena Dias de Araujo",$B:$B,"&lt;&gt;Lucas Luiz Romero")*(10/1083),0)))))),0)</f>
        <v/>
      </c>
      <c r="K1709" s="3">
        <f>I1709-J1709</f>
        <v/>
      </c>
      <c r="L1709" s="3">
        <f>IF(K1709&lt;-5,"CRÍTICO",IF(K1709&lt;0,"ATENÇÃO",IF(K1709&lt;=5,"BOM","EXCELENTE")))</f>
        <v/>
      </c>
      <c r="M1709" t="n">
        <v>22</v>
      </c>
      <c r="N1709" t="n">
        <v>100</v>
      </c>
      <c r="O1709" t="n">
        <v>31.08974358974359</v>
      </c>
    </row>
    <row r="1710" hidden="1">
      <c r="A1710" s="11" t="n">
        <v>46055</v>
      </c>
      <c r="B1710" t="inlineStr">
        <is>
          <t>Davylla Rodrigues Freitas Silva</t>
        </is>
      </c>
      <c r="C1710" t="inlineStr">
        <is>
          <t>Técnico III</t>
        </is>
      </c>
      <c r="D1710" t="n">
        <v>37</v>
      </c>
      <c r="E1710" t="n">
        <v>37</v>
      </c>
      <c r="F1710" t="n">
        <v>18.57</v>
      </c>
      <c r="G1710" t="n">
        <v>0</v>
      </c>
      <c r="H1710" t="n">
        <v>0</v>
      </c>
      <c r="I1710" s="3" t="n">
        <v>0</v>
      </c>
      <c r="J1710" s="3" t="n">
        <v>0</v>
      </c>
      <c r="K1710" s="3" t="n">
        <v>0</v>
      </c>
      <c r="L1710" s="3">
        <f>IF(K1710&lt;-5,"CRÍTICO",IF(K1710&lt;0,"ATENÇÃO",IF(K1710&lt;=5,"BOM","EXCELENTE")))</f>
        <v/>
      </c>
      <c r="M1710" t="n">
        <v>37</v>
      </c>
      <c r="N1710" t="n">
        <v>98.11</v>
      </c>
      <c r="O1710" t="n">
        <v>33.03370786516854</v>
      </c>
    </row>
    <row r="1711" hidden="1">
      <c r="A1711" s="11" t="n">
        <v>46055</v>
      </c>
      <c r="B1711" t="inlineStr">
        <is>
          <t>Emilly Caylane Costa</t>
        </is>
      </c>
      <c r="C1711" t="inlineStr">
        <is>
          <t>Estágio</t>
        </is>
      </c>
      <c r="D1711" t="n">
        <v>0</v>
      </c>
      <c r="E1711" t="n">
        <v>0</v>
      </c>
      <c r="F1711" t="n">
        <v>0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M1711" t="n">
        <v>0</v>
      </c>
      <c r="N1711" t="n">
        <v>78.95</v>
      </c>
      <c r="O1711" t="n">
        <v>38.98305084745763</v>
      </c>
    </row>
    <row r="1712" hidden="1">
      <c r="A1712" s="11" t="n">
        <v>46055</v>
      </c>
      <c r="B1712" t="inlineStr">
        <is>
          <t>Emilly Kamilly Medeiros Miranda</t>
        </is>
      </c>
      <c r="C1712" t="inlineStr">
        <is>
          <t>Técnico II</t>
        </is>
      </c>
      <c r="D1712" t="n">
        <v>32</v>
      </c>
      <c r="E1712" t="n">
        <v>27</v>
      </c>
      <c r="F1712" t="n">
        <v>18.42</v>
      </c>
      <c r="G1712" t="n">
        <v>0</v>
      </c>
      <c r="H1712" t="n">
        <v>0</v>
      </c>
      <c r="I1712" s="3">
        <f>E1712+G1712+H1712</f>
        <v/>
      </c>
      <c r="J1712" s="3">
        <f>ROUND(MIN(IF(C1712="Técnico III",35,IF(C1712="Técnico II",28,IF(C1712="Técnico I",23,IF(C1712="JR",20,IF(C1712="Estágio",10,0))))),IF(C1712="Técnico III",SUMIFS($D:$D,$A:$A,$A1712,$B:$B,"&lt;&gt;Patrícia Karla de Sousa Araújo",$B:$B,"&lt;&gt;Lorena Dias de Araujo",$B:$B,"&lt;&gt;Lucas Luiz Romero")*(35/1083),IF(C1712="Técnico II",SUMIFS($D:$D,$A:$A,$A1712,$B:$B,"&lt;&gt;Patrícia Karla de Sousa Araújo",$B:$B,"&lt;&gt;Lorena Dias de Araujo",$B:$B,"&lt;&gt;Lucas Luiz Romero")*(28/1083),IF(C1712="Técnico I",SUMIFS($D:$D,$A:$A,$A1712,$B:$B,"&lt;&gt;Patrícia Karla de Sousa Araújo",$B:$B,"&lt;&gt;Lorena Dias de Araujo",$B:$B,"&lt;&gt;Lucas Luiz Romero")*(23/1083),IF(C1712="JR",SUMIFS($D:$D,$A:$A,$A1712,$B:$B,"&lt;&gt;Patrícia Karla de Sousa Araújo",$B:$B,"&lt;&gt;Lorena Dias de Araujo",$B:$B,"&lt;&gt;Lucas Luiz Romero")*(20/1083),IF(C1712="Estágio",SUMIFS($D:$D,$A:$A,$A1712,$B:$B,"&lt;&gt;Patrícia Karla de Sousa Araújo",$B:$B,"&lt;&gt;Lorena Dias de Araujo",$B:$B,"&lt;&gt;Lucas Luiz Romero")*(10/1083),0)))))),0)</f>
        <v/>
      </c>
      <c r="K1712" s="3">
        <f>I1712-J1712</f>
        <v/>
      </c>
      <c r="L1712" s="3">
        <f>IF(K1712&lt;-5,"CRÍTICO",IF(K1712&lt;0,"ATENÇÃO",IF(K1712&lt;=5,"BOM","EXCELENTE")))</f>
        <v/>
      </c>
      <c r="M1712" t="n">
        <v>22</v>
      </c>
      <c r="N1712" t="n">
        <v>98.45</v>
      </c>
      <c r="O1712" t="n">
        <v>29.2817679558011</v>
      </c>
    </row>
    <row r="1713" hidden="1">
      <c r="A1713" s="11" t="n">
        <v>46055</v>
      </c>
      <c r="B1713" t="inlineStr">
        <is>
          <t>Francielson de Oliveira</t>
        </is>
      </c>
      <c r="C1713" t="inlineStr">
        <is>
          <t>Técnico III</t>
        </is>
      </c>
      <c r="D1713" t="n">
        <v>24</v>
      </c>
      <c r="E1713" t="n">
        <v>22</v>
      </c>
      <c r="F1713" t="n">
        <v>26.54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M1713" t="n">
        <v>21</v>
      </c>
      <c r="N1713" t="n">
        <v>97.84</v>
      </c>
      <c r="O1713" t="n">
        <v>26.28205128205128</v>
      </c>
    </row>
    <row r="1714" hidden="1">
      <c r="A1714" s="11" t="n">
        <v>46055</v>
      </c>
      <c r="B1714" t="inlineStr">
        <is>
          <t>Francilene Ferreira de Jesus</t>
        </is>
      </c>
      <c r="C1714" t="inlineStr">
        <is>
          <t>Técnico II</t>
        </is>
      </c>
      <c r="D1714" t="n">
        <v>30</v>
      </c>
      <c r="E1714" t="n">
        <v>29</v>
      </c>
      <c r="F1714" t="n">
        <v>22.16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t="n">
        <v>28</v>
      </c>
      <c r="N1714" t="n">
        <v>98.5</v>
      </c>
      <c r="O1714" t="n">
        <v>23.97769516728625</v>
      </c>
    </row>
    <row r="1715" hidden="1">
      <c r="A1715" s="11" t="n">
        <v>46087</v>
      </c>
      <c r="B1715" t="inlineStr">
        <is>
          <t>Gabriel Gomes de Andrade</t>
        </is>
      </c>
      <c r="C1715" t="inlineStr">
        <is>
          <t>Técnico I</t>
        </is>
      </c>
      <c r="D1715" t="n">
        <v>0</v>
      </c>
      <c r="E1715" t="n">
        <v>0</v>
      </c>
      <c r="F1715" t="n">
        <v>0</v>
      </c>
      <c r="G1715" t="n">
        <v>0</v>
      </c>
      <c r="H1715" t="n">
        <v>0</v>
      </c>
      <c r="I1715" s="3" t="n">
        <v>0</v>
      </c>
      <c r="J1715" s="3" t="n">
        <v>0</v>
      </c>
      <c r="K1715" s="3" t="n">
        <v>0</v>
      </c>
      <c r="L1715" s="3">
        <f>IF(K1715&lt;-5,"CRÍTICO",IF(K1715&lt;0,"ATENÇÃO",IF(K1715&lt;=5,"BOM","EXCELENTE")))</f>
        <v/>
      </c>
      <c r="M1715" t="n">
        <v>37</v>
      </c>
      <c r="N1715" t="n">
        <v>99.05</v>
      </c>
      <c r="O1715" t="n">
        <v>26.62192393736018</v>
      </c>
    </row>
    <row r="1716" hidden="1">
      <c r="A1716" s="11" t="n">
        <v>46055</v>
      </c>
      <c r="B1716" t="inlineStr">
        <is>
          <t>Isabella Borges de Oliveira</t>
        </is>
      </c>
      <c r="C1716" t="inlineStr">
        <is>
          <t>Técnico II</t>
        </is>
      </c>
      <c r="D1716" t="n">
        <v>38</v>
      </c>
      <c r="E1716" t="n">
        <v>35</v>
      </c>
      <c r="F1716" t="n">
        <v>20.24</v>
      </c>
      <c r="G1716" t="n">
        <v>0</v>
      </c>
      <c r="H1716" t="n">
        <v>0</v>
      </c>
      <c r="I1716" s="3">
        <f>E1716+G1716+H1716</f>
        <v/>
      </c>
      <c r="J1716" s="3">
        <f>ROUND(MIN(IF(C1716="Técnico III",35,IF(C1716="Técnico II",28,IF(C1716="Técnico I",23,IF(C1716="JR",20,IF(C1716="Estágio",10,0))))),IF(C1716="Técnico III",SUMIFS($D:$D,$A:$A,$A1716,$B:$B,"&lt;&gt;Patrícia Karla de Sousa Araújo",$B:$B,"&lt;&gt;Lorena Dias de Araujo",$B:$B,"&lt;&gt;Lucas Luiz Romero")*(35/1083),IF(C1716="Técnico II",SUMIFS($D:$D,$A:$A,$A1716,$B:$B,"&lt;&gt;Patrícia Karla de Sousa Araújo",$B:$B,"&lt;&gt;Lorena Dias de Araujo",$B:$B,"&lt;&gt;Lucas Luiz Romero")*(28/1083),IF(C1716="Técnico I",SUMIFS($D:$D,$A:$A,$A1716,$B:$B,"&lt;&gt;Patrícia Karla de Sousa Araújo",$B:$B,"&lt;&gt;Lorena Dias de Araujo",$B:$B,"&lt;&gt;Lucas Luiz Romero")*(23/1083),IF(C1716="JR",SUMIFS($D:$D,$A:$A,$A1716,$B:$B,"&lt;&gt;Patrícia Karla de Sousa Araújo",$B:$B,"&lt;&gt;Lorena Dias de Araujo",$B:$B,"&lt;&gt;Lucas Luiz Romero")*(20/1083),IF(C1716="Estágio",SUMIFS($D:$D,$A:$A,$A1716,$B:$B,"&lt;&gt;Patrícia Karla de Sousa Araújo",$B:$B,"&lt;&gt;Lorena Dias de Araujo",$B:$B,"&lt;&gt;Lucas Luiz Romero")*(10/1083),0)))))),0)</f>
        <v/>
      </c>
      <c r="K1716" s="3">
        <f>I1716-J1716</f>
        <v/>
      </c>
      <c r="L1716" s="3">
        <f>IF(K1716&lt;-5,"CRÍTICO",IF(K1716&lt;0,"ATENÇÃO",IF(K1716&lt;=5,"BOM","EXCELENTE")))</f>
        <v/>
      </c>
      <c r="M1716" t="n">
        <v>31</v>
      </c>
      <c r="N1716" t="n">
        <v>98.53</v>
      </c>
      <c r="O1716" t="n">
        <v>31.57894736842105</v>
      </c>
    </row>
    <row r="1717" hidden="1">
      <c r="A1717" s="11" t="n">
        <v>46055</v>
      </c>
      <c r="B1717" t="inlineStr">
        <is>
          <t>Janaina Lima dos Reis Urany</t>
        </is>
      </c>
      <c r="C1717" t="inlineStr">
        <is>
          <t>Técnico III</t>
        </is>
      </c>
      <c r="D1717" t="n">
        <v>56</v>
      </c>
      <c r="E1717" t="n">
        <v>51</v>
      </c>
      <c r="F1717" t="n">
        <v>12.01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t="n">
        <v>54</v>
      </c>
      <c r="N1717" t="n">
        <v>100</v>
      </c>
      <c r="O1717" t="n">
        <v>25.72214580467676</v>
      </c>
    </row>
    <row r="1718" hidden="1">
      <c r="A1718" s="11" t="n">
        <v>46055</v>
      </c>
      <c r="B1718" t="inlineStr">
        <is>
          <t>Jaqueline Evangelista da Silva Martins</t>
        </is>
      </c>
      <c r="C1718" t="inlineStr">
        <is>
          <t>Técnico III</t>
        </is>
      </c>
      <c r="D1718" t="n">
        <v>16</v>
      </c>
      <c r="E1718" t="n">
        <v>16</v>
      </c>
      <c r="F1718" t="n">
        <v>19.09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M1718" t="n">
        <v>18</v>
      </c>
      <c r="N1718" t="n">
        <v>94.64</v>
      </c>
      <c r="O1718" t="n">
        <v>27.52941176470588</v>
      </c>
    </row>
    <row r="1719" hidden="1">
      <c r="A1719" s="11" t="n">
        <v>46055</v>
      </c>
      <c r="B1719" t="inlineStr">
        <is>
          <t>Jessica Faria da Silveira</t>
        </is>
      </c>
      <c r="C1719" t="inlineStr">
        <is>
          <t>Técnico II</t>
        </is>
      </c>
      <c r="D1719" t="n">
        <v>41</v>
      </c>
      <c r="E1719" t="n">
        <v>36</v>
      </c>
      <c r="F1719" t="n">
        <v>10.32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t="n">
        <v>34</v>
      </c>
      <c r="N1719" t="n">
        <v>99.06999999999999</v>
      </c>
      <c r="O1719" t="n">
        <v>26.3768115942029</v>
      </c>
    </row>
    <row r="1720" hidden="1">
      <c r="A1720" s="11" t="n">
        <v>46055</v>
      </c>
      <c r="B1720" t="inlineStr">
        <is>
          <t>Jéssica Fé Moura</t>
        </is>
      </c>
      <c r="C1720" t="inlineStr">
        <is>
          <t>Técnico III</t>
        </is>
      </c>
      <c r="D1720" t="n">
        <v>0</v>
      </c>
      <c r="E1720" t="n">
        <v>0</v>
      </c>
      <c r="F1720" t="n">
        <v>0</v>
      </c>
      <c r="G1720" t="n">
        <v>0</v>
      </c>
      <c r="H1720" t="n">
        <v>0</v>
      </c>
      <c r="I1720" s="3" t="n">
        <v>0</v>
      </c>
      <c r="J1720" s="3" t="n">
        <v>0</v>
      </c>
      <c r="K1720" s="3" t="n">
        <v>0</v>
      </c>
      <c r="L1720" s="3">
        <f>IF(K1720&lt;-5,"CRÍTICO",IF(K1720&lt;0,"ATENÇÃO",IF(K1720&lt;=5,"BOM","EXCELENTE")))</f>
        <v/>
      </c>
      <c r="M1720" t="n">
        <v>0</v>
      </c>
      <c r="N1720" t="n">
        <v>100</v>
      </c>
      <c r="O1720" t="n">
        <v>0</v>
      </c>
    </row>
    <row r="1721" hidden="1">
      <c r="A1721" s="11" t="n">
        <v>46055</v>
      </c>
      <c r="B1721" t="inlineStr">
        <is>
          <t>Karina Gonçalves Martins</t>
        </is>
      </c>
      <c r="C1721" t="inlineStr">
        <is>
          <t>JR</t>
        </is>
      </c>
      <c r="D1721" t="n">
        <v>17</v>
      </c>
      <c r="E1721" t="n">
        <v>15</v>
      </c>
      <c r="F1721" t="n">
        <v>30.34</v>
      </c>
      <c r="G1721" t="n">
        <v>0</v>
      </c>
      <c r="H1721" t="n">
        <v>0</v>
      </c>
      <c r="I1721" s="3">
        <f>E1721+G1721+H1721</f>
        <v/>
      </c>
      <c r="J1721" s="3">
        <f>ROUND(MIN(IF(C1721="Técnico III",35,IF(C1721="Técnico II",28,IF(C1721="Técnico I",23,IF(C1721="JR",20,IF(C1721="Estágio",10,0))))),IF(C1721="Técnico III",SUMIFS($D:$D,$A:$A,$A1721,$B:$B,"&lt;&gt;Patrícia Karla de Sousa Araújo",$B:$B,"&lt;&gt;Lorena Dias de Araujo",$B:$B,"&lt;&gt;Lucas Luiz Romero")*(35/1083),IF(C1721="Técnico II",SUMIFS($D:$D,$A:$A,$A1721,$B:$B,"&lt;&gt;Patrícia Karla de Sousa Araújo",$B:$B,"&lt;&gt;Lorena Dias de Araujo",$B:$B,"&lt;&gt;Lucas Luiz Romero")*(28/1083),IF(C1721="Técnico I",SUMIFS($D:$D,$A:$A,$A1721,$B:$B,"&lt;&gt;Patrícia Karla de Sousa Araújo",$B:$B,"&lt;&gt;Lorena Dias de Araujo",$B:$B,"&lt;&gt;Lucas Luiz Romero")*(23/1083),IF(C1721="JR",SUMIFS($D:$D,$A:$A,$A1721,$B:$B,"&lt;&gt;Patrícia Karla de Sousa Araújo",$B:$B,"&lt;&gt;Lorena Dias de Araujo",$B:$B,"&lt;&gt;Lucas Luiz Romero")*(20/1083),IF(C1721="Estágio",SUMIFS($D:$D,$A:$A,$A1721,$B:$B,"&lt;&gt;Patrícia Karla de Sousa Araújo",$B:$B,"&lt;&gt;Lorena Dias de Araujo",$B:$B,"&lt;&gt;Lucas Luiz Romero")*(10/1083),0)))))),0)</f>
        <v/>
      </c>
      <c r="K1721" s="3">
        <f>I1721-J1721</f>
        <v/>
      </c>
      <c r="L1721" s="3">
        <f>IF(K1721&lt;-5,"CRÍTICO",IF(K1721&lt;0,"ATENÇÃO",IF(K1721&lt;=5,"BOM","EXCELENTE")))</f>
        <v/>
      </c>
      <c r="M1721" t="n">
        <v>13</v>
      </c>
      <c r="N1721" t="n">
        <v>98.48</v>
      </c>
      <c r="O1721" t="n">
        <v>27.85388127853881</v>
      </c>
    </row>
    <row r="1722" hidden="1">
      <c r="A1722" s="11" t="n">
        <v>46055</v>
      </c>
      <c r="B1722" t="inlineStr">
        <is>
          <t>Kerollen Cristielly de Jesus Siqueira</t>
        </is>
      </c>
      <c r="C1722" t="inlineStr">
        <is>
          <t>Técnico III</t>
        </is>
      </c>
      <c r="D1722" t="n">
        <v>30</v>
      </c>
      <c r="E1722" t="n">
        <v>30</v>
      </c>
      <c r="F1722" t="n">
        <v>24.18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t="n">
        <v>26</v>
      </c>
      <c r="N1722" t="n">
        <v>95.15000000000001</v>
      </c>
      <c r="O1722" t="n">
        <v>34.13173652694611</v>
      </c>
    </row>
    <row r="1723" hidden="1">
      <c r="A1723" s="11" t="n">
        <v>46055</v>
      </c>
      <c r="B1723" t="inlineStr">
        <is>
          <t>Leandro de Souza Silva</t>
        </is>
      </c>
      <c r="C1723" t="inlineStr">
        <is>
          <t>JR</t>
        </is>
      </c>
      <c r="D1723" t="n">
        <v>0</v>
      </c>
      <c r="E1723" t="n">
        <v>0</v>
      </c>
      <c r="F1723" t="n">
        <v>0</v>
      </c>
      <c r="G1723" t="n">
        <v>0</v>
      </c>
      <c r="H1723" t="n">
        <v>0</v>
      </c>
      <c r="I1723" s="3" t="n">
        <v>0</v>
      </c>
      <c r="J1723" s="3" t="n">
        <v>0</v>
      </c>
      <c r="K1723" s="3" t="n">
        <v>0</v>
      </c>
      <c r="L1723" s="3">
        <f>IF(K1723&lt;-5,"CRÍTICO",IF(K1723&lt;0,"ATENÇÃO",IF(K1723&lt;=5,"BOM","EXCELENTE")))</f>
        <v/>
      </c>
      <c r="M1723" t="n">
        <v>0</v>
      </c>
      <c r="N1723" t="n">
        <v>0</v>
      </c>
      <c r="O1723" t="n">
        <v>0</v>
      </c>
    </row>
    <row r="1724" hidden="1">
      <c r="A1724" s="11" t="n">
        <v>46055</v>
      </c>
      <c r="B1724" t="inlineStr">
        <is>
          <t>Leandro Oliveira de Sousa</t>
        </is>
      </c>
      <c r="C1724" t="inlineStr">
        <is>
          <t>Técnico III</t>
        </is>
      </c>
      <c r="D1724" t="n">
        <v>33</v>
      </c>
      <c r="E1724" t="n">
        <v>32</v>
      </c>
      <c r="F1724" t="n">
        <v>17.15</v>
      </c>
      <c r="G1724" t="n">
        <v>0</v>
      </c>
      <c r="H1724" t="n">
        <v>0</v>
      </c>
      <c r="I1724" s="3">
        <f>E1724+G1724+H1724</f>
        <v/>
      </c>
      <c r="J1724" s="3">
        <f>ROUND(MIN(IF(C1724="Técnico III",35,IF(C1724="Técnico II",28,IF(C1724="Técnico I",23,IF(C1724="JR",20,IF(C1724="Estágio",10,0))))),IF(C1724="Técnico III",SUMIFS($D:$D,$A:$A,$A1724,$B:$B,"&lt;&gt;Patrícia Karla de Sousa Araújo",$B:$B,"&lt;&gt;Lorena Dias de Araujo",$B:$B,"&lt;&gt;Lucas Luiz Romero")*(35/1083),IF(C1724="Técnico II",SUMIFS($D:$D,$A:$A,$A1724,$B:$B,"&lt;&gt;Patrícia Karla de Sousa Araújo",$B:$B,"&lt;&gt;Lorena Dias de Araujo",$B:$B,"&lt;&gt;Lucas Luiz Romero")*(28/1083),IF(C1724="Técnico I",SUMIFS($D:$D,$A:$A,$A1724,$B:$B,"&lt;&gt;Patrícia Karla de Sousa Araújo",$B:$B,"&lt;&gt;Lorena Dias de Araujo",$B:$B,"&lt;&gt;Lucas Luiz Romero")*(23/1083),IF(C1724="JR",SUMIFS($D:$D,$A:$A,$A1724,$B:$B,"&lt;&gt;Patrícia Karla de Sousa Araújo",$B:$B,"&lt;&gt;Lorena Dias de Araujo",$B:$B,"&lt;&gt;Lucas Luiz Romero")*(20/1083),IF(C1724="Estágio",SUMIFS($D:$D,$A:$A,$A1724,$B:$B,"&lt;&gt;Patrícia Karla de Sousa Araújo",$B:$B,"&lt;&gt;Lorena Dias de Araujo",$B:$B,"&lt;&gt;Lucas Luiz Romero")*(10/1083),0)))))),0)</f>
        <v/>
      </c>
      <c r="K1724" s="3">
        <f>I1724-J1724</f>
        <v/>
      </c>
      <c r="L1724" s="3">
        <f>IF(K1724&lt;-5,"CRÍTICO",IF(K1724&lt;0,"ATENÇÃO",IF(K1724&lt;=5,"BOM","EXCELENTE")))</f>
        <v/>
      </c>
      <c r="M1724" t="n">
        <v>28</v>
      </c>
      <c r="N1724" t="n">
        <v>99.26000000000001</v>
      </c>
      <c r="O1724" t="n">
        <v>30.84832904884319</v>
      </c>
    </row>
    <row r="1725" hidden="1">
      <c r="A1725" s="11" t="n">
        <v>46055</v>
      </c>
      <c r="B1725" t="inlineStr">
        <is>
          <t>Lizandra Gomes Duarte</t>
        </is>
      </c>
      <c r="C1725" t="inlineStr">
        <is>
          <t>Técnico II</t>
        </is>
      </c>
      <c r="D1725" t="n">
        <v>31</v>
      </c>
      <c r="E1725" t="n">
        <v>27</v>
      </c>
      <c r="F1725" t="n">
        <v>18.2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M1725" t="n">
        <v>27</v>
      </c>
      <c r="N1725" t="n">
        <v>97.48</v>
      </c>
      <c r="O1725" t="n">
        <v>27.76470588235294</v>
      </c>
    </row>
    <row r="1726" hidden="1">
      <c r="A1726" s="11" t="n">
        <v>46055</v>
      </c>
      <c r="B1726" t="inlineStr">
        <is>
          <t>Lorena Dias de Araujo</t>
        </is>
      </c>
      <c r="C1726" t="inlineStr">
        <is>
          <t>Técnico II</t>
        </is>
      </c>
      <c r="D1726" t="n">
        <v>33</v>
      </c>
      <c r="E1726" t="n">
        <v>32</v>
      </c>
      <c r="F1726" t="n">
        <v>17.01</v>
      </c>
      <c r="G1726" t="n">
        <v>0</v>
      </c>
      <c r="H1726" t="n">
        <v>0</v>
      </c>
      <c r="I1726" s="3" t="n">
        <v>0</v>
      </c>
      <c r="J1726" s="3" t="n">
        <v>0</v>
      </c>
      <c r="K1726" s="3" t="n">
        <v>0</v>
      </c>
      <c r="L1726" s="3">
        <f>IF(K1726&lt;-5,"CRÍTICO",IF(K1726&lt;0,"ATENÇÃO",IF(K1726&lt;=5,"BOM","EXCELENTE")))</f>
        <v/>
      </c>
      <c r="M1726" t="n">
        <v>32</v>
      </c>
      <c r="N1726" t="n">
        <v>99.34</v>
      </c>
      <c r="O1726" t="n">
        <v>30.04291845493562</v>
      </c>
    </row>
    <row r="1727" hidden="1">
      <c r="A1727" s="11" t="n">
        <v>46055</v>
      </c>
      <c r="B1727" t="inlineStr">
        <is>
          <t>Lucas Luiz Romero</t>
        </is>
      </c>
      <c r="C1727" t="inlineStr">
        <is>
          <t>Técnico III</t>
        </is>
      </c>
      <c r="D1727" t="n">
        <v>0</v>
      </c>
      <c r="E1727" t="n">
        <v>0</v>
      </c>
      <c r="F1727" t="n">
        <v>0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M1727" t="n">
        <v>0</v>
      </c>
      <c r="N1727" t="n">
        <v>96.3</v>
      </c>
      <c r="O1727" t="n">
        <v>24.29378531073446</v>
      </c>
    </row>
    <row r="1728" hidden="1">
      <c r="A1728" s="11" t="n">
        <v>46055</v>
      </c>
      <c r="B1728" t="inlineStr">
        <is>
          <t>Luiz Fernando de Carvalho Junior</t>
        </is>
      </c>
      <c r="C1728" t="inlineStr">
        <is>
          <t>Técnico I</t>
        </is>
      </c>
      <c r="D1728" t="n">
        <v>23</v>
      </c>
      <c r="E1728" t="n">
        <v>23</v>
      </c>
      <c r="F1728" t="n">
        <v>20.09</v>
      </c>
      <c r="G1728" t="n">
        <v>0</v>
      </c>
      <c r="H1728" t="n">
        <v>0</v>
      </c>
      <c r="I1728" s="3">
        <f>E1728+G1728+H1728</f>
        <v/>
      </c>
      <c r="J1728" s="3">
        <f>ROUND(MIN(IF(C1728="Técnico III",35,IF(C1728="Técnico II",28,IF(C1728="Técnico I",23,IF(C1728="JR",20,IF(C1728="Estágio",10,0))))),IF(C1728="Técnico III",SUMIFS($D:$D,$A:$A,$A1728,$B:$B,"&lt;&gt;Patrícia Karla de Sousa Araújo",$B:$B,"&lt;&gt;Lorena Dias de Araujo",$B:$B,"&lt;&gt;Lucas Luiz Romero")*(35/1083),IF(C1728="Técnico II",SUMIFS($D:$D,$A:$A,$A1728,$B:$B,"&lt;&gt;Patrícia Karla de Sousa Araújo",$B:$B,"&lt;&gt;Lorena Dias de Araujo",$B:$B,"&lt;&gt;Lucas Luiz Romero")*(28/1083),IF(C1728="Técnico I",SUMIFS($D:$D,$A:$A,$A1728,$B:$B,"&lt;&gt;Patrícia Karla de Sousa Araújo",$B:$B,"&lt;&gt;Lorena Dias de Araujo",$B:$B,"&lt;&gt;Lucas Luiz Romero")*(23/1083),IF(C1728="JR",SUMIFS($D:$D,$A:$A,$A1728,$B:$B,"&lt;&gt;Patrícia Karla de Sousa Araújo",$B:$B,"&lt;&gt;Lorena Dias de Araujo",$B:$B,"&lt;&gt;Lucas Luiz Romero")*(20/1083),IF(C1728="Estágio",SUMIFS($D:$D,$A:$A,$A1728,$B:$B,"&lt;&gt;Patrícia Karla de Sousa Araújo",$B:$B,"&lt;&gt;Lorena Dias de Araujo",$B:$B,"&lt;&gt;Lucas Luiz Romero")*(10/1083),0)))))),0)</f>
        <v/>
      </c>
      <c r="K1728" s="3">
        <f>I1728-J1728</f>
        <v/>
      </c>
      <c r="L1728" s="3">
        <f>IF(K1728&lt;-5,"CRÍTICO",IF(K1728&lt;0,"ATENÇÃO",IF(K1728&lt;=5,"BOM","EXCELENTE")))</f>
        <v/>
      </c>
      <c r="M1728" t="n">
        <v>22</v>
      </c>
      <c r="N1728" t="n">
        <v>100</v>
      </c>
      <c r="O1728" t="n">
        <v>26.54320987654321</v>
      </c>
    </row>
    <row r="1729" hidden="1">
      <c r="A1729" s="11" t="n">
        <v>46055</v>
      </c>
      <c r="B1729" t="inlineStr">
        <is>
          <t>Maria Eduarda Sousa Costa</t>
        </is>
      </c>
      <c r="C1729" t="inlineStr">
        <is>
          <t>Estágio</t>
        </is>
      </c>
      <c r="D1729" t="n">
        <v>9</v>
      </c>
      <c r="E1729" t="n">
        <v>8</v>
      </c>
      <c r="F1729" t="n">
        <v>39.09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t="n">
        <v>7</v>
      </c>
      <c r="N1729" t="n">
        <v>100</v>
      </c>
      <c r="O1729" t="n">
        <v>35.48387096774194</v>
      </c>
    </row>
    <row r="1730" hidden="1">
      <c r="A1730" s="11" t="n">
        <v>46055</v>
      </c>
      <c r="B1730" t="inlineStr">
        <is>
          <t>Matheus Farias De Souza</t>
        </is>
      </c>
      <c r="C1730" t="inlineStr">
        <is>
          <t>Técnico III</t>
        </is>
      </c>
      <c r="D1730" t="n">
        <v>35</v>
      </c>
      <c r="E1730" t="n">
        <v>35</v>
      </c>
      <c r="F1730" t="n">
        <v>12.06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t="n">
        <v>33</v>
      </c>
      <c r="N1730" t="n">
        <v>99.27</v>
      </c>
      <c r="O1730" t="n">
        <v>31.16370808678501</v>
      </c>
    </row>
    <row r="1731" hidden="1">
      <c r="A1731" s="11" t="n">
        <v>46055</v>
      </c>
      <c r="B1731" t="inlineStr">
        <is>
          <t>Maysa Victoria Dias Moura</t>
        </is>
      </c>
      <c r="C1731" t="inlineStr">
        <is>
          <t>Técnico III</t>
        </is>
      </c>
      <c r="D1731" t="n">
        <v>46</v>
      </c>
      <c r="E1731" t="n">
        <v>37</v>
      </c>
      <c r="F1731" t="n">
        <v>13.29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M1731" t="n">
        <v>38</v>
      </c>
      <c r="N1731" t="n">
        <v>94.16</v>
      </c>
      <c r="O1731" t="n">
        <v>27.03862660944206</v>
      </c>
    </row>
    <row r="1732" hidden="1">
      <c r="A1732" s="11" t="n">
        <v>46055</v>
      </c>
      <c r="B1732" t="inlineStr">
        <is>
          <t>Michelle G Santos</t>
        </is>
      </c>
      <c r="C1732" t="inlineStr">
        <is>
          <t>Estágio</t>
        </is>
      </c>
      <c r="D1732" t="n">
        <v>9</v>
      </c>
      <c r="E1732" t="n">
        <v>9</v>
      </c>
      <c r="F1732" t="n">
        <v>49.04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t="n">
        <v>1</v>
      </c>
      <c r="N1732" t="n">
        <v>93.75</v>
      </c>
      <c r="O1732" t="n">
        <v>19.31818181818182</v>
      </c>
    </row>
    <row r="1733" hidden="1">
      <c r="A1733" s="11" t="n">
        <v>46055</v>
      </c>
      <c r="B1733" t="inlineStr">
        <is>
          <t>Milena Sales</t>
        </is>
      </c>
      <c r="C1733" t="inlineStr">
        <is>
          <t>JR</t>
        </is>
      </c>
      <c r="D1733" t="n">
        <v>0</v>
      </c>
      <c r="E1733" t="n">
        <v>0</v>
      </c>
      <c r="F1733" t="n">
        <v>0</v>
      </c>
      <c r="G1733" t="n">
        <v>0</v>
      </c>
      <c r="H1733" t="n">
        <v>0</v>
      </c>
      <c r="I1733" s="3" t="n">
        <v>0</v>
      </c>
      <c r="J1733" s="3" t="n">
        <v>0</v>
      </c>
      <c r="K1733" s="3" t="n">
        <v>0</v>
      </c>
      <c r="L1733" s="3">
        <f>IF(K1733&lt;-5,"CRÍTICO",IF(K1733&lt;0,"ATENÇÃO",IF(K1733&lt;=5,"BOM","EXCELENTE")))</f>
        <v/>
      </c>
      <c r="M1733" t="n">
        <v>0</v>
      </c>
      <c r="N1733" t="n">
        <v>0</v>
      </c>
      <c r="O1733" t="n">
        <v>0</v>
      </c>
    </row>
    <row r="1734" hidden="1">
      <c r="A1734" s="11" t="n">
        <v>46055</v>
      </c>
      <c r="B1734" t="inlineStr">
        <is>
          <t>Patrícia Karla de Sousa Araújo</t>
        </is>
      </c>
      <c r="C1734" t="inlineStr">
        <is>
          <t>Técnico II</t>
        </is>
      </c>
      <c r="D1734" t="n">
        <v>33</v>
      </c>
      <c r="E1734" t="n">
        <v>31</v>
      </c>
      <c r="F1734" t="n">
        <v>22.32</v>
      </c>
      <c r="G1734" t="n">
        <v>0</v>
      </c>
      <c r="H1734" t="n">
        <v>0</v>
      </c>
      <c r="I1734" s="3">
        <f>E1734+G1734+H1734</f>
        <v/>
      </c>
      <c r="J1734" s="3">
        <f>ROUND(MIN(IF(C1734="Técnico III",35,IF(C1734="Técnico II",28,IF(C1734="Técnico I",23,IF(C1734="JR",20,IF(C1734="Estágio",10,0))))),IF(C1734="Técnico III",SUMIFS($D:$D,$A:$A,$A1734,$B:$B,"&lt;&gt;Patrícia Karla de Sousa Araújo",$B:$B,"&lt;&gt;Lorena Dias de Araujo",$B:$B,"&lt;&gt;Lucas Luiz Romero")*(35/1083),IF(C1734="Técnico II",SUMIFS($D:$D,$A:$A,$A1734,$B:$B,"&lt;&gt;Patrícia Karla de Sousa Araújo",$B:$B,"&lt;&gt;Lorena Dias de Araujo",$B:$B,"&lt;&gt;Lucas Luiz Romero")*(28/1083),IF(C1734="Técnico I",SUMIFS($D:$D,$A:$A,$A1734,$B:$B,"&lt;&gt;Patrícia Karla de Sousa Araújo",$B:$B,"&lt;&gt;Lorena Dias de Araujo",$B:$B,"&lt;&gt;Lucas Luiz Romero")*(23/1083),IF(C1734="JR",SUMIFS($D:$D,$A:$A,$A1734,$B:$B,"&lt;&gt;Patrícia Karla de Sousa Araújo",$B:$B,"&lt;&gt;Lorena Dias de Araujo",$B:$B,"&lt;&gt;Lucas Luiz Romero")*(20/1083),IF(C1734="Estágio",SUMIFS($D:$D,$A:$A,$A1734,$B:$B,"&lt;&gt;Patrícia Karla de Sousa Araújo",$B:$B,"&lt;&gt;Lorena Dias de Araujo",$B:$B,"&lt;&gt;Lucas Luiz Romero")*(10/1083),0)))))),0)</f>
        <v/>
      </c>
      <c r="K1734" s="3">
        <f>I1734-J1734</f>
        <v/>
      </c>
      <c r="L1734" s="3">
        <f>IF(K1734&lt;-5,"CRÍTICO",IF(K1734&lt;0,"ATENÇÃO",IF(K1734&lt;=5,"BOM","EXCELENTE")))</f>
        <v/>
      </c>
      <c r="M1734" t="n">
        <v>23</v>
      </c>
      <c r="N1734" t="n">
        <v>97.92</v>
      </c>
      <c r="O1734" t="n">
        <v>32.87671232876712</v>
      </c>
    </row>
    <row r="1735" hidden="1">
      <c r="A1735" s="11" t="n">
        <v>46055</v>
      </c>
      <c r="B1735" t="inlineStr">
        <is>
          <t>Paulo Ricardo Santos</t>
        </is>
      </c>
      <c r="C1735" t="inlineStr">
        <is>
          <t>JR</t>
        </is>
      </c>
      <c r="D1735" t="n">
        <v>0</v>
      </c>
      <c r="E1735" t="n">
        <v>0</v>
      </c>
      <c r="F1735" t="n">
        <v>0</v>
      </c>
      <c r="G1735" t="n">
        <v>0</v>
      </c>
      <c r="H1735" t="n">
        <v>0</v>
      </c>
      <c r="I1735" s="3" t="n">
        <v>0</v>
      </c>
      <c r="J1735" s="3" t="n">
        <v>0</v>
      </c>
      <c r="K1735" s="3" t="n">
        <v>0</v>
      </c>
      <c r="L1735" s="3">
        <f>IF(K1735&lt;-5,"CRÍTICO",IF(K1735&lt;0,"ATENÇÃO",IF(K1735&lt;=5,"BOM","EXCELENTE")))</f>
        <v/>
      </c>
      <c r="M1735" t="n">
        <v>0</v>
      </c>
      <c r="N1735" t="n">
        <v>0</v>
      </c>
      <c r="O1735" t="n">
        <v>0</v>
      </c>
    </row>
    <row r="1736" hidden="1">
      <c r="A1736" s="11" t="n">
        <v>46055</v>
      </c>
      <c r="B1736" t="inlineStr">
        <is>
          <t>Pedro Luiz Mota Sousa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M1736" t="n">
        <v>0</v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Quirino Diogo Leite Torres</t>
        </is>
      </c>
      <c r="C1737" t="inlineStr">
        <is>
          <t>Estágio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M1737" t="n">
        <v>0</v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Raane Batista Matos</t>
        </is>
      </c>
      <c r="C1738" t="inlineStr">
        <is>
          <t>Técnico I</t>
        </is>
      </c>
      <c r="D1738" t="n">
        <v>14</v>
      </c>
      <c r="E1738" t="n">
        <v>11</v>
      </c>
      <c r="F1738" t="n">
        <v>35.41</v>
      </c>
      <c r="G1738" t="n">
        <v>0</v>
      </c>
      <c r="H1738" t="n">
        <v>0</v>
      </c>
      <c r="I1738" s="3">
        <f>E1738+G1738+H1738</f>
        <v/>
      </c>
      <c r="J1738" s="3">
        <f>ROUND(MIN(IF(C1738="Técnico III",35,IF(C1738="Técnico II",28,IF(C1738="Técnico I",23,IF(C1738="JR",20,IF(C1738="Estágio",10,0))))),IF(C1738="Técnico III",SUMIFS($D:$D,$A:$A,$A1738,$B:$B,"&lt;&gt;Patrícia Karla de Sousa Araújo",$B:$B,"&lt;&gt;Lorena Dias de Araujo",$B:$B,"&lt;&gt;Lucas Luiz Romero")*(35/1083),IF(C1738="Técnico II",SUMIFS($D:$D,$A:$A,$A1738,$B:$B,"&lt;&gt;Patrícia Karla de Sousa Araújo",$B:$B,"&lt;&gt;Lorena Dias de Araujo",$B:$B,"&lt;&gt;Lucas Luiz Romero")*(28/1083),IF(C1738="Técnico I",SUMIFS($D:$D,$A:$A,$A1738,$B:$B,"&lt;&gt;Patrícia Karla de Sousa Araújo",$B:$B,"&lt;&gt;Lorena Dias de Araujo",$B:$B,"&lt;&gt;Lucas Luiz Romero")*(23/1083),IF(C1738="JR",SUMIFS($D:$D,$A:$A,$A1738,$B:$B,"&lt;&gt;Patrícia Karla de Sousa Araújo",$B:$B,"&lt;&gt;Lorena Dias de Araujo",$B:$B,"&lt;&gt;Lucas Luiz Romero")*(20/1083),IF(C1738="Estágio",SUMIFS($D:$D,$A:$A,$A1738,$B:$B,"&lt;&gt;Patrícia Karla de Sousa Araújo",$B:$B,"&lt;&gt;Lorena Dias de Araujo",$B:$B,"&lt;&gt;Lucas Luiz Romero")*(10/1083),0)))))),0)</f>
        <v/>
      </c>
      <c r="K1738" s="3">
        <f>I1738-J1738</f>
        <v/>
      </c>
      <c r="L1738" s="3">
        <f>IF(K1738&lt;-5,"CRÍTICO",IF(K1738&lt;0,"ATENÇÃO",IF(K1738&lt;=5,"BOM","EXCELENTE")))</f>
        <v/>
      </c>
      <c r="M1738" t="n">
        <v>11</v>
      </c>
      <c r="N1738" t="n">
        <v>98.51000000000001</v>
      </c>
      <c r="O1738" t="n">
        <v>29.71014492753623</v>
      </c>
    </row>
    <row r="1739" hidden="1">
      <c r="A1739" s="11" t="n">
        <v>46055</v>
      </c>
      <c r="B1739" t="inlineStr">
        <is>
          <t>Rafael Gomes de Morais</t>
        </is>
      </c>
      <c r="C1739" t="inlineStr">
        <is>
          <t>Técnico III</t>
        </is>
      </c>
      <c r="D1739" t="n">
        <v>44</v>
      </c>
      <c r="E1739" t="n">
        <v>40</v>
      </c>
      <c r="F1739" t="n">
        <v>15.51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t="n">
        <v>40</v>
      </c>
      <c r="N1739" t="n">
        <v>98.81</v>
      </c>
      <c r="O1739" t="n">
        <v>30.71297989031079</v>
      </c>
    </row>
    <row r="1740" hidden="1">
      <c r="A1740" s="11" t="n">
        <v>46055</v>
      </c>
      <c r="B1740" t="inlineStr">
        <is>
          <t>Sara Maria Monteiro Lopes</t>
        </is>
      </c>
      <c r="C1740" t="inlineStr">
        <is>
          <t>Técnico I</t>
        </is>
      </c>
      <c r="D1740" t="n">
        <v>16</v>
      </c>
      <c r="E1740" t="n">
        <v>16</v>
      </c>
      <c r="F1740" t="n">
        <v>30.19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t="n">
        <v>16</v>
      </c>
      <c r="N1740" t="n">
        <v>98.48</v>
      </c>
      <c r="O1740" t="n">
        <v>29.35323383084577</v>
      </c>
    </row>
    <row r="1741" hidden="1">
      <c r="A1741" s="11" t="n">
        <v>46055</v>
      </c>
      <c r="B1741" t="inlineStr">
        <is>
          <t>Sarah Steffanie de Lima Borges</t>
        </is>
      </c>
      <c r="C1741" t="inlineStr">
        <is>
          <t>Técnico III</t>
        </is>
      </c>
      <c r="D1741" t="n">
        <v>35</v>
      </c>
      <c r="E1741" t="n">
        <v>32</v>
      </c>
      <c r="F1741" t="n">
        <v>19.06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M1741" t="n">
        <v>29</v>
      </c>
      <c r="N1741" t="n">
        <v>98.56</v>
      </c>
      <c r="O1741" t="n">
        <v>29.37365010799136</v>
      </c>
    </row>
    <row r="1742" hidden="1">
      <c r="A1742" s="11" t="n">
        <v>46056</v>
      </c>
      <c r="B1742" t="inlineStr">
        <is>
          <t>Alisson de Freitas Silva</t>
        </is>
      </c>
      <c r="C1742" t="inlineStr">
        <is>
          <t>Técnico II</t>
        </is>
      </c>
      <c r="D1742" t="n">
        <v>37</v>
      </c>
      <c r="E1742" t="n">
        <v>35</v>
      </c>
      <c r="F1742" t="n">
        <v>15.35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t="n">
        <v>34</v>
      </c>
      <c r="N1742" t="n">
        <v>98.31999999999999</v>
      </c>
      <c r="O1742" t="n">
        <v>30.3030303030303</v>
      </c>
    </row>
    <row r="1743" hidden="1">
      <c r="A1743" s="11" t="n">
        <v>46056</v>
      </c>
      <c r="B1743" t="inlineStr">
        <is>
          <t>Amanda Moura Ferreira</t>
        </is>
      </c>
      <c r="C1743" t="inlineStr">
        <is>
          <t>Técnico III</t>
        </is>
      </c>
      <c r="D1743" t="n">
        <v>0</v>
      </c>
      <c r="E1743" t="n">
        <v>0</v>
      </c>
      <c r="F1743" t="n">
        <v>0</v>
      </c>
      <c r="G1743" t="n">
        <v>0</v>
      </c>
      <c r="H1743" t="n">
        <v>0</v>
      </c>
      <c r="I1743" s="3" t="n">
        <v>0</v>
      </c>
      <c r="J1743" s="3" t="n">
        <v>0</v>
      </c>
      <c r="K1743" s="3" t="n">
        <v>0</v>
      </c>
      <c r="L1743" s="3">
        <f>IF(K1743&lt;-5,"CRÍTICO",IF(K1743&lt;0,"ATENÇÃO",IF(K1743&lt;=5,"BOM","EXCELENTE")))</f>
        <v/>
      </c>
      <c r="M1743" t="n">
        <v>29</v>
      </c>
      <c r="N1743" t="n">
        <v>98.68000000000001</v>
      </c>
      <c r="O1743" t="n">
        <v>26.21951219512195</v>
      </c>
    </row>
    <row r="1744" hidden="1">
      <c r="A1744" s="11" t="n">
        <v>46056</v>
      </c>
      <c r="B1744" t="inlineStr">
        <is>
          <t>Ana Karollyne Souza Faria</t>
        </is>
      </c>
      <c r="C1744" t="inlineStr">
        <is>
          <t>Técnico I</t>
        </is>
      </c>
      <c r="D1744" t="n">
        <v>27</v>
      </c>
      <c r="E1744" t="n">
        <v>27</v>
      </c>
      <c r="F1744" t="n">
        <v>23.49</v>
      </c>
      <c r="G1744" t="n">
        <v>0</v>
      </c>
      <c r="H1744" t="n">
        <v>0</v>
      </c>
      <c r="I1744" s="3">
        <f>E1744+G1744+H1744</f>
        <v/>
      </c>
      <c r="J1744" s="3">
        <f>ROUND(MIN(IF(C1744="Técnico III",35,IF(C1744="Técnico II",28,IF(C1744="Técnico I",23,IF(C1744="JR",20,IF(C1744="Estágio",10,0))))),IF(C1744="Técnico III",SUMIFS($D:$D,$A:$A,$A1744,$B:$B,"&lt;&gt;Patrícia Karla de Sousa Araújo",$B:$B,"&lt;&gt;Lorena Dias de Araujo",$B:$B,"&lt;&gt;Lucas Luiz Romero")*(35/1083),IF(C1744="Técnico II",SUMIFS($D:$D,$A:$A,$A1744,$B:$B,"&lt;&gt;Patrícia Karla de Sousa Araújo",$B:$B,"&lt;&gt;Lorena Dias de Araujo",$B:$B,"&lt;&gt;Lucas Luiz Romero")*(28/1083),IF(C1744="Técnico I",SUMIFS($D:$D,$A:$A,$A1744,$B:$B,"&lt;&gt;Patrícia Karla de Sousa Araújo",$B:$B,"&lt;&gt;Lorena Dias de Araujo",$B:$B,"&lt;&gt;Lucas Luiz Romero")*(23/1083),IF(C1744="JR",SUMIFS($D:$D,$A:$A,$A1744,$B:$B,"&lt;&gt;Patrícia Karla de Sousa Araújo",$B:$B,"&lt;&gt;Lorena Dias de Araujo",$B:$B,"&lt;&gt;Lucas Luiz Romero")*(20/1083),IF(C1744="Estágio",SUMIFS($D:$D,$A:$A,$A1744,$B:$B,"&lt;&gt;Patrícia Karla de Sousa Araújo",$B:$B,"&lt;&gt;Lorena Dias de Araujo",$B:$B,"&lt;&gt;Lucas Luiz Romero")*(10/1083),0)))))),0)</f>
        <v/>
      </c>
      <c r="K1744" s="3">
        <f>I1744-J1744</f>
        <v/>
      </c>
      <c r="L1744" s="3">
        <f>IF(K1744&lt;-5,"CRÍTICO",IF(K1744&lt;0,"ATENÇÃO",IF(K1744&lt;=5,"BOM","EXCELENTE")))</f>
        <v/>
      </c>
      <c r="M1744" t="n">
        <v>27</v>
      </c>
      <c r="N1744" t="n">
        <v>100</v>
      </c>
      <c r="O1744" t="n">
        <v>31.74224343675418</v>
      </c>
    </row>
    <row r="1745" hidden="1">
      <c r="A1745" s="11" t="n">
        <v>46056</v>
      </c>
      <c r="B1745" t="inlineStr">
        <is>
          <t>Ana Paula Da Luz Silva Aleixo</t>
        </is>
      </c>
      <c r="C1745" t="inlineStr">
        <is>
          <t>Técnico III</t>
        </is>
      </c>
      <c r="D1745" t="n">
        <v>41</v>
      </c>
      <c r="E1745" t="n">
        <v>39</v>
      </c>
      <c r="F1745" t="n">
        <v>20.44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M1745" t="n">
        <v>37</v>
      </c>
      <c r="N1745" t="n">
        <v>98.25</v>
      </c>
      <c r="O1745" t="n">
        <v>25.83518930957684</v>
      </c>
    </row>
    <row r="1746" hidden="1">
      <c r="A1746" s="11" t="n">
        <v>46056</v>
      </c>
      <c r="B1746" t="inlineStr">
        <is>
          <t>Anna Luiza Rezende Tavares</t>
        </is>
      </c>
      <c r="C1746" t="inlineStr">
        <is>
          <t>Estágio</t>
        </is>
      </c>
      <c r="D1746" t="n">
        <v>6</v>
      </c>
      <c r="E1746" t="n">
        <v>6</v>
      </c>
      <c r="F1746" t="n">
        <v>28.25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M1746" t="n">
        <v>6</v>
      </c>
      <c r="N1746" t="n">
        <v>97.5</v>
      </c>
      <c r="O1746" t="n">
        <v>30.07518796992481</v>
      </c>
    </row>
    <row r="1747" hidden="1">
      <c r="A1747" s="11" t="n">
        <v>46056</v>
      </c>
      <c r="B1747" t="inlineStr">
        <is>
          <t>Brenda de Menezes Silva</t>
        </is>
      </c>
      <c r="C1747" t="inlineStr">
        <is>
          <t>Técnico II</t>
        </is>
      </c>
      <c r="D1747" t="n">
        <v>42</v>
      </c>
      <c r="E1747" t="n">
        <v>38</v>
      </c>
      <c r="F1747" t="n">
        <v>10.44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M1747" t="n">
        <v>36</v>
      </c>
      <c r="N1747" t="n">
        <v>100</v>
      </c>
      <c r="O1747" t="n">
        <v>29.71311475409836</v>
      </c>
    </row>
    <row r="1748" hidden="1">
      <c r="A1748" s="11" t="n">
        <v>46056</v>
      </c>
      <c r="B1748" t="inlineStr">
        <is>
          <t>Carlos Mateus Cassimiro Nunes</t>
        </is>
      </c>
      <c r="C1748" t="inlineStr">
        <is>
          <t>Técnico II</t>
        </is>
      </c>
      <c r="D1748" t="n">
        <v>27</v>
      </c>
      <c r="E1748" t="n">
        <v>25</v>
      </c>
      <c r="F1748" t="n">
        <v>25.32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M1748" t="n">
        <v>23</v>
      </c>
      <c r="N1748" t="n">
        <v>99.22</v>
      </c>
      <c r="O1748" t="n">
        <v>35.25641025641026</v>
      </c>
    </row>
    <row r="1749" hidden="1">
      <c r="A1749" s="11" t="n">
        <v>46056</v>
      </c>
      <c r="B1749" t="inlineStr">
        <is>
          <t>Claudio de Sousa Velasco Filho</t>
        </is>
      </c>
      <c r="C1749" t="inlineStr">
        <is>
          <t>Estágio</t>
        </is>
      </c>
      <c r="D1749" t="n">
        <v>0</v>
      </c>
      <c r="E1749" t="n">
        <v>0</v>
      </c>
      <c r="F1749" t="n">
        <v>0</v>
      </c>
      <c r="G1749" t="n">
        <v>0</v>
      </c>
      <c r="H1749" t="n">
        <v>0</v>
      </c>
      <c r="I1749" s="3" t="n">
        <v>0</v>
      </c>
      <c r="J1749" s="3" t="n">
        <v>0</v>
      </c>
      <c r="K1749" s="3" t="n">
        <v>0</v>
      </c>
      <c r="L1749" s="3">
        <f>IF(K1749&lt;-5,"CRÍTICO",IF(K1749&lt;0,"ATENÇÃO",IF(K1749&lt;=5,"BOM","EXCELENTE")))</f>
        <v/>
      </c>
      <c r="M1749" t="n">
        <v>0</v>
      </c>
      <c r="N1749" t="n">
        <v>0</v>
      </c>
      <c r="O1749" t="n">
        <v>0</v>
      </c>
    </row>
    <row r="1750" hidden="1">
      <c r="A1750" s="11" t="n">
        <v>46056</v>
      </c>
      <c r="B1750" t="inlineStr">
        <is>
          <t>Clessiane Pereira dos Santos</t>
        </is>
      </c>
      <c r="C1750" t="inlineStr">
        <is>
          <t>Técnico I</t>
        </is>
      </c>
      <c r="D1750" t="n">
        <v>21</v>
      </c>
      <c r="E1750" t="n">
        <v>21</v>
      </c>
      <c r="F1750" t="n">
        <v>25.43</v>
      </c>
      <c r="G1750" t="n">
        <v>0</v>
      </c>
      <c r="H1750" t="n">
        <v>0</v>
      </c>
      <c r="I1750" s="3">
        <f>E1750+G1750+H1750</f>
        <v/>
      </c>
      <c r="J1750" s="3">
        <f>ROUND(MIN(IF(C1750="Técnico III",35,IF(C1750="Técnico II",28,IF(C1750="Técnico I",23,IF(C1750="JR",20,IF(C1750="Estágio",10,0))))),IF(C1750="Técnico III",SUMIFS($D:$D,$A:$A,$A1750,$B:$B,"&lt;&gt;Patrícia Karla de Sousa Araújo",$B:$B,"&lt;&gt;Lorena Dias de Araujo",$B:$B,"&lt;&gt;Lucas Luiz Romero")*(35/1083),IF(C1750="Técnico II",SUMIFS($D:$D,$A:$A,$A1750,$B:$B,"&lt;&gt;Patrícia Karla de Sousa Araújo",$B:$B,"&lt;&gt;Lorena Dias de Araujo",$B:$B,"&lt;&gt;Lucas Luiz Romero")*(28/1083),IF(C1750="Técnico I",SUMIFS($D:$D,$A:$A,$A1750,$B:$B,"&lt;&gt;Patrícia Karla de Sousa Araújo",$B:$B,"&lt;&gt;Lorena Dias de Araujo",$B:$B,"&lt;&gt;Lucas Luiz Romero")*(23/1083),IF(C1750="JR",SUMIFS($D:$D,$A:$A,$A1750,$B:$B,"&lt;&gt;Patrícia Karla de Sousa Araújo",$B:$B,"&lt;&gt;Lorena Dias de Araujo",$B:$B,"&lt;&gt;Lucas Luiz Romero")*(20/1083),IF(C1750="Estágio",SUMIFS($D:$D,$A:$A,$A1750,$B:$B,"&lt;&gt;Patrícia Karla de Sousa Araújo",$B:$B,"&lt;&gt;Lorena Dias de Araujo",$B:$B,"&lt;&gt;Lucas Luiz Romero")*(10/1083),0)))))),0)</f>
        <v/>
      </c>
      <c r="K1750" s="3">
        <f>I1750-J1750</f>
        <v/>
      </c>
      <c r="L1750" s="3">
        <f>IF(K1750&lt;-5,"CRÍTICO",IF(K1750&lt;0,"ATENÇÃO",IF(K1750&lt;=5,"BOM","EXCELENTE")))</f>
        <v/>
      </c>
      <c r="M1750" t="n">
        <v>21</v>
      </c>
      <c r="N1750" t="n">
        <v>98.75</v>
      </c>
      <c r="O1750" t="n">
        <v>24.32432432432433</v>
      </c>
    </row>
    <row r="1751" hidden="1">
      <c r="A1751" s="11" t="n">
        <v>46056</v>
      </c>
      <c r="B1751" t="inlineStr">
        <is>
          <t>Cristiane Ramos da Silva Rocha</t>
        </is>
      </c>
      <c r="C1751" t="inlineStr">
        <is>
          <t>Técnico III</t>
        </is>
      </c>
      <c r="D1751" t="n">
        <v>36</v>
      </c>
      <c r="E1751" t="n">
        <v>33</v>
      </c>
      <c r="F1751" t="n">
        <v>13.36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M1751" t="n">
        <v>29</v>
      </c>
      <c r="N1751" t="n">
        <v>93.48</v>
      </c>
      <c r="O1751" t="n">
        <v>31.52804642166344</v>
      </c>
    </row>
    <row r="1752" hidden="1">
      <c r="A1752" s="11" t="n">
        <v>46056</v>
      </c>
      <c r="B1752" t="inlineStr">
        <is>
          <t>Damyllis Lorraine de Oliveira Gonçalves</t>
        </is>
      </c>
      <c r="C1752" t="inlineStr">
        <is>
          <t>Técnico II</t>
        </is>
      </c>
      <c r="D1752" t="n">
        <v>38</v>
      </c>
      <c r="E1752" t="n">
        <v>34</v>
      </c>
      <c r="F1752" t="n">
        <v>18.52</v>
      </c>
      <c r="G1752" t="n">
        <v>0</v>
      </c>
      <c r="H1752" t="n">
        <v>0</v>
      </c>
      <c r="I1752" s="3" t="n">
        <v>0</v>
      </c>
      <c r="J1752" s="3" t="n">
        <v>0</v>
      </c>
      <c r="K1752" s="3" t="n">
        <v>0</v>
      </c>
      <c r="L1752" s="3">
        <f>IF(K1752&lt;-5,"CRÍTICO",IF(K1752&lt;0,"ATENÇÃO",IF(K1752&lt;=5,"BOM","EXCELENTE")))</f>
        <v/>
      </c>
      <c r="M1752" t="n">
        <v>30</v>
      </c>
      <c r="N1752" t="n">
        <v>99.16</v>
      </c>
      <c r="O1752" t="n">
        <v>26.13908872901678</v>
      </c>
    </row>
    <row r="1753" hidden="1">
      <c r="A1753" s="11" t="n">
        <v>46056</v>
      </c>
      <c r="B1753" t="inlineStr">
        <is>
          <t>Daniel Gomes da Silva</t>
        </is>
      </c>
      <c r="C1753" t="inlineStr">
        <is>
          <t>Técnico I</t>
        </is>
      </c>
      <c r="D1753" t="n">
        <v>30</v>
      </c>
      <c r="E1753" t="n">
        <v>30</v>
      </c>
      <c r="F1753" t="n">
        <v>20.3</v>
      </c>
      <c r="G1753" t="n">
        <v>0</v>
      </c>
      <c r="H1753" t="n">
        <v>0</v>
      </c>
      <c r="I1753" s="3">
        <f>E1753+G1753+H1753</f>
        <v/>
      </c>
      <c r="J1753" s="3">
        <f>ROUND(MIN(IF(C1753="Técnico III",35,IF(C1753="Técnico II",28,IF(C1753="Técnico I",23,IF(C1753="JR",20,IF(C1753="Estágio",10,0))))),IF(C1753="Técnico III",SUMIFS($D:$D,$A:$A,$A1753,$B:$B,"&lt;&gt;Patrícia Karla de Sousa Araújo",$B:$B,"&lt;&gt;Lorena Dias de Araujo",$B:$B,"&lt;&gt;Lucas Luiz Romero")*(35/1083),IF(C1753="Técnico II",SUMIFS($D:$D,$A:$A,$A1753,$B:$B,"&lt;&gt;Patrícia Karla de Sousa Araújo",$B:$B,"&lt;&gt;Lorena Dias de Araujo",$B:$B,"&lt;&gt;Lucas Luiz Romero")*(28/1083),IF(C1753="Técnico I",SUMIFS($D:$D,$A:$A,$A1753,$B:$B,"&lt;&gt;Patrícia Karla de Sousa Araújo",$B:$B,"&lt;&gt;Lorena Dias de Araujo",$B:$B,"&lt;&gt;Lucas Luiz Romero")*(23/1083),IF(C1753="JR",SUMIFS($D:$D,$A:$A,$A1753,$B:$B,"&lt;&gt;Patrícia Karla de Sousa Araújo",$B:$B,"&lt;&gt;Lorena Dias de Araujo",$B:$B,"&lt;&gt;Lucas Luiz Romero")*(20/1083),IF(C1753="Estágio",SUMIFS($D:$D,$A:$A,$A1753,$B:$B,"&lt;&gt;Patrícia Karla de Sousa Araújo",$B:$B,"&lt;&gt;Lorena Dias de Araujo",$B:$B,"&lt;&gt;Lucas Luiz Romero")*(10/1083),0)))))),0)</f>
        <v/>
      </c>
      <c r="K1753" s="3">
        <f>I1753-J1753</f>
        <v/>
      </c>
      <c r="L1753" s="3">
        <f>IF(K1753&lt;-5,"CRÍTICO",IF(K1753&lt;0,"ATENÇÃO",IF(K1753&lt;=5,"BOM","EXCELENTE")))</f>
        <v/>
      </c>
      <c r="M1753" t="n">
        <v>32</v>
      </c>
      <c r="N1753" t="n">
        <v>100</v>
      </c>
      <c r="O1753" t="n">
        <v>31.08974358974359</v>
      </c>
    </row>
    <row r="1754" hidden="1">
      <c r="A1754" s="11" t="n">
        <v>46056</v>
      </c>
      <c r="B1754" t="inlineStr">
        <is>
          <t>Davylla Rodrigues Freitas Silva</t>
        </is>
      </c>
      <c r="C1754" t="inlineStr">
        <is>
          <t>Técnico III</t>
        </is>
      </c>
      <c r="D1754" t="n">
        <v>27</v>
      </c>
      <c r="E1754" t="n">
        <v>27</v>
      </c>
      <c r="F1754" t="n">
        <v>30.21</v>
      </c>
      <c r="G1754" t="n">
        <v>0</v>
      </c>
      <c r="H1754" t="n">
        <v>0</v>
      </c>
      <c r="I1754" s="3" t="n">
        <v>0</v>
      </c>
      <c r="J1754" s="3" t="n">
        <v>0</v>
      </c>
      <c r="K1754" s="3" t="n">
        <v>0</v>
      </c>
      <c r="L1754" s="3">
        <f>IF(K1754&lt;-5,"CRÍTICO",IF(K1754&lt;0,"ATENÇÃO",IF(K1754&lt;=5,"BOM","EXCELENTE")))</f>
        <v/>
      </c>
      <c r="M1754" t="n">
        <v>30</v>
      </c>
      <c r="N1754" t="n">
        <v>98.11</v>
      </c>
      <c r="O1754" t="n">
        <v>33.03370786516854</v>
      </c>
    </row>
    <row r="1755" hidden="1">
      <c r="A1755" s="11" t="n">
        <v>46056</v>
      </c>
      <c r="B1755" t="inlineStr">
        <is>
          <t>Emilly Caylane Costa</t>
        </is>
      </c>
      <c r="C1755" t="inlineStr">
        <is>
          <t>Estágio</t>
        </is>
      </c>
      <c r="D1755" t="n">
        <v>5</v>
      </c>
      <c r="E1755" t="n">
        <v>5</v>
      </c>
      <c r="F1755" t="n">
        <v>32.15</v>
      </c>
      <c r="G1755" t="n">
        <v>0</v>
      </c>
      <c r="H1755" t="n">
        <v>0</v>
      </c>
      <c r="I1755" s="3">
        <f>E1755+G1755+H1755</f>
        <v/>
      </c>
      <c r="J1755" s="3">
        <f>ROUND(MIN(IF(C1755="Técnico III",35,IF(C1755="Técnico II",28,IF(C1755="Técnico I",23,IF(C1755="JR",20,IF(C1755="Estágio",10,0))))),IF(C1755="Técnico III",SUMIFS($D:$D,$A:$A,$A1755,$B:$B,"&lt;&gt;Patrícia Karla de Sousa Araújo",$B:$B,"&lt;&gt;Lorena Dias de Araujo",$B:$B,"&lt;&gt;Lucas Luiz Romero")*(35/1083),IF(C1755="Técnico II",SUMIFS($D:$D,$A:$A,$A1755,$B:$B,"&lt;&gt;Patrícia Karla de Sousa Araújo",$B:$B,"&lt;&gt;Lorena Dias de Araujo",$B:$B,"&lt;&gt;Lucas Luiz Romero")*(28/1083),IF(C1755="Técnico I",SUMIFS($D:$D,$A:$A,$A1755,$B:$B,"&lt;&gt;Patrícia Karla de Sousa Araújo",$B:$B,"&lt;&gt;Lorena Dias de Araujo",$B:$B,"&lt;&gt;Lucas Luiz Romero")*(23/1083),IF(C1755="JR",SUMIFS($D:$D,$A:$A,$A1755,$B:$B,"&lt;&gt;Patrícia Karla de Sousa Araújo",$B:$B,"&lt;&gt;Lorena Dias de Araujo",$B:$B,"&lt;&gt;Lucas Luiz Romero")*(20/1083),IF(C1755="Estágio",SUMIFS($D:$D,$A:$A,$A1755,$B:$B,"&lt;&gt;Patrícia Karla de Sousa Araújo",$B:$B,"&lt;&gt;Lorena Dias de Araujo",$B:$B,"&lt;&gt;Lucas Luiz Romero")*(10/1083),0)))))),0)</f>
        <v/>
      </c>
      <c r="K1755" s="3">
        <f>I1755-J1755</f>
        <v/>
      </c>
      <c r="L1755" s="3">
        <f>IF(K1755&lt;-5,"CRÍTICO",IF(K1755&lt;0,"ATENÇÃO",IF(K1755&lt;=5,"BOM","EXCELENTE")))</f>
        <v/>
      </c>
      <c r="M1755" t="n">
        <v>6</v>
      </c>
      <c r="N1755" t="n">
        <v>78.95</v>
      </c>
      <c r="O1755" t="n">
        <v>38.98305084745763</v>
      </c>
    </row>
    <row r="1756" hidden="1">
      <c r="A1756" s="11" t="n">
        <v>46056</v>
      </c>
      <c r="B1756" t="inlineStr">
        <is>
          <t>Emilly Kamilly Medeiros Miranda</t>
        </is>
      </c>
      <c r="C1756" t="inlineStr">
        <is>
          <t>Técnico II</t>
        </is>
      </c>
      <c r="D1756" t="n">
        <v>37</v>
      </c>
      <c r="E1756" t="n">
        <v>32</v>
      </c>
      <c r="F1756" t="n">
        <v>14.02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M1756" t="n">
        <v>31</v>
      </c>
      <c r="N1756" t="n">
        <v>98.45</v>
      </c>
      <c r="O1756" t="n">
        <v>29.2817679558011</v>
      </c>
    </row>
    <row r="1757" hidden="1">
      <c r="A1757" s="11" t="n">
        <v>46056</v>
      </c>
      <c r="B1757" t="inlineStr">
        <is>
          <t>Francielson de Oliveira</t>
        </is>
      </c>
      <c r="C1757" t="inlineStr">
        <is>
          <t>Técnico III</t>
        </is>
      </c>
      <c r="D1757" t="n">
        <v>32</v>
      </c>
      <c r="E1757" t="n">
        <v>29</v>
      </c>
      <c r="F1757" t="n">
        <v>13.3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M1757" t="n">
        <v>30</v>
      </c>
      <c r="N1757" t="n">
        <v>97.84</v>
      </c>
      <c r="O1757" t="n">
        <v>26.28205128205128</v>
      </c>
    </row>
    <row r="1758" hidden="1">
      <c r="A1758" s="11" t="n">
        <v>46056</v>
      </c>
      <c r="B1758" t="inlineStr">
        <is>
          <t>Francilene Ferreira de Jesus</t>
        </is>
      </c>
      <c r="C1758" t="inlineStr">
        <is>
          <t>Técnico II</t>
        </is>
      </c>
      <c r="D1758" t="n">
        <v>55</v>
      </c>
      <c r="E1758" t="n">
        <v>52</v>
      </c>
      <c r="F1758" t="n">
        <v>12.32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M1758" t="n">
        <v>49</v>
      </c>
      <c r="N1758" t="n">
        <v>98.5</v>
      </c>
      <c r="O1758" t="n">
        <v>23.97769516728625</v>
      </c>
    </row>
    <row r="1759" hidden="1">
      <c r="A1759" s="11" t="n">
        <v>46090</v>
      </c>
      <c r="B1759" t="inlineStr">
        <is>
          <t>Gabriel Gomes de Andrade</t>
        </is>
      </c>
      <c r="C1759" t="inlineStr">
        <is>
          <t>Técnico I</t>
        </is>
      </c>
      <c r="D1759" t="n">
        <v>31</v>
      </c>
      <c r="E1759" t="n">
        <v>29</v>
      </c>
      <c r="F1759" t="n">
        <v>18.33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M1759" t="n">
        <v>28</v>
      </c>
      <c r="N1759" t="n">
        <v>99.05</v>
      </c>
      <c r="O1759" t="n">
        <v>26.62192393736018</v>
      </c>
    </row>
    <row r="1760" hidden="1">
      <c r="A1760" s="11" t="n">
        <v>46056</v>
      </c>
      <c r="B1760" t="inlineStr">
        <is>
          <t>Isabella Borges de Oliveira</t>
        </is>
      </c>
      <c r="C1760" t="inlineStr">
        <is>
          <t>Técnico II</t>
        </is>
      </c>
      <c r="D1760" t="n">
        <v>31</v>
      </c>
      <c r="E1760" t="n">
        <v>30</v>
      </c>
      <c r="F1760" t="n">
        <v>22.33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M1760" t="n">
        <v>28</v>
      </c>
      <c r="N1760" t="n">
        <v>98.53</v>
      </c>
      <c r="O1760" t="n">
        <v>31.57894736842105</v>
      </c>
    </row>
    <row r="1761" hidden="1">
      <c r="A1761" s="11" t="n">
        <v>46056</v>
      </c>
      <c r="B1761" t="inlineStr">
        <is>
          <t>Janaina Lima dos Reis Urany</t>
        </is>
      </c>
      <c r="C1761" t="inlineStr">
        <is>
          <t>Técnico III</t>
        </is>
      </c>
      <c r="D1761" t="n">
        <v>49</v>
      </c>
      <c r="E1761" t="n">
        <v>45</v>
      </c>
      <c r="F1761" t="n">
        <v>15.21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M1761" t="n">
        <v>44</v>
      </c>
      <c r="N1761" t="n">
        <v>100</v>
      </c>
      <c r="O1761" t="n">
        <v>25.72214580467676</v>
      </c>
    </row>
    <row r="1762" hidden="1">
      <c r="A1762" s="11" t="n">
        <v>46056</v>
      </c>
      <c r="B1762" t="inlineStr">
        <is>
          <t>Jaqueline Evangelista da Silva Martins</t>
        </is>
      </c>
      <c r="C1762" t="inlineStr">
        <is>
          <t>Técnico III</t>
        </is>
      </c>
      <c r="D1762" t="n">
        <v>49</v>
      </c>
      <c r="E1762" t="n">
        <v>43</v>
      </c>
      <c r="F1762" t="n">
        <v>10.43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M1762" t="n">
        <v>43</v>
      </c>
      <c r="N1762" t="n">
        <v>94.64</v>
      </c>
      <c r="O1762" t="n">
        <v>27.52941176470588</v>
      </c>
    </row>
    <row r="1763" hidden="1">
      <c r="A1763" s="11" t="n">
        <v>46056</v>
      </c>
      <c r="B1763" t="inlineStr">
        <is>
          <t>Jessica Faria da Silveira</t>
        </is>
      </c>
      <c r="C1763" t="inlineStr">
        <is>
          <t>Técnico II</t>
        </is>
      </c>
      <c r="D1763" t="n">
        <v>34</v>
      </c>
      <c r="E1763" t="n">
        <v>30</v>
      </c>
      <c r="F1763" t="n">
        <v>14.19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M1763" t="n">
        <v>29</v>
      </c>
      <c r="N1763" t="n">
        <v>99.06999999999999</v>
      </c>
      <c r="O1763" t="n">
        <v>26.3768115942029</v>
      </c>
    </row>
    <row r="1764" hidden="1">
      <c r="A1764" s="11" t="n">
        <v>46056</v>
      </c>
      <c r="B1764" t="inlineStr">
        <is>
          <t>Jéssica Fé Moura</t>
        </is>
      </c>
      <c r="C1764" t="inlineStr">
        <is>
          <t>Técnico III</t>
        </is>
      </c>
      <c r="D1764" t="n">
        <v>0</v>
      </c>
      <c r="E1764" t="n">
        <v>0</v>
      </c>
      <c r="F1764" t="n">
        <v>0</v>
      </c>
      <c r="G1764" t="n">
        <v>0</v>
      </c>
      <c r="H1764" t="n">
        <v>0</v>
      </c>
      <c r="I1764" s="3" t="n">
        <v>0</v>
      </c>
      <c r="J1764" s="3" t="n">
        <v>0</v>
      </c>
      <c r="K1764" s="3" t="n">
        <v>0</v>
      </c>
      <c r="L1764" s="3">
        <f>IF(K1764&lt;-5,"CRÍTICO",IF(K1764&lt;0,"ATENÇÃO",IF(K1764&lt;=5,"BOM","EXCELENTE")))</f>
        <v/>
      </c>
      <c r="M1764" t="n">
        <v>0</v>
      </c>
      <c r="N1764" t="n">
        <v>100</v>
      </c>
      <c r="O1764" t="n">
        <v>0</v>
      </c>
    </row>
    <row r="1765" hidden="1">
      <c r="A1765" s="11" t="n">
        <v>46056</v>
      </c>
      <c r="B1765" t="inlineStr">
        <is>
          <t>Karina Gonçalves Martins</t>
        </is>
      </c>
      <c r="C1765" t="inlineStr">
        <is>
          <t>JR</t>
        </is>
      </c>
      <c r="D1765" t="n">
        <v>14</v>
      </c>
      <c r="E1765" t="n">
        <v>13</v>
      </c>
      <c r="F1765" t="n">
        <v>20.53</v>
      </c>
      <c r="G1765" t="n">
        <v>0</v>
      </c>
      <c r="H1765" t="n">
        <v>0</v>
      </c>
      <c r="I1765" s="3">
        <f>E1765+G1765+H1765</f>
        <v/>
      </c>
      <c r="J1765" s="3">
        <f>ROUND(MIN(IF(C1765="Técnico III",35,IF(C1765="Técnico II",28,IF(C1765="Técnico I",23,IF(C1765="JR",20,IF(C1765="Estágio",10,0))))),IF(C1765="Técnico III",SUMIFS($D:$D,$A:$A,$A1765,$B:$B,"&lt;&gt;Patrícia Karla de Sousa Araújo",$B:$B,"&lt;&gt;Lorena Dias de Araujo",$B:$B,"&lt;&gt;Lucas Luiz Romero")*(35/1083),IF(C1765="Técnico II",SUMIFS($D:$D,$A:$A,$A1765,$B:$B,"&lt;&gt;Patrícia Karla de Sousa Araújo",$B:$B,"&lt;&gt;Lorena Dias de Araujo",$B:$B,"&lt;&gt;Lucas Luiz Romero")*(28/1083),IF(C1765="Técnico I",SUMIFS($D:$D,$A:$A,$A1765,$B:$B,"&lt;&gt;Patrícia Karla de Sousa Araújo",$B:$B,"&lt;&gt;Lorena Dias de Araujo",$B:$B,"&lt;&gt;Lucas Luiz Romero")*(23/1083),IF(C1765="JR",SUMIFS($D:$D,$A:$A,$A1765,$B:$B,"&lt;&gt;Patrícia Karla de Sousa Araújo",$B:$B,"&lt;&gt;Lorena Dias de Araujo",$B:$B,"&lt;&gt;Lucas Luiz Romero")*(20/1083),IF(C1765="Estágio",SUMIFS($D:$D,$A:$A,$A1765,$B:$B,"&lt;&gt;Patrícia Karla de Sousa Araújo",$B:$B,"&lt;&gt;Lorena Dias de Araujo",$B:$B,"&lt;&gt;Lucas Luiz Romero")*(10/1083),0)))))),0)</f>
        <v/>
      </c>
      <c r="K1765" s="3">
        <f>I1765-J1765</f>
        <v/>
      </c>
      <c r="L1765" s="3">
        <f>IF(K1765&lt;-5,"CRÍTICO",IF(K1765&lt;0,"ATENÇÃO",IF(K1765&lt;=5,"BOM","EXCELENTE")))</f>
        <v/>
      </c>
      <c r="M1765" t="n">
        <v>16</v>
      </c>
      <c r="N1765" t="n">
        <v>98.48</v>
      </c>
      <c r="O1765" t="n">
        <v>27.85388127853881</v>
      </c>
    </row>
    <row r="1766" hidden="1">
      <c r="A1766" s="11" t="n">
        <v>46056</v>
      </c>
      <c r="B1766" t="inlineStr">
        <is>
          <t>Kerollen Cristielly de Jesus Siqueira</t>
        </is>
      </c>
      <c r="C1766" t="inlineStr">
        <is>
          <t>Técnico III</t>
        </is>
      </c>
      <c r="D1766" t="n">
        <v>13</v>
      </c>
      <c r="E1766" t="n">
        <v>12</v>
      </c>
      <c r="F1766" t="n">
        <v>48.45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M1766" t="n">
        <v>11</v>
      </c>
      <c r="N1766" t="n">
        <v>95.15000000000001</v>
      </c>
      <c r="O1766" t="n">
        <v>34.13173652694611</v>
      </c>
    </row>
    <row r="1767" hidden="1">
      <c r="A1767" s="11" t="n">
        <v>46056</v>
      </c>
      <c r="B1767" t="inlineStr">
        <is>
          <t>Leandro de Souza Silva</t>
        </is>
      </c>
      <c r="C1767" t="inlineStr">
        <is>
          <t>JR</t>
        </is>
      </c>
      <c r="D1767" t="n">
        <v>0</v>
      </c>
      <c r="E1767" t="n">
        <v>0</v>
      </c>
      <c r="F1767" t="n">
        <v>0</v>
      </c>
      <c r="G1767" t="n">
        <v>0</v>
      </c>
      <c r="H1767" t="n">
        <v>0</v>
      </c>
      <c r="I1767" s="3" t="n">
        <v>0</v>
      </c>
      <c r="J1767" s="3" t="n">
        <v>0</v>
      </c>
      <c r="K1767" s="3" t="n">
        <v>0</v>
      </c>
      <c r="L1767" s="3">
        <f>IF(K1767&lt;-5,"CRÍTICO",IF(K1767&lt;0,"ATENÇÃO",IF(K1767&lt;=5,"BOM","EXCELENTE")))</f>
        <v/>
      </c>
      <c r="M1767" t="n">
        <v>0</v>
      </c>
      <c r="N1767" t="n">
        <v>0</v>
      </c>
      <c r="O1767" t="n">
        <v>0</v>
      </c>
    </row>
    <row r="1768" hidden="1">
      <c r="A1768" s="11" t="n">
        <v>46056</v>
      </c>
      <c r="B1768" t="inlineStr">
        <is>
          <t>Leandro Oliveira de Sousa</t>
        </is>
      </c>
      <c r="C1768" t="inlineStr">
        <is>
          <t>Técnico III</t>
        </is>
      </c>
      <c r="D1768" t="n">
        <v>26</v>
      </c>
      <c r="E1768" t="n">
        <v>25</v>
      </c>
      <c r="F1768" t="n">
        <v>22.08</v>
      </c>
      <c r="G1768" t="n">
        <v>0</v>
      </c>
      <c r="H1768" t="n">
        <v>0</v>
      </c>
      <c r="I1768" s="3">
        <f>E1768+G1768+H1768</f>
        <v/>
      </c>
      <c r="J1768" s="3">
        <f>ROUND(MIN(IF(C1768="Técnico III",35,IF(C1768="Técnico II",28,IF(C1768="Técnico I",23,IF(C1768="JR",20,IF(C1768="Estágio",10,0))))),IF(C1768="Técnico III",SUMIFS($D:$D,$A:$A,$A1768,$B:$B,"&lt;&gt;Patrícia Karla de Sousa Araújo",$B:$B,"&lt;&gt;Lorena Dias de Araujo",$B:$B,"&lt;&gt;Lucas Luiz Romero")*(35/1083),IF(C1768="Técnico II",SUMIFS($D:$D,$A:$A,$A1768,$B:$B,"&lt;&gt;Patrícia Karla de Sousa Araújo",$B:$B,"&lt;&gt;Lorena Dias de Araujo",$B:$B,"&lt;&gt;Lucas Luiz Romero")*(28/1083),IF(C1768="Técnico I",SUMIFS($D:$D,$A:$A,$A1768,$B:$B,"&lt;&gt;Patrícia Karla de Sousa Araújo",$B:$B,"&lt;&gt;Lorena Dias de Araujo",$B:$B,"&lt;&gt;Lucas Luiz Romero")*(23/1083),IF(C1768="JR",SUMIFS($D:$D,$A:$A,$A1768,$B:$B,"&lt;&gt;Patrícia Karla de Sousa Araújo",$B:$B,"&lt;&gt;Lorena Dias de Araujo",$B:$B,"&lt;&gt;Lucas Luiz Romero")*(20/1083),IF(C1768="Estágio",SUMIFS($D:$D,$A:$A,$A1768,$B:$B,"&lt;&gt;Patrícia Karla de Sousa Araújo",$B:$B,"&lt;&gt;Lorena Dias de Araujo",$B:$B,"&lt;&gt;Lucas Luiz Romero")*(10/1083),0)))))),0)</f>
        <v/>
      </c>
      <c r="K1768" s="3">
        <f>I1768-J1768</f>
        <v/>
      </c>
      <c r="L1768" s="3">
        <f>IF(K1768&lt;-5,"CRÍTICO",IF(K1768&lt;0,"ATENÇÃO",IF(K1768&lt;=5,"BOM","EXCELENTE")))</f>
        <v/>
      </c>
      <c r="M1768" t="n">
        <v>24</v>
      </c>
      <c r="N1768" t="n">
        <v>99.26000000000001</v>
      </c>
      <c r="O1768" t="n">
        <v>30.84832904884319</v>
      </c>
    </row>
    <row r="1769" hidden="1">
      <c r="A1769" s="11" t="n">
        <v>46056</v>
      </c>
      <c r="B1769" t="inlineStr">
        <is>
          <t>Lizandra Gomes Duarte</t>
        </is>
      </c>
      <c r="C1769" t="inlineStr">
        <is>
          <t>Técnico II</t>
        </is>
      </c>
      <c r="D1769" t="n">
        <v>43</v>
      </c>
      <c r="E1769" t="n">
        <v>37</v>
      </c>
      <c r="F1769" t="n">
        <v>17.19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M1769" t="n">
        <v>26</v>
      </c>
      <c r="N1769" t="n">
        <v>97.48</v>
      </c>
      <c r="O1769" t="n">
        <v>27.76470588235294</v>
      </c>
    </row>
    <row r="1770" hidden="1">
      <c r="A1770" s="11" t="n">
        <v>46056</v>
      </c>
      <c r="B1770" t="inlineStr">
        <is>
          <t>Lorena Dias de Araujo</t>
        </is>
      </c>
      <c r="C1770" t="inlineStr">
        <is>
          <t>Técnico II</t>
        </is>
      </c>
      <c r="D1770" t="n">
        <v>33</v>
      </c>
      <c r="E1770" t="n">
        <v>32</v>
      </c>
      <c r="F1770" t="n">
        <v>19.14</v>
      </c>
      <c r="G1770" t="n">
        <v>0</v>
      </c>
      <c r="H1770" t="n">
        <v>0</v>
      </c>
      <c r="I1770" s="3" t="n">
        <v>0</v>
      </c>
      <c r="J1770" s="3" t="n">
        <v>0</v>
      </c>
      <c r="K1770" s="3" t="n">
        <v>0</v>
      </c>
      <c r="L1770" s="3">
        <f>IF(K1770&lt;-5,"CRÍTICO",IF(K1770&lt;0,"ATENÇÃO",IF(K1770&lt;=5,"BOM","EXCELENTE")))</f>
        <v/>
      </c>
      <c r="M1770" t="n">
        <v>33</v>
      </c>
      <c r="N1770" t="n">
        <v>99.34</v>
      </c>
      <c r="O1770" t="n">
        <v>30.04291845493562</v>
      </c>
    </row>
    <row r="1771" hidden="1">
      <c r="A1771" s="11" t="n">
        <v>46056</v>
      </c>
      <c r="B1771" t="inlineStr">
        <is>
          <t>Lucas Luiz Romero</t>
        </is>
      </c>
      <c r="C1771" t="inlineStr">
        <is>
          <t>Técnico III</t>
        </is>
      </c>
      <c r="D1771" t="n">
        <v>12</v>
      </c>
      <c r="E1771" t="n">
        <v>8</v>
      </c>
      <c r="F1771" t="n">
        <v>12.11</v>
      </c>
      <c r="G1771" t="n">
        <v>0</v>
      </c>
      <c r="H1771" t="n">
        <v>0</v>
      </c>
      <c r="I1771" s="3">
        <f>E1771+G1771+H1771</f>
        <v/>
      </c>
      <c r="J1771" s="3">
        <f>ROUND(MIN(IF(C1771="Técnico III",35,IF(C1771="Técnico II",28,IF(C1771="Técnico I",23,IF(C1771="JR",20,IF(C1771="Estágio",10,0))))),IF(C1771="Técnico III",SUMIFS($D:$D,$A:$A,$A1771,$B:$B,"&lt;&gt;Patrícia Karla de Sousa Araújo",$B:$B,"&lt;&gt;Lorena Dias de Araujo",$B:$B,"&lt;&gt;Lucas Luiz Romero")*(35/1083),IF(C1771="Técnico II",SUMIFS($D:$D,$A:$A,$A1771,$B:$B,"&lt;&gt;Patrícia Karla de Sousa Araújo",$B:$B,"&lt;&gt;Lorena Dias de Araujo",$B:$B,"&lt;&gt;Lucas Luiz Romero")*(28/1083),IF(C1771="Técnico I",SUMIFS($D:$D,$A:$A,$A1771,$B:$B,"&lt;&gt;Patrícia Karla de Sousa Araújo",$B:$B,"&lt;&gt;Lorena Dias de Araujo",$B:$B,"&lt;&gt;Lucas Luiz Romero")*(23/1083),IF(C1771="JR",SUMIFS($D:$D,$A:$A,$A1771,$B:$B,"&lt;&gt;Patrícia Karla de Sousa Araújo",$B:$B,"&lt;&gt;Lorena Dias de Araujo",$B:$B,"&lt;&gt;Lucas Luiz Romero")*(20/1083),IF(C1771="Estágio",SUMIFS($D:$D,$A:$A,$A1771,$B:$B,"&lt;&gt;Patrícia Karla de Sousa Araújo",$B:$B,"&lt;&gt;Lorena Dias de Araujo",$B:$B,"&lt;&gt;Lucas Luiz Romero")*(10/1083),0)))))),0)</f>
        <v/>
      </c>
      <c r="K1771" s="3">
        <f>I1771-J1771</f>
        <v/>
      </c>
      <c r="L1771" s="3">
        <f>IF(K1771&lt;-5,"CRÍTICO",IF(K1771&lt;0,"ATENÇÃO",IF(K1771&lt;=5,"BOM","EXCELENTE")))</f>
        <v/>
      </c>
      <c r="M1771" t="n">
        <v>8</v>
      </c>
      <c r="N1771" t="n">
        <v>96.3</v>
      </c>
      <c r="O1771" t="n">
        <v>24.29378531073446</v>
      </c>
    </row>
    <row r="1772" hidden="1">
      <c r="A1772" s="11" t="n">
        <v>46056</v>
      </c>
      <c r="B1772" t="inlineStr">
        <is>
          <t>Luiz Fernando de Carvalho Junior</t>
        </is>
      </c>
      <c r="C1772" t="inlineStr">
        <is>
          <t>Técnico I</t>
        </is>
      </c>
      <c r="D1772" t="n">
        <v>25</v>
      </c>
      <c r="E1772" t="n">
        <v>24</v>
      </c>
      <c r="F1772" t="n">
        <v>27.39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M1772" t="n">
        <v>24</v>
      </c>
      <c r="N1772" t="n">
        <v>100</v>
      </c>
      <c r="O1772" t="n">
        <v>26.54320987654321</v>
      </c>
    </row>
    <row r="1773" hidden="1">
      <c r="A1773" s="11" t="n">
        <v>46056</v>
      </c>
      <c r="B1773" t="inlineStr">
        <is>
          <t>Maria Eduarda Sousa Costa</t>
        </is>
      </c>
      <c r="C1773" t="inlineStr">
        <is>
          <t>Estágio</t>
        </is>
      </c>
      <c r="D1773" t="n">
        <v>5</v>
      </c>
      <c r="E1773" t="n">
        <v>4</v>
      </c>
      <c r="F1773" t="n">
        <v>65.09999999999999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M1773" t="n">
        <v>5</v>
      </c>
      <c r="N1773" t="n">
        <v>100</v>
      </c>
      <c r="O1773" t="n">
        <v>35.48387096774194</v>
      </c>
    </row>
    <row r="1774" hidden="1">
      <c r="A1774" s="11" t="n">
        <v>46056</v>
      </c>
      <c r="B1774" t="inlineStr">
        <is>
          <t>Matheus Farias De Souza</t>
        </is>
      </c>
      <c r="C1774" t="inlineStr">
        <is>
          <t>Técnico III</t>
        </is>
      </c>
      <c r="D1774" t="n">
        <v>30</v>
      </c>
      <c r="E1774" t="n">
        <v>27</v>
      </c>
      <c r="F1774" t="n">
        <v>20.57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M1774" t="n">
        <v>24</v>
      </c>
      <c r="N1774" t="n">
        <v>99.27</v>
      </c>
      <c r="O1774" t="n">
        <v>31.16370808678501</v>
      </c>
    </row>
    <row r="1775" hidden="1">
      <c r="A1775" s="11" t="n">
        <v>46056</v>
      </c>
      <c r="B1775" t="inlineStr">
        <is>
          <t>Maysa Victoria Dias Moura</t>
        </is>
      </c>
      <c r="C1775" t="inlineStr">
        <is>
          <t>Técnico III</t>
        </is>
      </c>
      <c r="D1775" t="n">
        <v>46</v>
      </c>
      <c r="E1775" t="n">
        <v>44</v>
      </c>
      <c r="F1775" t="n">
        <v>16.49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M1775" t="n">
        <v>38</v>
      </c>
      <c r="N1775" t="n">
        <v>94.16</v>
      </c>
      <c r="O1775" t="n">
        <v>27.03862660944206</v>
      </c>
    </row>
    <row r="1776" hidden="1">
      <c r="A1776" s="11" t="n">
        <v>46056</v>
      </c>
      <c r="B1776" t="inlineStr">
        <is>
          <t>Michelle G Santos</t>
        </is>
      </c>
      <c r="C1776" t="inlineStr">
        <is>
          <t>Estágio</t>
        </is>
      </c>
      <c r="D1776" t="n">
        <v>12</v>
      </c>
      <c r="E1776" t="n">
        <v>11</v>
      </c>
      <c r="F1776" t="n">
        <v>56.49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M1776" t="n">
        <v>5</v>
      </c>
      <c r="N1776" t="n">
        <v>93.75</v>
      </c>
      <c r="O1776" t="n">
        <v>19.31818181818182</v>
      </c>
    </row>
    <row r="1777" hidden="1">
      <c r="A1777" s="11" t="n">
        <v>46056</v>
      </c>
      <c r="B1777" t="inlineStr">
        <is>
          <t>Milena Sales</t>
        </is>
      </c>
      <c r="C1777" t="inlineStr">
        <is>
          <t>JR</t>
        </is>
      </c>
      <c r="D1777" t="n">
        <v>0</v>
      </c>
      <c r="E1777" t="n">
        <v>0</v>
      </c>
      <c r="F1777" t="n">
        <v>0</v>
      </c>
      <c r="G1777" t="n">
        <v>0</v>
      </c>
      <c r="H1777" t="n">
        <v>0</v>
      </c>
      <c r="I1777" s="3" t="n">
        <v>0</v>
      </c>
      <c r="J1777" s="3" t="n">
        <v>0</v>
      </c>
      <c r="K1777" s="3" t="n">
        <v>0</v>
      </c>
      <c r="L1777" s="3">
        <f>IF(K1777&lt;-5,"CRÍTICO",IF(K1777&lt;0,"ATENÇÃO",IF(K1777&lt;=5,"BOM","EXCELENTE")))</f>
        <v/>
      </c>
      <c r="M1777" t="n">
        <v>0</v>
      </c>
      <c r="N1777" t="n">
        <v>0</v>
      </c>
      <c r="O1777" t="n">
        <v>0</v>
      </c>
    </row>
    <row r="1778" hidden="1">
      <c r="A1778" s="11" t="n">
        <v>46056</v>
      </c>
      <c r="B1778" t="inlineStr">
        <is>
          <t>Patrícia Karla de Sousa Araújo</t>
        </is>
      </c>
      <c r="C1778" t="inlineStr">
        <is>
          <t>Técnico II</t>
        </is>
      </c>
      <c r="D1778" t="n">
        <v>32</v>
      </c>
      <c r="E1778" t="n">
        <v>32</v>
      </c>
      <c r="F1778" t="n">
        <v>20.25</v>
      </c>
      <c r="G1778" t="n">
        <v>0</v>
      </c>
      <c r="H1778" t="n">
        <v>0</v>
      </c>
      <c r="I1778" s="3">
        <f>E1778+G1778+H1778</f>
        <v/>
      </c>
      <c r="J1778" s="3">
        <f>ROUND(MIN(IF(C1778="Técnico III",35,IF(C1778="Técnico II",28,IF(C1778="Técnico I",23,IF(C1778="JR",20,IF(C1778="Estágio",10,0))))),IF(C1778="Técnico III",SUMIFS($D:$D,$A:$A,$A1778,$B:$B,"&lt;&gt;Patrícia Karla de Sousa Araújo",$B:$B,"&lt;&gt;Lorena Dias de Araujo",$B:$B,"&lt;&gt;Lucas Luiz Romero")*(35/1083),IF(C1778="Técnico II",SUMIFS($D:$D,$A:$A,$A1778,$B:$B,"&lt;&gt;Patrícia Karla de Sousa Araújo",$B:$B,"&lt;&gt;Lorena Dias de Araujo",$B:$B,"&lt;&gt;Lucas Luiz Romero")*(28/1083),IF(C1778="Técnico I",SUMIFS($D:$D,$A:$A,$A1778,$B:$B,"&lt;&gt;Patrícia Karla de Sousa Araújo",$B:$B,"&lt;&gt;Lorena Dias de Araujo",$B:$B,"&lt;&gt;Lucas Luiz Romero")*(23/1083),IF(C1778="JR",SUMIFS($D:$D,$A:$A,$A1778,$B:$B,"&lt;&gt;Patrícia Karla de Sousa Araújo",$B:$B,"&lt;&gt;Lorena Dias de Araujo",$B:$B,"&lt;&gt;Lucas Luiz Romero")*(20/1083),IF(C1778="Estágio",SUMIFS($D:$D,$A:$A,$A1778,$B:$B,"&lt;&gt;Patrícia Karla de Sousa Araújo",$B:$B,"&lt;&gt;Lorena Dias de Araujo",$B:$B,"&lt;&gt;Lucas Luiz Romero")*(10/1083),0)))))),0)</f>
        <v/>
      </c>
      <c r="K1778" s="3">
        <f>I1778-J1778</f>
        <v/>
      </c>
      <c r="L1778" s="3">
        <f>IF(K1778&lt;-5,"CRÍTICO",IF(K1778&lt;0,"ATENÇÃO",IF(K1778&lt;=5,"BOM","EXCELENTE")))</f>
        <v/>
      </c>
      <c r="M1778" t="n">
        <v>26</v>
      </c>
      <c r="N1778" t="n">
        <v>97.92</v>
      </c>
      <c r="O1778" t="n">
        <v>32.87671232876712</v>
      </c>
    </row>
    <row r="1779" hidden="1">
      <c r="A1779" s="11" t="n">
        <v>46056</v>
      </c>
      <c r="B1779" t="inlineStr">
        <is>
          <t>Paulo Ricardo Santos</t>
        </is>
      </c>
      <c r="C1779" t="inlineStr">
        <is>
          <t>JR</t>
        </is>
      </c>
      <c r="D1779" t="n">
        <v>0</v>
      </c>
      <c r="E1779" t="n">
        <v>0</v>
      </c>
      <c r="F1779" t="n">
        <v>0</v>
      </c>
      <c r="G1779" t="n">
        <v>0</v>
      </c>
      <c r="H1779" t="n">
        <v>0</v>
      </c>
      <c r="I1779" s="3" t="n">
        <v>0</v>
      </c>
      <c r="J1779" s="3" t="n">
        <v>0</v>
      </c>
      <c r="K1779" s="3" t="n">
        <v>0</v>
      </c>
      <c r="L1779" s="3">
        <f>IF(K1779&lt;-5,"CRÍTICO",IF(K1779&lt;0,"ATENÇÃO",IF(K1779&lt;=5,"BOM","EXCELENTE")))</f>
        <v/>
      </c>
      <c r="M1779" t="n">
        <v>0</v>
      </c>
      <c r="N1779" t="n">
        <v>0</v>
      </c>
      <c r="O1779" t="n">
        <v>0</v>
      </c>
    </row>
    <row r="1780" hidden="1">
      <c r="A1780" s="11" t="n">
        <v>46056</v>
      </c>
      <c r="B1780" t="inlineStr">
        <is>
          <t>Pedro Luiz Mota Sousa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M1780" t="n">
        <v>0</v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Quirino Diogo Leite Torres</t>
        </is>
      </c>
      <c r="C1781" t="inlineStr">
        <is>
          <t>Estágio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M1781" t="n">
        <v>0</v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Raane Batista Matos</t>
        </is>
      </c>
      <c r="C1782" t="inlineStr">
        <is>
          <t>Técnico I</t>
        </is>
      </c>
      <c r="D1782" t="n">
        <v>20</v>
      </c>
      <c r="E1782" t="n">
        <v>17</v>
      </c>
      <c r="F1782" t="n">
        <v>30</v>
      </c>
      <c r="G1782" t="n">
        <v>0</v>
      </c>
      <c r="H1782" t="n">
        <v>0</v>
      </c>
      <c r="I1782" s="3">
        <f>E1782+G1782+H1782</f>
        <v/>
      </c>
      <c r="J1782" s="3">
        <f>ROUND(MIN(IF(C1782="Técnico III",35,IF(C1782="Técnico II",28,IF(C1782="Técnico I",23,IF(C1782="JR",20,IF(C1782="Estágio",10,0))))),IF(C1782="Técnico III",SUMIFS($D:$D,$A:$A,$A1782,$B:$B,"&lt;&gt;Patrícia Karla de Sousa Araújo",$B:$B,"&lt;&gt;Lorena Dias de Araujo",$B:$B,"&lt;&gt;Lucas Luiz Romero")*(35/1083),IF(C1782="Técnico II",SUMIFS($D:$D,$A:$A,$A1782,$B:$B,"&lt;&gt;Patrícia Karla de Sousa Araújo",$B:$B,"&lt;&gt;Lorena Dias de Araujo",$B:$B,"&lt;&gt;Lucas Luiz Romero")*(28/1083),IF(C1782="Técnico I",SUMIFS($D:$D,$A:$A,$A1782,$B:$B,"&lt;&gt;Patrícia Karla de Sousa Araújo",$B:$B,"&lt;&gt;Lorena Dias de Araujo",$B:$B,"&lt;&gt;Lucas Luiz Romero")*(23/1083),IF(C1782="JR",SUMIFS($D:$D,$A:$A,$A1782,$B:$B,"&lt;&gt;Patrícia Karla de Sousa Araújo",$B:$B,"&lt;&gt;Lorena Dias de Araujo",$B:$B,"&lt;&gt;Lucas Luiz Romero")*(20/1083),IF(C1782="Estágio",SUMIFS($D:$D,$A:$A,$A1782,$B:$B,"&lt;&gt;Patrícia Karla de Sousa Araújo",$B:$B,"&lt;&gt;Lorena Dias de Araujo",$B:$B,"&lt;&gt;Lucas Luiz Romero")*(10/1083),0)))))),0)</f>
        <v/>
      </c>
      <c r="K1782" s="3">
        <f>I1782-J1782</f>
        <v/>
      </c>
      <c r="L1782" s="3">
        <f>IF(K1782&lt;-5,"CRÍTICO",IF(K1782&lt;0,"ATENÇÃO",IF(K1782&lt;=5,"BOM","EXCELENTE")))</f>
        <v/>
      </c>
      <c r="M1782" t="n">
        <v>17</v>
      </c>
      <c r="N1782" t="n">
        <v>98.51000000000001</v>
      </c>
      <c r="O1782" t="n">
        <v>29.71014492753623</v>
      </c>
    </row>
    <row r="1783" hidden="1">
      <c r="A1783" s="11" t="n">
        <v>46056</v>
      </c>
      <c r="B1783" t="inlineStr">
        <is>
          <t>Rafael Gomes de Morais</t>
        </is>
      </c>
      <c r="C1783" t="inlineStr">
        <is>
          <t>Técnico III</t>
        </is>
      </c>
      <c r="D1783" t="n">
        <v>36</v>
      </c>
      <c r="E1783" t="n">
        <v>33</v>
      </c>
      <c r="F1783" t="n">
        <v>12.38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M1783" t="n">
        <v>32</v>
      </c>
      <c r="N1783" t="n">
        <v>98.81</v>
      </c>
      <c r="O1783" t="n">
        <v>30.71297989031079</v>
      </c>
    </row>
    <row r="1784" hidden="1">
      <c r="A1784" s="11" t="n">
        <v>46056</v>
      </c>
      <c r="B1784" t="inlineStr">
        <is>
          <t>Sara Maria Monteiro Lopes</t>
        </is>
      </c>
      <c r="C1784" t="inlineStr">
        <is>
          <t>Técnico I</t>
        </is>
      </c>
      <c r="D1784" t="n">
        <v>13</v>
      </c>
      <c r="E1784" t="n">
        <v>12</v>
      </c>
      <c r="F1784" t="n">
        <v>45.3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M1784" t="n">
        <v>12</v>
      </c>
      <c r="N1784" t="n">
        <v>98.48</v>
      </c>
      <c r="O1784" t="n">
        <v>29.35323383084577</v>
      </c>
    </row>
    <row r="1785" hidden="1">
      <c r="A1785" s="11" t="n">
        <v>46056</v>
      </c>
      <c r="B1785" t="inlineStr">
        <is>
          <t>Sarah Steffanie de Lima Borges</t>
        </is>
      </c>
      <c r="C1785" t="inlineStr">
        <is>
          <t>Técnico III</t>
        </is>
      </c>
      <c r="D1785" t="n">
        <v>37</v>
      </c>
      <c r="E1785" t="n">
        <v>34</v>
      </c>
      <c r="F1785" t="n">
        <v>15.41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M1785" t="n">
        <v>32</v>
      </c>
      <c r="N1785" t="n">
        <v>98.56</v>
      </c>
      <c r="O1785" t="n">
        <v>29.37365010799136</v>
      </c>
    </row>
    <row r="1786" hidden="1">
      <c r="A1786" s="11" t="n">
        <v>46057</v>
      </c>
      <c r="B1786" t="inlineStr">
        <is>
          <t>Alisson de Freitas Silva</t>
        </is>
      </c>
      <c r="C1786" t="inlineStr">
        <is>
          <t>Técnico II</t>
        </is>
      </c>
      <c r="D1786" t="n">
        <v>26</v>
      </c>
      <c r="E1786" t="n">
        <v>26</v>
      </c>
      <c r="F1786" t="n">
        <v>21.59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M1786" t="n">
        <v>24</v>
      </c>
      <c r="N1786" t="n">
        <v>98.31999999999999</v>
      </c>
      <c r="O1786" t="n">
        <v>30.3030303030303</v>
      </c>
    </row>
    <row r="1787" hidden="1">
      <c r="A1787" s="11" t="n">
        <v>46057</v>
      </c>
      <c r="B1787" t="inlineStr">
        <is>
          <t>Amanda Moura Ferreira</t>
        </is>
      </c>
      <c r="C1787" t="inlineStr">
        <is>
          <t>Técnico III</t>
        </is>
      </c>
      <c r="D1787" t="n">
        <v>0</v>
      </c>
      <c r="E1787" t="n">
        <v>0</v>
      </c>
      <c r="F1787" t="n">
        <v>0</v>
      </c>
      <c r="G1787" t="n">
        <v>0</v>
      </c>
      <c r="H1787" t="n">
        <v>0</v>
      </c>
      <c r="I1787" s="3" t="n">
        <v>0</v>
      </c>
      <c r="J1787" s="3" t="n">
        <v>0</v>
      </c>
      <c r="K1787" s="3" t="n">
        <v>0</v>
      </c>
      <c r="L1787" s="3">
        <f>IF(K1787&lt;-5,"CRÍTICO",IF(K1787&lt;0,"ATENÇÃO",IF(K1787&lt;=5,"BOM","EXCELENTE")))</f>
        <v/>
      </c>
      <c r="M1787" t="n">
        <v>28</v>
      </c>
      <c r="N1787" t="n">
        <v>98.68000000000001</v>
      </c>
      <c r="O1787" t="n">
        <v>26.21951219512195</v>
      </c>
    </row>
    <row r="1788" hidden="1">
      <c r="A1788" s="11" t="n">
        <v>46057</v>
      </c>
      <c r="B1788" t="inlineStr">
        <is>
          <t>Ana Karollyne Souza Faria</t>
        </is>
      </c>
      <c r="C1788" t="inlineStr">
        <is>
          <t>Técnico I</t>
        </is>
      </c>
      <c r="D1788" t="n">
        <v>25</v>
      </c>
      <c r="E1788" t="n">
        <v>24</v>
      </c>
      <c r="F1788" t="n">
        <v>29.02</v>
      </c>
      <c r="G1788" t="n">
        <v>0</v>
      </c>
      <c r="H1788" t="n">
        <v>0</v>
      </c>
      <c r="I1788" s="3">
        <f>E1788+G1788+H1788</f>
        <v/>
      </c>
      <c r="J1788" s="3">
        <f>ROUND(MIN(IF(C1788="Técnico III",35,IF(C1788="Técnico II",28,IF(C1788="Técnico I",23,IF(C1788="JR",20,IF(C1788="Estágio",10,0))))),IF(C1788="Técnico III",SUMIFS($D:$D,$A:$A,$A1788,$B:$B,"&lt;&gt;Patrícia Karla de Sousa Araújo",$B:$B,"&lt;&gt;Lorena Dias de Araujo",$B:$B,"&lt;&gt;Lucas Luiz Romero")*(35/1083),IF(C1788="Técnico II",SUMIFS($D:$D,$A:$A,$A1788,$B:$B,"&lt;&gt;Patrícia Karla de Sousa Araújo",$B:$B,"&lt;&gt;Lorena Dias de Araujo",$B:$B,"&lt;&gt;Lucas Luiz Romero")*(28/1083),IF(C1788="Técnico I",SUMIFS($D:$D,$A:$A,$A1788,$B:$B,"&lt;&gt;Patrícia Karla de Sousa Araújo",$B:$B,"&lt;&gt;Lorena Dias de Araujo",$B:$B,"&lt;&gt;Lucas Luiz Romero")*(23/1083),IF(C1788="JR",SUMIFS($D:$D,$A:$A,$A1788,$B:$B,"&lt;&gt;Patrícia Karla de Sousa Araújo",$B:$B,"&lt;&gt;Lorena Dias de Araujo",$B:$B,"&lt;&gt;Lucas Luiz Romero")*(20/1083),IF(C1788="Estágio",SUMIFS($D:$D,$A:$A,$A1788,$B:$B,"&lt;&gt;Patrícia Karla de Sousa Araújo",$B:$B,"&lt;&gt;Lorena Dias de Araujo",$B:$B,"&lt;&gt;Lucas Luiz Romero")*(10/1083),0)))))),0)</f>
        <v/>
      </c>
      <c r="K1788" s="3">
        <f>I1788-J1788</f>
        <v/>
      </c>
      <c r="L1788" s="3">
        <f>IF(K1788&lt;-5,"CRÍTICO",IF(K1788&lt;0,"ATENÇÃO",IF(K1788&lt;=5,"BOM","EXCELENTE")))</f>
        <v/>
      </c>
      <c r="M1788" t="n">
        <v>25</v>
      </c>
      <c r="N1788" t="n">
        <v>100</v>
      </c>
      <c r="O1788" t="n">
        <v>31.74224343675418</v>
      </c>
    </row>
    <row r="1789" hidden="1">
      <c r="A1789" s="11" t="n">
        <v>46057</v>
      </c>
      <c r="B1789" t="inlineStr">
        <is>
          <t>Ana Paula Da Luz Silva Aleixo</t>
        </is>
      </c>
      <c r="C1789" t="inlineStr">
        <is>
          <t>Técnico III</t>
        </is>
      </c>
      <c r="D1789" t="n">
        <v>39</v>
      </c>
      <c r="E1789" t="n">
        <v>38</v>
      </c>
      <c r="F1789" t="n">
        <v>18.2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M1789" t="n">
        <v>32</v>
      </c>
      <c r="N1789" t="n">
        <v>98.25</v>
      </c>
      <c r="O1789" t="n">
        <v>25.83518930957684</v>
      </c>
    </row>
    <row r="1790" hidden="1">
      <c r="A1790" s="11" t="n">
        <v>46057</v>
      </c>
      <c r="B1790" t="inlineStr">
        <is>
          <t>Anna Luiza Rezende Tavares</t>
        </is>
      </c>
      <c r="C1790" t="inlineStr">
        <is>
          <t>Estágio</t>
        </is>
      </c>
      <c r="D1790" t="n">
        <v>8</v>
      </c>
      <c r="E1790" t="n">
        <v>8</v>
      </c>
      <c r="F1790" t="n">
        <v>40.17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M1790" t="n">
        <v>8</v>
      </c>
      <c r="N1790" t="n">
        <v>97.5</v>
      </c>
      <c r="O1790" t="n">
        <v>30.07518796992481</v>
      </c>
    </row>
    <row r="1791" hidden="1">
      <c r="A1791" s="11" t="n">
        <v>46057</v>
      </c>
      <c r="B1791" t="inlineStr">
        <is>
          <t>Brenda de Menezes Silva</t>
        </is>
      </c>
      <c r="C1791" t="inlineStr">
        <is>
          <t>Técnico II</t>
        </is>
      </c>
      <c r="D1791" t="n">
        <v>37</v>
      </c>
      <c r="E1791" t="n">
        <v>34</v>
      </c>
      <c r="F1791" t="n">
        <v>17.1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M1791" t="n">
        <v>32</v>
      </c>
      <c r="N1791" t="n">
        <v>100</v>
      </c>
      <c r="O1791" t="n">
        <v>29.71311475409836</v>
      </c>
    </row>
    <row r="1792" hidden="1">
      <c r="A1792" s="11" t="n">
        <v>46057</v>
      </c>
      <c r="B1792" t="inlineStr">
        <is>
          <t>Carlos Mateus Cassimiro Nunes</t>
        </is>
      </c>
      <c r="C1792" t="inlineStr">
        <is>
          <t>Técnico II</t>
        </is>
      </c>
      <c r="D1792" t="n">
        <v>32</v>
      </c>
      <c r="E1792" t="n">
        <v>31</v>
      </c>
      <c r="F1792" t="n">
        <v>22.11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M1792" t="n">
        <v>31</v>
      </c>
      <c r="N1792" t="n">
        <v>99.22</v>
      </c>
      <c r="O1792" t="n">
        <v>35.25641025641026</v>
      </c>
    </row>
    <row r="1793" hidden="1">
      <c r="A1793" s="11" t="n">
        <v>46057</v>
      </c>
      <c r="B1793" t="inlineStr">
        <is>
          <t>Claudio de Sousa Velasco Filho</t>
        </is>
      </c>
      <c r="C1793" t="inlineStr">
        <is>
          <t>Estágio</t>
        </is>
      </c>
      <c r="D1793" t="n">
        <v>0</v>
      </c>
      <c r="E1793" t="n">
        <v>0</v>
      </c>
      <c r="F1793" t="n">
        <v>0</v>
      </c>
      <c r="G1793" t="n">
        <v>0</v>
      </c>
      <c r="H1793" t="n">
        <v>0</v>
      </c>
      <c r="I1793" s="3" t="n">
        <v>0</v>
      </c>
      <c r="J1793" s="3" t="n">
        <v>0</v>
      </c>
      <c r="K1793" s="3" t="n">
        <v>0</v>
      </c>
      <c r="L1793" s="3">
        <f>IF(K1793&lt;-5,"CRÍTICO",IF(K1793&lt;0,"ATENÇÃO",IF(K1793&lt;=5,"BOM","EXCELENTE")))</f>
        <v/>
      </c>
      <c r="M1793" t="n">
        <v>0</v>
      </c>
      <c r="N1793" t="n">
        <v>0</v>
      </c>
      <c r="O1793" t="n">
        <v>0</v>
      </c>
    </row>
    <row r="1794" hidden="1">
      <c r="A1794" s="11" t="n">
        <v>46057</v>
      </c>
      <c r="B1794" t="inlineStr">
        <is>
          <t>Clessiane Pereira dos Santos</t>
        </is>
      </c>
      <c r="C1794" t="inlineStr">
        <is>
          <t>Técnico I</t>
        </is>
      </c>
      <c r="D1794" t="n">
        <v>16</v>
      </c>
      <c r="E1794" t="n">
        <v>16</v>
      </c>
      <c r="F1794" t="n">
        <v>28.51</v>
      </c>
      <c r="G1794" t="n">
        <v>0</v>
      </c>
      <c r="H1794" t="n">
        <v>0</v>
      </c>
      <c r="I1794" s="3">
        <f>E1794+G1794+H1794</f>
        <v/>
      </c>
      <c r="J1794" s="3">
        <f>ROUND(MIN(IF(C1794="Técnico III",35,IF(C1794="Técnico II",28,IF(C1794="Técnico I",23,IF(C1794="JR",20,IF(C1794="Estágio",10,0))))),IF(C1794="Técnico III",SUMIFS($D:$D,$A:$A,$A1794,$B:$B,"&lt;&gt;Patrícia Karla de Sousa Araújo",$B:$B,"&lt;&gt;Lorena Dias de Araujo",$B:$B,"&lt;&gt;Lucas Luiz Romero")*(35/1083),IF(C1794="Técnico II",SUMIFS($D:$D,$A:$A,$A1794,$B:$B,"&lt;&gt;Patrícia Karla de Sousa Araújo",$B:$B,"&lt;&gt;Lorena Dias de Araujo",$B:$B,"&lt;&gt;Lucas Luiz Romero")*(28/1083),IF(C1794="Técnico I",SUMIFS($D:$D,$A:$A,$A1794,$B:$B,"&lt;&gt;Patrícia Karla de Sousa Araújo",$B:$B,"&lt;&gt;Lorena Dias de Araujo",$B:$B,"&lt;&gt;Lucas Luiz Romero")*(23/1083),IF(C1794="JR",SUMIFS($D:$D,$A:$A,$A1794,$B:$B,"&lt;&gt;Patrícia Karla de Sousa Araújo",$B:$B,"&lt;&gt;Lorena Dias de Araujo",$B:$B,"&lt;&gt;Lucas Luiz Romero")*(20/1083),IF(C1794="Estágio",SUMIFS($D:$D,$A:$A,$A1794,$B:$B,"&lt;&gt;Patrícia Karla de Sousa Araújo",$B:$B,"&lt;&gt;Lorena Dias de Araujo",$B:$B,"&lt;&gt;Lucas Luiz Romero")*(10/1083),0)))))),0)</f>
        <v/>
      </c>
      <c r="K1794" s="3">
        <f>I1794-J1794</f>
        <v/>
      </c>
      <c r="L1794" s="3">
        <f>IF(K1794&lt;-5,"CRÍTICO",IF(K1794&lt;0,"ATENÇÃO",IF(K1794&lt;=5,"BOM","EXCELENTE")))</f>
        <v/>
      </c>
      <c r="M1794" t="n">
        <v>16</v>
      </c>
      <c r="N1794" t="n">
        <v>98.75</v>
      </c>
      <c r="O1794" t="n">
        <v>24.32432432432433</v>
      </c>
    </row>
    <row r="1795" hidden="1">
      <c r="A1795" s="11" t="n">
        <v>46057</v>
      </c>
      <c r="B1795" t="inlineStr">
        <is>
          <t>Cristiane Ramos da Silva Rocha</t>
        </is>
      </c>
      <c r="C1795" t="inlineStr">
        <is>
          <t>Técnico III</t>
        </is>
      </c>
      <c r="D1795" t="n">
        <v>53</v>
      </c>
      <c r="E1795" t="n">
        <v>48</v>
      </c>
      <c r="F1795" t="n">
        <v>11.55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M1795" t="n">
        <v>43</v>
      </c>
      <c r="N1795" t="n">
        <v>93.48</v>
      </c>
      <c r="O1795" t="n">
        <v>31.52804642166344</v>
      </c>
    </row>
    <row r="1796" hidden="1">
      <c r="A1796" s="11" t="n">
        <v>46057</v>
      </c>
      <c r="B1796" t="inlineStr">
        <is>
          <t>Damyllis Lorraine de Oliveira Gonçalves</t>
        </is>
      </c>
      <c r="C1796" t="inlineStr">
        <is>
          <t>Técnico II</t>
        </is>
      </c>
      <c r="D1796" t="n">
        <v>46</v>
      </c>
      <c r="E1796" t="n">
        <v>41</v>
      </c>
      <c r="F1796" t="n">
        <v>15.37</v>
      </c>
      <c r="G1796" t="n">
        <v>0</v>
      </c>
      <c r="H1796" t="n">
        <v>0</v>
      </c>
      <c r="I1796" s="3" t="n">
        <v>0</v>
      </c>
      <c r="J1796" s="3" t="n">
        <v>0</v>
      </c>
      <c r="K1796" s="3" t="n">
        <v>0</v>
      </c>
      <c r="L1796" s="3">
        <f>IF(K1796&lt;-5,"CRÍTICO",IF(K1796&lt;0,"ATENÇÃO",IF(K1796&lt;=5,"BOM","EXCELENTE")))</f>
        <v/>
      </c>
      <c r="M1796" t="n">
        <v>38</v>
      </c>
      <c r="N1796" t="n">
        <v>99.16</v>
      </c>
      <c r="O1796" t="n">
        <v>26.13908872901678</v>
      </c>
    </row>
    <row r="1797" hidden="1">
      <c r="A1797" s="11" t="n">
        <v>46057</v>
      </c>
      <c r="B1797" t="inlineStr">
        <is>
          <t>Daniel Gomes da Silva</t>
        </is>
      </c>
      <c r="C1797" t="inlineStr">
        <is>
          <t>Técnico I</t>
        </is>
      </c>
      <c r="D1797" t="n">
        <v>12</v>
      </c>
      <c r="E1797" t="n">
        <v>12</v>
      </c>
      <c r="F1797" t="n">
        <v>32.35</v>
      </c>
      <c r="G1797" t="n">
        <v>0</v>
      </c>
      <c r="H1797" t="n">
        <v>0</v>
      </c>
      <c r="I1797" s="3">
        <f>E1797+G1797+H1797</f>
        <v/>
      </c>
      <c r="J1797" s="3">
        <f>ROUND(MIN(IF(C1797="Técnico III",35,IF(C1797="Técnico II",28,IF(C1797="Técnico I",23,IF(C1797="JR",20,IF(C1797="Estágio",10,0))))),IF(C1797="Técnico III",SUMIFS($D:$D,$A:$A,$A1797,$B:$B,"&lt;&gt;Patrícia Karla de Sousa Araújo",$B:$B,"&lt;&gt;Lorena Dias de Araujo",$B:$B,"&lt;&gt;Lucas Luiz Romero")*(35/1083),IF(C1797="Técnico II",SUMIFS($D:$D,$A:$A,$A1797,$B:$B,"&lt;&gt;Patrícia Karla de Sousa Araújo",$B:$B,"&lt;&gt;Lorena Dias de Araujo",$B:$B,"&lt;&gt;Lucas Luiz Romero")*(28/1083),IF(C1797="Técnico I",SUMIFS($D:$D,$A:$A,$A1797,$B:$B,"&lt;&gt;Patrícia Karla de Sousa Araújo",$B:$B,"&lt;&gt;Lorena Dias de Araujo",$B:$B,"&lt;&gt;Lucas Luiz Romero")*(23/1083),IF(C1797="JR",SUMIFS($D:$D,$A:$A,$A1797,$B:$B,"&lt;&gt;Patrícia Karla de Sousa Araújo",$B:$B,"&lt;&gt;Lorena Dias de Araujo",$B:$B,"&lt;&gt;Lucas Luiz Romero")*(20/1083),IF(C1797="Estágio",SUMIFS($D:$D,$A:$A,$A1797,$B:$B,"&lt;&gt;Patrícia Karla de Sousa Araújo",$B:$B,"&lt;&gt;Lorena Dias de Araujo",$B:$B,"&lt;&gt;Lucas Luiz Romero")*(10/1083),0)))))),0)</f>
        <v/>
      </c>
      <c r="K1797" s="3">
        <f>I1797-J1797</f>
        <v/>
      </c>
      <c r="L1797" s="3">
        <f>IF(K1797&lt;-5,"CRÍTICO",IF(K1797&lt;0,"ATENÇÃO",IF(K1797&lt;=5,"BOM","EXCELENTE")))</f>
        <v/>
      </c>
      <c r="M1797" t="n">
        <v>18</v>
      </c>
      <c r="N1797" t="n">
        <v>100</v>
      </c>
      <c r="O1797" t="n">
        <v>31.08974358974359</v>
      </c>
    </row>
    <row r="1798" hidden="1">
      <c r="A1798" s="11" t="n">
        <v>46057</v>
      </c>
      <c r="B1798" t="inlineStr">
        <is>
          <t>Davylla Rodrigues Freitas Silva</t>
        </is>
      </c>
      <c r="C1798" t="inlineStr">
        <is>
          <t>Técnico III</t>
        </is>
      </c>
      <c r="D1798" t="n">
        <v>34</v>
      </c>
      <c r="E1798" t="n">
        <v>33</v>
      </c>
      <c r="F1798" t="n">
        <v>20.39</v>
      </c>
      <c r="G1798" t="n">
        <v>0</v>
      </c>
      <c r="H1798" t="n">
        <v>0</v>
      </c>
      <c r="I1798" s="3" t="n">
        <v>0</v>
      </c>
      <c r="J1798" s="3" t="n">
        <v>0</v>
      </c>
      <c r="K1798" s="3" t="n">
        <v>0</v>
      </c>
      <c r="L1798" s="3">
        <f>IF(K1798&lt;-5,"CRÍTICO",IF(K1798&lt;0,"ATENÇÃO",IF(K1798&lt;=5,"BOM","EXCELENTE")))</f>
        <v/>
      </c>
      <c r="M1798" t="n">
        <v>33</v>
      </c>
      <c r="N1798" t="n">
        <v>98.11</v>
      </c>
      <c r="O1798" t="n">
        <v>33.03370786516854</v>
      </c>
    </row>
    <row r="1799" hidden="1">
      <c r="A1799" s="11" t="n">
        <v>46057</v>
      </c>
      <c r="B1799" t="inlineStr">
        <is>
          <t>Emilly Caylane Costa</t>
        </is>
      </c>
      <c r="C1799" t="inlineStr">
        <is>
          <t>Estágio</t>
        </is>
      </c>
      <c r="D1799" t="n">
        <v>5</v>
      </c>
      <c r="E1799" t="n">
        <v>5</v>
      </c>
      <c r="F1799" t="n">
        <v>60.41</v>
      </c>
      <c r="G1799" t="n">
        <v>0</v>
      </c>
      <c r="H1799" t="n">
        <v>0</v>
      </c>
      <c r="I1799" s="3">
        <f>E1799+G1799+H1799</f>
        <v/>
      </c>
      <c r="J1799" s="3">
        <f>ROUND(MIN(IF(C1799="Técnico III",35,IF(C1799="Técnico II",28,IF(C1799="Técnico I",23,IF(C1799="JR",20,IF(C1799="Estágio",10,0))))),IF(C1799="Técnico III",SUMIFS($D:$D,$A:$A,$A1799,$B:$B,"&lt;&gt;Patrícia Karla de Sousa Araújo",$B:$B,"&lt;&gt;Lorena Dias de Araujo",$B:$B,"&lt;&gt;Lucas Luiz Romero")*(35/1083),IF(C1799="Técnico II",SUMIFS($D:$D,$A:$A,$A1799,$B:$B,"&lt;&gt;Patrícia Karla de Sousa Araújo",$B:$B,"&lt;&gt;Lorena Dias de Araujo",$B:$B,"&lt;&gt;Lucas Luiz Romero")*(28/1083),IF(C1799="Técnico I",SUMIFS($D:$D,$A:$A,$A1799,$B:$B,"&lt;&gt;Patrícia Karla de Sousa Araújo",$B:$B,"&lt;&gt;Lorena Dias de Araujo",$B:$B,"&lt;&gt;Lucas Luiz Romero")*(23/1083),IF(C1799="JR",SUMIFS($D:$D,$A:$A,$A1799,$B:$B,"&lt;&gt;Patrícia Karla de Sousa Araújo",$B:$B,"&lt;&gt;Lorena Dias de Araujo",$B:$B,"&lt;&gt;Lucas Luiz Romero")*(20/1083),IF(C1799="Estágio",SUMIFS($D:$D,$A:$A,$A1799,$B:$B,"&lt;&gt;Patrícia Karla de Sousa Araújo",$B:$B,"&lt;&gt;Lorena Dias de Araujo",$B:$B,"&lt;&gt;Lucas Luiz Romero")*(10/1083),0)))))),0)</f>
        <v/>
      </c>
      <c r="K1799" s="3">
        <f>I1799-J1799</f>
        <v/>
      </c>
      <c r="L1799" s="3">
        <f>IF(K1799&lt;-5,"CRÍTICO",IF(K1799&lt;0,"ATENÇÃO",IF(K1799&lt;=5,"BOM","EXCELENTE")))</f>
        <v/>
      </c>
      <c r="M1799" t="n">
        <v>3</v>
      </c>
      <c r="N1799" t="n">
        <v>78.95</v>
      </c>
      <c r="O1799" t="n">
        <v>38.98305084745763</v>
      </c>
    </row>
    <row r="1800" hidden="1">
      <c r="A1800" s="11" t="n">
        <v>46057</v>
      </c>
      <c r="B1800" t="inlineStr">
        <is>
          <t>Emilly Kamilly Medeiros Miranda</t>
        </is>
      </c>
      <c r="C1800" t="inlineStr">
        <is>
          <t>Técnico II</t>
        </is>
      </c>
      <c r="D1800" t="n">
        <v>24</v>
      </c>
      <c r="E1800" t="n">
        <v>23</v>
      </c>
      <c r="F1800" t="n">
        <v>15.27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M1800" t="n">
        <v>20</v>
      </c>
      <c r="N1800" t="n">
        <v>98.45</v>
      </c>
      <c r="O1800" t="n">
        <v>29.2817679558011</v>
      </c>
    </row>
    <row r="1801" hidden="1">
      <c r="A1801" s="11" t="n">
        <v>46057</v>
      </c>
      <c r="B1801" t="inlineStr">
        <is>
          <t>Francielson de Oliveira</t>
        </is>
      </c>
      <c r="C1801" t="inlineStr">
        <is>
          <t>Técnico III</t>
        </is>
      </c>
      <c r="D1801" t="n">
        <v>27</v>
      </c>
      <c r="E1801" t="n">
        <v>27</v>
      </c>
      <c r="F1801" t="n">
        <v>19.13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M1801" t="n">
        <v>27</v>
      </c>
      <c r="N1801" t="n">
        <v>97.84</v>
      </c>
      <c r="O1801" t="n">
        <v>26.28205128205128</v>
      </c>
    </row>
    <row r="1802" hidden="1">
      <c r="A1802" s="11" t="n">
        <v>46057</v>
      </c>
      <c r="B1802" t="inlineStr">
        <is>
          <t>Francilene Ferreira de Jesus</t>
        </is>
      </c>
      <c r="C1802" t="inlineStr">
        <is>
          <t>Técnico II</t>
        </is>
      </c>
      <c r="D1802" t="n">
        <v>51</v>
      </c>
      <c r="E1802" t="n">
        <v>48</v>
      </c>
      <c r="F1802" t="n">
        <v>15.21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M1802" t="n">
        <v>47</v>
      </c>
      <c r="N1802" t="n">
        <v>98.5</v>
      </c>
      <c r="O1802" t="n">
        <v>23.97769516728625</v>
      </c>
    </row>
    <row r="1803" hidden="1">
      <c r="A1803" s="11" t="n">
        <v>46091</v>
      </c>
      <c r="B1803" t="inlineStr">
        <is>
          <t>Gabriel Gomes de Andrade</t>
        </is>
      </c>
      <c r="C1803" t="inlineStr">
        <is>
          <t>Técnico I</t>
        </is>
      </c>
      <c r="D1803" t="n">
        <v>13</v>
      </c>
      <c r="E1803" t="n">
        <v>11</v>
      </c>
      <c r="F1803" t="n">
        <v>17.06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M1803" t="n">
        <v>15</v>
      </c>
      <c r="N1803" t="n">
        <v>99.05</v>
      </c>
      <c r="O1803" t="n">
        <v>26.62192393736018</v>
      </c>
    </row>
    <row r="1804" hidden="1">
      <c r="A1804" s="11" t="n">
        <v>46057</v>
      </c>
      <c r="B1804" t="inlineStr">
        <is>
          <t>Isabella Borges de Oliveira</t>
        </is>
      </c>
      <c r="C1804" t="inlineStr">
        <is>
          <t>Técnico II</t>
        </is>
      </c>
      <c r="D1804" t="n">
        <v>33</v>
      </c>
      <c r="E1804" t="n">
        <v>32</v>
      </c>
      <c r="F1804" t="n">
        <v>21.57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M1804" t="n">
        <v>30</v>
      </c>
      <c r="N1804" t="n">
        <v>98.53</v>
      </c>
      <c r="O1804" t="n">
        <v>31.57894736842105</v>
      </c>
    </row>
    <row r="1805" hidden="1">
      <c r="A1805" s="11" t="n">
        <v>46057</v>
      </c>
      <c r="B1805" t="inlineStr">
        <is>
          <t>Janaina Lima dos Reis Urany</t>
        </is>
      </c>
      <c r="C1805" t="inlineStr">
        <is>
          <t>Técnico III</t>
        </is>
      </c>
      <c r="D1805" t="n">
        <v>57</v>
      </c>
      <c r="E1805" t="n">
        <v>53</v>
      </c>
      <c r="F1805" t="n">
        <v>11.55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M1805" t="n">
        <v>55</v>
      </c>
      <c r="N1805" t="n">
        <v>100</v>
      </c>
      <c r="O1805" t="n">
        <v>25.72214580467676</v>
      </c>
    </row>
    <row r="1806" hidden="1">
      <c r="A1806" s="11" t="n">
        <v>46057</v>
      </c>
      <c r="B1806" t="inlineStr">
        <is>
          <t>Jaqueline Evangelista da Silva Martins</t>
        </is>
      </c>
      <c r="C1806" t="inlineStr">
        <is>
          <t>Técnico III</t>
        </is>
      </c>
      <c r="D1806" t="n">
        <v>50</v>
      </c>
      <c r="E1806" t="n">
        <v>46</v>
      </c>
      <c r="F1806" t="n">
        <v>10.35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M1806" t="n">
        <v>41</v>
      </c>
      <c r="N1806" t="n">
        <v>94.64</v>
      </c>
      <c r="O1806" t="n">
        <v>27.52941176470588</v>
      </c>
    </row>
    <row r="1807" hidden="1">
      <c r="A1807" s="11" t="n">
        <v>46057</v>
      </c>
      <c r="B1807" t="inlineStr">
        <is>
          <t>Jessica Faria da Silveira</t>
        </is>
      </c>
      <c r="C1807" t="inlineStr">
        <is>
          <t>Técnico II</t>
        </is>
      </c>
      <c r="D1807" t="n">
        <v>41</v>
      </c>
      <c r="E1807" t="n">
        <v>33</v>
      </c>
      <c r="F1807" t="n">
        <v>13.59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M1807" t="n">
        <v>31</v>
      </c>
      <c r="N1807" t="n">
        <v>99.06999999999999</v>
      </c>
      <c r="O1807" t="n">
        <v>26.3768115942029</v>
      </c>
    </row>
    <row r="1808" hidden="1">
      <c r="A1808" s="11" t="n">
        <v>46057</v>
      </c>
      <c r="B1808" t="inlineStr">
        <is>
          <t>Jéssica Fé Moura</t>
        </is>
      </c>
      <c r="C1808" t="inlineStr">
        <is>
          <t>Técnico III</t>
        </is>
      </c>
      <c r="D1808" t="n">
        <v>0</v>
      </c>
      <c r="E1808" t="n">
        <v>0</v>
      </c>
      <c r="F1808" t="n">
        <v>0</v>
      </c>
      <c r="G1808" t="n">
        <v>0</v>
      </c>
      <c r="H1808" t="n">
        <v>0</v>
      </c>
      <c r="I1808" s="3" t="n">
        <v>0</v>
      </c>
      <c r="J1808" s="3" t="n">
        <v>0</v>
      </c>
      <c r="K1808" s="3" t="n">
        <v>0</v>
      </c>
      <c r="L1808" s="3">
        <f>IF(K1808&lt;-5,"CRÍTICO",IF(K1808&lt;0,"ATENÇÃO",IF(K1808&lt;=5,"BOM","EXCELENTE")))</f>
        <v/>
      </c>
      <c r="M1808" t="n">
        <v>0</v>
      </c>
      <c r="N1808" t="n">
        <v>100</v>
      </c>
      <c r="O1808" t="n">
        <v>0</v>
      </c>
    </row>
    <row r="1809" hidden="1">
      <c r="A1809" s="11" t="n">
        <v>46057</v>
      </c>
      <c r="B1809" t="inlineStr">
        <is>
          <t>Karina Gonçalves Martins</t>
        </is>
      </c>
      <c r="C1809" t="inlineStr">
        <is>
          <t>JR</t>
        </is>
      </c>
      <c r="D1809" t="n">
        <v>17</v>
      </c>
      <c r="E1809" t="n">
        <v>17</v>
      </c>
      <c r="F1809" t="n">
        <v>30.12</v>
      </c>
      <c r="G1809" t="n">
        <v>0</v>
      </c>
      <c r="H1809" t="n">
        <v>0</v>
      </c>
      <c r="I1809" s="3">
        <f>E1809+G1809+H1809</f>
        <v/>
      </c>
      <c r="J1809" s="3">
        <f>ROUND(MIN(IF(C1809="Técnico III",35,IF(C1809="Técnico II",28,IF(C1809="Técnico I",23,IF(C1809="JR",20,IF(C1809="Estágio",10,0))))),IF(C1809="Técnico III",SUMIFS($D:$D,$A:$A,$A1809,$B:$B,"&lt;&gt;Patrícia Karla de Sousa Araújo",$B:$B,"&lt;&gt;Lorena Dias de Araujo",$B:$B,"&lt;&gt;Lucas Luiz Romero")*(35/1083),IF(C1809="Técnico II",SUMIFS($D:$D,$A:$A,$A1809,$B:$B,"&lt;&gt;Patrícia Karla de Sousa Araújo",$B:$B,"&lt;&gt;Lorena Dias de Araujo",$B:$B,"&lt;&gt;Lucas Luiz Romero")*(28/1083),IF(C1809="Técnico I",SUMIFS($D:$D,$A:$A,$A1809,$B:$B,"&lt;&gt;Patrícia Karla de Sousa Araújo",$B:$B,"&lt;&gt;Lorena Dias de Araujo",$B:$B,"&lt;&gt;Lucas Luiz Romero")*(23/1083),IF(C1809="JR",SUMIFS($D:$D,$A:$A,$A1809,$B:$B,"&lt;&gt;Patrícia Karla de Sousa Araújo",$B:$B,"&lt;&gt;Lorena Dias de Araujo",$B:$B,"&lt;&gt;Lucas Luiz Romero")*(20/1083),IF(C1809="Estágio",SUMIFS($D:$D,$A:$A,$A1809,$B:$B,"&lt;&gt;Patrícia Karla de Sousa Araújo",$B:$B,"&lt;&gt;Lorena Dias de Araujo",$B:$B,"&lt;&gt;Lucas Luiz Romero")*(10/1083),0)))))),0)</f>
        <v/>
      </c>
      <c r="K1809" s="3">
        <f>I1809-J1809</f>
        <v/>
      </c>
      <c r="L1809" s="3">
        <f>IF(K1809&lt;-5,"CRÍTICO",IF(K1809&lt;0,"ATENÇÃO",IF(K1809&lt;=5,"BOM","EXCELENTE")))</f>
        <v/>
      </c>
      <c r="M1809" t="n">
        <v>15</v>
      </c>
      <c r="N1809" t="n">
        <v>98.48</v>
      </c>
      <c r="O1809" t="n">
        <v>27.85388127853881</v>
      </c>
    </row>
    <row r="1810" hidden="1">
      <c r="A1810" s="11" t="n">
        <v>46057</v>
      </c>
      <c r="B1810" t="inlineStr">
        <is>
          <t>Kerollen Cristielly de Jesus Siqueira</t>
        </is>
      </c>
      <c r="C1810" t="inlineStr">
        <is>
          <t>Técnico III</t>
        </is>
      </c>
      <c r="D1810" t="n">
        <v>33</v>
      </c>
      <c r="E1810" t="n">
        <v>31</v>
      </c>
      <c r="F1810" t="n">
        <v>18.4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M1810" t="n">
        <v>30</v>
      </c>
      <c r="N1810" t="n">
        <v>95.15000000000001</v>
      </c>
      <c r="O1810" t="n">
        <v>34.13173652694611</v>
      </c>
    </row>
    <row r="1811" hidden="1">
      <c r="A1811" s="11" t="n">
        <v>46057</v>
      </c>
      <c r="B1811" t="inlineStr">
        <is>
          <t>Leandro de Souza Silva</t>
        </is>
      </c>
      <c r="C1811" t="inlineStr">
        <is>
          <t>JR</t>
        </is>
      </c>
      <c r="D1811" t="n">
        <v>0</v>
      </c>
      <c r="E1811" t="n">
        <v>0</v>
      </c>
      <c r="F1811" t="n">
        <v>0</v>
      </c>
      <c r="G1811" t="n">
        <v>0</v>
      </c>
      <c r="H1811" t="n">
        <v>0</v>
      </c>
      <c r="I1811" s="3" t="n">
        <v>0</v>
      </c>
      <c r="J1811" s="3" t="n">
        <v>0</v>
      </c>
      <c r="K1811" s="3" t="n">
        <v>0</v>
      </c>
      <c r="L1811" s="3">
        <f>IF(K1811&lt;-5,"CRÍTICO",IF(K1811&lt;0,"ATENÇÃO",IF(K1811&lt;=5,"BOM","EXCELENTE")))</f>
        <v/>
      </c>
      <c r="M1811" t="n">
        <v>0</v>
      </c>
      <c r="N1811" t="n">
        <v>0</v>
      </c>
      <c r="O1811" t="n">
        <v>0</v>
      </c>
    </row>
    <row r="1812" hidden="1">
      <c r="A1812" s="11" t="n">
        <v>46057</v>
      </c>
      <c r="B1812" t="inlineStr">
        <is>
          <t>Leandro Oliveira de Sousa</t>
        </is>
      </c>
      <c r="C1812" t="inlineStr">
        <is>
          <t>Técnico III</t>
        </is>
      </c>
      <c r="D1812" t="n">
        <v>29</v>
      </c>
      <c r="E1812" t="n">
        <v>26</v>
      </c>
      <c r="F1812" t="n">
        <v>23.36</v>
      </c>
      <c r="G1812" t="n">
        <v>0</v>
      </c>
      <c r="H1812" t="n">
        <v>0</v>
      </c>
      <c r="I1812" s="3">
        <f>E1812+G1812+H1812</f>
        <v/>
      </c>
      <c r="J1812" s="3">
        <f>ROUND(MIN(IF(C1812="Técnico III",35,IF(C1812="Técnico II",28,IF(C1812="Técnico I",23,IF(C1812="JR",20,IF(C1812="Estágio",10,0))))),IF(C1812="Técnico III",SUMIFS($D:$D,$A:$A,$A1812,$B:$B,"&lt;&gt;Patrícia Karla de Sousa Araújo",$B:$B,"&lt;&gt;Lorena Dias de Araujo",$B:$B,"&lt;&gt;Lucas Luiz Romero")*(35/1083),IF(C1812="Técnico II",SUMIFS($D:$D,$A:$A,$A1812,$B:$B,"&lt;&gt;Patrícia Karla de Sousa Araújo",$B:$B,"&lt;&gt;Lorena Dias de Araujo",$B:$B,"&lt;&gt;Lucas Luiz Romero")*(28/1083),IF(C1812="Técnico I",SUMIFS($D:$D,$A:$A,$A1812,$B:$B,"&lt;&gt;Patrícia Karla de Sousa Araújo",$B:$B,"&lt;&gt;Lorena Dias de Araujo",$B:$B,"&lt;&gt;Lucas Luiz Romero")*(23/1083),IF(C1812="JR",SUMIFS($D:$D,$A:$A,$A1812,$B:$B,"&lt;&gt;Patrícia Karla de Sousa Araújo",$B:$B,"&lt;&gt;Lorena Dias de Araujo",$B:$B,"&lt;&gt;Lucas Luiz Romero")*(20/1083),IF(C1812="Estágio",SUMIFS($D:$D,$A:$A,$A1812,$B:$B,"&lt;&gt;Patrícia Karla de Sousa Araújo",$B:$B,"&lt;&gt;Lorena Dias de Araujo",$B:$B,"&lt;&gt;Lucas Luiz Romero")*(10/1083),0)))))),0)</f>
        <v/>
      </c>
      <c r="K1812" s="3">
        <f>I1812-J1812</f>
        <v/>
      </c>
      <c r="L1812" s="3">
        <f>IF(K1812&lt;-5,"CRÍTICO",IF(K1812&lt;0,"ATENÇÃO",IF(K1812&lt;=5,"BOM","EXCELENTE")))</f>
        <v/>
      </c>
      <c r="M1812" t="n">
        <v>25</v>
      </c>
      <c r="N1812" t="n">
        <v>99.26000000000001</v>
      </c>
      <c r="O1812" t="n">
        <v>30.84832904884319</v>
      </c>
    </row>
    <row r="1813" hidden="1">
      <c r="A1813" s="11" t="n">
        <v>46057</v>
      </c>
      <c r="B1813" t="inlineStr">
        <is>
          <t>Lizandra Gomes Duarte</t>
        </is>
      </c>
      <c r="C1813" t="inlineStr">
        <is>
          <t>Técnico II</t>
        </is>
      </c>
      <c r="D1813" t="n">
        <v>33</v>
      </c>
      <c r="E1813" t="n">
        <v>26</v>
      </c>
      <c r="F1813" t="n">
        <v>17.24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M1813" t="n">
        <v>27</v>
      </c>
      <c r="N1813" t="n">
        <v>97.48</v>
      </c>
      <c r="O1813" t="n">
        <v>27.76470588235294</v>
      </c>
    </row>
    <row r="1814" hidden="1">
      <c r="A1814" s="11" t="n">
        <v>46057</v>
      </c>
      <c r="B1814" t="inlineStr">
        <is>
          <t>Lorena Dias de Araujo</t>
        </is>
      </c>
      <c r="C1814" t="inlineStr">
        <is>
          <t>Técnico II</t>
        </is>
      </c>
      <c r="D1814" t="n">
        <v>44</v>
      </c>
      <c r="E1814" t="n">
        <v>42</v>
      </c>
      <c r="F1814" t="n">
        <v>16.54</v>
      </c>
      <c r="G1814" t="n">
        <v>0</v>
      </c>
      <c r="H1814" t="n">
        <v>0</v>
      </c>
      <c r="I1814" s="3" t="n">
        <v>0</v>
      </c>
      <c r="J1814" s="3" t="n">
        <v>0</v>
      </c>
      <c r="K1814" s="3" t="n">
        <v>0</v>
      </c>
      <c r="L1814" s="3">
        <f>IF(K1814&lt;-5,"CRÍTICO",IF(K1814&lt;0,"ATENÇÃO",IF(K1814&lt;=5,"BOM","EXCELENTE")))</f>
        <v/>
      </c>
      <c r="M1814" t="n">
        <v>38</v>
      </c>
      <c r="N1814" t="n">
        <v>99.34</v>
      </c>
      <c r="O1814" t="n">
        <v>30.04291845493562</v>
      </c>
    </row>
    <row r="1815" hidden="1">
      <c r="A1815" s="11" t="n">
        <v>46057</v>
      </c>
      <c r="B1815" t="inlineStr">
        <is>
          <t>Lucas Luiz Romero</t>
        </is>
      </c>
      <c r="C1815" t="inlineStr">
        <is>
          <t>Técnico III</t>
        </is>
      </c>
      <c r="D1815" t="n">
        <v>40</v>
      </c>
      <c r="E1815" t="n">
        <v>34</v>
      </c>
      <c r="F1815" t="n">
        <v>14.04</v>
      </c>
      <c r="G1815" t="n">
        <v>0</v>
      </c>
      <c r="H1815" t="n">
        <v>0</v>
      </c>
      <c r="I1815" s="3">
        <f>E1815+G1815+H1815</f>
        <v/>
      </c>
      <c r="J1815" s="3">
        <f>ROUND(MIN(IF(C1815="Técnico III",35,IF(C1815="Técnico II",28,IF(C1815="Técnico I",23,IF(C1815="JR",20,IF(C1815="Estágio",10,0))))),IF(C1815="Técnico III",SUMIFS($D:$D,$A:$A,$A1815,$B:$B,"&lt;&gt;Patrícia Karla de Sousa Araújo",$B:$B,"&lt;&gt;Lorena Dias de Araujo",$B:$B,"&lt;&gt;Lucas Luiz Romero")*(35/1083),IF(C1815="Técnico II",SUMIFS($D:$D,$A:$A,$A1815,$B:$B,"&lt;&gt;Patrícia Karla de Sousa Araújo",$B:$B,"&lt;&gt;Lorena Dias de Araujo",$B:$B,"&lt;&gt;Lucas Luiz Romero")*(28/1083),IF(C1815="Técnico I",SUMIFS($D:$D,$A:$A,$A1815,$B:$B,"&lt;&gt;Patrícia Karla de Sousa Araújo",$B:$B,"&lt;&gt;Lorena Dias de Araujo",$B:$B,"&lt;&gt;Lucas Luiz Romero")*(23/1083),IF(C1815="JR",SUMIFS($D:$D,$A:$A,$A1815,$B:$B,"&lt;&gt;Patrícia Karla de Sousa Araújo",$B:$B,"&lt;&gt;Lorena Dias de Araujo",$B:$B,"&lt;&gt;Lucas Luiz Romero")*(20/1083),IF(C1815="Estágio",SUMIFS($D:$D,$A:$A,$A1815,$B:$B,"&lt;&gt;Patrícia Karla de Sousa Araújo",$B:$B,"&lt;&gt;Lorena Dias de Araujo",$B:$B,"&lt;&gt;Lucas Luiz Romero")*(10/1083),0)))))),0)</f>
        <v/>
      </c>
      <c r="K1815" s="3">
        <f>I1815-J1815</f>
        <v/>
      </c>
      <c r="L1815" s="3">
        <f>IF(K1815&lt;-5,"CRÍTICO",IF(K1815&lt;0,"ATENÇÃO",IF(K1815&lt;=5,"BOM","EXCELENTE")))</f>
        <v/>
      </c>
      <c r="M1815" t="n">
        <v>26</v>
      </c>
      <c r="N1815" t="n">
        <v>96.3</v>
      </c>
      <c r="O1815" t="n">
        <v>24.29378531073446</v>
      </c>
    </row>
    <row r="1816" hidden="1">
      <c r="A1816" s="11" t="n">
        <v>46057</v>
      </c>
      <c r="B1816" t="inlineStr">
        <is>
          <t>Luiz Fernando de Carvalho Junior</t>
        </is>
      </c>
      <c r="C1816" t="inlineStr">
        <is>
          <t>Técnico I</t>
        </is>
      </c>
      <c r="D1816" t="n">
        <v>24</v>
      </c>
      <c r="E1816" t="n">
        <v>23</v>
      </c>
      <c r="F1816" t="n">
        <v>26.48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M1816" t="n">
        <v>21</v>
      </c>
      <c r="N1816" t="n">
        <v>100</v>
      </c>
      <c r="O1816" t="n">
        <v>26.54320987654321</v>
      </c>
    </row>
    <row r="1817" hidden="1">
      <c r="A1817" s="11" t="n">
        <v>46057</v>
      </c>
      <c r="B1817" t="inlineStr">
        <is>
          <t>Maria Eduarda Sousa Costa</t>
        </is>
      </c>
      <c r="C1817" t="inlineStr">
        <is>
          <t>Estágio</t>
        </is>
      </c>
      <c r="D1817" t="n">
        <v>8</v>
      </c>
      <c r="E1817" t="n">
        <v>8</v>
      </c>
      <c r="F1817" t="n">
        <v>45.17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M1817" t="n">
        <v>6</v>
      </c>
      <c r="N1817" t="n">
        <v>100</v>
      </c>
      <c r="O1817" t="n">
        <v>35.48387096774194</v>
      </c>
    </row>
    <row r="1818" hidden="1">
      <c r="A1818" s="11" t="n">
        <v>46057</v>
      </c>
      <c r="B1818" t="inlineStr">
        <is>
          <t>Matheus Farias De Souza</t>
        </is>
      </c>
      <c r="C1818" t="inlineStr">
        <is>
          <t>Técnico III</t>
        </is>
      </c>
      <c r="D1818" t="n">
        <v>39</v>
      </c>
      <c r="E1818" t="n">
        <v>38</v>
      </c>
      <c r="F1818" t="n">
        <v>17.36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M1818" t="n">
        <v>36</v>
      </c>
      <c r="N1818" t="n">
        <v>99.27</v>
      </c>
      <c r="O1818" t="n">
        <v>31.16370808678501</v>
      </c>
    </row>
    <row r="1819" hidden="1">
      <c r="A1819" s="11" t="n">
        <v>46057</v>
      </c>
      <c r="B1819" t="inlineStr">
        <is>
          <t>Maysa Victoria Dias Moura</t>
        </is>
      </c>
      <c r="C1819" t="inlineStr">
        <is>
          <t>Técnico III</t>
        </is>
      </c>
      <c r="D1819" t="n">
        <v>33</v>
      </c>
      <c r="E1819" t="n">
        <v>31</v>
      </c>
      <c r="F1819" t="n">
        <v>17.07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M1819" t="n">
        <v>32</v>
      </c>
      <c r="N1819" t="n">
        <v>94.16</v>
      </c>
      <c r="O1819" t="n">
        <v>27.03862660944206</v>
      </c>
    </row>
    <row r="1820" hidden="1">
      <c r="A1820" s="11" t="n">
        <v>46057</v>
      </c>
      <c r="B1820" t="inlineStr">
        <is>
          <t>Michelle G Santos</t>
        </is>
      </c>
      <c r="C1820" t="inlineStr">
        <is>
          <t>Estágio</t>
        </is>
      </c>
      <c r="D1820" t="n">
        <v>15</v>
      </c>
      <c r="E1820" t="n">
        <v>15</v>
      </c>
      <c r="F1820" t="n">
        <v>40.08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M1820" t="n">
        <v>6</v>
      </c>
      <c r="N1820" t="n">
        <v>93.75</v>
      </c>
      <c r="O1820" t="n">
        <v>19.31818181818182</v>
      </c>
    </row>
    <row r="1821" hidden="1">
      <c r="A1821" s="11" t="n">
        <v>46057</v>
      </c>
      <c r="B1821" t="inlineStr">
        <is>
          <t>Milena Sales</t>
        </is>
      </c>
      <c r="C1821" t="inlineStr">
        <is>
          <t>JR</t>
        </is>
      </c>
      <c r="D1821" t="n">
        <v>0</v>
      </c>
      <c r="E1821" t="n">
        <v>0</v>
      </c>
      <c r="F1821" t="n">
        <v>0</v>
      </c>
      <c r="G1821" t="n">
        <v>0</v>
      </c>
      <c r="H1821" t="n">
        <v>0</v>
      </c>
      <c r="I1821" s="3" t="n">
        <v>0</v>
      </c>
      <c r="J1821" s="3" t="n">
        <v>0</v>
      </c>
      <c r="K1821" s="3" t="n">
        <v>0</v>
      </c>
      <c r="L1821" s="3">
        <f>IF(K1821&lt;-5,"CRÍTICO",IF(K1821&lt;0,"ATENÇÃO",IF(K1821&lt;=5,"BOM","EXCELENTE")))</f>
        <v/>
      </c>
      <c r="M1821" t="n">
        <v>0</v>
      </c>
      <c r="N1821" t="n">
        <v>0</v>
      </c>
      <c r="O1821" t="n">
        <v>0</v>
      </c>
    </row>
    <row r="1822" hidden="1">
      <c r="A1822" s="11" t="n">
        <v>46057</v>
      </c>
      <c r="B1822" t="inlineStr">
        <is>
          <t>Patrícia Karla de Sousa Araújo</t>
        </is>
      </c>
      <c r="C1822" t="inlineStr">
        <is>
          <t>Técnico II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M1822" t="n">
        <v>0</v>
      </c>
      <c r="N1822" t="n">
        <v>97.92</v>
      </c>
      <c r="O1822" t="n">
        <v>32.87671232876712</v>
      </c>
    </row>
    <row r="1823" hidden="1">
      <c r="A1823" s="11" t="n">
        <v>46057</v>
      </c>
      <c r="B1823" t="inlineStr">
        <is>
          <t>Paulo Ricardo Santos</t>
        </is>
      </c>
      <c r="C1823" t="inlineStr">
        <is>
          <t>JR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M1823" t="n">
        <v>0</v>
      </c>
      <c r="N1823" t="n">
        <v>0</v>
      </c>
      <c r="O1823" t="n">
        <v>0</v>
      </c>
    </row>
    <row r="1824" hidden="1">
      <c r="A1824" s="11" t="n">
        <v>46057</v>
      </c>
      <c r="B1824" t="inlineStr">
        <is>
          <t>Pedro Luiz Mota Sousa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M1824" t="n">
        <v>0</v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Quirino Diogo Leite Torres</t>
        </is>
      </c>
      <c r="C1825" t="inlineStr">
        <is>
          <t>Estágio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M1825" t="n">
        <v>0</v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Raane Batista Matos</t>
        </is>
      </c>
      <c r="C1826" t="inlineStr">
        <is>
          <t>Técnico I</t>
        </is>
      </c>
      <c r="D1826" t="n">
        <v>17</v>
      </c>
      <c r="E1826" t="n">
        <v>16</v>
      </c>
      <c r="F1826" t="n">
        <v>40.1</v>
      </c>
      <c r="G1826" t="n">
        <v>0</v>
      </c>
      <c r="H1826" t="n">
        <v>0</v>
      </c>
      <c r="I1826" s="3">
        <f>E1826+G1826+H1826</f>
        <v/>
      </c>
      <c r="J1826" s="3">
        <f>ROUND(MIN(IF(C1826="Técnico III",35,IF(C1826="Técnico II",28,IF(C1826="Técnico I",23,IF(C1826="JR",20,IF(C1826="Estágio",10,0))))),IF(C1826="Técnico III",SUMIFS($D:$D,$A:$A,$A1826,$B:$B,"&lt;&gt;Patrícia Karla de Sousa Araújo",$B:$B,"&lt;&gt;Lorena Dias de Araujo",$B:$B,"&lt;&gt;Lucas Luiz Romero")*(35/1083),IF(C1826="Técnico II",SUMIFS($D:$D,$A:$A,$A1826,$B:$B,"&lt;&gt;Patrícia Karla de Sousa Araújo",$B:$B,"&lt;&gt;Lorena Dias de Araujo",$B:$B,"&lt;&gt;Lucas Luiz Romero")*(28/1083),IF(C1826="Técnico I",SUMIFS($D:$D,$A:$A,$A1826,$B:$B,"&lt;&gt;Patrícia Karla de Sousa Araújo",$B:$B,"&lt;&gt;Lorena Dias de Araujo",$B:$B,"&lt;&gt;Lucas Luiz Romero")*(23/1083),IF(C1826="JR",SUMIFS($D:$D,$A:$A,$A1826,$B:$B,"&lt;&gt;Patrícia Karla de Sousa Araújo",$B:$B,"&lt;&gt;Lorena Dias de Araujo",$B:$B,"&lt;&gt;Lucas Luiz Romero")*(20/1083),IF(C1826="Estágio",SUMIFS($D:$D,$A:$A,$A1826,$B:$B,"&lt;&gt;Patrícia Karla de Sousa Araújo",$B:$B,"&lt;&gt;Lorena Dias de Araujo",$B:$B,"&lt;&gt;Lucas Luiz Romero")*(10/1083),0)))))),0)</f>
        <v/>
      </c>
      <c r="K1826" s="3">
        <f>I1826-J1826</f>
        <v/>
      </c>
      <c r="L1826" s="3">
        <f>IF(K1826&lt;-5,"CRÍTICO",IF(K1826&lt;0,"ATENÇÃO",IF(K1826&lt;=5,"BOM","EXCELENTE")))</f>
        <v/>
      </c>
      <c r="M1826" t="n">
        <v>16</v>
      </c>
      <c r="N1826" t="n">
        <v>98.51000000000001</v>
      </c>
      <c r="O1826" t="n">
        <v>29.71014492753623</v>
      </c>
    </row>
    <row r="1827" hidden="1">
      <c r="A1827" s="11" t="n">
        <v>46057</v>
      </c>
      <c r="B1827" t="inlineStr">
        <is>
          <t>Rafael Gomes de Morais</t>
        </is>
      </c>
      <c r="C1827" t="inlineStr">
        <is>
          <t>Técnico III</t>
        </is>
      </c>
      <c r="D1827" t="n">
        <v>47</v>
      </c>
      <c r="E1827" t="n">
        <v>43</v>
      </c>
      <c r="F1827" t="n">
        <v>15.02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M1827" t="n">
        <v>30</v>
      </c>
      <c r="N1827" t="n">
        <v>98.81</v>
      </c>
      <c r="O1827" t="n">
        <v>30.71297989031079</v>
      </c>
    </row>
    <row r="1828" hidden="1">
      <c r="A1828" s="11" t="n">
        <v>46057</v>
      </c>
      <c r="B1828" t="inlineStr">
        <is>
          <t>Sara Maria Monteiro Lopes</t>
        </is>
      </c>
      <c r="C1828" t="inlineStr">
        <is>
          <t>Técnico I</t>
        </is>
      </c>
      <c r="D1828" t="n">
        <v>17</v>
      </c>
      <c r="E1828" t="n">
        <v>17</v>
      </c>
      <c r="F1828" t="n">
        <v>31.47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M1828" t="n">
        <v>16</v>
      </c>
      <c r="N1828" t="n">
        <v>98.48</v>
      </c>
      <c r="O1828" t="n">
        <v>29.35323383084577</v>
      </c>
    </row>
    <row r="1829" hidden="1">
      <c r="A1829" s="11" t="n">
        <v>46057</v>
      </c>
      <c r="B1829" t="inlineStr">
        <is>
          <t>Sarah Steffanie de Lima Borges</t>
        </is>
      </c>
      <c r="C1829" t="inlineStr">
        <is>
          <t>Técnico III</t>
        </is>
      </c>
      <c r="D1829" t="n">
        <v>39</v>
      </c>
      <c r="E1829" t="n">
        <v>37</v>
      </c>
      <c r="F1829" t="n">
        <v>14.12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M1829" t="n">
        <v>36</v>
      </c>
      <c r="N1829" t="n">
        <v>98.56</v>
      </c>
      <c r="O1829" t="n">
        <v>29.37365010799136</v>
      </c>
    </row>
    <row r="1830" hidden="1">
      <c r="A1830" s="11" t="n">
        <v>46058</v>
      </c>
      <c r="B1830" t="inlineStr">
        <is>
          <t>Alisson de Freitas Silva</t>
        </is>
      </c>
      <c r="C1830" t="inlineStr">
        <is>
          <t>Técnico II</t>
        </is>
      </c>
      <c r="D1830" t="n">
        <v>36</v>
      </c>
      <c r="E1830" t="n">
        <v>34</v>
      </c>
      <c r="F1830" t="n">
        <v>15.2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M1830" t="n">
        <v>33</v>
      </c>
      <c r="N1830" t="n">
        <v>98.31999999999999</v>
      </c>
      <c r="O1830" t="n">
        <v>30.3030303030303</v>
      </c>
    </row>
    <row r="1831" hidden="1">
      <c r="A1831" s="11" t="n">
        <v>46058</v>
      </c>
      <c r="B1831" t="inlineStr">
        <is>
          <t>Amanda Moura Ferreira</t>
        </is>
      </c>
      <c r="C1831" t="inlineStr">
        <is>
          <t>Técnico III</t>
        </is>
      </c>
      <c r="D1831" t="n">
        <v>0</v>
      </c>
      <c r="E1831" t="n">
        <v>0</v>
      </c>
      <c r="F1831" t="n">
        <v>0</v>
      </c>
      <c r="G1831" t="n">
        <v>0</v>
      </c>
      <c r="H1831" t="n">
        <v>0</v>
      </c>
      <c r="I1831" s="3" t="n">
        <v>0</v>
      </c>
      <c r="J1831" s="3" t="n">
        <v>0</v>
      </c>
      <c r="K1831" s="3" t="n">
        <v>0</v>
      </c>
      <c r="L1831" s="3">
        <f>IF(K1831&lt;-5,"CRÍTICO",IF(K1831&lt;0,"ATENÇÃO",IF(K1831&lt;=5,"BOM","EXCELENTE")))</f>
        <v/>
      </c>
      <c r="M1831" t="n">
        <v>40</v>
      </c>
      <c r="N1831" t="n">
        <v>98.68000000000001</v>
      </c>
      <c r="O1831" t="n">
        <v>26.21951219512195</v>
      </c>
    </row>
    <row r="1832" hidden="1">
      <c r="A1832" s="11" t="n">
        <v>46058</v>
      </c>
      <c r="B1832" t="inlineStr">
        <is>
          <t>Ana Karollyne Souza Faria</t>
        </is>
      </c>
      <c r="C1832" t="inlineStr">
        <is>
          <t>Técnico I</t>
        </is>
      </c>
      <c r="D1832" t="n">
        <v>42</v>
      </c>
      <c r="E1832" t="n">
        <v>40</v>
      </c>
      <c r="F1832" t="n">
        <v>17.07</v>
      </c>
      <c r="G1832" t="n">
        <v>0</v>
      </c>
      <c r="H1832" t="n">
        <v>0</v>
      </c>
      <c r="I1832" s="3">
        <f>E1832+G1832+H1832</f>
        <v/>
      </c>
      <c r="J1832" s="3">
        <f>ROUND(MIN(IF(C1832="Técnico III",35,IF(C1832="Técnico II",28,IF(C1832="Técnico I",23,IF(C1832="JR",20,IF(C1832="Estágio",10,0))))),IF(C1832="Técnico III",SUMIFS($D:$D,$A:$A,$A1832,$B:$B,"&lt;&gt;Patrícia Karla de Sousa Araújo",$B:$B,"&lt;&gt;Lorena Dias de Araujo",$B:$B,"&lt;&gt;Lucas Luiz Romero")*(35/1083),IF(C1832="Técnico II",SUMIFS($D:$D,$A:$A,$A1832,$B:$B,"&lt;&gt;Patrícia Karla de Sousa Araújo",$B:$B,"&lt;&gt;Lorena Dias de Araujo",$B:$B,"&lt;&gt;Lucas Luiz Romero")*(28/1083),IF(C1832="Técnico I",SUMIFS($D:$D,$A:$A,$A1832,$B:$B,"&lt;&gt;Patrícia Karla de Sousa Araújo",$B:$B,"&lt;&gt;Lorena Dias de Araujo",$B:$B,"&lt;&gt;Lucas Luiz Romero")*(23/1083),IF(C1832="JR",SUMIFS($D:$D,$A:$A,$A1832,$B:$B,"&lt;&gt;Patrícia Karla de Sousa Araújo",$B:$B,"&lt;&gt;Lorena Dias de Araujo",$B:$B,"&lt;&gt;Lucas Luiz Romero")*(20/1083),IF(C1832="Estágio",SUMIFS($D:$D,$A:$A,$A1832,$B:$B,"&lt;&gt;Patrícia Karla de Sousa Araújo",$B:$B,"&lt;&gt;Lorena Dias de Araujo",$B:$B,"&lt;&gt;Lucas Luiz Romero")*(10/1083),0)))))),0)</f>
        <v/>
      </c>
      <c r="K1832" s="3">
        <f>I1832-J1832</f>
        <v/>
      </c>
      <c r="L1832" s="3">
        <f>IF(K1832&lt;-5,"CRÍTICO",IF(K1832&lt;0,"ATENÇÃO",IF(K1832&lt;=5,"BOM","EXCELENTE")))</f>
        <v/>
      </c>
      <c r="M1832" t="n">
        <v>38</v>
      </c>
      <c r="N1832" t="n">
        <v>100</v>
      </c>
      <c r="O1832" t="n">
        <v>31.74224343675418</v>
      </c>
    </row>
    <row r="1833" hidden="1">
      <c r="A1833" s="11" t="n">
        <v>46058</v>
      </c>
      <c r="B1833" t="inlineStr">
        <is>
          <t>Ana Paula Da Luz Silva Aleixo</t>
        </is>
      </c>
      <c r="C1833" t="inlineStr">
        <is>
          <t>Técnico III</t>
        </is>
      </c>
      <c r="D1833" t="n">
        <v>42</v>
      </c>
      <c r="E1833" t="n">
        <v>40</v>
      </c>
      <c r="F1833" t="n">
        <v>17.06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M1833" t="n">
        <v>39</v>
      </c>
      <c r="N1833" t="n">
        <v>98.25</v>
      </c>
      <c r="O1833" t="n">
        <v>25.83518930957684</v>
      </c>
    </row>
    <row r="1834" hidden="1">
      <c r="A1834" s="11" t="n">
        <v>46058</v>
      </c>
      <c r="B1834" t="inlineStr">
        <is>
          <t>Anna Luiza Rezende Tavares</t>
        </is>
      </c>
      <c r="C1834" t="inlineStr">
        <is>
          <t>Estágio</t>
        </is>
      </c>
      <c r="D1834" t="n">
        <v>0</v>
      </c>
      <c r="E1834" t="n">
        <v>0</v>
      </c>
      <c r="F1834" t="n">
        <v>0</v>
      </c>
      <c r="G1834" t="n">
        <v>0</v>
      </c>
      <c r="H1834" t="n">
        <v>0</v>
      </c>
      <c r="I1834" s="3" t="n">
        <v>0</v>
      </c>
      <c r="J1834" s="3" t="n">
        <v>0</v>
      </c>
      <c r="K1834" s="3" t="n">
        <v>0</v>
      </c>
      <c r="L1834" s="3">
        <f>IF(K1834&lt;-5,"CRÍTICO",IF(K1834&lt;0,"ATENÇÃO",IF(K1834&lt;=5,"BOM","EXCELENTE")))</f>
        <v/>
      </c>
      <c r="M1834" t="n">
        <v>0</v>
      </c>
      <c r="N1834" t="n">
        <v>97.5</v>
      </c>
      <c r="O1834" t="n">
        <v>30.07518796992481</v>
      </c>
    </row>
    <row r="1835" hidden="1">
      <c r="A1835" s="11" t="n">
        <v>46058</v>
      </c>
      <c r="B1835" t="inlineStr">
        <is>
          <t>Brenda de Menezes Silva</t>
        </is>
      </c>
      <c r="C1835" t="inlineStr">
        <is>
          <t>Técnico II</t>
        </is>
      </c>
      <c r="D1835" t="n">
        <v>31</v>
      </c>
      <c r="E1835" t="n">
        <v>30</v>
      </c>
      <c r="F1835" t="n">
        <v>19.08</v>
      </c>
      <c r="G1835" t="n">
        <v>0</v>
      </c>
      <c r="H1835" t="n">
        <v>0</v>
      </c>
      <c r="I1835" s="3">
        <f>E1835+G1835+H1835</f>
        <v/>
      </c>
      <c r="J1835" s="3">
        <f>ROUND(MIN(IF(C1835="Técnico III",35,IF(C1835="Técnico II",28,IF(C1835="Técnico I",23,IF(C1835="JR",20,IF(C1835="Estágio",10,0))))),IF(C1835="Técnico III",SUMIFS($D:$D,$A:$A,$A1835,$B:$B,"&lt;&gt;Patrícia Karla de Sousa Araújo",$B:$B,"&lt;&gt;Lorena Dias de Araujo",$B:$B,"&lt;&gt;Lucas Luiz Romero")*(35/1083),IF(C1835="Técnico II",SUMIFS($D:$D,$A:$A,$A1835,$B:$B,"&lt;&gt;Patrícia Karla de Sousa Araújo",$B:$B,"&lt;&gt;Lorena Dias de Araujo",$B:$B,"&lt;&gt;Lucas Luiz Romero")*(28/1083),IF(C1835="Técnico I",SUMIFS($D:$D,$A:$A,$A1835,$B:$B,"&lt;&gt;Patrícia Karla de Sousa Araújo",$B:$B,"&lt;&gt;Lorena Dias de Araujo",$B:$B,"&lt;&gt;Lucas Luiz Romero")*(23/1083),IF(C1835="JR",SUMIFS($D:$D,$A:$A,$A1835,$B:$B,"&lt;&gt;Patrícia Karla de Sousa Araújo",$B:$B,"&lt;&gt;Lorena Dias de Araujo",$B:$B,"&lt;&gt;Lucas Luiz Romero")*(20/1083),IF(C1835="Estágio",SUMIFS($D:$D,$A:$A,$A1835,$B:$B,"&lt;&gt;Patrícia Karla de Sousa Araújo",$B:$B,"&lt;&gt;Lorena Dias de Araujo",$B:$B,"&lt;&gt;Lucas Luiz Romero")*(10/1083),0)))))),0)</f>
        <v/>
      </c>
      <c r="K1835" s="3">
        <f>I1835-J1835</f>
        <v/>
      </c>
      <c r="L1835" s="3">
        <f>IF(K1835&lt;-5,"CRÍTICO",IF(K1835&lt;0,"ATENÇÃO",IF(K1835&lt;=5,"BOM","EXCELENTE")))</f>
        <v/>
      </c>
      <c r="M1835" t="n">
        <v>30</v>
      </c>
      <c r="N1835" t="n">
        <v>100</v>
      </c>
      <c r="O1835" t="n">
        <v>29.71311475409836</v>
      </c>
    </row>
    <row r="1836" hidden="1">
      <c r="A1836" s="11" t="n">
        <v>46058</v>
      </c>
      <c r="B1836" t="inlineStr">
        <is>
          <t>Carlos Mateus Cassimiro Nunes</t>
        </is>
      </c>
      <c r="C1836" t="inlineStr">
        <is>
          <t>Técnico II</t>
        </is>
      </c>
      <c r="D1836" t="n">
        <v>18</v>
      </c>
      <c r="E1836" t="n">
        <v>16</v>
      </c>
      <c r="F1836" t="n">
        <v>43.34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M1836" t="n">
        <v>17</v>
      </c>
      <c r="N1836" t="n">
        <v>99.22</v>
      </c>
      <c r="O1836" t="n">
        <v>35.25641025641026</v>
      </c>
    </row>
    <row r="1837" hidden="1">
      <c r="A1837" s="11" t="n">
        <v>46058</v>
      </c>
      <c r="B1837" t="inlineStr">
        <is>
          <t>Claudio de Sousa Velasco Filho</t>
        </is>
      </c>
      <c r="C1837" t="inlineStr">
        <is>
          <t>Estágio</t>
        </is>
      </c>
      <c r="D1837" t="n">
        <v>0</v>
      </c>
      <c r="E1837" t="n">
        <v>0</v>
      </c>
      <c r="F1837" t="n">
        <v>0</v>
      </c>
      <c r="G1837" t="n">
        <v>0</v>
      </c>
      <c r="H1837" t="n">
        <v>0</v>
      </c>
      <c r="I1837" s="3" t="n">
        <v>0</v>
      </c>
      <c r="J1837" s="3" t="n">
        <v>0</v>
      </c>
      <c r="K1837" s="3" t="n">
        <v>0</v>
      </c>
      <c r="L1837" s="3">
        <f>IF(K1837&lt;-5,"CRÍTICO",IF(K1837&lt;0,"ATENÇÃO",IF(K1837&lt;=5,"BOM","EXCELENTE")))</f>
        <v/>
      </c>
      <c r="M1837" t="n">
        <v>0</v>
      </c>
      <c r="N1837" t="n">
        <v>0</v>
      </c>
      <c r="O1837" t="n">
        <v>0</v>
      </c>
    </row>
    <row r="1838" hidden="1">
      <c r="A1838" s="11" t="n">
        <v>46058</v>
      </c>
      <c r="B1838" t="inlineStr">
        <is>
          <t>Clessiane Pereira dos Santos</t>
        </is>
      </c>
      <c r="C1838" t="inlineStr">
        <is>
          <t>Técnico I</t>
        </is>
      </c>
      <c r="D1838" t="n">
        <v>50</v>
      </c>
      <c r="E1838" t="n">
        <v>14</v>
      </c>
      <c r="F1838" t="n">
        <v>5.35</v>
      </c>
      <c r="G1838" t="n">
        <v>0</v>
      </c>
      <c r="H1838" t="n">
        <v>0</v>
      </c>
      <c r="I1838" s="3">
        <f>E1838+G1838+H1838</f>
        <v/>
      </c>
      <c r="J1838" s="3">
        <f>ROUND(MIN(IF(C1838="Técnico III",35,IF(C1838="Técnico II",28,IF(C1838="Técnico I",23,IF(C1838="JR",20,IF(C1838="Estágio",10,0))))),IF(C1838="Técnico III",SUMIFS($D:$D,$A:$A,$A1838,$B:$B,"&lt;&gt;Patrícia Karla de Sousa Araújo",$B:$B,"&lt;&gt;Lorena Dias de Araujo",$B:$B,"&lt;&gt;Lucas Luiz Romero")*(35/1083),IF(C1838="Técnico II",SUMIFS($D:$D,$A:$A,$A1838,$B:$B,"&lt;&gt;Patrícia Karla de Sousa Araújo",$B:$B,"&lt;&gt;Lorena Dias de Araujo",$B:$B,"&lt;&gt;Lucas Luiz Romero")*(28/1083),IF(C1838="Técnico I",SUMIFS($D:$D,$A:$A,$A1838,$B:$B,"&lt;&gt;Patrícia Karla de Sousa Araújo",$B:$B,"&lt;&gt;Lorena Dias de Araujo",$B:$B,"&lt;&gt;Lucas Luiz Romero")*(23/1083),IF(C1838="JR",SUMIFS($D:$D,$A:$A,$A1838,$B:$B,"&lt;&gt;Patrícia Karla de Sousa Araújo",$B:$B,"&lt;&gt;Lorena Dias de Araujo",$B:$B,"&lt;&gt;Lucas Luiz Romero")*(20/1083),IF(C1838="Estágio",SUMIFS($D:$D,$A:$A,$A1838,$B:$B,"&lt;&gt;Patrícia Karla de Sousa Araújo",$B:$B,"&lt;&gt;Lorena Dias de Araujo",$B:$B,"&lt;&gt;Lucas Luiz Romero")*(10/1083),0)))))),0)</f>
        <v/>
      </c>
      <c r="K1838" s="3">
        <f>I1838-J1838</f>
        <v/>
      </c>
      <c r="L1838" s="3">
        <f>IF(K1838&lt;-5,"CRÍTICO",IF(K1838&lt;0,"ATENÇÃO",IF(K1838&lt;=5,"BOM","EXCELENTE")))</f>
        <v/>
      </c>
      <c r="M1838" t="n">
        <v>22</v>
      </c>
      <c r="N1838" t="n">
        <v>98.75</v>
      </c>
      <c r="O1838" t="n">
        <v>24.32432432432433</v>
      </c>
    </row>
    <row r="1839" hidden="1">
      <c r="A1839" s="11" t="n">
        <v>46058</v>
      </c>
      <c r="B1839" t="inlineStr">
        <is>
          <t>Cristiane Ramos da Silva Rocha</t>
        </is>
      </c>
      <c r="C1839" t="inlineStr">
        <is>
          <t>Técnico III</t>
        </is>
      </c>
      <c r="D1839" t="n">
        <v>28</v>
      </c>
      <c r="E1839" t="n">
        <v>28</v>
      </c>
      <c r="F1839" t="n">
        <v>15.18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M1839" t="n">
        <v>25</v>
      </c>
      <c r="N1839" t="n">
        <v>93.48</v>
      </c>
      <c r="O1839" t="n">
        <v>31.52804642166344</v>
      </c>
    </row>
    <row r="1840" hidden="1">
      <c r="A1840" s="11" t="n">
        <v>46058</v>
      </c>
      <c r="B1840" t="inlineStr">
        <is>
          <t>Damyllis Lorraine de Oliveira Gonçalves</t>
        </is>
      </c>
      <c r="C1840" t="inlineStr">
        <is>
          <t>Técnico II</t>
        </is>
      </c>
      <c r="D1840" t="n">
        <v>40</v>
      </c>
      <c r="E1840" t="n">
        <v>33</v>
      </c>
      <c r="F1840" t="n">
        <v>15.5</v>
      </c>
      <c r="G1840" t="n">
        <v>0</v>
      </c>
      <c r="H1840" t="n">
        <v>0</v>
      </c>
      <c r="I1840" s="3" t="n">
        <v>0</v>
      </c>
      <c r="J1840" s="3" t="n">
        <v>0</v>
      </c>
      <c r="K1840" s="3" t="n">
        <v>0</v>
      </c>
      <c r="L1840" s="3">
        <f>IF(K1840&lt;-5,"CRÍTICO",IF(K1840&lt;0,"ATENÇÃO",IF(K1840&lt;=5,"BOM","EXCELENTE")))</f>
        <v/>
      </c>
      <c r="M1840" t="n">
        <v>37</v>
      </c>
      <c r="N1840" t="n">
        <v>99.16</v>
      </c>
      <c r="O1840" t="n">
        <v>26.13908872901678</v>
      </c>
    </row>
    <row r="1841" hidden="1">
      <c r="A1841" s="11" t="n">
        <v>46058</v>
      </c>
      <c r="B1841" t="inlineStr">
        <is>
          <t>Daniel Gomes da Silva</t>
        </is>
      </c>
      <c r="C1841" t="inlineStr">
        <is>
          <t>Técnico I</t>
        </is>
      </c>
      <c r="D1841" t="n">
        <v>20</v>
      </c>
      <c r="E1841" t="n">
        <v>20</v>
      </c>
      <c r="F1841" t="n">
        <v>33.52</v>
      </c>
      <c r="G1841" t="n">
        <v>0</v>
      </c>
      <c r="H1841" t="n">
        <v>0</v>
      </c>
      <c r="I1841" s="3">
        <f>E1841+G1841+H1841</f>
        <v/>
      </c>
      <c r="J1841" s="3">
        <f>ROUND(MIN(IF(C1841="Técnico III",35,IF(C1841="Técnico II",28,IF(C1841="Técnico I",23,IF(C1841="JR",20,IF(C1841="Estágio",10,0))))),IF(C1841="Técnico III",SUMIFS($D:$D,$A:$A,$A1841,$B:$B,"&lt;&gt;Patrícia Karla de Sousa Araújo",$B:$B,"&lt;&gt;Lorena Dias de Araujo",$B:$B,"&lt;&gt;Lucas Luiz Romero")*(35/1083),IF(C1841="Técnico II",SUMIFS($D:$D,$A:$A,$A1841,$B:$B,"&lt;&gt;Patrícia Karla de Sousa Araújo",$B:$B,"&lt;&gt;Lorena Dias de Araujo",$B:$B,"&lt;&gt;Lucas Luiz Romero")*(28/1083),IF(C1841="Técnico I",SUMIFS($D:$D,$A:$A,$A1841,$B:$B,"&lt;&gt;Patrícia Karla de Sousa Araújo",$B:$B,"&lt;&gt;Lorena Dias de Araujo",$B:$B,"&lt;&gt;Lucas Luiz Romero")*(23/1083),IF(C1841="JR",SUMIFS($D:$D,$A:$A,$A1841,$B:$B,"&lt;&gt;Patrícia Karla de Sousa Araújo",$B:$B,"&lt;&gt;Lorena Dias de Araujo",$B:$B,"&lt;&gt;Lucas Luiz Romero")*(20/1083),IF(C1841="Estágio",SUMIFS($D:$D,$A:$A,$A1841,$B:$B,"&lt;&gt;Patrícia Karla de Sousa Araújo",$B:$B,"&lt;&gt;Lorena Dias de Araujo",$B:$B,"&lt;&gt;Lucas Luiz Romero")*(10/1083),0)))))),0)</f>
        <v/>
      </c>
      <c r="K1841" s="3">
        <f>I1841-J1841</f>
        <v/>
      </c>
      <c r="L1841" s="3">
        <f>IF(K1841&lt;-5,"CRÍTICO",IF(K1841&lt;0,"ATENÇÃO",IF(K1841&lt;=5,"BOM","EXCELENTE")))</f>
        <v/>
      </c>
      <c r="M1841" t="n">
        <v>29</v>
      </c>
      <c r="N1841" t="n">
        <v>100</v>
      </c>
      <c r="O1841" t="n">
        <v>31.08974358974359</v>
      </c>
    </row>
    <row r="1842" hidden="1">
      <c r="A1842" s="11" t="n">
        <v>46058</v>
      </c>
      <c r="B1842" t="inlineStr">
        <is>
          <t>Davylla Rodrigues Freitas Silva</t>
        </is>
      </c>
      <c r="C1842" t="inlineStr">
        <is>
          <t>Técnico III</t>
        </is>
      </c>
      <c r="D1842" t="n">
        <v>37</v>
      </c>
      <c r="E1842" t="n">
        <v>36</v>
      </c>
      <c r="F1842" t="n">
        <v>20.3</v>
      </c>
      <c r="G1842" t="n">
        <v>0</v>
      </c>
      <c r="H1842" t="n">
        <v>0</v>
      </c>
      <c r="I1842" s="3" t="n">
        <v>0</v>
      </c>
      <c r="J1842" s="3" t="n">
        <v>0</v>
      </c>
      <c r="K1842" s="3" t="n">
        <v>0</v>
      </c>
      <c r="L1842" s="3">
        <f>IF(K1842&lt;-5,"CRÍTICO",IF(K1842&lt;0,"ATENÇÃO",IF(K1842&lt;=5,"BOM","EXCELENTE")))</f>
        <v/>
      </c>
      <c r="M1842" t="n">
        <v>35</v>
      </c>
      <c r="N1842" t="n">
        <v>98.11</v>
      </c>
      <c r="O1842" t="n">
        <v>33.03370786516854</v>
      </c>
    </row>
    <row r="1843" hidden="1">
      <c r="A1843" s="11" t="n">
        <v>46058</v>
      </c>
      <c r="B1843" t="inlineStr">
        <is>
          <t>Emilly Caylane Costa</t>
        </is>
      </c>
      <c r="C1843" t="inlineStr">
        <is>
          <t>Estágio</t>
        </is>
      </c>
      <c r="D1843" t="n">
        <v>39</v>
      </c>
      <c r="E1843" t="n">
        <v>28</v>
      </c>
      <c r="F1843" t="n">
        <v>5.44</v>
      </c>
      <c r="G1843" t="n">
        <v>0</v>
      </c>
      <c r="H1843" t="n">
        <v>0</v>
      </c>
      <c r="I1843" s="3">
        <f>E1843+G1843+H1843</f>
        <v/>
      </c>
      <c r="J1843" s="3">
        <f>ROUND(MIN(IF(C1843="Técnico III",35,IF(C1843="Técnico II",28,IF(C1843="Técnico I",23,IF(C1843="JR",20,IF(C1843="Estágio",10,0))))),IF(C1843="Técnico III",SUMIFS($D:$D,$A:$A,$A1843,$B:$B,"&lt;&gt;Patrícia Karla de Sousa Araújo",$B:$B,"&lt;&gt;Lorena Dias de Araujo",$B:$B,"&lt;&gt;Lucas Luiz Romero")*(35/1083),IF(C1843="Técnico II",SUMIFS($D:$D,$A:$A,$A1843,$B:$B,"&lt;&gt;Patrícia Karla de Sousa Araújo",$B:$B,"&lt;&gt;Lorena Dias de Araujo",$B:$B,"&lt;&gt;Lucas Luiz Romero")*(28/1083),IF(C1843="Técnico I",SUMIFS($D:$D,$A:$A,$A1843,$B:$B,"&lt;&gt;Patrícia Karla de Sousa Araújo",$B:$B,"&lt;&gt;Lorena Dias de Araujo",$B:$B,"&lt;&gt;Lucas Luiz Romero")*(23/1083),IF(C1843="JR",SUMIFS($D:$D,$A:$A,$A1843,$B:$B,"&lt;&gt;Patrícia Karla de Sousa Araújo",$B:$B,"&lt;&gt;Lorena Dias de Araujo",$B:$B,"&lt;&gt;Lucas Luiz Romero")*(20/1083),IF(C1843="Estágio",SUMIFS($D:$D,$A:$A,$A1843,$B:$B,"&lt;&gt;Patrícia Karla de Sousa Araújo",$B:$B,"&lt;&gt;Lorena Dias de Araujo",$B:$B,"&lt;&gt;Lucas Luiz Romero")*(10/1083),0)))))),0)</f>
        <v/>
      </c>
      <c r="K1843" s="3">
        <f>I1843-J1843</f>
        <v/>
      </c>
      <c r="L1843" s="3">
        <f>IF(K1843&lt;-5,"CRÍTICO",IF(K1843&lt;0,"ATENÇÃO",IF(K1843&lt;=5,"BOM","EXCELENTE")))</f>
        <v/>
      </c>
      <c r="M1843" t="n">
        <v>2</v>
      </c>
      <c r="N1843" t="n">
        <v>78.95</v>
      </c>
      <c r="O1843" t="n">
        <v>38.98305084745763</v>
      </c>
    </row>
    <row r="1844" hidden="1">
      <c r="A1844" s="11" t="n">
        <v>46058</v>
      </c>
      <c r="B1844" t="inlineStr">
        <is>
          <t>Emilly Kamilly Medeiros Miranda</t>
        </is>
      </c>
      <c r="C1844" t="inlineStr">
        <is>
          <t>Técnico II</t>
        </is>
      </c>
      <c r="D1844" t="n">
        <v>38</v>
      </c>
      <c r="E1844" t="n">
        <v>35</v>
      </c>
      <c r="F1844" t="n">
        <v>13.48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M1844" t="n">
        <v>30</v>
      </c>
      <c r="N1844" t="n">
        <v>98.45</v>
      </c>
      <c r="O1844" t="n">
        <v>29.2817679558011</v>
      </c>
    </row>
    <row r="1845" hidden="1">
      <c r="A1845" s="11" t="n">
        <v>46058</v>
      </c>
      <c r="B1845" t="inlineStr">
        <is>
          <t>Francielson de Oliveira</t>
        </is>
      </c>
      <c r="C1845" t="inlineStr">
        <is>
          <t>Técnico III</t>
        </is>
      </c>
      <c r="D1845" t="n">
        <v>35</v>
      </c>
      <c r="E1845" t="n">
        <v>35</v>
      </c>
      <c r="F1845" t="n">
        <v>16.56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M1845" t="n">
        <v>35</v>
      </c>
      <c r="N1845" t="n">
        <v>97.84</v>
      </c>
      <c r="O1845" t="n">
        <v>26.28205128205128</v>
      </c>
    </row>
    <row r="1846" hidden="1">
      <c r="A1846" s="11" t="n">
        <v>46058</v>
      </c>
      <c r="B1846" t="inlineStr">
        <is>
          <t>Francilene Ferreira de Jesus</t>
        </is>
      </c>
      <c r="C1846" t="inlineStr">
        <is>
          <t>Técnico II</t>
        </is>
      </c>
      <c r="D1846" t="n">
        <v>48</v>
      </c>
      <c r="E1846" t="n">
        <v>44</v>
      </c>
      <c r="F1846" t="n">
        <v>15.05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M1846" t="n">
        <v>42</v>
      </c>
      <c r="N1846" t="n">
        <v>98.5</v>
      </c>
      <c r="O1846" t="n">
        <v>23.97769516728625</v>
      </c>
    </row>
    <row r="1847" hidden="1">
      <c r="A1847" s="11" t="n">
        <v>46092</v>
      </c>
      <c r="B1847" t="inlineStr">
        <is>
          <t>Gabriel Gomes de Andrade</t>
        </is>
      </c>
      <c r="C1847" t="inlineStr">
        <is>
          <t>Técnico I</t>
        </is>
      </c>
      <c r="D1847" t="n">
        <v>3</v>
      </c>
      <c r="E1847" t="n">
        <v>3</v>
      </c>
      <c r="F1847" t="n">
        <v>24.03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M1847" t="n">
        <v>10</v>
      </c>
      <c r="N1847" t="n">
        <v>99.05</v>
      </c>
      <c r="O1847" t="n">
        <v>26.62192393736018</v>
      </c>
    </row>
    <row r="1848" hidden="1">
      <c r="A1848" s="11" t="n">
        <v>46058</v>
      </c>
      <c r="B1848" t="inlineStr">
        <is>
          <t>Isabella Borges de Oliveira</t>
        </is>
      </c>
      <c r="C1848" t="inlineStr">
        <is>
          <t>Técnico II</t>
        </is>
      </c>
      <c r="D1848" t="n">
        <v>37</v>
      </c>
      <c r="E1848" t="n">
        <v>37</v>
      </c>
      <c r="F1848" t="n">
        <v>21.44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M1848" t="n">
        <v>34</v>
      </c>
      <c r="N1848" t="n">
        <v>98.53</v>
      </c>
      <c r="O1848" t="n">
        <v>31.57894736842105</v>
      </c>
    </row>
    <row r="1849" hidden="1">
      <c r="A1849" s="11" t="n">
        <v>46058</v>
      </c>
      <c r="B1849" t="inlineStr">
        <is>
          <t>Janaina Lima dos Reis Urany</t>
        </is>
      </c>
      <c r="C1849" t="inlineStr">
        <is>
          <t>Técnico III</t>
        </is>
      </c>
      <c r="D1849" t="n">
        <v>47</v>
      </c>
      <c r="E1849" t="n">
        <v>43</v>
      </c>
      <c r="F1849" t="n">
        <v>13.22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M1849" t="n">
        <v>46</v>
      </c>
      <c r="N1849" t="n">
        <v>100</v>
      </c>
      <c r="O1849" t="n">
        <v>25.72214580467676</v>
      </c>
    </row>
    <row r="1850" hidden="1">
      <c r="A1850" s="11" t="n">
        <v>46058</v>
      </c>
      <c r="B1850" t="inlineStr">
        <is>
          <t>Jaqueline Evangelista da Silva Martins</t>
        </is>
      </c>
      <c r="C1850" t="inlineStr">
        <is>
          <t>Técnico III</t>
        </is>
      </c>
      <c r="D1850" t="n">
        <v>53</v>
      </c>
      <c r="E1850" t="n">
        <v>44</v>
      </c>
      <c r="F1850" t="n">
        <v>10.47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M1850" t="n">
        <v>41</v>
      </c>
      <c r="N1850" t="n">
        <v>94.64</v>
      </c>
      <c r="O1850" t="n">
        <v>27.52941176470588</v>
      </c>
    </row>
    <row r="1851" hidden="1">
      <c r="A1851" s="11" t="n">
        <v>46058</v>
      </c>
      <c r="B1851" t="inlineStr">
        <is>
          <t>Jessica Faria da Silveira</t>
        </is>
      </c>
      <c r="C1851" t="inlineStr">
        <is>
          <t>Técnico II</t>
        </is>
      </c>
      <c r="D1851" t="n">
        <v>50</v>
      </c>
      <c r="E1851" t="n">
        <v>38</v>
      </c>
      <c r="F1851" t="n">
        <v>13.39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M1851" t="n">
        <v>32</v>
      </c>
      <c r="N1851" t="n">
        <v>99.06999999999999</v>
      </c>
      <c r="O1851" t="n">
        <v>26.3768115942029</v>
      </c>
    </row>
    <row r="1852" hidden="1">
      <c r="A1852" s="11" t="n">
        <v>46058</v>
      </c>
      <c r="B1852" t="inlineStr">
        <is>
          <t>Jéssica Fé Moura</t>
        </is>
      </c>
      <c r="C1852" t="inlineStr">
        <is>
          <t>Técnico III</t>
        </is>
      </c>
      <c r="D1852" t="n">
        <v>0</v>
      </c>
      <c r="E1852" t="n">
        <v>0</v>
      </c>
      <c r="F1852" t="n">
        <v>0</v>
      </c>
      <c r="G1852" t="n">
        <v>0</v>
      </c>
      <c r="H1852" t="n">
        <v>0</v>
      </c>
      <c r="I1852" s="3" t="n">
        <v>0</v>
      </c>
      <c r="J1852" s="3" t="n">
        <v>0</v>
      </c>
      <c r="K1852" s="3" t="n">
        <v>0</v>
      </c>
      <c r="L1852" s="3">
        <f>IF(K1852&lt;-5,"CRÍTICO",IF(K1852&lt;0,"ATENÇÃO",IF(K1852&lt;=5,"BOM","EXCELENTE")))</f>
        <v/>
      </c>
      <c r="M1852" t="n">
        <v>0</v>
      </c>
      <c r="N1852" t="n">
        <v>100</v>
      </c>
      <c r="O1852" t="n">
        <v>0</v>
      </c>
    </row>
    <row r="1853" hidden="1">
      <c r="A1853" s="11" t="n">
        <v>46058</v>
      </c>
      <c r="B1853" t="inlineStr">
        <is>
          <t>Karina Gonçalves Martins</t>
        </is>
      </c>
      <c r="C1853" t="inlineStr">
        <is>
          <t>JR</t>
        </is>
      </c>
      <c r="D1853" t="n">
        <v>20</v>
      </c>
      <c r="E1853" t="n">
        <v>19</v>
      </c>
      <c r="F1853" t="n">
        <v>25.5</v>
      </c>
      <c r="G1853" t="n">
        <v>0</v>
      </c>
      <c r="H1853" t="n">
        <v>0</v>
      </c>
      <c r="I1853" s="3">
        <f>E1853+G1853+H1853</f>
        <v/>
      </c>
      <c r="J1853" s="3">
        <f>ROUND(MIN(IF(C1853="Técnico III",35,IF(C1853="Técnico II",28,IF(C1853="Técnico I",23,IF(C1853="JR",20,IF(C1853="Estágio",10,0))))),IF(C1853="Técnico III",SUMIFS($D:$D,$A:$A,$A1853,$B:$B,"&lt;&gt;Patrícia Karla de Sousa Araújo",$B:$B,"&lt;&gt;Lorena Dias de Araujo",$B:$B,"&lt;&gt;Lucas Luiz Romero")*(35/1083),IF(C1853="Técnico II",SUMIFS($D:$D,$A:$A,$A1853,$B:$B,"&lt;&gt;Patrícia Karla de Sousa Araújo",$B:$B,"&lt;&gt;Lorena Dias de Araujo",$B:$B,"&lt;&gt;Lucas Luiz Romero")*(28/1083),IF(C1853="Técnico I",SUMIFS($D:$D,$A:$A,$A1853,$B:$B,"&lt;&gt;Patrícia Karla de Sousa Araújo",$B:$B,"&lt;&gt;Lorena Dias de Araujo",$B:$B,"&lt;&gt;Lucas Luiz Romero")*(23/1083),IF(C1853="JR",SUMIFS($D:$D,$A:$A,$A1853,$B:$B,"&lt;&gt;Patrícia Karla de Sousa Araújo",$B:$B,"&lt;&gt;Lorena Dias de Araujo",$B:$B,"&lt;&gt;Lucas Luiz Romero")*(20/1083),IF(C1853="Estágio",SUMIFS($D:$D,$A:$A,$A1853,$B:$B,"&lt;&gt;Patrícia Karla de Sousa Araújo",$B:$B,"&lt;&gt;Lorena Dias de Araujo",$B:$B,"&lt;&gt;Lucas Luiz Romero")*(10/1083),0)))))),0)</f>
        <v/>
      </c>
      <c r="K1853" s="3">
        <f>I1853-J1853</f>
        <v/>
      </c>
      <c r="L1853" s="3">
        <f>IF(K1853&lt;-5,"CRÍTICO",IF(K1853&lt;0,"ATENÇÃO",IF(K1853&lt;=5,"BOM","EXCELENTE")))</f>
        <v/>
      </c>
      <c r="M1853" t="n">
        <v>19</v>
      </c>
      <c r="N1853" t="n">
        <v>98.48</v>
      </c>
      <c r="O1853" t="n">
        <v>27.85388127853881</v>
      </c>
    </row>
    <row r="1854" hidden="1">
      <c r="A1854" s="11" t="n">
        <v>46058</v>
      </c>
      <c r="B1854" t="inlineStr">
        <is>
          <t>Kerollen Cristielly de Jesus Siqueira</t>
        </is>
      </c>
      <c r="C1854" t="inlineStr">
        <is>
          <t>Técnico III</t>
        </is>
      </c>
      <c r="D1854" t="n">
        <v>17</v>
      </c>
      <c r="E1854" t="n">
        <v>7</v>
      </c>
      <c r="F1854" t="n">
        <v>7.21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M1854" t="n">
        <v>29</v>
      </c>
      <c r="N1854" t="n">
        <v>95.15000000000001</v>
      </c>
      <c r="O1854" t="n">
        <v>34.13173652694611</v>
      </c>
    </row>
    <row r="1855" hidden="1">
      <c r="A1855" s="11" t="n">
        <v>46058</v>
      </c>
      <c r="B1855" t="inlineStr">
        <is>
          <t>Leandro de Souza Silva</t>
        </is>
      </c>
      <c r="C1855" t="inlineStr">
        <is>
          <t>JR</t>
        </is>
      </c>
      <c r="D1855" t="n">
        <v>0</v>
      </c>
      <c r="E1855" t="n">
        <v>0</v>
      </c>
      <c r="F1855" t="n">
        <v>0</v>
      </c>
      <c r="G1855" t="n">
        <v>0</v>
      </c>
      <c r="H1855" t="n">
        <v>0</v>
      </c>
      <c r="I1855" s="3" t="n">
        <v>0</v>
      </c>
      <c r="J1855" s="3" t="n">
        <v>0</v>
      </c>
      <c r="K1855" s="3" t="n">
        <v>0</v>
      </c>
      <c r="L1855" s="3">
        <f>IF(K1855&lt;-5,"CRÍTICO",IF(K1855&lt;0,"ATENÇÃO",IF(K1855&lt;=5,"BOM","EXCELENTE")))</f>
        <v/>
      </c>
      <c r="M1855" t="n">
        <v>0</v>
      </c>
      <c r="N1855" t="n">
        <v>0</v>
      </c>
      <c r="O1855" t="n">
        <v>0</v>
      </c>
    </row>
    <row r="1856" hidden="1">
      <c r="A1856" s="11" t="n">
        <v>46058</v>
      </c>
      <c r="B1856" t="inlineStr">
        <is>
          <t>Leandro Oliveira de Sousa</t>
        </is>
      </c>
      <c r="C1856" t="inlineStr">
        <is>
          <t>Técnico III</t>
        </is>
      </c>
      <c r="D1856" t="n">
        <v>22</v>
      </c>
      <c r="E1856" t="n">
        <v>22</v>
      </c>
      <c r="F1856" t="n">
        <v>24.13</v>
      </c>
      <c r="G1856" t="n">
        <v>0</v>
      </c>
      <c r="H1856" t="n">
        <v>0</v>
      </c>
      <c r="I1856" s="3">
        <f>E1856+G1856+H1856</f>
        <v/>
      </c>
      <c r="J1856" s="3">
        <f>ROUND(MIN(IF(C1856="Técnico III",35,IF(C1856="Técnico II",28,IF(C1856="Técnico I",23,IF(C1856="JR",20,IF(C1856="Estágio",10,0))))),IF(C1856="Técnico III",SUMIFS($D:$D,$A:$A,$A1856,$B:$B,"&lt;&gt;Patrícia Karla de Sousa Araújo",$B:$B,"&lt;&gt;Lorena Dias de Araujo",$B:$B,"&lt;&gt;Lucas Luiz Romero")*(35/1083),IF(C1856="Técnico II",SUMIFS($D:$D,$A:$A,$A1856,$B:$B,"&lt;&gt;Patrícia Karla de Sousa Araújo",$B:$B,"&lt;&gt;Lorena Dias de Araujo",$B:$B,"&lt;&gt;Lucas Luiz Romero")*(28/1083),IF(C1856="Técnico I",SUMIFS($D:$D,$A:$A,$A1856,$B:$B,"&lt;&gt;Patrícia Karla de Sousa Araújo",$B:$B,"&lt;&gt;Lorena Dias de Araujo",$B:$B,"&lt;&gt;Lucas Luiz Romero")*(23/1083),IF(C1856="JR",SUMIFS($D:$D,$A:$A,$A1856,$B:$B,"&lt;&gt;Patrícia Karla de Sousa Araújo",$B:$B,"&lt;&gt;Lorena Dias de Araujo",$B:$B,"&lt;&gt;Lucas Luiz Romero")*(20/1083),IF(C1856="Estágio",SUMIFS($D:$D,$A:$A,$A1856,$B:$B,"&lt;&gt;Patrícia Karla de Sousa Araújo",$B:$B,"&lt;&gt;Lorena Dias de Araujo",$B:$B,"&lt;&gt;Lucas Luiz Romero")*(10/1083),0)))))),0)</f>
        <v/>
      </c>
      <c r="K1856" s="3">
        <f>I1856-J1856</f>
        <v/>
      </c>
      <c r="L1856" s="3">
        <f>IF(K1856&lt;-5,"CRÍTICO",IF(K1856&lt;0,"ATENÇÃO",IF(K1856&lt;=5,"BOM","EXCELENTE")))</f>
        <v/>
      </c>
      <c r="M1856" t="n">
        <v>24</v>
      </c>
      <c r="N1856" t="n">
        <v>99.26000000000001</v>
      </c>
      <c r="O1856" t="n">
        <v>30.84832904884319</v>
      </c>
    </row>
    <row r="1857" hidden="1">
      <c r="A1857" s="11" t="n">
        <v>46058</v>
      </c>
      <c r="B1857" t="inlineStr">
        <is>
          <t>Lizandra Gomes Duarte</t>
        </is>
      </c>
      <c r="C1857" t="inlineStr">
        <is>
          <t>Técnico II</t>
        </is>
      </c>
      <c r="D1857" t="n">
        <v>34</v>
      </c>
      <c r="E1857" t="n">
        <v>34</v>
      </c>
      <c r="F1857" t="n">
        <v>20.18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M1857" t="n">
        <v>28</v>
      </c>
      <c r="N1857" t="n">
        <v>97.48</v>
      </c>
      <c r="O1857" t="n">
        <v>27.76470588235294</v>
      </c>
    </row>
    <row r="1858" hidden="1">
      <c r="A1858" s="11" t="n">
        <v>46058</v>
      </c>
      <c r="B1858" t="inlineStr">
        <is>
          <t>Lorena Dias de Araujo</t>
        </is>
      </c>
      <c r="C1858" t="inlineStr">
        <is>
          <t>Técnico II</t>
        </is>
      </c>
      <c r="D1858" t="n">
        <v>36</v>
      </c>
      <c r="E1858" t="n">
        <v>36</v>
      </c>
      <c r="F1858" t="n">
        <v>19.18</v>
      </c>
      <c r="G1858" t="n">
        <v>0</v>
      </c>
      <c r="H1858" t="n">
        <v>0</v>
      </c>
      <c r="I1858" s="3" t="n">
        <v>0</v>
      </c>
      <c r="J1858" s="3" t="n">
        <v>0</v>
      </c>
      <c r="K1858" s="3" t="n">
        <v>0</v>
      </c>
      <c r="L1858" s="3">
        <f>IF(K1858&lt;-5,"CRÍTICO",IF(K1858&lt;0,"ATENÇÃO",IF(K1858&lt;=5,"BOM","EXCELENTE")))</f>
        <v/>
      </c>
      <c r="M1858" t="n">
        <v>36</v>
      </c>
      <c r="N1858" t="n">
        <v>99.34</v>
      </c>
      <c r="O1858" t="n">
        <v>30.04291845493562</v>
      </c>
    </row>
    <row r="1859" hidden="1">
      <c r="A1859" s="11" t="n">
        <v>46058</v>
      </c>
      <c r="B1859" t="inlineStr">
        <is>
          <t>Lucas Luiz Romero</t>
        </is>
      </c>
      <c r="C1859" t="inlineStr">
        <is>
          <t>Técnico III</t>
        </is>
      </c>
      <c r="D1859" t="n">
        <v>55</v>
      </c>
      <c r="E1859" t="n">
        <v>36</v>
      </c>
      <c r="F1859" t="n">
        <v>10.44</v>
      </c>
      <c r="G1859" t="n">
        <v>0</v>
      </c>
      <c r="H1859" t="n">
        <v>0</v>
      </c>
      <c r="I1859" s="3">
        <f>E1859+G1859+H1859</f>
        <v/>
      </c>
      <c r="J1859" s="3">
        <f>ROUND(MIN(IF(C1859="Técnico III",35,IF(C1859="Técnico II",28,IF(C1859="Técnico I",23,IF(C1859="JR",20,IF(C1859="Estágio",10,0))))),IF(C1859="Técnico III",SUMIFS($D:$D,$A:$A,$A1859,$B:$B,"&lt;&gt;Patrícia Karla de Sousa Araújo",$B:$B,"&lt;&gt;Lorena Dias de Araujo",$B:$B,"&lt;&gt;Lucas Luiz Romero")*(35/1083),IF(C1859="Técnico II",SUMIFS($D:$D,$A:$A,$A1859,$B:$B,"&lt;&gt;Patrícia Karla de Sousa Araújo",$B:$B,"&lt;&gt;Lorena Dias de Araujo",$B:$B,"&lt;&gt;Lucas Luiz Romero")*(28/1083),IF(C1859="Técnico I",SUMIFS($D:$D,$A:$A,$A1859,$B:$B,"&lt;&gt;Patrícia Karla de Sousa Araújo",$B:$B,"&lt;&gt;Lorena Dias de Araujo",$B:$B,"&lt;&gt;Lucas Luiz Romero")*(23/1083),IF(C1859="JR",SUMIFS($D:$D,$A:$A,$A1859,$B:$B,"&lt;&gt;Patrícia Karla de Sousa Araújo",$B:$B,"&lt;&gt;Lorena Dias de Araujo",$B:$B,"&lt;&gt;Lucas Luiz Romero")*(20/1083),IF(C1859="Estágio",SUMIFS($D:$D,$A:$A,$A1859,$B:$B,"&lt;&gt;Patrícia Karla de Sousa Araújo",$B:$B,"&lt;&gt;Lorena Dias de Araujo",$B:$B,"&lt;&gt;Lucas Luiz Romero")*(10/1083),0)))))),0)</f>
        <v/>
      </c>
      <c r="K1859" s="3">
        <f>I1859-J1859</f>
        <v/>
      </c>
      <c r="L1859" s="3">
        <f>IF(K1859&lt;-5,"CRÍTICO",IF(K1859&lt;0,"ATENÇÃO",IF(K1859&lt;=5,"BOM","EXCELENTE")))</f>
        <v/>
      </c>
      <c r="M1859" t="n">
        <v>27</v>
      </c>
      <c r="N1859" t="n">
        <v>96.3</v>
      </c>
      <c r="O1859" t="n">
        <v>24.29378531073446</v>
      </c>
    </row>
    <row r="1860" hidden="1">
      <c r="A1860" s="11" t="n">
        <v>46058</v>
      </c>
      <c r="B1860" t="inlineStr">
        <is>
          <t>Luiz Fernando de Carvalho Junior</t>
        </is>
      </c>
      <c r="C1860" t="inlineStr">
        <is>
          <t>Técnico I</t>
        </is>
      </c>
      <c r="D1860" t="n">
        <v>24</v>
      </c>
      <c r="E1860" t="n">
        <v>24</v>
      </c>
      <c r="F1860" t="n">
        <v>23.33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M1860" t="n">
        <v>21</v>
      </c>
      <c r="N1860" t="n">
        <v>100</v>
      </c>
      <c r="O1860" t="n">
        <v>26.54320987654321</v>
      </c>
    </row>
    <row r="1861" hidden="1">
      <c r="A1861" s="11" t="n">
        <v>46058</v>
      </c>
      <c r="B1861" t="inlineStr">
        <is>
          <t>Maria Eduarda Sousa Costa</t>
        </is>
      </c>
      <c r="C1861" t="inlineStr">
        <is>
          <t>Estágio</t>
        </is>
      </c>
      <c r="D1861" t="n">
        <v>80</v>
      </c>
      <c r="E1861" t="n">
        <v>39</v>
      </c>
      <c r="F1861" t="n">
        <v>5.47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M1861" t="n">
        <v>0</v>
      </c>
      <c r="N1861" t="n">
        <v>100</v>
      </c>
      <c r="O1861" t="n">
        <v>35.48387096774194</v>
      </c>
    </row>
    <row r="1862" hidden="1">
      <c r="A1862" s="11" t="n">
        <v>46058</v>
      </c>
      <c r="B1862" t="inlineStr">
        <is>
          <t>Matheus Farias De Souza</t>
        </is>
      </c>
      <c r="C1862" t="inlineStr">
        <is>
          <t>Técnico III</t>
        </is>
      </c>
      <c r="D1862" t="n">
        <v>40</v>
      </c>
      <c r="E1862" t="n">
        <v>40</v>
      </c>
      <c r="F1862" t="n">
        <v>14.18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M1862" t="n">
        <v>40</v>
      </c>
      <c r="N1862" t="n">
        <v>99.27</v>
      </c>
      <c r="O1862" t="n">
        <v>31.16370808678501</v>
      </c>
    </row>
    <row r="1863" hidden="1">
      <c r="A1863" s="11" t="n">
        <v>46058</v>
      </c>
      <c r="B1863" t="inlineStr">
        <is>
          <t>Maysa Victoria Dias Moura</t>
        </is>
      </c>
      <c r="C1863" t="inlineStr">
        <is>
          <t>Técnico III</t>
        </is>
      </c>
      <c r="D1863" t="n">
        <v>33</v>
      </c>
      <c r="E1863" t="n">
        <v>32</v>
      </c>
      <c r="F1863" t="n">
        <v>15.14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M1863" t="n">
        <v>33</v>
      </c>
      <c r="N1863" t="n">
        <v>94.16</v>
      </c>
      <c r="O1863" t="n">
        <v>27.03862660944206</v>
      </c>
    </row>
    <row r="1864" hidden="1">
      <c r="A1864" s="11" t="n">
        <v>46058</v>
      </c>
      <c r="B1864" t="inlineStr">
        <is>
          <t>Michelle G Santos</t>
        </is>
      </c>
      <c r="C1864" t="inlineStr">
        <is>
          <t>Estágio</t>
        </is>
      </c>
      <c r="D1864" t="n">
        <v>17</v>
      </c>
      <c r="E1864" t="n">
        <v>16</v>
      </c>
      <c r="F1864" t="n">
        <v>35.51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M1864" t="n">
        <v>13</v>
      </c>
      <c r="N1864" t="n">
        <v>93.75</v>
      </c>
      <c r="O1864" t="n">
        <v>19.31818181818182</v>
      </c>
    </row>
    <row r="1865" hidden="1">
      <c r="A1865" s="11" t="n">
        <v>46058</v>
      </c>
      <c r="B1865" t="inlineStr">
        <is>
          <t>Milena Sales</t>
        </is>
      </c>
      <c r="C1865" t="inlineStr">
        <is>
          <t>JR</t>
        </is>
      </c>
      <c r="D1865" t="n">
        <v>0</v>
      </c>
      <c r="E1865" t="n">
        <v>0</v>
      </c>
      <c r="F1865" t="n">
        <v>0</v>
      </c>
      <c r="G1865" t="n">
        <v>0</v>
      </c>
      <c r="H1865" t="n">
        <v>0</v>
      </c>
      <c r="I1865" s="3" t="n">
        <v>0</v>
      </c>
      <c r="J1865" s="3" t="n">
        <v>0</v>
      </c>
      <c r="K1865" s="3" t="n">
        <v>0</v>
      </c>
      <c r="L1865" s="3">
        <f>IF(K1865&lt;-5,"CRÍTICO",IF(K1865&lt;0,"ATENÇÃO",IF(K1865&lt;=5,"BOM","EXCELENTE")))</f>
        <v/>
      </c>
      <c r="M1865" t="n">
        <v>0</v>
      </c>
      <c r="N1865" t="n">
        <v>0</v>
      </c>
      <c r="O1865" t="n">
        <v>0</v>
      </c>
    </row>
    <row r="1866" hidden="1">
      <c r="A1866" s="11" t="n">
        <v>46058</v>
      </c>
      <c r="B1866" t="inlineStr">
        <is>
          <t>Patrícia Karla de Sousa Araújo</t>
        </is>
      </c>
      <c r="C1866" t="inlineStr">
        <is>
          <t>Técnico II</t>
        </is>
      </c>
      <c r="D1866" t="n">
        <v>29</v>
      </c>
      <c r="E1866" t="n">
        <v>27</v>
      </c>
      <c r="F1866" t="n">
        <v>20.54</v>
      </c>
      <c r="G1866" t="n">
        <v>0</v>
      </c>
      <c r="H1866" t="n">
        <v>0</v>
      </c>
      <c r="I1866" s="3">
        <f>E1866+G1866+H1866</f>
        <v/>
      </c>
      <c r="J1866" s="3">
        <f>ROUND(MIN(IF(C1866="Técnico III",35,IF(C1866="Técnico II",28,IF(C1866="Técnico I",23,IF(C1866="JR",20,IF(C1866="Estágio",10,0))))),IF(C1866="Técnico III",SUMIFS($D:$D,$A:$A,$A1866,$B:$B,"&lt;&gt;Patrícia Karla de Sousa Araújo",$B:$B,"&lt;&gt;Lorena Dias de Araujo",$B:$B,"&lt;&gt;Lucas Luiz Romero")*(35/1083),IF(C1866="Técnico II",SUMIFS($D:$D,$A:$A,$A1866,$B:$B,"&lt;&gt;Patrícia Karla de Sousa Araújo",$B:$B,"&lt;&gt;Lorena Dias de Araujo",$B:$B,"&lt;&gt;Lucas Luiz Romero")*(28/1083),IF(C1866="Técnico I",SUMIFS($D:$D,$A:$A,$A1866,$B:$B,"&lt;&gt;Patrícia Karla de Sousa Araújo",$B:$B,"&lt;&gt;Lorena Dias de Araujo",$B:$B,"&lt;&gt;Lucas Luiz Romero")*(23/1083),IF(C1866="JR",SUMIFS($D:$D,$A:$A,$A1866,$B:$B,"&lt;&gt;Patrícia Karla de Sousa Araújo",$B:$B,"&lt;&gt;Lorena Dias de Araujo",$B:$B,"&lt;&gt;Lucas Luiz Romero")*(20/1083),IF(C1866="Estágio",SUMIFS($D:$D,$A:$A,$A1866,$B:$B,"&lt;&gt;Patrícia Karla de Sousa Araújo",$B:$B,"&lt;&gt;Lorena Dias de Araujo",$B:$B,"&lt;&gt;Lucas Luiz Romero")*(10/1083),0)))))),0)</f>
        <v/>
      </c>
      <c r="K1866" s="3">
        <f>I1866-J1866</f>
        <v/>
      </c>
      <c r="L1866" s="3">
        <f>IF(K1866&lt;-5,"CRÍTICO",IF(K1866&lt;0,"ATENÇÃO",IF(K1866&lt;=5,"BOM","EXCELENTE")))</f>
        <v/>
      </c>
      <c r="M1866" t="n">
        <v>24</v>
      </c>
      <c r="N1866" t="n">
        <v>97.92</v>
      </c>
      <c r="O1866" t="n">
        <v>32.87671232876712</v>
      </c>
    </row>
    <row r="1867" hidden="1">
      <c r="A1867" s="11" t="n">
        <v>46058</v>
      </c>
      <c r="B1867" t="inlineStr">
        <is>
          <t>Paulo Ricardo Santos</t>
        </is>
      </c>
      <c r="C1867" t="inlineStr">
        <is>
          <t>JR</t>
        </is>
      </c>
      <c r="D1867" t="n">
        <v>0</v>
      </c>
      <c r="E1867" t="n">
        <v>0</v>
      </c>
      <c r="F1867" t="n">
        <v>0</v>
      </c>
      <c r="G1867" t="n">
        <v>0</v>
      </c>
      <c r="H1867" t="n">
        <v>0</v>
      </c>
      <c r="I1867" s="3" t="n">
        <v>0</v>
      </c>
      <c r="J1867" s="3" t="n">
        <v>0</v>
      </c>
      <c r="K1867" s="3" t="n">
        <v>0</v>
      </c>
      <c r="L1867" s="3">
        <f>IF(K1867&lt;-5,"CRÍTICO",IF(K1867&lt;0,"ATENÇÃO",IF(K1867&lt;=5,"BOM","EXCELENTE")))</f>
        <v/>
      </c>
      <c r="M1867" t="n">
        <v>0</v>
      </c>
      <c r="N1867" t="n">
        <v>0</v>
      </c>
      <c r="O1867" t="n">
        <v>0</v>
      </c>
    </row>
    <row r="1868" hidden="1">
      <c r="A1868" s="11" t="n">
        <v>46058</v>
      </c>
      <c r="B1868" t="inlineStr">
        <is>
          <t>Pedro Luiz Mota Sousa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M1868" t="n">
        <v>0</v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Quirino Diogo Leite Torres</t>
        </is>
      </c>
      <c r="C1869" t="inlineStr">
        <is>
          <t>Estágio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M1869" t="n">
        <v>0</v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Raane Batista Matos</t>
        </is>
      </c>
      <c r="C1870" t="inlineStr">
        <is>
          <t>Técnico I</t>
        </is>
      </c>
      <c r="D1870" t="n">
        <v>24</v>
      </c>
      <c r="E1870" t="n">
        <v>23</v>
      </c>
      <c r="F1870" t="n">
        <v>25.01</v>
      </c>
      <c r="G1870" t="n">
        <v>0</v>
      </c>
      <c r="H1870" t="n">
        <v>0</v>
      </c>
      <c r="I1870" s="3">
        <f>E1870+G1870+H1870</f>
        <v/>
      </c>
      <c r="J1870" s="3">
        <f>ROUND(MIN(IF(C1870="Técnico III",35,IF(C1870="Técnico II",28,IF(C1870="Técnico I",23,IF(C1870="JR",20,IF(C1870="Estágio",10,0))))),IF(C1870="Técnico III",SUMIFS($D:$D,$A:$A,$A1870,$B:$B,"&lt;&gt;Patrícia Karla de Sousa Araújo",$B:$B,"&lt;&gt;Lorena Dias de Araujo",$B:$B,"&lt;&gt;Lucas Luiz Romero")*(35/1083),IF(C1870="Técnico II",SUMIFS($D:$D,$A:$A,$A1870,$B:$B,"&lt;&gt;Patrícia Karla de Sousa Araújo",$B:$B,"&lt;&gt;Lorena Dias de Araujo",$B:$B,"&lt;&gt;Lucas Luiz Romero")*(28/1083),IF(C1870="Técnico I",SUMIFS($D:$D,$A:$A,$A1870,$B:$B,"&lt;&gt;Patrícia Karla de Sousa Araújo",$B:$B,"&lt;&gt;Lorena Dias de Araujo",$B:$B,"&lt;&gt;Lucas Luiz Romero")*(23/1083),IF(C1870="JR",SUMIFS($D:$D,$A:$A,$A1870,$B:$B,"&lt;&gt;Patrícia Karla de Sousa Araújo",$B:$B,"&lt;&gt;Lorena Dias de Araujo",$B:$B,"&lt;&gt;Lucas Luiz Romero")*(20/1083),IF(C1870="Estágio",SUMIFS($D:$D,$A:$A,$A1870,$B:$B,"&lt;&gt;Patrícia Karla de Sousa Araújo",$B:$B,"&lt;&gt;Lorena Dias de Araujo",$B:$B,"&lt;&gt;Lucas Luiz Romero")*(10/1083),0)))))),0)</f>
        <v/>
      </c>
      <c r="K1870" s="3">
        <f>I1870-J1870</f>
        <v/>
      </c>
      <c r="L1870" s="3">
        <f>IF(K1870&lt;-5,"CRÍTICO",IF(K1870&lt;0,"ATENÇÃO",IF(K1870&lt;=5,"BOM","EXCELENTE")))</f>
        <v/>
      </c>
      <c r="M1870" t="n">
        <v>22</v>
      </c>
      <c r="N1870" t="n">
        <v>98.51000000000001</v>
      </c>
      <c r="O1870" t="n">
        <v>29.71014492753623</v>
      </c>
    </row>
    <row r="1871" hidden="1">
      <c r="A1871" s="11" t="n">
        <v>46058</v>
      </c>
      <c r="B1871" t="inlineStr">
        <is>
          <t>Rafael Gomes de Morais</t>
        </is>
      </c>
      <c r="C1871" t="inlineStr">
        <is>
          <t>Técnico III</t>
        </is>
      </c>
      <c r="D1871" t="n">
        <v>30</v>
      </c>
      <c r="E1871" t="n">
        <v>27</v>
      </c>
      <c r="F1871" t="n">
        <v>15.32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M1871" t="n">
        <v>28</v>
      </c>
      <c r="N1871" t="n">
        <v>98.81</v>
      </c>
      <c r="O1871" t="n">
        <v>30.71297989031079</v>
      </c>
    </row>
    <row r="1872" hidden="1">
      <c r="A1872" s="11" t="n">
        <v>46058</v>
      </c>
      <c r="B1872" t="inlineStr">
        <is>
          <t>Sara Maria Monteiro Lopes</t>
        </is>
      </c>
      <c r="C1872" t="inlineStr">
        <is>
          <t>Técnico I</t>
        </is>
      </c>
      <c r="D1872" t="n">
        <v>18</v>
      </c>
      <c r="E1872" t="n">
        <v>18</v>
      </c>
      <c r="F1872" t="n">
        <v>30.58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M1872" t="n">
        <v>18</v>
      </c>
      <c r="N1872" t="n">
        <v>98.48</v>
      </c>
      <c r="O1872" t="n">
        <v>29.35323383084577</v>
      </c>
    </row>
    <row r="1873" hidden="1">
      <c r="A1873" s="11" t="n">
        <v>46058</v>
      </c>
      <c r="B1873" t="inlineStr">
        <is>
          <t>Sarah Steffanie de Lima Borges</t>
        </is>
      </c>
      <c r="C1873" t="inlineStr">
        <is>
          <t>Técnico III</t>
        </is>
      </c>
      <c r="D1873" t="n">
        <v>40</v>
      </c>
      <c r="E1873" t="n">
        <v>38</v>
      </c>
      <c r="F1873" t="n">
        <v>15.31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M1873" t="n">
        <v>34</v>
      </c>
      <c r="N1873" t="n">
        <v>98.56</v>
      </c>
      <c r="O1873" t="n">
        <v>29.37365010799136</v>
      </c>
    </row>
    <row r="1874" hidden="1">
      <c r="A1874" s="11" t="n">
        <v>46059</v>
      </c>
      <c r="B1874" t="inlineStr">
        <is>
          <t>Alisson de Freitas Silva</t>
        </is>
      </c>
      <c r="C1874" t="inlineStr">
        <is>
          <t>Técnico II</t>
        </is>
      </c>
      <c r="D1874" t="n">
        <v>19</v>
      </c>
      <c r="E1874" t="n">
        <v>18</v>
      </c>
      <c r="F1874" t="n">
        <v>26.47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M1874" t="n">
        <v>16</v>
      </c>
      <c r="N1874" t="n">
        <v>98.31999999999999</v>
      </c>
      <c r="O1874" t="n">
        <v>30.3030303030303</v>
      </c>
    </row>
    <row r="1875" hidden="1">
      <c r="A1875" s="11" t="n">
        <v>46059</v>
      </c>
      <c r="B1875" t="inlineStr">
        <is>
          <t>Amanda Moura Ferreira</t>
        </is>
      </c>
      <c r="C1875" t="inlineStr">
        <is>
          <t>Técnico III</t>
        </is>
      </c>
      <c r="D1875" t="n">
        <v>0</v>
      </c>
      <c r="E1875" t="n">
        <v>0</v>
      </c>
      <c r="F1875" t="n">
        <v>0</v>
      </c>
      <c r="G1875" t="n">
        <v>0</v>
      </c>
      <c r="H1875" t="n">
        <v>0</v>
      </c>
      <c r="I1875" s="3" t="n">
        <v>0</v>
      </c>
      <c r="J1875" s="3" t="n">
        <v>0</v>
      </c>
      <c r="K1875" s="3" t="n">
        <v>0</v>
      </c>
      <c r="L1875" s="3">
        <f>IF(K1875&lt;-5,"CRÍTICO",IF(K1875&lt;0,"ATENÇÃO",IF(K1875&lt;=5,"BOM","EXCELENTE")))</f>
        <v/>
      </c>
      <c r="M1875" t="n">
        <v>24</v>
      </c>
      <c r="N1875" t="n">
        <v>98.68000000000001</v>
      </c>
      <c r="O1875" t="n">
        <v>26.21951219512195</v>
      </c>
    </row>
    <row r="1876" hidden="1">
      <c r="A1876" s="11" t="n">
        <v>46059</v>
      </c>
      <c r="B1876" t="inlineStr">
        <is>
          <t>Ana Karollyne Souza Faria</t>
        </is>
      </c>
      <c r="C1876" t="inlineStr">
        <is>
          <t>Técnico I</t>
        </is>
      </c>
      <c r="D1876" t="n">
        <v>30</v>
      </c>
      <c r="E1876" t="n">
        <v>26</v>
      </c>
      <c r="F1876" t="n">
        <v>23.48</v>
      </c>
      <c r="G1876" t="n">
        <v>0</v>
      </c>
      <c r="H1876" t="n">
        <v>0</v>
      </c>
      <c r="I1876" s="3">
        <f>E1876+G1876+H1876</f>
        <v/>
      </c>
      <c r="J1876" s="3">
        <f>ROUND(MIN(IF(C1876="Técnico III",35,IF(C1876="Técnico II",28,IF(C1876="Técnico I",23,IF(C1876="JR",20,IF(C1876="Estágio",10,0))))),IF(C1876="Técnico III",SUMIFS($D:$D,$A:$A,$A1876,$B:$B,"&lt;&gt;Patrícia Karla de Sousa Araújo",$B:$B,"&lt;&gt;Lorena Dias de Araujo",$B:$B,"&lt;&gt;Lucas Luiz Romero")*(35/1083),IF(C1876="Técnico II",SUMIFS($D:$D,$A:$A,$A1876,$B:$B,"&lt;&gt;Patrícia Karla de Sousa Araújo",$B:$B,"&lt;&gt;Lorena Dias de Araujo",$B:$B,"&lt;&gt;Lucas Luiz Romero")*(28/1083),IF(C1876="Técnico I",SUMIFS($D:$D,$A:$A,$A1876,$B:$B,"&lt;&gt;Patrícia Karla de Sousa Araújo",$B:$B,"&lt;&gt;Lorena Dias de Araujo",$B:$B,"&lt;&gt;Lucas Luiz Romero")*(23/1083),IF(C1876="JR",SUMIFS($D:$D,$A:$A,$A1876,$B:$B,"&lt;&gt;Patrícia Karla de Sousa Araújo",$B:$B,"&lt;&gt;Lorena Dias de Araujo",$B:$B,"&lt;&gt;Lucas Luiz Romero")*(20/1083),IF(C1876="Estágio",SUMIFS($D:$D,$A:$A,$A1876,$B:$B,"&lt;&gt;Patrícia Karla de Sousa Araújo",$B:$B,"&lt;&gt;Lorena Dias de Araujo",$B:$B,"&lt;&gt;Lucas Luiz Romero")*(10/1083),0)))))),0)</f>
        <v/>
      </c>
      <c r="K1876" s="3">
        <f>I1876-J1876</f>
        <v/>
      </c>
      <c r="L1876" s="3">
        <f>IF(K1876&lt;-5,"CRÍTICO",IF(K1876&lt;0,"ATENÇÃO",IF(K1876&lt;=5,"BOM","EXCELENTE")))</f>
        <v/>
      </c>
      <c r="M1876" t="n">
        <v>22</v>
      </c>
      <c r="N1876" t="n">
        <v>100</v>
      </c>
      <c r="O1876" t="n">
        <v>31.74224343675418</v>
      </c>
    </row>
    <row r="1877" hidden="1">
      <c r="A1877" s="11" t="n">
        <v>46059</v>
      </c>
      <c r="B1877" t="inlineStr">
        <is>
          <t>Ana Paula Da Luz Silva Aleixo</t>
        </is>
      </c>
      <c r="C1877" t="inlineStr">
        <is>
          <t>Técnico III</t>
        </is>
      </c>
      <c r="D1877" t="n">
        <v>32</v>
      </c>
      <c r="E1877" t="n">
        <v>30</v>
      </c>
      <c r="F1877" t="n">
        <v>18.24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M1877" t="n">
        <v>26</v>
      </c>
      <c r="N1877" t="n">
        <v>98.25</v>
      </c>
      <c r="O1877" t="n">
        <v>25.83518930957684</v>
      </c>
    </row>
    <row r="1878" hidden="1">
      <c r="A1878" s="11" t="n">
        <v>46059</v>
      </c>
      <c r="B1878" t="inlineStr">
        <is>
          <t>Anna Luiza Rezende Tavares</t>
        </is>
      </c>
      <c r="C1878" t="inlineStr">
        <is>
          <t>Estágio</t>
        </is>
      </c>
      <c r="D1878" t="n">
        <v>11</v>
      </c>
      <c r="E1878" t="n">
        <v>11</v>
      </c>
      <c r="F1878" t="n">
        <v>30.04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M1878" t="n">
        <v>9</v>
      </c>
      <c r="N1878" t="n">
        <v>97.5</v>
      </c>
      <c r="O1878" t="n">
        <v>30.07518796992481</v>
      </c>
    </row>
    <row r="1879" hidden="1">
      <c r="A1879" s="11" t="n">
        <v>46059</v>
      </c>
      <c r="B1879" t="inlineStr">
        <is>
          <t>Brenda de Menezes Silva</t>
        </is>
      </c>
      <c r="C1879" t="inlineStr">
        <is>
          <t>Técnico II</t>
        </is>
      </c>
      <c r="D1879" t="n">
        <v>42</v>
      </c>
      <c r="E1879" t="n">
        <v>35</v>
      </c>
      <c r="F1879" t="n">
        <v>15.05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M1879" t="n">
        <v>36</v>
      </c>
      <c r="N1879" t="n">
        <v>100</v>
      </c>
      <c r="O1879" t="n">
        <v>29.71311475409836</v>
      </c>
    </row>
    <row r="1880" hidden="1">
      <c r="A1880" s="11" t="n">
        <v>46059</v>
      </c>
      <c r="B1880" t="inlineStr">
        <is>
          <t>Carlos Mateus Cassimiro Nunes</t>
        </is>
      </c>
      <c r="C1880" t="inlineStr">
        <is>
          <t>Técnico II</t>
        </is>
      </c>
      <c r="D1880" t="n">
        <v>23</v>
      </c>
      <c r="E1880" t="n">
        <v>22</v>
      </c>
      <c r="F1880" t="n">
        <v>24.01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M1880" t="n">
        <v>23</v>
      </c>
      <c r="N1880" t="n">
        <v>99.22</v>
      </c>
      <c r="O1880" t="n">
        <v>35.25641025641026</v>
      </c>
    </row>
    <row r="1881" hidden="1">
      <c r="A1881" s="11" t="n">
        <v>46059</v>
      </c>
      <c r="B1881" t="inlineStr">
        <is>
          <t>Claudio de Sousa Velasco Filho</t>
        </is>
      </c>
      <c r="C1881" t="inlineStr">
        <is>
          <t>Estágio</t>
        </is>
      </c>
      <c r="D1881" t="n">
        <v>0</v>
      </c>
      <c r="E1881" t="n">
        <v>0</v>
      </c>
      <c r="F1881" t="n">
        <v>0</v>
      </c>
      <c r="G1881" t="n">
        <v>0</v>
      </c>
      <c r="H1881" t="n">
        <v>0</v>
      </c>
      <c r="I1881" s="3" t="n">
        <v>0</v>
      </c>
      <c r="J1881" s="3" t="n">
        <v>0</v>
      </c>
      <c r="K1881" s="3" t="n">
        <v>0</v>
      </c>
      <c r="L1881" s="3">
        <f>IF(K1881&lt;-5,"CRÍTICO",IF(K1881&lt;0,"ATENÇÃO",IF(K1881&lt;=5,"BOM","EXCELENTE")))</f>
        <v/>
      </c>
      <c r="M1881" t="n">
        <v>0</v>
      </c>
      <c r="N1881" t="n">
        <v>0</v>
      </c>
      <c r="O1881" t="n">
        <v>0</v>
      </c>
    </row>
    <row r="1882" hidden="1">
      <c r="A1882" s="11" t="n">
        <v>46059</v>
      </c>
      <c r="B1882" t="inlineStr">
        <is>
          <t>Clessiane Pereira dos Santos</t>
        </is>
      </c>
      <c r="C1882" t="inlineStr">
        <is>
          <t>Técnico I</t>
        </is>
      </c>
      <c r="D1882" t="n">
        <v>40</v>
      </c>
      <c r="E1882" t="n">
        <v>5</v>
      </c>
      <c r="F1882" t="n">
        <v>3.32</v>
      </c>
      <c r="G1882" t="n">
        <v>0</v>
      </c>
      <c r="H1882" t="n">
        <v>0</v>
      </c>
      <c r="I1882" s="3">
        <f>E1882+G1882+H1882</f>
        <v/>
      </c>
      <c r="J1882" s="3">
        <f>ROUND(MIN(IF(C1882="Técnico III",35,IF(C1882="Técnico II",28,IF(C1882="Técnico I",23,IF(C1882="JR",20,IF(C1882="Estágio",10,0))))),IF(C1882="Técnico III",SUMIFS($D:$D,$A:$A,$A1882,$B:$B,"&lt;&gt;Patrícia Karla de Sousa Araújo",$B:$B,"&lt;&gt;Lorena Dias de Araujo",$B:$B,"&lt;&gt;Lucas Luiz Romero")*(35/1083),IF(C1882="Técnico II",SUMIFS($D:$D,$A:$A,$A1882,$B:$B,"&lt;&gt;Patrícia Karla de Sousa Araújo",$B:$B,"&lt;&gt;Lorena Dias de Araujo",$B:$B,"&lt;&gt;Lucas Luiz Romero")*(28/1083),IF(C1882="Técnico I",SUMIFS($D:$D,$A:$A,$A1882,$B:$B,"&lt;&gt;Patrícia Karla de Sousa Araújo",$B:$B,"&lt;&gt;Lorena Dias de Araujo",$B:$B,"&lt;&gt;Lucas Luiz Romero")*(23/1083),IF(C1882="JR",SUMIFS($D:$D,$A:$A,$A1882,$B:$B,"&lt;&gt;Patrícia Karla de Sousa Araújo",$B:$B,"&lt;&gt;Lorena Dias de Araujo",$B:$B,"&lt;&gt;Lucas Luiz Romero")*(20/1083),IF(C1882="Estágio",SUMIFS($D:$D,$A:$A,$A1882,$B:$B,"&lt;&gt;Patrícia Karla de Sousa Araújo",$B:$B,"&lt;&gt;Lorena Dias de Araujo",$B:$B,"&lt;&gt;Lucas Luiz Romero")*(10/1083),0)))))),0)</f>
        <v/>
      </c>
      <c r="K1882" s="3">
        <f>I1882-J1882</f>
        <v/>
      </c>
      <c r="L1882" s="3">
        <f>IF(K1882&lt;-5,"CRÍTICO",IF(K1882&lt;0,"ATENÇÃO",IF(K1882&lt;=5,"BOM","EXCELENTE")))</f>
        <v/>
      </c>
      <c r="M1882" t="n">
        <v>20</v>
      </c>
      <c r="N1882" t="n">
        <v>98.75</v>
      </c>
      <c r="O1882" t="n">
        <v>24.32432432432433</v>
      </c>
    </row>
    <row r="1883" hidden="1">
      <c r="A1883" s="11" t="n">
        <v>46059</v>
      </c>
      <c r="B1883" t="inlineStr">
        <is>
          <t>Cristiane Ramos da Silva Rocha</t>
        </is>
      </c>
      <c r="C1883" t="inlineStr">
        <is>
          <t>Técnico III</t>
        </is>
      </c>
      <c r="D1883" t="n">
        <v>44</v>
      </c>
      <c r="E1883" t="n">
        <v>42</v>
      </c>
      <c r="F1883" t="n">
        <v>13.29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M1883" t="n">
        <v>41</v>
      </c>
      <c r="N1883" t="n">
        <v>93.48</v>
      </c>
      <c r="O1883" t="n">
        <v>31.52804642166344</v>
      </c>
    </row>
    <row r="1884" hidden="1">
      <c r="A1884" s="11" t="n">
        <v>46059</v>
      </c>
      <c r="B1884" t="inlineStr">
        <is>
          <t>Damyllis Lorraine de Oliveira Gonçalves</t>
        </is>
      </c>
      <c r="C1884" t="inlineStr">
        <is>
          <t>Técnico II</t>
        </is>
      </c>
      <c r="D1884" t="n">
        <v>35</v>
      </c>
      <c r="E1884" t="n">
        <v>32</v>
      </c>
      <c r="F1884" t="n">
        <v>18.35</v>
      </c>
      <c r="G1884" t="n">
        <v>0</v>
      </c>
      <c r="H1884" t="n">
        <v>0</v>
      </c>
      <c r="I1884" s="3" t="n">
        <v>0</v>
      </c>
      <c r="J1884" s="3" t="n">
        <v>0</v>
      </c>
      <c r="K1884" s="3" t="n">
        <v>0</v>
      </c>
      <c r="L1884" s="3">
        <f>IF(K1884&lt;-5,"CRÍTICO",IF(K1884&lt;0,"ATENÇÃO",IF(K1884&lt;=5,"BOM","EXCELENTE")))</f>
        <v/>
      </c>
      <c r="M1884" t="n">
        <v>28</v>
      </c>
      <c r="N1884" t="n">
        <v>99.16</v>
      </c>
      <c r="O1884" t="n">
        <v>26.13908872901678</v>
      </c>
    </row>
    <row r="1885" hidden="1">
      <c r="A1885" s="11" t="n">
        <v>46059</v>
      </c>
      <c r="B1885" t="inlineStr">
        <is>
          <t>Daniel Gomes da Silva</t>
        </is>
      </c>
      <c r="C1885" t="inlineStr">
        <is>
          <t>Técnico I</t>
        </is>
      </c>
      <c r="D1885" t="n">
        <v>24</v>
      </c>
      <c r="E1885" t="n">
        <v>21</v>
      </c>
      <c r="F1885" t="n">
        <v>22</v>
      </c>
      <c r="G1885" t="n">
        <v>0</v>
      </c>
      <c r="H1885" t="n">
        <v>0</v>
      </c>
      <c r="I1885" s="3">
        <f>E1885+G1885+H1885</f>
        <v/>
      </c>
      <c r="J1885" s="3">
        <f>ROUND(MIN(IF(C1885="Técnico III",35,IF(C1885="Técnico II",28,IF(C1885="Técnico I",23,IF(C1885="JR",20,IF(C1885="Estágio",10,0))))),IF(C1885="Técnico III",SUMIFS($D:$D,$A:$A,$A1885,$B:$B,"&lt;&gt;Patrícia Karla de Sousa Araújo",$B:$B,"&lt;&gt;Lorena Dias de Araujo",$B:$B,"&lt;&gt;Lucas Luiz Romero")*(35/1083),IF(C1885="Técnico II",SUMIFS($D:$D,$A:$A,$A1885,$B:$B,"&lt;&gt;Patrícia Karla de Sousa Araújo",$B:$B,"&lt;&gt;Lorena Dias de Araujo",$B:$B,"&lt;&gt;Lucas Luiz Romero")*(28/1083),IF(C1885="Técnico I",SUMIFS($D:$D,$A:$A,$A1885,$B:$B,"&lt;&gt;Patrícia Karla de Sousa Araújo",$B:$B,"&lt;&gt;Lorena Dias de Araujo",$B:$B,"&lt;&gt;Lucas Luiz Romero")*(23/1083),IF(C1885="JR",SUMIFS($D:$D,$A:$A,$A1885,$B:$B,"&lt;&gt;Patrícia Karla de Sousa Araújo",$B:$B,"&lt;&gt;Lorena Dias de Araujo",$B:$B,"&lt;&gt;Lucas Luiz Romero")*(20/1083),IF(C1885="Estágio",SUMIFS($D:$D,$A:$A,$A1885,$B:$B,"&lt;&gt;Patrícia Karla de Sousa Araújo",$B:$B,"&lt;&gt;Lorena Dias de Araujo",$B:$B,"&lt;&gt;Lucas Luiz Romero")*(10/1083),0)))))),0)</f>
        <v/>
      </c>
      <c r="K1885" s="3">
        <f>I1885-J1885</f>
        <v/>
      </c>
      <c r="L1885" s="3">
        <f>IF(K1885&lt;-5,"CRÍTICO",IF(K1885&lt;0,"ATENÇÃO",IF(K1885&lt;=5,"BOM","EXCELENTE")))</f>
        <v/>
      </c>
      <c r="M1885" t="n">
        <v>27</v>
      </c>
      <c r="N1885" t="n">
        <v>100</v>
      </c>
      <c r="O1885" t="n">
        <v>31.08974358974359</v>
      </c>
    </row>
    <row r="1886" hidden="1">
      <c r="A1886" s="11" t="n">
        <v>46059</v>
      </c>
      <c r="B1886" t="inlineStr">
        <is>
          <t>Davylla Rodrigues Freitas Silva</t>
        </is>
      </c>
      <c r="C1886" t="inlineStr">
        <is>
          <t>Técnico III</t>
        </is>
      </c>
      <c r="D1886" t="n">
        <v>38</v>
      </c>
      <c r="E1886" t="n">
        <v>38</v>
      </c>
      <c r="F1886" t="n">
        <v>19.14</v>
      </c>
      <c r="G1886" t="n">
        <v>0</v>
      </c>
      <c r="H1886" t="n">
        <v>0</v>
      </c>
      <c r="I1886" s="3" t="n">
        <v>0</v>
      </c>
      <c r="J1886" s="3" t="n">
        <v>0</v>
      </c>
      <c r="K1886" s="3" t="n">
        <v>0</v>
      </c>
      <c r="L1886" s="3">
        <f>IF(K1886&lt;-5,"CRÍTICO",IF(K1886&lt;0,"ATENÇÃO",IF(K1886&lt;=5,"BOM","EXCELENTE")))</f>
        <v/>
      </c>
      <c r="M1886" t="n">
        <v>38</v>
      </c>
      <c r="N1886" t="n">
        <v>98.11</v>
      </c>
      <c r="O1886" t="n">
        <v>33.03370786516854</v>
      </c>
    </row>
    <row r="1887" hidden="1">
      <c r="A1887" s="11" t="n">
        <v>46059</v>
      </c>
      <c r="B1887" t="inlineStr">
        <is>
          <t>Emilly Caylane Costa</t>
        </is>
      </c>
      <c r="C1887" t="inlineStr">
        <is>
          <t>Estágio</t>
        </is>
      </c>
      <c r="D1887" t="n">
        <v>49</v>
      </c>
      <c r="E1887" t="n">
        <v>43</v>
      </c>
      <c r="F1887" t="n">
        <v>6.57</v>
      </c>
      <c r="G1887" t="n">
        <v>0</v>
      </c>
      <c r="H1887" t="n">
        <v>0</v>
      </c>
      <c r="I1887" s="3">
        <f>E1887+G1887+H1887</f>
        <v/>
      </c>
      <c r="J1887" s="3">
        <f>ROUND(MIN(IF(C1887="Técnico III",35,IF(C1887="Técnico II",28,IF(C1887="Técnico I",23,IF(C1887="JR",20,IF(C1887="Estágio",10,0))))),IF(C1887="Técnico III",SUMIFS($D:$D,$A:$A,$A1887,$B:$B,"&lt;&gt;Patrícia Karla de Sousa Araújo",$B:$B,"&lt;&gt;Lorena Dias de Araujo",$B:$B,"&lt;&gt;Lucas Luiz Romero")*(35/1083),IF(C1887="Técnico II",SUMIFS($D:$D,$A:$A,$A1887,$B:$B,"&lt;&gt;Patrícia Karla de Sousa Araújo",$B:$B,"&lt;&gt;Lorena Dias de Araujo",$B:$B,"&lt;&gt;Lucas Luiz Romero")*(28/1083),IF(C1887="Técnico I",SUMIFS($D:$D,$A:$A,$A1887,$B:$B,"&lt;&gt;Patrícia Karla de Sousa Araújo",$B:$B,"&lt;&gt;Lorena Dias de Araujo",$B:$B,"&lt;&gt;Lucas Luiz Romero")*(23/1083),IF(C1887="JR",SUMIFS($D:$D,$A:$A,$A1887,$B:$B,"&lt;&gt;Patrícia Karla de Sousa Araújo",$B:$B,"&lt;&gt;Lorena Dias de Araujo",$B:$B,"&lt;&gt;Lucas Luiz Romero")*(20/1083),IF(C1887="Estágio",SUMIFS($D:$D,$A:$A,$A1887,$B:$B,"&lt;&gt;Patrícia Karla de Sousa Araújo",$B:$B,"&lt;&gt;Lorena Dias de Araujo",$B:$B,"&lt;&gt;Lucas Luiz Romero")*(10/1083),0)))))),0)</f>
        <v/>
      </c>
      <c r="K1887" s="3">
        <f>I1887-J1887</f>
        <v/>
      </c>
      <c r="L1887" s="3">
        <f>IF(K1887&lt;-5,"CRÍTICO",IF(K1887&lt;0,"ATENÇÃO",IF(K1887&lt;=5,"BOM","EXCELENTE")))</f>
        <v/>
      </c>
      <c r="M1887" t="n">
        <v>3</v>
      </c>
      <c r="N1887" t="n">
        <v>78.95</v>
      </c>
      <c r="O1887" t="n">
        <v>38.98305084745763</v>
      </c>
    </row>
    <row r="1888" hidden="1">
      <c r="A1888" s="11" t="n">
        <v>46059</v>
      </c>
      <c r="B1888" t="inlineStr">
        <is>
          <t>Emilly Kamilly Medeiros Miranda</t>
        </is>
      </c>
      <c r="C1888" t="inlineStr">
        <is>
          <t>Técnico II</t>
        </is>
      </c>
      <c r="D1888" t="n">
        <v>35</v>
      </c>
      <c r="E1888" t="n">
        <v>31</v>
      </c>
      <c r="F1888" t="n">
        <v>17.26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M1888" t="n">
        <v>29</v>
      </c>
      <c r="N1888" t="n">
        <v>98.45</v>
      </c>
      <c r="O1888" t="n">
        <v>29.2817679558011</v>
      </c>
    </row>
    <row r="1889" hidden="1">
      <c r="A1889" s="11" t="n">
        <v>46059</v>
      </c>
      <c r="B1889" t="inlineStr">
        <is>
          <t>Francielson de Oliveira</t>
        </is>
      </c>
      <c r="C1889" t="inlineStr">
        <is>
          <t>Técnico III</t>
        </is>
      </c>
      <c r="D1889" t="n">
        <v>33</v>
      </c>
      <c r="E1889" t="n">
        <v>33</v>
      </c>
      <c r="F1889" t="n">
        <v>17.28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M1889" t="n">
        <v>33</v>
      </c>
      <c r="N1889" t="n">
        <v>97.84</v>
      </c>
      <c r="O1889" t="n">
        <v>26.28205128205128</v>
      </c>
    </row>
    <row r="1890" hidden="1">
      <c r="A1890" s="11" t="n">
        <v>46059</v>
      </c>
      <c r="B1890" t="inlineStr">
        <is>
          <t>Francilene Ferreira de Jesus</t>
        </is>
      </c>
      <c r="C1890" t="inlineStr">
        <is>
          <t>Técnico II</t>
        </is>
      </c>
      <c r="D1890" t="n">
        <v>31</v>
      </c>
      <c r="E1890" t="n">
        <v>29</v>
      </c>
      <c r="F1890" t="n">
        <v>20.48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M1890" t="n">
        <v>26</v>
      </c>
      <c r="N1890" t="n">
        <v>98.5</v>
      </c>
      <c r="O1890" t="n">
        <v>23.97769516728625</v>
      </c>
    </row>
    <row r="1891" hidden="1">
      <c r="A1891" s="11" t="n">
        <v>46093</v>
      </c>
      <c r="B1891" t="inlineStr">
        <is>
          <t>Gabriel Gomes de Andrade</t>
        </is>
      </c>
      <c r="C1891" t="inlineStr">
        <is>
          <t>Técnico I</t>
        </is>
      </c>
      <c r="D1891" t="n">
        <v>0</v>
      </c>
      <c r="E1891" t="n">
        <v>0</v>
      </c>
      <c r="F1891" t="n">
        <v>0</v>
      </c>
      <c r="G1891" t="n">
        <v>0</v>
      </c>
      <c r="H1891" t="n">
        <v>0</v>
      </c>
      <c r="I1891" s="3" t="n">
        <v>0</v>
      </c>
      <c r="J1891" s="3" t="n">
        <v>0</v>
      </c>
      <c r="K1891" s="3" t="n">
        <v>0</v>
      </c>
      <c r="L1891" s="3">
        <f>IF(K1891&lt;-5,"CRÍTICO",IF(K1891&lt;0,"ATENÇÃO",IF(K1891&lt;=5,"BOM","EXCELENTE")))</f>
        <v/>
      </c>
      <c r="M1891" t="n">
        <v>14</v>
      </c>
      <c r="N1891" t="n">
        <v>99.05</v>
      </c>
      <c r="O1891" t="n">
        <v>26.62192393736018</v>
      </c>
    </row>
    <row r="1892" hidden="1">
      <c r="A1892" s="11" t="n">
        <v>46059</v>
      </c>
      <c r="B1892" t="inlineStr">
        <is>
          <t>Isabella Borges de Oliveira</t>
        </is>
      </c>
      <c r="C1892" t="inlineStr">
        <is>
          <t>Técnico II</t>
        </is>
      </c>
      <c r="D1892" t="n">
        <v>28</v>
      </c>
      <c r="E1892" t="n">
        <v>26</v>
      </c>
      <c r="F1892" t="n">
        <v>22.09</v>
      </c>
      <c r="G1892" t="n">
        <v>0</v>
      </c>
      <c r="H1892" t="n">
        <v>0</v>
      </c>
      <c r="I1892" s="3">
        <f>E1892+G1892+H1892</f>
        <v/>
      </c>
      <c r="J1892" s="3">
        <f>ROUND(MIN(IF(C1892="Técnico III",35,IF(C1892="Técnico II",28,IF(C1892="Técnico I",23,IF(C1892="JR",20,IF(C1892="Estágio",10,0))))),IF(C1892="Técnico III",SUMIFS($D:$D,$A:$A,$A1892,$B:$B,"&lt;&gt;Patrícia Karla de Sousa Araújo",$B:$B,"&lt;&gt;Lorena Dias de Araujo",$B:$B,"&lt;&gt;Lucas Luiz Romero")*(35/1083),IF(C1892="Técnico II",SUMIFS($D:$D,$A:$A,$A1892,$B:$B,"&lt;&gt;Patrícia Karla de Sousa Araújo",$B:$B,"&lt;&gt;Lorena Dias de Araujo",$B:$B,"&lt;&gt;Lucas Luiz Romero")*(28/1083),IF(C1892="Técnico I",SUMIFS($D:$D,$A:$A,$A1892,$B:$B,"&lt;&gt;Patrícia Karla de Sousa Araújo",$B:$B,"&lt;&gt;Lorena Dias de Araujo",$B:$B,"&lt;&gt;Lucas Luiz Romero")*(23/1083),IF(C1892="JR",SUMIFS($D:$D,$A:$A,$A1892,$B:$B,"&lt;&gt;Patrícia Karla de Sousa Araújo",$B:$B,"&lt;&gt;Lorena Dias de Araujo",$B:$B,"&lt;&gt;Lucas Luiz Romero")*(20/1083),IF(C1892="Estágio",SUMIFS($D:$D,$A:$A,$A1892,$B:$B,"&lt;&gt;Patrícia Karla de Sousa Araújo",$B:$B,"&lt;&gt;Lorena Dias de Araujo",$B:$B,"&lt;&gt;Lucas Luiz Romero")*(10/1083),0)))))),0)</f>
        <v/>
      </c>
      <c r="K1892" s="3">
        <f>I1892-J1892</f>
        <v/>
      </c>
      <c r="L1892" s="3">
        <f>IF(K1892&lt;-5,"CRÍTICO",IF(K1892&lt;0,"ATENÇÃO",IF(K1892&lt;=5,"BOM","EXCELENTE")))</f>
        <v/>
      </c>
      <c r="M1892" t="n">
        <v>25</v>
      </c>
      <c r="N1892" t="n">
        <v>98.53</v>
      </c>
      <c r="O1892" t="n">
        <v>31.57894736842105</v>
      </c>
    </row>
    <row r="1893" hidden="1">
      <c r="A1893" s="11" t="n">
        <v>46059</v>
      </c>
      <c r="B1893" t="inlineStr">
        <is>
          <t>Janaina Lima dos Reis Urany</t>
        </is>
      </c>
      <c r="C1893" t="inlineStr">
        <is>
          <t>Técnico III</t>
        </is>
      </c>
      <c r="D1893" t="n">
        <v>62</v>
      </c>
      <c r="E1893" t="n">
        <v>56</v>
      </c>
      <c r="F1893" t="n">
        <v>12.1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M1893" t="n">
        <v>54</v>
      </c>
      <c r="N1893" t="n">
        <v>100</v>
      </c>
      <c r="O1893" t="n">
        <v>25.72214580467676</v>
      </c>
    </row>
    <row r="1894" hidden="1">
      <c r="A1894" s="11" t="n">
        <v>46059</v>
      </c>
      <c r="B1894" t="inlineStr">
        <is>
          <t>Jaqueline Evangelista da Silva Martins</t>
        </is>
      </c>
      <c r="C1894" t="inlineStr">
        <is>
          <t>Técnico III</t>
        </is>
      </c>
      <c r="D1894" t="n">
        <v>37</v>
      </c>
      <c r="E1894" t="n">
        <v>29</v>
      </c>
      <c r="F1894" t="n">
        <v>10.19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M1894" t="n">
        <v>27</v>
      </c>
      <c r="N1894" t="n">
        <v>94.64</v>
      </c>
      <c r="O1894" t="n">
        <v>27.52941176470588</v>
      </c>
    </row>
    <row r="1895" hidden="1">
      <c r="A1895" s="11" t="n">
        <v>46059</v>
      </c>
      <c r="B1895" t="inlineStr">
        <is>
          <t>Jessica Faria da Silveira</t>
        </is>
      </c>
      <c r="C1895" t="inlineStr">
        <is>
          <t>Técnico II</t>
        </is>
      </c>
      <c r="D1895" t="n">
        <v>28</v>
      </c>
      <c r="E1895" t="n">
        <v>23</v>
      </c>
      <c r="F1895" t="n">
        <v>18.45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M1895" t="n">
        <v>21</v>
      </c>
      <c r="N1895" t="n">
        <v>99.06999999999999</v>
      </c>
      <c r="O1895" t="n">
        <v>26.3768115942029</v>
      </c>
    </row>
    <row r="1896" hidden="1">
      <c r="A1896" s="11" t="n">
        <v>46059</v>
      </c>
      <c r="B1896" t="inlineStr">
        <is>
          <t>Jéssica Fé Moura</t>
        </is>
      </c>
      <c r="C1896" t="inlineStr">
        <is>
          <t>Técnico III</t>
        </is>
      </c>
      <c r="D1896" t="n">
        <v>0</v>
      </c>
      <c r="E1896" t="n">
        <v>0</v>
      </c>
      <c r="F1896" t="n">
        <v>0</v>
      </c>
      <c r="G1896" t="n">
        <v>0</v>
      </c>
      <c r="H1896" t="n">
        <v>0</v>
      </c>
      <c r="I1896" s="3" t="n">
        <v>0</v>
      </c>
      <c r="J1896" s="3" t="n">
        <v>0</v>
      </c>
      <c r="K1896" s="3" t="n">
        <v>0</v>
      </c>
      <c r="L1896" s="3">
        <f>IF(K1896&lt;-5,"CRÍTICO",IF(K1896&lt;0,"ATENÇÃO",IF(K1896&lt;=5,"BOM","EXCELENTE")))</f>
        <v/>
      </c>
      <c r="M1896" t="n">
        <v>0</v>
      </c>
      <c r="N1896" t="n">
        <v>100</v>
      </c>
      <c r="O1896" t="n">
        <v>0</v>
      </c>
    </row>
    <row r="1897" hidden="1">
      <c r="A1897" s="11" t="n">
        <v>46059</v>
      </c>
      <c r="B1897" t="inlineStr">
        <is>
          <t>Karina Gonçalves Martins</t>
        </is>
      </c>
      <c r="C1897" t="inlineStr">
        <is>
          <t>JR</t>
        </is>
      </c>
      <c r="D1897" t="n">
        <v>16</v>
      </c>
      <c r="E1897" t="n">
        <v>15</v>
      </c>
      <c r="F1897" t="n">
        <v>31.5</v>
      </c>
      <c r="G1897" t="n">
        <v>0</v>
      </c>
      <c r="H1897" t="n">
        <v>0</v>
      </c>
      <c r="I1897" s="3">
        <f>E1897+G1897+H1897</f>
        <v/>
      </c>
      <c r="J1897" s="3">
        <f>ROUND(MIN(IF(C1897="Técnico III",35,IF(C1897="Técnico II",28,IF(C1897="Técnico I",23,IF(C1897="JR",20,IF(C1897="Estágio",10,0))))),IF(C1897="Técnico III",SUMIFS($D:$D,$A:$A,$A1897,$B:$B,"&lt;&gt;Patrícia Karla de Sousa Araújo",$B:$B,"&lt;&gt;Lorena Dias de Araujo",$B:$B,"&lt;&gt;Lucas Luiz Romero")*(35/1083),IF(C1897="Técnico II",SUMIFS($D:$D,$A:$A,$A1897,$B:$B,"&lt;&gt;Patrícia Karla de Sousa Araújo",$B:$B,"&lt;&gt;Lorena Dias de Araujo",$B:$B,"&lt;&gt;Lucas Luiz Romero")*(28/1083),IF(C1897="Técnico I",SUMIFS($D:$D,$A:$A,$A1897,$B:$B,"&lt;&gt;Patrícia Karla de Sousa Araújo",$B:$B,"&lt;&gt;Lorena Dias de Araujo",$B:$B,"&lt;&gt;Lucas Luiz Romero")*(23/1083),IF(C1897="JR",SUMIFS($D:$D,$A:$A,$A1897,$B:$B,"&lt;&gt;Patrícia Karla de Sousa Araújo",$B:$B,"&lt;&gt;Lorena Dias de Araujo",$B:$B,"&lt;&gt;Lucas Luiz Romero")*(20/1083),IF(C1897="Estágio",SUMIFS($D:$D,$A:$A,$A1897,$B:$B,"&lt;&gt;Patrícia Karla de Sousa Araújo",$B:$B,"&lt;&gt;Lorena Dias de Araujo",$B:$B,"&lt;&gt;Lucas Luiz Romero")*(10/1083),0)))))),0)</f>
        <v/>
      </c>
      <c r="K1897" s="3">
        <f>I1897-J1897</f>
        <v/>
      </c>
      <c r="L1897" s="3">
        <f>IF(K1897&lt;-5,"CRÍTICO",IF(K1897&lt;0,"ATENÇÃO",IF(K1897&lt;=5,"BOM","EXCELENTE")))</f>
        <v/>
      </c>
      <c r="M1897" t="n">
        <v>15</v>
      </c>
      <c r="N1897" t="n">
        <v>98.48</v>
      </c>
      <c r="O1897" t="n">
        <v>27.85388127853881</v>
      </c>
    </row>
    <row r="1898" hidden="1">
      <c r="A1898" s="11" t="n">
        <v>46059</v>
      </c>
      <c r="B1898" t="inlineStr">
        <is>
          <t>Kerollen Cristielly de Jesus Siqueira</t>
        </is>
      </c>
      <c r="C1898" t="inlineStr">
        <is>
          <t>Técnico III</t>
        </is>
      </c>
      <c r="D1898" t="n">
        <v>3</v>
      </c>
      <c r="E1898" t="n">
        <v>3</v>
      </c>
      <c r="F1898" t="n">
        <v>18.2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M1898" t="n">
        <v>27</v>
      </c>
      <c r="N1898" t="n">
        <v>95.15000000000001</v>
      </c>
      <c r="O1898" t="n">
        <v>34.13173652694611</v>
      </c>
    </row>
    <row r="1899" hidden="1">
      <c r="A1899" s="11" t="n">
        <v>46059</v>
      </c>
      <c r="B1899" t="inlineStr">
        <is>
          <t>Leandro de Souza Silva</t>
        </is>
      </c>
      <c r="C1899" t="inlineStr">
        <is>
          <t>JR</t>
        </is>
      </c>
      <c r="D1899" t="n">
        <v>0</v>
      </c>
      <c r="E1899" t="n">
        <v>0</v>
      </c>
      <c r="F1899" t="n">
        <v>0</v>
      </c>
      <c r="G1899" t="n">
        <v>0</v>
      </c>
      <c r="H1899" t="n">
        <v>0</v>
      </c>
      <c r="I1899" s="3" t="n">
        <v>0</v>
      </c>
      <c r="J1899" s="3" t="n">
        <v>0</v>
      </c>
      <c r="K1899" s="3" t="n">
        <v>0</v>
      </c>
      <c r="L1899" s="3">
        <f>IF(K1899&lt;-5,"CRÍTICO",IF(K1899&lt;0,"ATENÇÃO",IF(K1899&lt;=5,"BOM","EXCELENTE")))</f>
        <v/>
      </c>
      <c r="M1899" t="n">
        <v>0</v>
      </c>
      <c r="N1899" t="n">
        <v>0</v>
      </c>
      <c r="O1899" t="n">
        <v>0</v>
      </c>
    </row>
    <row r="1900" hidden="1">
      <c r="A1900" s="11" t="n">
        <v>46059</v>
      </c>
      <c r="B1900" t="inlineStr">
        <is>
          <t>Leandro Oliveira de Sousa</t>
        </is>
      </c>
      <c r="C1900" t="inlineStr">
        <is>
          <t>Técnico III</t>
        </is>
      </c>
      <c r="D1900" t="n">
        <v>26</v>
      </c>
      <c r="E1900" t="n">
        <v>24</v>
      </c>
      <c r="F1900" t="n">
        <v>24.01</v>
      </c>
      <c r="G1900" t="n">
        <v>0</v>
      </c>
      <c r="H1900" t="n">
        <v>0</v>
      </c>
      <c r="I1900" s="3">
        <f>E1900+G1900+H1900</f>
        <v/>
      </c>
      <c r="J1900" s="3">
        <f>ROUND(MIN(IF(C1900="Técnico III",35,IF(C1900="Técnico II",28,IF(C1900="Técnico I",23,IF(C1900="JR",20,IF(C1900="Estágio",10,0))))),IF(C1900="Técnico III",SUMIFS($D:$D,$A:$A,$A1900,$B:$B,"&lt;&gt;Patrícia Karla de Sousa Araújo",$B:$B,"&lt;&gt;Lorena Dias de Araujo",$B:$B,"&lt;&gt;Lucas Luiz Romero")*(35/1083),IF(C1900="Técnico II",SUMIFS($D:$D,$A:$A,$A1900,$B:$B,"&lt;&gt;Patrícia Karla de Sousa Araújo",$B:$B,"&lt;&gt;Lorena Dias de Araujo",$B:$B,"&lt;&gt;Lucas Luiz Romero")*(28/1083),IF(C1900="Técnico I",SUMIFS($D:$D,$A:$A,$A1900,$B:$B,"&lt;&gt;Patrícia Karla de Sousa Araújo",$B:$B,"&lt;&gt;Lorena Dias de Araujo",$B:$B,"&lt;&gt;Lucas Luiz Romero")*(23/1083),IF(C1900="JR",SUMIFS($D:$D,$A:$A,$A1900,$B:$B,"&lt;&gt;Patrícia Karla de Sousa Araújo",$B:$B,"&lt;&gt;Lorena Dias de Araujo",$B:$B,"&lt;&gt;Lucas Luiz Romero")*(20/1083),IF(C1900="Estágio",SUMIFS($D:$D,$A:$A,$A1900,$B:$B,"&lt;&gt;Patrícia Karla de Sousa Araújo",$B:$B,"&lt;&gt;Lorena Dias de Araujo",$B:$B,"&lt;&gt;Lucas Luiz Romero")*(10/1083),0)))))),0)</f>
        <v/>
      </c>
      <c r="K1900" s="3">
        <f>I1900-J1900</f>
        <v/>
      </c>
      <c r="L1900" s="3">
        <f>IF(K1900&lt;-5,"CRÍTICO",IF(K1900&lt;0,"ATENÇÃO",IF(K1900&lt;=5,"BOM","EXCELENTE")))</f>
        <v/>
      </c>
      <c r="M1900" t="n">
        <v>22</v>
      </c>
      <c r="N1900" t="n">
        <v>99.26000000000001</v>
      </c>
      <c r="O1900" t="n">
        <v>30.84832904884319</v>
      </c>
    </row>
    <row r="1901" hidden="1">
      <c r="A1901" s="11" t="n">
        <v>46059</v>
      </c>
      <c r="B1901" t="inlineStr">
        <is>
          <t>Lizandra Gomes Duarte</t>
        </is>
      </c>
      <c r="C1901" t="inlineStr">
        <is>
          <t>Técnico II</t>
        </is>
      </c>
      <c r="D1901" t="n">
        <v>38</v>
      </c>
      <c r="E1901" t="n">
        <v>29</v>
      </c>
      <c r="F1901" t="n">
        <v>15.05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M1901" t="n">
        <v>20</v>
      </c>
      <c r="N1901" t="n">
        <v>97.48</v>
      </c>
      <c r="O1901" t="n">
        <v>27.76470588235294</v>
      </c>
    </row>
    <row r="1902" hidden="1">
      <c r="A1902" s="11" t="n">
        <v>46059</v>
      </c>
      <c r="B1902" t="inlineStr">
        <is>
          <t>Lorena Dias de Araujo</t>
        </is>
      </c>
      <c r="C1902" t="inlineStr">
        <is>
          <t>Técnico II</t>
        </is>
      </c>
      <c r="D1902" t="n">
        <v>41</v>
      </c>
      <c r="E1902" t="n">
        <v>38</v>
      </c>
      <c r="F1902" t="n">
        <v>15.12</v>
      </c>
      <c r="G1902" t="n">
        <v>0</v>
      </c>
      <c r="H1902" t="n">
        <v>0</v>
      </c>
      <c r="I1902" s="3" t="n">
        <v>0</v>
      </c>
      <c r="J1902" s="3" t="n">
        <v>0</v>
      </c>
      <c r="K1902" s="3" t="n">
        <v>0</v>
      </c>
      <c r="L1902" s="3">
        <f>IF(K1902&lt;-5,"CRÍTICO",IF(K1902&lt;0,"ATENÇÃO",IF(K1902&lt;=5,"BOM","EXCELENTE")))</f>
        <v/>
      </c>
      <c r="M1902" t="n">
        <v>33</v>
      </c>
      <c r="N1902" t="n">
        <v>99.34</v>
      </c>
      <c r="O1902" t="n">
        <v>30.04291845493562</v>
      </c>
    </row>
    <row r="1903" hidden="1">
      <c r="A1903" s="11" t="n">
        <v>46059</v>
      </c>
      <c r="B1903" t="inlineStr">
        <is>
          <t>Lucas Luiz Romero</t>
        </is>
      </c>
      <c r="C1903" t="inlineStr">
        <is>
          <t>Técnico III</t>
        </is>
      </c>
      <c r="D1903" t="n">
        <v>42</v>
      </c>
      <c r="E1903" t="n">
        <v>27</v>
      </c>
      <c r="F1903" t="n">
        <v>11.53</v>
      </c>
      <c r="G1903" t="n">
        <v>0</v>
      </c>
      <c r="H1903" t="n">
        <v>0</v>
      </c>
      <c r="I1903" s="3">
        <f>E1903+G1903+H1903</f>
        <v/>
      </c>
      <c r="J1903" s="3">
        <f>ROUND(MIN(IF(C1903="Técnico III",35,IF(C1903="Técnico II",28,IF(C1903="Técnico I",23,IF(C1903="JR",20,IF(C1903="Estágio",10,0))))),IF(C1903="Técnico III",SUMIFS($D:$D,$A:$A,$A1903,$B:$B,"&lt;&gt;Patrícia Karla de Sousa Araújo",$B:$B,"&lt;&gt;Lorena Dias de Araujo",$B:$B,"&lt;&gt;Lucas Luiz Romero")*(35/1083),IF(C1903="Técnico II",SUMIFS($D:$D,$A:$A,$A1903,$B:$B,"&lt;&gt;Patrícia Karla de Sousa Araújo",$B:$B,"&lt;&gt;Lorena Dias de Araujo",$B:$B,"&lt;&gt;Lucas Luiz Romero")*(28/1083),IF(C1903="Técnico I",SUMIFS($D:$D,$A:$A,$A1903,$B:$B,"&lt;&gt;Patrícia Karla de Sousa Araújo",$B:$B,"&lt;&gt;Lorena Dias de Araujo",$B:$B,"&lt;&gt;Lucas Luiz Romero")*(23/1083),IF(C1903="JR",SUMIFS($D:$D,$A:$A,$A1903,$B:$B,"&lt;&gt;Patrícia Karla de Sousa Araújo",$B:$B,"&lt;&gt;Lorena Dias de Araujo",$B:$B,"&lt;&gt;Lucas Luiz Romero")*(20/1083),IF(C1903="Estágio",SUMIFS($D:$D,$A:$A,$A1903,$B:$B,"&lt;&gt;Patrícia Karla de Sousa Araújo",$B:$B,"&lt;&gt;Lorena Dias de Araujo",$B:$B,"&lt;&gt;Lucas Luiz Romero")*(10/1083),0)))))),0)</f>
        <v/>
      </c>
      <c r="K1903" s="3">
        <f>I1903-J1903</f>
        <v/>
      </c>
      <c r="L1903" s="3">
        <f>IF(K1903&lt;-5,"CRÍTICO",IF(K1903&lt;0,"ATENÇÃO",IF(K1903&lt;=5,"BOM","EXCELENTE")))</f>
        <v/>
      </c>
      <c r="M1903" t="n">
        <v>19</v>
      </c>
      <c r="N1903" t="n">
        <v>96.3</v>
      </c>
      <c r="O1903" t="n">
        <v>24.29378531073446</v>
      </c>
    </row>
    <row r="1904" hidden="1">
      <c r="A1904" s="11" t="n">
        <v>46059</v>
      </c>
      <c r="B1904" t="inlineStr">
        <is>
          <t>Luiz Fernando de Carvalho Junior</t>
        </is>
      </c>
      <c r="C1904" t="inlineStr">
        <is>
          <t>Técnico I</t>
        </is>
      </c>
      <c r="D1904" t="n">
        <v>34</v>
      </c>
      <c r="E1904" t="n">
        <v>32</v>
      </c>
      <c r="F1904" t="n">
        <v>18.45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M1904" t="n">
        <v>32</v>
      </c>
      <c r="N1904" t="n">
        <v>100</v>
      </c>
      <c r="O1904" t="n">
        <v>26.54320987654321</v>
      </c>
    </row>
    <row r="1905" hidden="1">
      <c r="A1905" s="11" t="n">
        <v>46059</v>
      </c>
      <c r="B1905" t="inlineStr">
        <is>
          <t>Maria Eduarda Sousa Costa</t>
        </is>
      </c>
      <c r="C1905" t="inlineStr">
        <is>
          <t>Estágio</t>
        </is>
      </c>
      <c r="D1905" t="n">
        <v>74</v>
      </c>
      <c r="E1905" t="n">
        <v>33</v>
      </c>
      <c r="F1905" t="n">
        <v>3.27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M1905" t="n">
        <v>0</v>
      </c>
      <c r="N1905" t="n">
        <v>100</v>
      </c>
      <c r="O1905" t="n">
        <v>35.48387096774194</v>
      </c>
    </row>
    <row r="1906" hidden="1">
      <c r="A1906" s="11" t="n">
        <v>46059</v>
      </c>
      <c r="B1906" t="inlineStr">
        <is>
          <t>Matheus Farias De Souza</t>
        </is>
      </c>
      <c r="C1906" t="inlineStr">
        <is>
          <t>Técnico III</t>
        </is>
      </c>
      <c r="D1906" t="n">
        <v>42</v>
      </c>
      <c r="E1906" t="n">
        <v>40</v>
      </c>
      <c r="F1906" t="n">
        <v>13.59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M1906" t="n">
        <v>38</v>
      </c>
      <c r="N1906" t="n">
        <v>99.27</v>
      </c>
      <c r="O1906" t="n">
        <v>31.16370808678501</v>
      </c>
    </row>
    <row r="1907" hidden="1">
      <c r="A1907" s="11" t="n">
        <v>46059</v>
      </c>
      <c r="B1907" t="inlineStr">
        <is>
          <t>Maysa Victoria Dias Moura</t>
        </is>
      </c>
      <c r="C1907" t="inlineStr">
        <is>
          <t>Técnico III</t>
        </is>
      </c>
      <c r="D1907" t="n">
        <v>27</v>
      </c>
      <c r="E1907" t="n">
        <v>25</v>
      </c>
      <c r="F1907" t="n">
        <v>20.44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M1907" t="n">
        <v>22</v>
      </c>
      <c r="N1907" t="n">
        <v>94.16</v>
      </c>
      <c r="O1907" t="n">
        <v>27.03862660944206</v>
      </c>
    </row>
    <row r="1908" hidden="1">
      <c r="A1908" s="11" t="n">
        <v>46059</v>
      </c>
      <c r="B1908" t="inlineStr">
        <is>
          <t>Michelle G Santos</t>
        </is>
      </c>
      <c r="C1908" t="inlineStr">
        <is>
          <t>Estágio</t>
        </is>
      </c>
      <c r="D1908" t="n">
        <v>13</v>
      </c>
      <c r="E1908" t="n">
        <v>11</v>
      </c>
      <c r="F1908" t="n">
        <v>57.38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M1908" t="n">
        <v>5</v>
      </c>
      <c r="N1908" t="n">
        <v>93.75</v>
      </c>
      <c r="O1908" t="n">
        <v>19.31818181818182</v>
      </c>
    </row>
    <row r="1909" hidden="1">
      <c r="A1909" s="11" t="n">
        <v>46059</v>
      </c>
      <c r="B1909" t="inlineStr">
        <is>
          <t>Milena Sales</t>
        </is>
      </c>
      <c r="C1909" t="inlineStr">
        <is>
          <t>JR</t>
        </is>
      </c>
      <c r="D1909" t="n">
        <v>0</v>
      </c>
      <c r="E1909" t="n">
        <v>0</v>
      </c>
      <c r="F1909" t="n">
        <v>0</v>
      </c>
      <c r="G1909" t="n">
        <v>0</v>
      </c>
      <c r="H1909" t="n">
        <v>0</v>
      </c>
      <c r="I1909" s="3" t="n">
        <v>0</v>
      </c>
      <c r="J1909" s="3" t="n">
        <v>0</v>
      </c>
      <c r="K1909" s="3" t="n">
        <v>0</v>
      </c>
      <c r="L1909" s="3">
        <f>IF(K1909&lt;-5,"CRÍTICO",IF(K1909&lt;0,"ATENÇÃO",IF(K1909&lt;=5,"BOM","EXCELENTE")))</f>
        <v/>
      </c>
      <c r="M1909" t="n">
        <v>0</v>
      </c>
      <c r="N1909" t="n">
        <v>0</v>
      </c>
      <c r="O1909" t="n">
        <v>0</v>
      </c>
    </row>
    <row r="1910" hidden="1">
      <c r="A1910" s="11" t="n">
        <v>46059</v>
      </c>
      <c r="B1910" t="inlineStr">
        <is>
          <t>Patrícia Karla de Sousa Araújo</t>
        </is>
      </c>
      <c r="C1910" t="inlineStr">
        <is>
          <t>Técnico II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M1910" t="n">
        <v>0</v>
      </c>
      <c r="N1910" t="n">
        <v>97.92</v>
      </c>
      <c r="O1910" t="n">
        <v>32.87671232876712</v>
      </c>
    </row>
    <row r="1911" hidden="1">
      <c r="A1911" s="11" t="n">
        <v>46059</v>
      </c>
      <c r="B1911" t="inlineStr">
        <is>
          <t>Paulo Ricardo Santos</t>
        </is>
      </c>
      <c r="C1911" t="inlineStr">
        <is>
          <t>JR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M1911" t="n">
        <v>0</v>
      </c>
      <c r="N1911" t="n">
        <v>0</v>
      </c>
      <c r="O1911" t="n">
        <v>0</v>
      </c>
    </row>
    <row r="1912" hidden="1">
      <c r="A1912" s="11" t="n">
        <v>46059</v>
      </c>
      <c r="B1912" t="inlineStr">
        <is>
          <t>Pedro Luiz Mota Sousa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M1912" t="n">
        <v>0</v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Quirino Diogo Leite Torres</t>
        </is>
      </c>
      <c r="C1913" t="inlineStr">
        <is>
          <t>Estágio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M1913" t="n">
        <v>0</v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Raane Batista Matos</t>
        </is>
      </c>
      <c r="C1914" t="inlineStr">
        <is>
          <t>Técnico I</t>
        </is>
      </c>
      <c r="D1914" t="n">
        <v>15</v>
      </c>
      <c r="E1914" t="n">
        <v>13</v>
      </c>
      <c r="F1914" t="n">
        <v>48.42</v>
      </c>
      <c r="G1914" t="n">
        <v>0</v>
      </c>
      <c r="H1914" t="n">
        <v>0</v>
      </c>
      <c r="I1914" s="3">
        <f>E1914+G1914+H1914</f>
        <v/>
      </c>
      <c r="J1914" s="3">
        <f>ROUND(MIN(IF(C1914="Técnico III",35,IF(C1914="Técnico II",28,IF(C1914="Técnico I",23,IF(C1914="JR",20,IF(C1914="Estágio",10,0))))),IF(C1914="Técnico III",SUMIFS($D:$D,$A:$A,$A1914,$B:$B,"&lt;&gt;Patrícia Karla de Sousa Araújo",$B:$B,"&lt;&gt;Lorena Dias de Araujo",$B:$B,"&lt;&gt;Lucas Luiz Romero")*(35/1083),IF(C1914="Técnico II",SUMIFS($D:$D,$A:$A,$A1914,$B:$B,"&lt;&gt;Patrícia Karla de Sousa Araújo",$B:$B,"&lt;&gt;Lorena Dias de Araujo",$B:$B,"&lt;&gt;Lucas Luiz Romero")*(28/1083),IF(C1914="Técnico I",SUMIFS($D:$D,$A:$A,$A1914,$B:$B,"&lt;&gt;Patrícia Karla de Sousa Araújo",$B:$B,"&lt;&gt;Lorena Dias de Araujo",$B:$B,"&lt;&gt;Lucas Luiz Romero")*(23/1083),IF(C1914="JR",SUMIFS($D:$D,$A:$A,$A1914,$B:$B,"&lt;&gt;Patrícia Karla de Sousa Araújo",$B:$B,"&lt;&gt;Lorena Dias de Araujo",$B:$B,"&lt;&gt;Lucas Luiz Romero")*(20/1083),IF(C1914="Estágio",SUMIFS($D:$D,$A:$A,$A1914,$B:$B,"&lt;&gt;Patrícia Karla de Sousa Araújo",$B:$B,"&lt;&gt;Lorena Dias de Araujo",$B:$B,"&lt;&gt;Lucas Luiz Romero")*(10/1083),0)))))),0)</f>
        <v/>
      </c>
      <c r="K1914" s="3">
        <f>I1914-J1914</f>
        <v/>
      </c>
      <c r="L1914" s="3">
        <f>IF(K1914&lt;-5,"CRÍTICO",IF(K1914&lt;0,"ATENÇÃO",IF(K1914&lt;=5,"BOM","EXCELENTE")))</f>
        <v/>
      </c>
      <c r="M1914" t="n">
        <v>12</v>
      </c>
      <c r="N1914" t="n">
        <v>98.51000000000001</v>
      </c>
      <c r="O1914" t="n">
        <v>29.71014492753623</v>
      </c>
    </row>
    <row r="1915" hidden="1">
      <c r="A1915" s="11" t="n">
        <v>46059</v>
      </c>
      <c r="B1915" t="inlineStr">
        <is>
          <t>Rafael Gomes de Morais</t>
        </is>
      </c>
      <c r="C1915" t="inlineStr">
        <is>
          <t>Técnico III</t>
        </is>
      </c>
      <c r="D1915" t="n">
        <v>32</v>
      </c>
      <c r="E1915" t="n">
        <v>27</v>
      </c>
      <c r="F1915" t="n">
        <v>13.39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M1915" t="n">
        <v>21</v>
      </c>
      <c r="N1915" t="n">
        <v>98.81</v>
      </c>
      <c r="O1915" t="n">
        <v>30.71297989031079</v>
      </c>
    </row>
    <row r="1916" hidden="1">
      <c r="A1916" s="11" t="n">
        <v>46059</v>
      </c>
      <c r="B1916" t="inlineStr">
        <is>
          <t>Sara Maria Monteiro Lopes</t>
        </is>
      </c>
      <c r="C1916" t="inlineStr">
        <is>
          <t>Técnico I</t>
        </is>
      </c>
      <c r="D1916" t="n">
        <v>17</v>
      </c>
      <c r="E1916" t="n">
        <v>17</v>
      </c>
      <c r="F1916" t="n">
        <v>32.31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M1916" t="n">
        <v>15</v>
      </c>
      <c r="N1916" t="n">
        <v>98.48</v>
      </c>
      <c r="O1916" t="n">
        <v>29.35323383084577</v>
      </c>
    </row>
    <row r="1917" hidden="1">
      <c r="A1917" s="11" t="n">
        <v>46059</v>
      </c>
      <c r="B1917" t="inlineStr">
        <is>
          <t>Sarah Steffanie de Lima Borges</t>
        </is>
      </c>
      <c r="C1917" t="inlineStr">
        <is>
          <t>Técnico III</t>
        </is>
      </c>
      <c r="D1917" t="n">
        <v>40</v>
      </c>
      <c r="E1917" t="n">
        <v>40</v>
      </c>
      <c r="F1917" t="n">
        <v>13.29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M1917" t="n">
        <v>37</v>
      </c>
      <c r="N1917" t="n">
        <v>98.56</v>
      </c>
      <c r="O1917" t="n">
        <v>29.37365010799136</v>
      </c>
    </row>
    <row r="1918" hidden="1">
      <c r="A1918" s="11" t="n">
        <v>46062</v>
      </c>
      <c r="B1918" t="inlineStr">
        <is>
          <t>Alisson de Freitas Silva</t>
        </is>
      </c>
      <c r="C1918" t="inlineStr">
        <is>
          <t>Técnico II</t>
        </is>
      </c>
      <c r="D1918" t="n">
        <v>31</v>
      </c>
      <c r="E1918" t="n">
        <v>28</v>
      </c>
      <c r="F1918" t="n">
        <v>13.22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M1918" t="n">
        <v>26</v>
      </c>
      <c r="N1918" t="n">
        <v>98.31999999999999</v>
      </c>
      <c r="O1918" t="n">
        <v>30.3030303030303</v>
      </c>
    </row>
    <row r="1919" hidden="1">
      <c r="A1919" s="11" t="n">
        <v>46062</v>
      </c>
      <c r="B1919" t="inlineStr">
        <is>
          <t>Amanda Moura Ferreira</t>
        </is>
      </c>
      <c r="C1919" t="inlineStr">
        <is>
          <t>Técnico III</t>
        </is>
      </c>
      <c r="D1919" t="n">
        <v>0</v>
      </c>
      <c r="E1919" t="n">
        <v>0</v>
      </c>
      <c r="F1919" t="n">
        <v>0</v>
      </c>
      <c r="G1919" t="n">
        <v>0</v>
      </c>
      <c r="H1919" t="n">
        <v>0</v>
      </c>
      <c r="I1919" s="3" t="n">
        <v>0</v>
      </c>
      <c r="J1919" s="3" t="n">
        <v>0</v>
      </c>
      <c r="K1919" s="3" t="n">
        <v>0</v>
      </c>
      <c r="L1919" s="3">
        <f>IF(K1919&lt;-5,"CRÍTICO",IF(K1919&lt;0,"ATENÇÃO",IF(K1919&lt;=5,"BOM","EXCELENTE")))</f>
        <v/>
      </c>
      <c r="M1919" t="n">
        <v>29</v>
      </c>
      <c r="N1919" t="n">
        <v>98.68000000000001</v>
      </c>
      <c r="O1919" t="n">
        <v>26.21951219512195</v>
      </c>
    </row>
    <row r="1920" hidden="1">
      <c r="A1920" s="11" t="n">
        <v>46062</v>
      </c>
      <c r="B1920" t="inlineStr">
        <is>
          <t>Ana Karollyne Souza Faria</t>
        </is>
      </c>
      <c r="C1920" t="inlineStr">
        <is>
          <t>Técnico I</t>
        </is>
      </c>
      <c r="D1920" t="n">
        <v>32</v>
      </c>
      <c r="E1920" t="n">
        <v>29</v>
      </c>
      <c r="F1920" t="n">
        <v>20.19</v>
      </c>
      <c r="G1920" t="n">
        <v>0</v>
      </c>
      <c r="H1920" t="n">
        <v>0</v>
      </c>
      <c r="I1920" s="3">
        <f>E1920+G1920+H1920</f>
        <v/>
      </c>
      <c r="J1920" s="3">
        <f>ROUND(MIN(IF(C1920="Técnico III",35,IF(C1920="Técnico II",28,IF(C1920="Técnico I",23,IF(C1920="JR",20,IF(C1920="Estágio",10,0))))),IF(C1920="Técnico III",SUMIFS($D:$D,$A:$A,$A1920,$B:$B,"&lt;&gt;Patrícia Karla de Sousa Araújo",$B:$B,"&lt;&gt;Lorena Dias de Araujo",$B:$B,"&lt;&gt;Lucas Luiz Romero")*(35/1083),IF(C1920="Técnico II",SUMIFS($D:$D,$A:$A,$A1920,$B:$B,"&lt;&gt;Patrícia Karla de Sousa Araújo",$B:$B,"&lt;&gt;Lorena Dias de Araujo",$B:$B,"&lt;&gt;Lucas Luiz Romero")*(28/1083),IF(C1920="Técnico I",SUMIFS($D:$D,$A:$A,$A1920,$B:$B,"&lt;&gt;Patrícia Karla de Sousa Araújo",$B:$B,"&lt;&gt;Lorena Dias de Araujo",$B:$B,"&lt;&gt;Lucas Luiz Romero")*(23/1083),IF(C1920="JR",SUMIFS($D:$D,$A:$A,$A1920,$B:$B,"&lt;&gt;Patrícia Karla de Sousa Araújo",$B:$B,"&lt;&gt;Lorena Dias de Araujo",$B:$B,"&lt;&gt;Lucas Luiz Romero")*(20/1083),IF(C1920="Estágio",SUMIFS($D:$D,$A:$A,$A1920,$B:$B,"&lt;&gt;Patrícia Karla de Sousa Araújo",$B:$B,"&lt;&gt;Lorena Dias de Araujo",$B:$B,"&lt;&gt;Lucas Luiz Romero")*(10/1083),0)))))),0)</f>
        <v/>
      </c>
      <c r="K1920" s="3">
        <f>I1920-J1920</f>
        <v/>
      </c>
      <c r="L1920" s="3">
        <f>IF(K1920&lt;-5,"CRÍTICO",IF(K1920&lt;0,"ATENÇÃO",IF(K1920&lt;=5,"BOM","EXCELENTE")))</f>
        <v/>
      </c>
      <c r="M1920" t="n">
        <v>30</v>
      </c>
      <c r="N1920" t="n">
        <v>100</v>
      </c>
      <c r="O1920" t="n">
        <v>31.74224343675418</v>
      </c>
    </row>
    <row r="1921" hidden="1">
      <c r="A1921" s="11" t="n">
        <v>46062</v>
      </c>
      <c r="B1921" t="inlineStr">
        <is>
          <t>Ana Paula Da Luz Silva Aleixo</t>
        </is>
      </c>
      <c r="C1921" t="inlineStr">
        <is>
          <t>Técnico III</t>
        </is>
      </c>
      <c r="D1921" t="n">
        <v>25</v>
      </c>
      <c r="E1921" t="n">
        <v>23</v>
      </c>
      <c r="F1921" t="n">
        <v>19.03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t="n">
        <v>24</v>
      </c>
      <c r="N1921" t="n">
        <v>98.25</v>
      </c>
      <c r="O1921" t="n">
        <v>25.83518930957684</v>
      </c>
    </row>
    <row r="1922" hidden="1">
      <c r="A1922" s="11" t="n">
        <v>46062</v>
      </c>
      <c r="B1922" t="inlineStr">
        <is>
          <t>Anna Luiza Rezende Tavares</t>
        </is>
      </c>
      <c r="C1922" t="inlineStr">
        <is>
          <t>Estágio</t>
        </is>
      </c>
      <c r="D1922" t="n">
        <v>9</v>
      </c>
      <c r="E1922" t="n">
        <v>9</v>
      </c>
      <c r="F1922" t="n">
        <v>38.29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t="n">
        <v>5</v>
      </c>
      <c r="N1922" t="n">
        <v>97.5</v>
      </c>
      <c r="O1922" t="n">
        <v>30.07518796992481</v>
      </c>
    </row>
    <row r="1923" hidden="1">
      <c r="A1923" s="11" t="n">
        <v>46062</v>
      </c>
      <c r="B1923" t="inlineStr">
        <is>
          <t>Brenda de Menezes Silva</t>
        </is>
      </c>
      <c r="C1923" t="inlineStr">
        <is>
          <t>Técnico II</t>
        </is>
      </c>
      <c r="D1923" t="n">
        <v>26</v>
      </c>
      <c r="E1923" t="n">
        <v>24</v>
      </c>
      <c r="F1923" t="n">
        <v>17.3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M1923" t="n">
        <v>26</v>
      </c>
      <c r="N1923" t="n">
        <v>100</v>
      </c>
      <c r="O1923" t="n">
        <v>29.71311475409836</v>
      </c>
    </row>
    <row r="1924" hidden="1">
      <c r="A1924" s="11" t="n">
        <v>46062</v>
      </c>
      <c r="B1924" t="inlineStr">
        <is>
          <t>Carlos Mateus Cassimiro Nunes</t>
        </is>
      </c>
      <c r="C1924" t="inlineStr">
        <is>
          <t>Técnico II</t>
        </is>
      </c>
      <c r="D1924" t="n">
        <v>21</v>
      </c>
      <c r="E1924" t="n">
        <v>21</v>
      </c>
      <c r="F1924" t="n">
        <v>37.3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t="n">
        <v>22</v>
      </c>
      <c r="N1924" t="n">
        <v>99.22</v>
      </c>
      <c r="O1924" t="n">
        <v>35.25641025641026</v>
      </c>
    </row>
    <row r="1925" hidden="1">
      <c r="A1925" s="11" t="n">
        <v>46062</v>
      </c>
      <c r="B1925" t="inlineStr">
        <is>
          <t>Claudio de Sousa Velasco Filho</t>
        </is>
      </c>
      <c r="C1925" t="inlineStr">
        <is>
          <t>Estágio</t>
        </is>
      </c>
      <c r="D1925" t="n">
        <v>0</v>
      </c>
      <c r="E1925" t="n">
        <v>0</v>
      </c>
      <c r="F1925" t="n">
        <v>0</v>
      </c>
      <c r="G1925" t="n">
        <v>0</v>
      </c>
      <c r="H1925" t="n">
        <v>0</v>
      </c>
      <c r="I1925" s="3" t="n">
        <v>0</v>
      </c>
      <c r="J1925" s="3" t="n">
        <v>0</v>
      </c>
      <c r="K1925" s="3" t="n">
        <v>0</v>
      </c>
      <c r="L1925" s="3">
        <f>IF(K1925&lt;-5,"CRÍTICO",IF(K1925&lt;0,"ATENÇÃO",IF(K1925&lt;=5,"BOM","EXCELENTE")))</f>
        <v/>
      </c>
      <c r="M1925" t="n">
        <v>0</v>
      </c>
      <c r="N1925" t="n">
        <v>0</v>
      </c>
      <c r="O1925" t="n">
        <v>0</v>
      </c>
    </row>
    <row r="1926" hidden="1">
      <c r="A1926" s="11" t="n">
        <v>46062</v>
      </c>
      <c r="B1926" t="inlineStr">
        <is>
          <t>Clessiane Pereira dos Santos</t>
        </is>
      </c>
      <c r="C1926" t="inlineStr">
        <is>
          <t>Técnico I</t>
        </is>
      </c>
      <c r="D1926" t="n">
        <v>19</v>
      </c>
      <c r="E1926" t="n">
        <v>17</v>
      </c>
      <c r="F1926" t="n">
        <v>25.31</v>
      </c>
      <c r="G1926" t="n">
        <v>0</v>
      </c>
      <c r="H1926" t="n">
        <v>0</v>
      </c>
      <c r="I1926" s="3">
        <f>E1926+G1926+H1926</f>
        <v/>
      </c>
      <c r="J1926" s="3">
        <f>ROUND(MIN(IF(C1926="Técnico III",35,IF(C1926="Técnico II",28,IF(C1926="Técnico I",23,IF(C1926="JR",20,IF(C1926="Estágio",10,0))))),IF(C1926="Técnico III",SUMIFS($D:$D,$A:$A,$A1926,$B:$B,"&lt;&gt;Patrícia Karla de Sousa Araújo",$B:$B,"&lt;&gt;Lorena Dias de Araujo",$B:$B,"&lt;&gt;Lucas Luiz Romero")*(35/1083),IF(C1926="Técnico II",SUMIFS($D:$D,$A:$A,$A1926,$B:$B,"&lt;&gt;Patrícia Karla de Sousa Araújo",$B:$B,"&lt;&gt;Lorena Dias de Araujo",$B:$B,"&lt;&gt;Lucas Luiz Romero")*(28/1083),IF(C1926="Técnico I",SUMIFS($D:$D,$A:$A,$A1926,$B:$B,"&lt;&gt;Patrícia Karla de Sousa Araújo",$B:$B,"&lt;&gt;Lorena Dias de Araujo",$B:$B,"&lt;&gt;Lucas Luiz Romero")*(23/1083),IF(C1926="JR",SUMIFS($D:$D,$A:$A,$A1926,$B:$B,"&lt;&gt;Patrícia Karla de Sousa Araújo",$B:$B,"&lt;&gt;Lorena Dias de Araujo",$B:$B,"&lt;&gt;Lucas Luiz Romero")*(20/1083),IF(C1926="Estágio",SUMIFS($D:$D,$A:$A,$A1926,$B:$B,"&lt;&gt;Patrícia Karla de Sousa Araújo",$B:$B,"&lt;&gt;Lorena Dias de Araujo",$B:$B,"&lt;&gt;Lucas Luiz Romero")*(10/1083),0)))))),0)</f>
        <v/>
      </c>
      <c r="K1926" s="3">
        <f>I1926-J1926</f>
        <v/>
      </c>
      <c r="L1926" s="3">
        <f>IF(K1926&lt;-5,"CRÍTICO",IF(K1926&lt;0,"ATENÇÃO",IF(K1926&lt;=5,"BOM","EXCELENTE")))</f>
        <v/>
      </c>
      <c r="M1926" t="n">
        <v>19</v>
      </c>
      <c r="N1926" t="n">
        <v>98.75</v>
      </c>
      <c r="O1926" t="n">
        <v>24.32432432432433</v>
      </c>
    </row>
    <row r="1927" hidden="1">
      <c r="A1927" s="11" t="n">
        <v>46062</v>
      </c>
      <c r="B1927" t="inlineStr">
        <is>
          <t>Cristiane Ramos da Silva Rocha</t>
        </is>
      </c>
      <c r="C1927" t="inlineStr">
        <is>
          <t>Técnico III</t>
        </is>
      </c>
      <c r="D1927" t="n">
        <v>41</v>
      </c>
      <c r="E1927" t="n">
        <v>37</v>
      </c>
      <c r="F1927" t="n">
        <v>12.18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t="n">
        <v>35</v>
      </c>
      <c r="N1927" t="n">
        <v>93.48</v>
      </c>
      <c r="O1927" t="n">
        <v>31.52804642166344</v>
      </c>
    </row>
    <row r="1928" hidden="1">
      <c r="A1928" s="11" t="n">
        <v>46062</v>
      </c>
      <c r="B1928" t="inlineStr">
        <is>
          <t>Damyllis Lorraine de Oliveira Gonçalves</t>
        </is>
      </c>
      <c r="C1928" t="inlineStr">
        <is>
          <t>Técnico II</t>
        </is>
      </c>
      <c r="D1928" t="n">
        <v>0</v>
      </c>
      <c r="E1928" t="n">
        <v>0</v>
      </c>
      <c r="F1928" t="n">
        <v>0</v>
      </c>
      <c r="G1928" t="n">
        <v>0</v>
      </c>
      <c r="H1928" t="n">
        <v>0</v>
      </c>
      <c r="I1928" s="3" t="n">
        <v>0</v>
      </c>
      <c r="J1928" s="3" t="n">
        <v>0</v>
      </c>
      <c r="K1928" s="3" t="n">
        <v>0</v>
      </c>
      <c r="L1928" s="3">
        <f>IF(K1928&lt;-5,"CRÍTICO",IF(K1928&lt;0,"ATENÇÃO",IF(K1928&lt;=5,"BOM","EXCELENTE")))</f>
        <v/>
      </c>
      <c r="M1928" t="n">
        <v>1</v>
      </c>
      <c r="N1928" t="n">
        <v>99.16</v>
      </c>
      <c r="O1928" t="n">
        <v>26.13908872901678</v>
      </c>
    </row>
    <row r="1929" hidden="1">
      <c r="A1929" s="11" t="n">
        <v>46062</v>
      </c>
      <c r="B1929" t="inlineStr">
        <is>
          <t>Daniel Gomes da Silva</t>
        </is>
      </c>
      <c r="C1929" t="inlineStr">
        <is>
          <t>Técnico I</t>
        </is>
      </c>
      <c r="D1929" t="n">
        <v>18</v>
      </c>
      <c r="E1929" t="n">
        <v>18</v>
      </c>
      <c r="F1929" t="n">
        <v>33.48</v>
      </c>
      <c r="G1929" t="n">
        <v>0</v>
      </c>
      <c r="H1929" t="n">
        <v>0</v>
      </c>
      <c r="I1929" s="3">
        <f>E1929+G1929+H1929</f>
        <v/>
      </c>
      <c r="J1929" s="3">
        <f>ROUND(MIN(IF(C1929="Técnico III",35,IF(C1929="Técnico II",28,IF(C1929="Técnico I",23,IF(C1929="JR",20,IF(C1929="Estágio",10,0))))),IF(C1929="Técnico III",SUMIFS($D:$D,$A:$A,$A1929,$B:$B,"&lt;&gt;Patrícia Karla de Sousa Araújo",$B:$B,"&lt;&gt;Lorena Dias de Araujo",$B:$B,"&lt;&gt;Lucas Luiz Romero")*(35/1083),IF(C1929="Técnico II",SUMIFS($D:$D,$A:$A,$A1929,$B:$B,"&lt;&gt;Patrícia Karla de Sousa Araújo",$B:$B,"&lt;&gt;Lorena Dias de Araujo",$B:$B,"&lt;&gt;Lucas Luiz Romero")*(28/1083),IF(C1929="Técnico I",SUMIFS($D:$D,$A:$A,$A1929,$B:$B,"&lt;&gt;Patrícia Karla de Sousa Araújo",$B:$B,"&lt;&gt;Lorena Dias de Araujo",$B:$B,"&lt;&gt;Lucas Luiz Romero")*(23/1083),IF(C1929="JR",SUMIFS($D:$D,$A:$A,$A1929,$B:$B,"&lt;&gt;Patrícia Karla de Sousa Araújo",$B:$B,"&lt;&gt;Lorena Dias de Araujo",$B:$B,"&lt;&gt;Lucas Luiz Romero")*(20/1083),IF(C1929="Estágio",SUMIFS($D:$D,$A:$A,$A1929,$B:$B,"&lt;&gt;Patrícia Karla de Sousa Araújo",$B:$B,"&lt;&gt;Lorena Dias de Araujo",$B:$B,"&lt;&gt;Lucas Luiz Romero")*(10/1083),0)))))),0)</f>
        <v/>
      </c>
      <c r="K1929" s="3">
        <f>I1929-J1929</f>
        <v/>
      </c>
      <c r="L1929" s="3">
        <f>IF(K1929&lt;-5,"CRÍTICO",IF(K1929&lt;0,"ATENÇÃO",IF(K1929&lt;=5,"BOM","EXCELENTE")))</f>
        <v/>
      </c>
      <c r="M1929" t="n">
        <v>25</v>
      </c>
      <c r="N1929" t="n">
        <v>100</v>
      </c>
      <c r="O1929" t="n">
        <v>31.08974358974359</v>
      </c>
    </row>
    <row r="1930" hidden="1">
      <c r="A1930" s="11" t="n">
        <v>46062</v>
      </c>
      <c r="B1930" t="inlineStr">
        <is>
          <t>Davylla Rodrigues Freitas Silva</t>
        </is>
      </c>
      <c r="C1930" t="inlineStr">
        <is>
          <t>Técnico III</t>
        </is>
      </c>
      <c r="D1930" t="n">
        <v>26</v>
      </c>
      <c r="E1930" t="n">
        <v>25</v>
      </c>
      <c r="F1930" t="n">
        <v>28.5</v>
      </c>
      <c r="G1930" t="n">
        <v>0</v>
      </c>
      <c r="H1930" t="n">
        <v>0</v>
      </c>
      <c r="I1930" s="3" t="n">
        <v>0</v>
      </c>
      <c r="J1930" s="3" t="n">
        <v>0</v>
      </c>
      <c r="K1930" s="3" t="n">
        <v>0</v>
      </c>
      <c r="L1930" s="3">
        <f>IF(K1930&lt;-5,"CRÍTICO",IF(K1930&lt;0,"ATENÇÃO",IF(K1930&lt;=5,"BOM","EXCELENTE")))</f>
        <v/>
      </c>
      <c r="M1930" t="n">
        <v>24</v>
      </c>
      <c r="N1930" t="n">
        <v>98.11</v>
      </c>
      <c r="O1930" t="n">
        <v>33.03370786516854</v>
      </c>
    </row>
    <row r="1931" hidden="1">
      <c r="A1931" s="11" t="n">
        <v>46062</v>
      </c>
      <c r="B1931" t="inlineStr">
        <is>
          <t>Emilly Caylane Costa</t>
        </is>
      </c>
      <c r="C1931" t="inlineStr">
        <is>
          <t>Estágio</t>
        </is>
      </c>
      <c r="D1931" t="n">
        <v>14</v>
      </c>
      <c r="E1931" t="n">
        <v>13</v>
      </c>
      <c r="F1931" t="n">
        <v>28.59</v>
      </c>
      <c r="G1931" t="n">
        <v>0</v>
      </c>
      <c r="H1931" t="n">
        <v>0</v>
      </c>
      <c r="I1931" s="3">
        <f>E1931+G1931+H1931</f>
        <v/>
      </c>
      <c r="J1931" s="3">
        <f>ROUND(MIN(IF(C1931="Técnico III",35,IF(C1931="Técnico II",28,IF(C1931="Técnico I",23,IF(C1931="JR",20,IF(C1931="Estágio",10,0))))),IF(C1931="Técnico III",SUMIFS($D:$D,$A:$A,$A1931,$B:$B,"&lt;&gt;Patrícia Karla de Sousa Araújo",$B:$B,"&lt;&gt;Lorena Dias de Araujo",$B:$B,"&lt;&gt;Lucas Luiz Romero")*(35/1083),IF(C1931="Técnico II",SUMIFS($D:$D,$A:$A,$A1931,$B:$B,"&lt;&gt;Patrícia Karla de Sousa Araújo",$B:$B,"&lt;&gt;Lorena Dias de Araujo",$B:$B,"&lt;&gt;Lucas Luiz Romero")*(28/1083),IF(C1931="Técnico I",SUMIFS($D:$D,$A:$A,$A1931,$B:$B,"&lt;&gt;Patrícia Karla de Sousa Araújo",$B:$B,"&lt;&gt;Lorena Dias de Araujo",$B:$B,"&lt;&gt;Lucas Luiz Romero")*(23/1083),IF(C1931="JR",SUMIFS($D:$D,$A:$A,$A1931,$B:$B,"&lt;&gt;Patrícia Karla de Sousa Araújo",$B:$B,"&lt;&gt;Lorena Dias de Araujo",$B:$B,"&lt;&gt;Lucas Luiz Romero")*(20/1083),IF(C1931="Estágio",SUMIFS($D:$D,$A:$A,$A1931,$B:$B,"&lt;&gt;Patrícia Karla de Sousa Araújo",$B:$B,"&lt;&gt;Lorena Dias de Araujo",$B:$B,"&lt;&gt;Lucas Luiz Romero")*(10/1083),0)))))),0)</f>
        <v/>
      </c>
      <c r="K1931" s="3">
        <f>I1931-J1931</f>
        <v/>
      </c>
      <c r="L1931" s="3">
        <f>IF(K1931&lt;-5,"CRÍTICO",IF(K1931&lt;0,"ATENÇÃO",IF(K1931&lt;=5,"BOM","EXCELENTE")))</f>
        <v/>
      </c>
      <c r="M1931" t="n">
        <v>3</v>
      </c>
      <c r="N1931" t="n">
        <v>78.95</v>
      </c>
      <c r="O1931" t="n">
        <v>38.98305084745763</v>
      </c>
    </row>
    <row r="1932" hidden="1">
      <c r="A1932" s="11" t="n">
        <v>46062</v>
      </c>
      <c r="B1932" t="inlineStr">
        <is>
          <t>Emilly Kamilly Medeiros Miranda</t>
        </is>
      </c>
      <c r="C1932" t="inlineStr">
        <is>
          <t>Técnico II</t>
        </is>
      </c>
      <c r="D1932" t="n">
        <v>35</v>
      </c>
      <c r="E1932" t="n">
        <v>33</v>
      </c>
      <c r="F1932" t="n">
        <v>22.21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t="n">
        <v>29</v>
      </c>
      <c r="N1932" t="n">
        <v>98.45</v>
      </c>
      <c r="O1932" t="n">
        <v>29.2817679558011</v>
      </c>
    </row>
    <row r="1933" hidden="1">
      <c r="A1933" s="11" t="n">
        <v>46062</v>
      </c>
      <c r="B1933" t="inlineStr">
        <is>
          <t>Francielson de Oliveira</t>
        </is>
      </c>
      <c r="C1933" t="inlineStr">
        <is>
          <t>Técnico III</t>
        </is>
      </c>
      <c r="D1933" t="n">
        <v>29</v>
      </c>
      <c r="E1933" t="n">
        <v>27</v>
      </c>
      <c r="F1933" t="n">
        <v>19.01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t="n">
        <v>28</v>
      </c>
      <c r="N1933" t="n">
        <v>97.84</v>
      </c>
      <c r="O1933" t="n">
        <v>26.28205128205128</v>
      </c>
    </row>
    <row r="1934" hidden="1">
      <c r="A1934" s="11" t="n">
        <v>46062</v>
      </c>
      <c r="B1934" t="inlineStr">
        <is>
          <t>Francilene Ferreira de Jesus</t>
        </is>
      </c>
      <c r="C1934" t="inlineStr">
        <is>
          <t>Técnico II</t>
        </is>
      </c>
      <c r="D1934" t="n">
        <v>53</v>
      </c>
      <c r="E1934" t="n">
        <v>46</v>
      </c>
      <c r="F1934" t="n">
        <v>12.33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t="n">
        <v>40</v>
      </c>
      <c r="N1934" t="n">
        <v>98.5</v>
      </c>
      <c r="O1934" t="n">
        <v>23.97769516728625</v>
      </c>
    </row>
    <row r="1935" hidden="1">
      <c r="A1935" s="11" t="n">
        <v>46094</v>
      </c>
      <c r="B1935" t="inlineStr">
        <is>
          <t>Gabriel Gomes de Andrade</t>
        </is>
      </c>
      <c r="C1935" t="inlineStr">
        <is>
          <t>Técnico I</t>
        </is>
      </c>
      <c r="D1935" t="n">
        <v>9</v>
      </c>
      <c r="E1935" t="n">
        <v>9</v>
      </c>
      <c r="F1935" t="n">
        <v>28.58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t="n">
        <v>11</v>
      </c>
      <c r="N1935" t="n">
        <v>99.05</v>
      </c>
      <c r="O1935" t="n">
        <v>26.62192393736018</v>
      </c>
    </row>
    <row r="1936" hidden="1">
      <c r="A1936" s="11" t="n">
        <v>46062</v>
      </c>
      <c r="B1936" t="inlineStr">
        <is>
          <t>Isabella Borges de Oliveira</t>
        </is>
      </c>
      <c r="C1936" t="inlineStr">
        <is>
          <t>Técnico II</t>
        </is>
      </c>
      <c r="D1936" t="n">
        <v>20</v>
      </c>
      <c r="E1936" t="n">
        <v>19</v>
      </c>
      <c r="F1936" t="n">
        <v>19.01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M1936" t="n">
        <v>15</v>
      </c>
      <c r="N1936" t="n">
        <v>98.53</v>
      </c>
      <c r="O1936" t="n">
        <v>31.57894736842105</v>
      </c>
    </row>
    <row r="1937" hidden="1">
      <c r="A1937" s="11" t="n">
        <v>46062</v>
      </c>
      <c r="B1937" t="inlineStr">
        <is>
          <t>Janaina Lima dos Reis Urany</t>
        </is>
      </c>
      <c r="C1937" t="inlineStr">
        <is>
          <t>Técnico III</t>
        </is>
      </c>
      <c r="D1937" t="n">
        <v>43</v>
      </c>
      <c r="E1937" t="n">
        <v>40</v>
      </c>
      <c r="F1937" t="n">
        <v>14.17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t="n">
        <v>39</v>
      </c>
      <c r="N1937" t="n">
        <v>100</v>
      </c>
      <c r="O1937" t="n">
        <v>25.72214580467676</v>
      </c>
    </row>
    <row r="1938" hidden="1">
      <c r="A1938" s="11" t="n">
        <v>46062</v>
      </c>
      <c r="B1938" t="inlineStr">
        <is>
          <t>Jaqueline Evangelista da Silva Martins</t>
        </is>
      </c>
      <c r="C1938" t="inlineStr">
        <is>
          <t>Técnico III</t>
        </is>
      </c>
      <c r="D1938" t="n">
        <v>22</v>
      </c>
      <c r="E1938" t="n">
        <v>20</v>
      </c>
      <c r="F1938" t="n">
        <v>12.13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M1938" t="n">
        <v>18</v>
      </c>
      <c r="N1938" t="n">
        <v>94.64</v>
      </c>
      <c r="O1938" t="n">
        <v>27.52941176470588</v>
      </c>
    </row>
    <row r="1939" hidden="1">
      <c r="A1939" s="11" t="n">
        <v>46062</v>
      </c>
      <c r="B1939" t="inlineStr">
        <is>
          <t>Jessica Faria da Silveira</t>
        </is>
      </c>
      <c r="C1939" t="inlineStr">
        <is>
          <t>Técnico II</t>
        </is>
      </c>
      <c r="D1939" t="n">
        <v>33</v>
      </c>
      <c r="E1939" t="n">
        <v>22</v>
      </c>
      <c r="F1939" t="n">
        <v>20.44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t="n">
        <v>20</v>
      </c>
      <c r="N1939" t="n">
        <v>99.06999999999999</v>
      </c>
      <c r="O1939" t="n">
        <v>26.3768115942029</v>
      </c>
    </row>
    <row r="1940" hidden="1">
      <c r="A1940" s="11" t="n">
        <v>46062</v>
      </c>
      <c r="B1940" t="inlineStr">
        <is>
          <t>Jéssica Fé Moura</t>
        </is>
      </c>
      <c r="C1940" t="inlineStr">
        <is>
          <t>Técnico III</t>
        </is>
      </c>
      <c r="D1940" t="n">
        <v>0</v>
      </c>
      <c r="E1940" t="n">
        <v>0</v>
      </c>
      <c r="F1940" t="n">
        <v>0</v>
      </c>
      <c r="G1940" t="n">
        <v>0</v>
      </c>
      <c r="H1940" t="n">
        <v>0</v>
      </c>
      <c r="I1940" s="3" t="n">
        <v>0</v>
      </c>
      <c r="J1940" s="3" t="n">
        <v>0</v>
      </c>
      <c r="K1940" s="3" t="n">
        <v>0</v>
      </c>
      <c r="L1940" s="3">
        <f>IF(K1940&lt;-5,"CRÍTICO",IF(K1940&lt;0,"ATENÇÃO",IF(K1940&lt;=5,"BOM","EXCELENTE")))</f>
        <v/>
      </c>
      <c r="M1940" t="n">
        <v>0</v>
      </c>
      <c r="N1940" t="n">
        <v>100</v>
      </c>
      <c r="O1940" t="n">
        <v>0</v>
      </c>
    </row>
    <row r="1941" hidden="1">
      <c r="A1941" s="11" t="n">
        <v>46062</v>
      </c>
      <c r="B1941" t="inlineStr">
        <is>
          <t>Karina Gonçalves Martins</t>
        </is>
      </c>
      <c r="C1941" t="inlineStr">
        <is>
          <t>JR</t>
        </is>
      </c>
      <c r="D1941" t="n">
        <v>7</v>
      </c>
      <c r="E1941" t="n">
        <v>6</v>
      </c>
      <c r="F1941" t="n">
        <v>26.45</v>
      </c>
      <c r="G1941" t="n">
        <v>0</v>
      </c>
      <c r="H1941" t="n">
        <v>0</v>
      </c>
      <c r="I1941" s="3">
        <f>E1941+G1941+H1941</f>
        <v/>
      </c>
      <c r="J1941" s="3">
        <f>ROUND(MIN(IF(C1941="Técnico III",35,IF(C1941="Técnico II",28,IF(C1941="Técnico I",23,IF(C1941="JR",20,IF(C1941="Estágio",10,0))))),IF(C1941="Técnico III",SUMIFS($D:$D,$A:$A,$A1941,$B:$B,"&lt;&gt;Patrícia Karla de Sousa Araújo",$B:$B,"&lt;&gt;Lorena Dias de Araujo",$B:$B,"&lt;&gt;Lucas Luiz Romero")*(35/1083),IF(C1941="Técnico II",SUMIFS($D:$D,$A:$A,$A1941,$B:$B,"&lt;&gt;Patrícia Karla de Sousa Araújo",$B:$B,"&lt;&gt;Lorena Dias de Araujo",$B:$B,"&lt;&gt;Lucas Luiz Romero")*(28/1083),IF(C1941="Técnico I",SUMIFS($D:$D,$A:$A,$A1941,$B:$B,"&lt;&gt;Patrícia Karla de Sousa Araújo",$B:$B,"&lt;&gt;Lorena Dias de Araujo",$B:$B,"&lt;&gt;Lucas Luiz Romero")*(23/1083),IF(C1941="JR",SUMIFS($D:$D,$A:$A,$A1941,$B:$B,"&lt;&gt;Patrícia Karla de Sousa Araújo",$B:$B,"&lt;&gt;Lorena Dias de Araujo",$B:$B,"&lt;&gt;Lucas Luiz Romero")*(20/1083),IF(C1941="Estágio",SUMIFS($D:$D,$A:$A,$A1941,$B:$B,"&lt;&gt;Patrícia Karla de Sousa Araújo",$B:$B,"&lt;&gt;Lorena Dias de Araujo",$B:$B,"&lt;&gt;Lucas Luiz Romero")*(10/1083),0)))))),0)</f>
        <v/>
      </c>
      <c r="K1941" s="3">
        <f>I1941-J1941</f>
        <v/>
      </c>
      <c r="L1941" s="3">
        <f>IF(K1941&lt;-5,"CRÍTICO",IF(K1941&lt;0,"ATENÇÃO",IF(K1941&lt;=5,"BOM","EXCELENTE")))</f>
        <v/>
      </c>
      <c r="M1941" t="n">
        <v>7</v>
      </c>
      <c r="N1941" t="n">
        <v>98.48</v>
      </c>
      <c r="O1941" t="n">
        <v>27.85388127853881</v>
      </c>
    </row>
    <row r="1942" hidden="1">
      <c r="A1942" s="11" t="n">
        <v>46062</v>
      </c>
      <c r="B1942" t="inlineStr">
        <is>
          <t>Kerollen Cristielly de Jesus Siqueira</t>
        </is>
      </c>
      <c r="C1942" t="inlineStr">
        <is>
          <t>Técnico III</t>
        </is>
      </c>
      <c r="D1942" t="n">
        <v>78</v>
      </c>
      <c r="E1942" t="n">
        <v>16</v>
      </c>
      <c r="F1942" t="n">
        <v>5.37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t="n">
        <v>5</v>
      </c>
      <c r="N1942" t="n">
        <v>95.15000000000001</v>
      </c>
      <c r="O1942" t="n">
        <v>34.13173652694611</v>
      </c>
    </row>
    <row r="1943" hidden="1">
      <c r="A1943" s="11" t="n">
        <v>46062</v>
      </c>
      <c r="B1943" t="inlineStr">
        <is>
          <t>Leandro de Souza Silva</t>
        </is>
      </c>
      <c r="C1943" t="inlineStr">
        <is>
          <t>JR</t>
        </is>
      </c>
      <c r="D1943" t="n">
        <v>0</v>
      </c>
      <c r="E1943" t="n">
        <v>0</v>
      </c>
      <c r="F1943" t="n">
        <v>0</v>
      </c>
      <c r="G1943" t="n">
        <v>0</v>
      </c>
      <c r="H1943" t="n">
        <v>0</v>
      </c>
      <c r="I1943" s="3" t="n">
        <v>0</v>
      </c>
      <c r="J1943" s="3" t="n">
        <v>0</v>
      </c>
      <c r="K1943" s="3" t="n">
        <v>0</v>
      </c>
      <c r="L1943" s="3">
        <f>IF(K1943&lt;-5,"CRÍTICO",IF(K1943&lt;0,"ATENÇÃO",IF(K1943&lt;=5,"BOM","EXCELENTE")))</f>
        <v/>
      </c>
      <c r="M1943" t="n">
        <v>0</v>
      </c>
      <c r="N1943" t="n">
        <v>0</v>
      </c>
      <c r="O1943" t="n">
        <v>0</v>
      </c>
    </row>
    <row r="1944" hidden="1">
      <c r="A1944" s="11" t="n">
        <v>46062</v>
      </c>
      <c r="B1944" t="inlineStr">
        <is>
          <t>Leandro Oliveira de Sousa</t>
        </is>
      </c>
      <c r="C1944" t="inlineStr">
        <is>
          <t>Técnico III</t>
        </is>
      </c>
      <c r="D1944" t="n">
        <v>17</v>
      </c>
      <c r="E1944" t="n">
        <v>16</v>
      </c>
      <c r="F1944" t="n">
        <v>35.02</v>
      </c>
      <c r="G1944" t="n">
        <v>0</v>
      </c>
      <c r="H1944" t="n">
        <v>0</v>
      </c>
      <c r="I1944" s="3">
        <f>E1944+G1944+H1944</f>
        <v/>
      </c>
      <c r="J1944" s="3">
        <f>ROUND(MIN(IF(C1944="Técnico III",35,IF(C1944="Técnico II",28,IF(C1944="Técnico I",23,IF(C1944="JR",20,IF(C1944="Estágio",10,0))))),IF(C1944="Técnico III",SUMIFS($D:$D,$A:$A,$A1944,$B:$B,"&lt;&gt;Patrícia Karla de Sousa Araújo",$B:$B,"&lt;&gt;Lorena Dias de Araujo",$B:$B,"&lt;&gt;Lucas Luiz Romero")*(35/1083),IF(C1944="Técnico II",SUMIFS($D:$D,$A:$A,$A1944,$B:$B,"&lt;&gt;Patrícia Karla de Sousa Araújo",$B:$B,"&lt;&gt;Lorena Dias de Araujo",$B:$B,"&lt;&gt;Lucas Luiz Romero")*(28/1083),IF(C1944="Técnico I",SUMIFS($D:$D,$A:$A,$A1944,$B:$B,"&lt;&gt;Patrícia Karla de Sousa Araújo",$B:$B,"&lt;&gt;Lorena Dias de Araujo",$B:$B,"&lt;&gt;Lucas Luiz Romero")*(23/1083),IF(C1944="JR",SUMIFS($D:$D,$A:$A,$A1944,$B:$B,"&lt;&gt;Patrícia Karla de Sousa Araújo",$B:$B,"&lt;&gt;Lorena Dias de Araujo",$B:$B,"&lt;&gt;Lucas Luiz Romero")*(20/1083),IF(C1944="Estágio",SUMIFS($D:$D,$A:$A,$A1944,$B:$B,"&lt;&gt;Patrícia Karla de Sousa Araújo",$B:$B,"&lt;&gt;Lorena Dias de Araujo",$B:$B,"&lt;&gt;Lucas Luiz Romero")*(10/1083),0)))))),0)</f>
        <v/>
      </c>
      <c r="K1944" s="3">
        <f>I1944-J1944</f>
        <v/>
      </c>
      <c r="L1944" s="3">
        <f>IF(K1944&lt;-5,"CRÍTICO",IF(K1944&lt;0,"ATENÇÃO",IF(K1944&lt;=5,"BOM","EXCELENTE")))</f>
        <v/>
      </c>
      <c r="M1944" t="n">
        <v>14</v>
      </c>
      <c r="N1944" t="n">
        <v>99.26000000000001</v>
      </c>
      <c r="O1944" t="n">
        <v>30.84832904884319</v>
      </c>
    </row>
    <row r="1945" hidden="1">
      <c r="A1945" s="11" t="n">
        <v>46062</v>
      </c>
      <c r="B1945" t="inlineStr">
        <is>
          <t>Lizandra Gomes Duarte</t>
        </is>
      </c>
      <c r="C1945" t="inlineStr">
        <is>
          <t>Técnico II</t>
        </is>
      </c>
      <c r="D1945" t="n">
        <v>28</v>
      </c>
      <c r="E1945" t="n">
        <v>26</v>
      </c>
      <c r="F1945" t="n">
        <v>25.46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t="n">
        <v>9</v>
      </c>
      <c r="N1945" t="n">
        <v>97.48</v>
      </c>
      <c r="O1945" t="n">
        <v>27.76470588235294</v>
      </c>
    </row>
    <row r="1946" hidden="1">
      <c r="A1946" s="11" t="n">
        <v>46062</v>
      </c>
      <c r="B1946" t="inlineStr">
        <is>
          <t>Lorena Dias de Araujo</t>
        </is>
      </c>
      <c r="C1946" t="inlineStr">
        <is>
          <t>Técnico II</t>
        </is>
      </c>
      <c r="D1946" t="n">
        <v>37</v>
      </c>
      <c r="E1946" t="n">
        <v>34</v>
      </c>
      <c r="F1946" t="n">
        <v>18.41</v>
      </c>
      <c r="G1946" t="n">
        <v>0</v>
      </c>
      <c r="H1946" t="n">
        <v>0</v>
      </c>
      <c r="I1946" s="3" t="n">
        <v>0</v>
      </c>
      <c r="J1946" s="3" t="n">
        <v>0</v>
      </c>
      <c r="K1946" s="3" t="n">
        <v>0</v>
      </c>
      <c r="L1946" s="3">
        <f>IF(K1946&lt;-5,"CRÍTICO",IF(K1946&lt;0,"ATENÇÃO",IF(K1946&lt;=5,"BOM","EXCELENTE")))</f>
        <v/>
      </c>
      <c r="M1946" t="n">
        <v>29</v>
      </c>
      <c r="N1946" t="n">
        <v>99.34</v>
      </c>
      <c r="O1946" t="n">
        <v>30.04291845493562</v>
      </c>
    </row>
    <row r="1947" hidden="1">
      <c r="A1947" s="11" t="n">
        <v>46062</v>
      </c>
      <c r="B1947" t="inlineStr">
        <is>
          <t>Lucas Luiz Romero</t>
        </is>
      </c>
      <c r="C1947" t="inlineStr">
        <is>
          <t>Técnico III</t>
        </is>
      </c>
      <c r="D1947" t="n">
        <v>53</v>
      </c>
      <c r="E1947" t="n">
        <v>35</v>
      </c>
      <c r="F1947" t="n">
        <v>13.34</v>
      </c>
      <c r="G1947" t="n">
        <v>0</v>
      </c>
      <c r="H1947" t="n">
        <v>0</v>
      </c>
      <c r="I1947" s="3">
        <f>E1947+G1947+H1947</f>
        <v/>
      </c>
      <c r="J1947" s="3">
        <f>ROUND(MIN(IF(C1947="Técnico III",35,IF(C1947="Técnico II",28,IF(C1947="Técnico I",23,IF(C1947="JR",20,IF(C1947="Estágio",10,0))))),IF(C1947="Técnico III",SUMIFS($D:$D,$A:$A,$A1947,$B:$B,"&lt;&gt;Patrícia Karla de Sousa Araújo",$B:$B,"&lt;&gt;Lorena Dias de Araujo",$B:$B,"&lt;&gt;Lucas Luiz Romero")*(35/1083),IF(C1947="Técnico II",SUMIFS($D:$D,$A:$A,$A1947,$B:$B,"&lt;&gt;Patrícia Karla de Sousa Araújo",$B:$B,"&lt;&gt;Lorena Dias de Araujo",$B:$B,"&lt;&gt;Lucas Luiz Romero")*(28/1083),IF(C1947="Técnico I",SUMIFS($D:$D,$A:$A,$A1947,$B:$B,"&lt;&gt;Patrícia Karla de Sousa Araújo",$B:$B,"&lt;&gt;Lorena Dias de Araujo",$B:$B,"&lt;&gt;Lucas Luiz Romero")*(23/1083),IF(C1947="JR",SUMIFS($D:$D,$A:$A,$A1947,$B:$B,"&lt;&gt;Patrícia Karla de Sousa Araújo",$B:$B,"&lt;&gt;Lorena Dias de Araujo",$B:$B,"&lt;&gt;Lucas Luiz Romero")*(20/1083),IF(C1947="Estágio",SUMIFS($D:$D,$A:$A,$A1947,$B:$B,"&lt;&gt;Patrícia Karla de Sousa Araújo",$B:$B,"&lt;&gt;Lorena Dias de Araujo",$B:$B,"&lt;&gt;Lucas Luiz Romero")*(10/1083),0)))))),0)</f>
        <v/>
      </c>
      <c r="K1947" s="3">
        <f>I1947-J1947</f>
        <v/>
      </c>
      <c r="L1947" s="3">
        <f>IF(K1947&lt;-5,"CRÍTICO",IF(K1947&lt;0,"ATENÇÃO",IF(K1947&lt;=5,"BOM","EXCELENTE")))</f>
        <v/>
      </c>
      <c r="M1947" t="n">
        <v>18</v>
      </c>
      <c r="N1947" t="n">
        <v>96.3</v>
      </c>
      <c r="O1947" t="n">
        <v>24.29378531073446</v>
      </c>
    </row>
    <row r="1948" hidden="1">
      <c r="A1948" s="11" t="n">
        <v>46062</v>
      </c>
      <c r="B1948" t="inlineStr">
        <is>
          <t>Luiz Fernando de Carvalho Junior</t>
        </is>
      </c>
      <c r="C1948" t="inlineStr">
        <is>
          <t>Técnico I</t>
        </is>
      </c>
      <c r="D1948" t="n">
        <v>24</v>
      </c>
      <c r="E1948" t="n">
        <v>19</v>
      </c>
      <c r="F1948" t="n">
        <v>18.43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t="n">
        <v>20</v>
      </c>
      <c r="N1948" t="n">
        <v>100</v>
      </c>
      <c r="O1948" t="n">
        <v>26.54320987654321</v>
      </c>
    </row>
    <row r="1949" hidden="1">
      <c r="A1949" s="11" t="n">
        <v>46062</v>
      </c>
      <c r="B1949" t="inlineStr">
        <is>
          <t>Maria Eduarda Sousa Costa</t>
        </is>
      </c>
      <c r="C1949" t="inlineStr">
        <is>
          <t>Estágio</t>
        </is>
      </c>
      <c r="D1949" t="n">
        <v>0</v>
      </c>
      <c r="E1949" t="n">
        <v>0</v>
      </c>
      <c r="F1949" t="n">
        <v>0</v>
      </c>
      <c r="G1949" t="n">
        <v>0</v>
      </c>
      <c r="H1949" t="n">
        <v>0</v>
      </c>
      <c r="I1949" s="3" t="n">
        <v>0</v>
      </c>
      <c r="J1949" s="3" t="n">
        <v>0</v>
      </c>
      <c r="K1949" s="3" t="n">
        <v>0</v>
      </c>
      <c r="L1949" s="3">
        <f>IF(K1949&lt;-5,"CRÍTICO",IF(K1949&lt;0,"ATENÇÃO",IF(K1949&lt;=5,"BOM","EXCELENTE")))</f>
        <v/>
      </c>
      <c r="M1949" t="n">
        <v>0</v>
      </c>
      <c r="N1949" t="n">
        <v>100</v>
      </c>
      <c r="O1949" t="n">
        <v>35.48387096774194</v>
      </c>
    </row>
    <row r="1950" hidden="1">
      <c r="A1950" s="11" t="n">
        <v>46062</v>
      </c>
      <c r="B1950" t="inlineStr">
        <is>
          <t>Matheus Farias De Souza</t>
        </is>
      </c>
      <c r="C1950" t="inlineStr">
        <is>
          <t>Técnico III</t>
        </is>
      </c>
      <c r="D1950" t="n">
        <v>26</v>
      </c>
      <c r="E1950" t="n">
        <v>24</v>
      </c>
      <c r="F1950" t="n">
        <v>15.49</v>
      </c>
      <c r="G1950" t="n">
        <v>0</v>
      </c>
      <c r="H1950" t="n">
        <v>0</v>
      </c>
      <c r="I1950" s="3">
        <f>E1950+G1950+H1950</f>
        <v/>
      </c>
      <c r="J1950" s="3">
        <f>ROUND(MIN(IF(C1950="Técnico III",35,IF(C1950="Técnico II",28,IF(C1950="Técnico I",23,IF(C1950="JR",20,IF(C1950="Estágio",10,0))))),IF(C1950="Técnico III",SUMIFS($D:$D,$A:$A,$A1950,$B:$B,"&lt;&gt;Patrícia Karla de Sousa Araújo",$B:$B,"&lt;&gt;Lorena Dias de Araujo",$B:$B,"&lt;&gt;Lucas Luiz Romero")*(35/1083),IF(C1950="Técnico II",SUMIFS($D:$D,$A:$A,$A1950,$B:$B,"&lt;&gt;Patrícia Karla de Sousa Araújo",$B:$B,"&lt;&gt;Lorena Dias de Araujo",$B:$B,"&lt;&gt;Lucas Luiz Romero")*(28/1083),IF(C1950="Técnico I",SUMIFS($D:$D,$A:$A,$A1950,$B:$B,"&lt;&gt;Patrícia Karla de Sousa Araújo",$B:$B,"&lt;&gt;Lorena Dias de Araujo",$B:$B,"&lt;&gt;Lucas Luiz Romero")*(23/1083),IF(C1950="JR",SUMIFS($D:$D,$A:$A,$A1950,$B:$B,"&lt;&gt;Patrícia Karla de Sousa Araújo",$B:$B,"&lt;&gt;Lorena Dias de Araujo",$B:$B,"&lt;&gt;Lucas Luiz Romero")*(20/1083),IF(C1950="Estágio",SUMIFS($D:$D,$A:$A,$A1950,$B:$B,"&lt;&gt;Patrícia Karla de Sousa Araújo",$B:$B,"&lt;&gt;Lorena Dias de Araujo",$B:$B,"&lt;&gt;Lucas Luiz Romero")*(10/1083),0)))))),0)</f>
        <v/>
      </c>
      <c r="K1950" s="3">
        <f>I1950-J1950</f>
        <v/>
      </c>
      <c r="L1950" s="3">
        <f>IF(K1950&lt;-5,"CRÍTICO",IF(K1950&lt;0,"ATENÇÃO",IF(K1950&lt;=5,"BOM","EXCELENTE")))</f>
        <v/>
      </c>
      <c r="M1950" t="n">
        <v>26</v>
      </c>
      <c r="N1950" t="n">
        <v>99.27</v>
      </c>
      <c r="O1950" t="n">
        <v>31.16370808678501</v>
      </c>
    </row>
    <row r="1951" hidden="1">
      <c r="A1951" s="11" t="n">
        <v>46062</v>
      </c>
      <c r="B1951" t="inlineStr">
        <is>
          <t>Maysa Victoria Dias Moura</t>
        </is>
      </c>
      <c r="C1951" t="inlineStr">
        <is>
          <t>Técnico III</t>
        </is>
      </c>
      <c r="D1951" t="n">
        <v>28</v>
      </c>
      <c r="E1951" t="n">
        <v>25</v>
      </c>
      <c r="F1951" t="n">
        <v>22.11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M1951" t="n">
        <v>20</v>
      </c>
      <c r="N1951" t="n">
        <v>94.16</v>
      </c>
      <c r="O1951" t="n">
        <v>27.03862660944206</v>
      </c>
    </row>
    <row r="1952" hidden="1">
      <c r="A1952" s="11" t="n">
        <v>46062</v>
      </c>
      <c r="B1952" t="inlineStr">
        <is>
          <t>Michelle G Santos</t>
        </is>
      </c>
      <c r="C1952" t="inlineStr">
        <is>
          <t>Estágio</t>
        </is>
      </c>
      <c r="D1952" t="n">
        <v>9</v>
      </c>
      <c r="E1952" t="n">
        <v>9</v>
      </c>
      <c r="F1952" t="n">
        <v>66.56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M1952" t="n">
        <v>6</v>
      </c>
      <c r="N1952" t="n">
        <v>93.75</v>
      </c>
      <c r="O1952" t="n">
        <v>19.31818181818182</v>
      </c>
    </row>
    <row r="1953" hidden="1">
      <c r="A1953" s="11" t="n">
        <v>46062</v>
      </c>
      <c r="B1953" t="inlineStr">
        <is>
          <t>Milena Sales</t>
        </is>
      </c>
      <c r="C1953" t="inlineStr">
        <is>
          <t>JR</t>
        </is>
      </c>
      <c r="D1953" t="n">
        <v>0</v>
      </c>
      <c r="E1953" t="n">
        <v>0</v>
      </c>
      <c r="F1953" t="n">
        <v>0</v>
      </c>
      <c r="G1953" t="n">
        <v>0</v>
      </c>
      <c r="H1953" t="n">
        <v>0</v>
      </c>
      <c r="I1953" s="3" t="n">
        <v>0</v>
      </c>
      <c r="J1953" s="3" t="n">
        <v>0</v>
      </c>
      <c r="K1953" s="3" t="n">
        <v>0</v>
      </c>
      <c r="L1953" s="3">
        <f>IF(K1953&lt;-5,"CRÍTICO",IF(K1953&lt;0,"ATENÇÃO",IF(K1953&lt;=5,"BOM","EXCELENTE")))</f>
        <v/>
      </c>
      <c r="M1953" t="n">
        <v>0</v>
      </c>
      <c r="N1953" t="n">
        <v>0</v>
      </c>
      <c r="O1953" t="n">
        <v>0</v>
      </c>
    </row>
    <row r="1954" hidden="1">
      <c r="A1954" s="11" t="n">
        <v>46062</v>
      </c>
      <c r="B1954" t="inlineStr">
        <is>
          <t>Patrícia Karla de Sousa Araújo</t>
        </is>
      </c>
      <c r="C1954" t="inlineStr">
        <is>
          <t>Técnico II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t="n">
        <v>0</v>
      </c>
      <c r="N1954" t="n">
        <v>97.92</v>
      </c>
      <c r="O1954" t="n">
        <v>32.87671232876712</v>
      </c>
    </row>
    <row r="1955" hidden="1">
      <c r="A1955" s="11" t="n">
        <v>46062</v>
      </c>
      <c r="B1955" t="inlineStr">
        <is>
          <t>Paulo Ricardo Santos</t>
        </is>
      </c>
      <c r="C1955" t="inlineStr">
        <is>
          <t>JR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t="n">
        <v>0</v>
      </c>
      <c r="N1955" t="n">
        <v>0</v>
      </c>
      <c r="O1955" t="n">
        <v>0</v>
      </c>
    </row>
    <row r="1956" hidden="1">
      <c r="A1956" s="11" t="n">
        <v>46062</v>
      </c>
      <c r="B1956" t="inlineStr">
        <is>
          <t>Pedro Luiz Mota Sousa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M1956" t="n">
        <v>0</v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Quirino Diogo Leite Torres</t>
        </is>
      </c>
      <c r="C1957" t="inlineStr">
        <is>
          <t>Estágio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M1957" t="n">
        <v>0</v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Raane Batista Matos</t>
        </is>
      </c>
      <c r="C1958" t="inlineStr">
        <is>
          <t>Técnico I</t>
        </is>
      </c>
      <c r="D1958" t="n">
        <v>25</v>
      </c>
      <c r="E1958" t="n">
        <v>23</v>
      </c>
      <c r="F1958" t="n">
        <v>25.23</v>
      </c>
      <c r="G1958" t="n">
        <v>0</v>
      </c>
      <c r="H1958" t="n">
        <v>0</v>
      </c>
      <c r="I1958" s="3">
        <f>E1958+G1958+H1958</f>
        <v/>
      </c>
      <c r="J1958" s="3">
        <f>ROUND(MIN(IF(C1958="Técnico III",35,IF(C1958="Técnico II",28,IF(C1958="Técnico I",23,IF(C1958="JR",20,IF(C1958="Estágio",10,0))))),IF(C1958="Técnico III",SUMIFS($D:$D,$A:$A,$A1958,$B:$B,"&lt;&gt;Patrícia Karla de Sousa Araújo",$B:$B,"&lt;&gt;Lorena Dias de Araujo",$B:$B,"&lt;&gt;Lucas Luiz Romero")*(35/1083),IF(C1958="Técnico II",SUMIFS($D:$D,$A:$A,$A1958,$B:$B,"&lt;&gt;Patrícia Karla de Sousa Araújo",$B:$B,"&lt;&gt;Lorena Dias de Araujo",$B:$B,"&lt;&gt;Lucas Luiz Romero")*(28/1083),IF(C1958="Técnico I",SUMIFS($D:$D,$A:$A,$A1958,$B:$B,"&lt;&gt;Patrícia Karla de Sousa Araújo",$B:$B,"&lt;&gt;Lorena Dias de Araujo",$B:$B,"&lt;&gt;Lucas Luiz Romero")*(23/1083),IF(C1958="JR",SUMIFS($D:$D,$A:$A,$A1958,$B:$B,"&lt;&gt;Patrícia Karla de Sousa Araújo",$B:$B,"&lt;&gt;Lorena Dias de Araujo",$B:$B,"&lt;&gt;Lucas Luiz Romero")*(20/1083),IF(C1958="Estágio",SUMIFS($D:$D,$A:$A,$A1958,$B:$B,"&lt;&gt;Patrícia Karla de Sousa Araújo",$B:$B,"&lt;&gt;Lorena Dias de Araujo",$B:$B,"&lt;&gt;Lucas Luiz Romero")*(10/1083),0)))))),0)</f>
        <v/>
      </c>
      <c r="K1958" s="3">
        <f>I1958-J1958</f>
        <v/>
      </c>
      <c r="L1958" s="3">
        <f>IF(K1958&lt;-5,"CRÍTICO",IF(K1958&lt;0,"ATENÇÃO",IF(K1958&lt;=5,"BOM","EXCELENTE")))</f>
        <v/>
      </c>
      <c r="M1958" t="n">
        <v>19</v>
      </c>
      <c r="N1958" t="n">
        <v>98.51000000000001</v>
      </c>
      <c r="O1958" t="n">
        <v>29.71014492753623</v>
      </c>
    </row>
    <row r="1959" hidden="1">
      <c r="A1959" s="11" t="n">
        <v>46062</v>
      </c>
      <c r="B1959" t="inlineStr">
        <is>
          <t>Rafael Gomes de Morais</t>
        </is>
      </c>
      <c r="C1959" t="inlineStr">
        <is>
          <t>Técnico III</t>
        </is>
      </c>
      <c r="D1959" t="n">
        <v>50</v>
      </c>
      <c r="E1959" t="n">
        <v>44</v>
      </c>
      <c r="F1959" t="n">
        <v>13.24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t="n">
        <v>39</v>
      </c>
      <c r="N1959" t="n">
        <v>98.81</v>
      </c>
      <c r="O1959" t="n">
        <v>30.71297989031079</v>
      </c>
    </row>
    <row r="1960" hidden="1">
      <c r="A1960" s="11" t="n">
        <v>46062</v>
      </c>
      <c r="B1960" t="inlineStr">
        <is>
          <t>Sara Maria Monteiro Lopes</t>
        </is>
      </c>
      <c r="C1960" t="inlineStr">
        <is>
          <t>Técnico I</t>
        </is>
      </c>
      <c r="D1960" t="n">
        <v>10</v>
      </c>
      <c r="E1960" t="n">
        <v>10</v>
      </c>
      <c r="F1960" t="n">
        <v>71.47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t="n">
        <v>8</v>
      </c>
      <c r="N1960" t="n">
        <v>98.48</v>
      </c>
      <c r="O1960" t="n">
        <v>29.35323383084577</v>
      </c>
    </row>
    <row r="1961" hidden="1">
      <c r="A1961" s="11" t="n">
        <v>46062</v>
      </c>
      <c r="B1961" t="inlineStr">
        <is>
          <t>Sarah Steffanie de Lima Borges</t>
        </is>
      </c>
      <c r="C1961" t="inlineStr">
        <is>
          <t>Técnico III</t>
        </is>
      </c>
      <c r="D1961" t="n">
        <v>29</v>
      </c>
      <c r="E1961" t="n">
        <v>28</v>
      </c>
      <c r="F1961" t="n">
        <v>20.18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M1961" t="n">
        <v>25</v>
      </c>
      <c r="N1961" t="n">
        <v>98.56</v>
      </c>
      <c r="O1961" t="n">
        <v>29.37365010799136</v>
      </c>
    </row>
    <row r="1962" hidden="1">
      <c r="A1962" s="11" t="n">
        <v>46063</v>
      </c>
      <c r="B1962" t="inlineStr">
        <is>
          <t>Alisson de Freitas Silva</t>
        </is>
      </c>
      <c r="C1962" t="inlineStr">
        <is>
          <t>Técnico II</t>
        </is>
      </c>
      <c r="D1962" t="n">
        <v>29</v>
      </c>
      <c r="E1962" t="n">
        <v>27</v>
      </c>
      <c r="F1962" t="n">
        <v>18.36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t="n">
        <v>23</v>
      </c>
      <c r="N1962" t="n">
        <v>98.31999999999999</v>
      </c>
      <c r="O1962" t="n">
        <v>30.3030303030303</v>
      </c>
    </row>
    <row r="1963" hidden="1">
      <c r="A1963" s="11" t="n">
        <v>46063</v>
      </c>
      <c r="B1963" t="inlineStr">
        <is>
          <t>Amanda Moura Ferreira</t>
        </is>
      </c>
      <c r="C1963" t="inlineStr">
        <is>
          <t>Técnico III</t>
        </is>
      </c>
      <c r="D1963" t="n">
        <v>0</v>
      </c>
      <c r="E1963" t="n">
        <v>0</v>
      </c>
      <c r="F1963" t="n">
        <v>0</v>
      </c>
      <c r="G1963" t="n">
        <v>0</v>
      </c>
      <c r="H1963" t="n">
        <v>0</v>
      </c>
      <c r="I1963" s="3" t="n">
        <v>0</v>
      </c>
      <c r="J1963" s="3" t="n">
        <v>0</v>
      </c>
      <c r="K1963" s="3" t="n">
        <v>0</v>
      </c>
      <c r="L1963" s="3">
        <f>IF(K1963&lt;-5,"CRÍTICO",IF(K1963&lt;0,"ATENÇÃO",IF(K1963&lt;=5,"BOM","EXCELENTE")))</f>
        <v/>
      </c>
      <c r="M1963" t="n">
        <v>36</v>
      </c>
      <c r="N1963" t="n">
        <v>98.68000000000001</v>
      </c>
      <c r="O1963" t="n">
        <v>26.21951219512195</v>
      </c>
    </row>
    <row r="1964" hidden="1">
      <c r="A1964" s="11" t="n">
        <v>46063</v>
      </c>
      <c r="B1964" t="inlineStr">
        <is>
          <t>Ana Karollyne Souza Faria</t>
        </is>
      </c>
      <c r="C1964" t="inlineStr">
        <is>
          <t>Técnico I</t>
        </is>
      </c>
      <c r="D1964" t="n">
        <v>24</v>
      </c>
      <c r="E1964" t="n">
        <v>23</v>
      </c>
      <c r="F1964" t="n">
        <v>26.59</v>
      </c>
      <c r="G1964" t="n">
        <v>0</v>
      </c>
      <c r="H1964" t="n">
        <v>0</v>
      </c>
      <c r="I1964" s="3">
        <f>E1964+G1964+H1964</f>
        <v/>
      </c>
      <c r="J1964" s="3">
        <f>ROUND(MIN(IF(C1964="Técnico III",35,IF(C1964="Técnico II",28,IF(C1964="Técnico I",23,IF(C1964="JR",20,IF(C1964="Estágio",10,0))))),IF(C1964="Técnico III",SUMIFS($D:$D,$A:$A,$A1964,$B:$B,"&lt;&gt;Patrícia Karla de Sousa Araújo",$B:$B,"&lt;&gt;Lorena Dias de Araujo",$B:$B,"&lt;&gt;Lucas Luiz Romero")*(35/1083),IF(C1964="Técnico II",SUMIFS($D:$D,$A:$A,$A1964,$B:$B,"&lt;&gt;Patrícia Karla de Sousa Araújo",$B:$B,"&lt;&gt;Lorena Dias de Araujo",$B:$B,"&lt;&gt;Lucas Luiz Romero")*(28/1083),IF(C1964="Técnico I",SUMIFS($D:$D,$A:$A,$A1964,$B:$B,"&lt;&gt;Patrícia Karla de Sousa Araújo",$B:$B,"&lt;&gt;Lorena Dias de Araujo",$B:$B,"&lt;&gt;Lucas Luiz Romero")*(23/1083),IF(C1964="JR",SUMIFS($D:$D,$A:$A,$A1964,$B:$B,"&lt;&gt;Patrícia Karla de Sousa Araújo",$B:$B,"&lt;&gt;Lorena Dias de Araujo",$B:$B,"&lt;&gt;Lucas Luiz Romero")*(20/1083),IF(C1964="Estágio",SUMIFS($D:$D,$A:$A,$A1964,$B:$B,"&lt;&gt;Patrícia Karla de Sousa Araújo",$B:$B,"&lt;&gt;Lorena Dias de Araujo",$B:$B,"&lt;&gt;Lucas Luiz Romero")*(10/1083),0)))))),0)</f>
        <v/>
      </c>
      <c r="K1964" s="3">
        <f>I1964-J1964</f>
        <v/>
      </c>
      <c r="L1964" s="3">
        <f>IF(K1964&lt;-5,"CRÍTICO",IF(K1964&lt;0,"ATENÇÃO",IF(K1964&lt;=5,"BOM","EXCELENTE")))</f>
        <v/>
      </c>
      <c r="M1964" t="n">
        <v>22</v>
      </c>
      <c r="N1964" t="n">
        <v>100</v>
      </c>
      <c r="O1964" t="n">
        <v>31.74224343675418</v>
      </c>
    </row>
    <row r="1965" hidden="1">
      <c r="A1965" s="11" t="n">
        <v>46063</v>
      </c>
      <c r="B1965" t="inlineStr">
        <is>
          <t>Ana Paula Da Luz Silva Aleixo</t>
        </is>
      </c>
      <c r="C1965" t="inlineStr">
        <is>
          <t>Técnico III</t>
        </is>
      </c>
      <c r="D1965" t="n">
        <v>42</v>
      </c>
      <c r="E1965" t="n">
        <v>37</v>
      </c>
      <c r="F1965" t="n">
        <v>17.05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M1965" t="n">
        <v>33</v>
      </c>
      <c r="N1965" t="n">
        <v>98.25</v>
      </c>
      <c r="O1965" t="n">
        <v>25.83518930957684</v>
      </c>
    </row>
    <row r="1966" hidden="1">
      <c r="A1966" s="11" t="n">
        <v>46063</v>
      </c>
      <c r="B1966" t="inlineStr">
        <is>
          <t>Anna Luiza Rezende Tavares</t>
        </is>
      </c>
      <c r="C1966" t="inlineStr">
        <is>
          <t>Estágio</t>
        </is>
      </c>
      <c r="D1966" t="n">
        <v>11</v>
      </c>
      <c r="E1966" t="n">
        <v>9</v>
      </c>
      <c r="F1966" t="n">
        <v>28.47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M1966" t="n">
        <v>7</v>
      </c>
      <c r="N1966" t="n">
        <v>97.5</v>
      </c>
      <c r="O1966" t="n">
        <v>30.07518796992481</v>
      </c>
    </row>
    <row r="1967" hidden="1">
      <c r="A1967" s="11" t="n">
        <v>46063</v>
      </c>
      <c r="B1967" t="inlineStr">
        <is>
          <t>Brenda de Menezes Silva</t>
        </is>
      </c>
      <c r="C1967" t="inlineStr">
        <is>
          <t>Técnico II</t>
        </is>
      </c>
      <c r="D1967" t="n">
        <v>35</v>
      </c>
      <c r="E1967" t="n">
        <v>32</v>
      </c>
      <c r="F1967" t="n">
        <v>18.36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M1967" t="n">
        <v>32</v>
      </c>
      <c r="N1967" t="n">
        <v>100</v>
      </c>
      <c r="O1967" t="n">
        <v>29.71311475409836</v>
      </c>
    </row>
    <row r="1968" hidden="1">
      <c r="A1968" s="11" t="n">
        <v>46063</v>
      </c>
      <c r="B1968" t="inlineStr">
        <is>
          <t>Carlos Mateus Cassimiro Nunes</t>
        </is>
      </c>
      <c r="C1968" t="inlineStr">
        <is>
          <t>Técnico II</t>
        </is>
      </c>
      <c r="D1968" t="n">
        <v>27</v>
      </c>
      <c r="E1968" t="n">
        <v>26</v>
      </c>
      <c r="F1968" t="n">
        <v>28.42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M1968" t="n">
        <v>26</v>
      </c>
      <c r="N1968" t="n">
        <v>99.22</v>
      </c>
      <c r="O1968" t="n">
        <v>35.25641025641026</v>
      </c>
    </row>
    <row r="1969" hidden="1">
      <c r="A1969" s="11" t="n">
        <v>46063</v>
      </c>
      <c r="B1969" t="inlineStr">
        <is>
          <t>Claudio de Sousa Velasco Filho</t>
        </is>
      </c>
      <c r="C1969" t="inlineStr">
        <is>
          <t>Estágio</t>
        </is>
      </c>
      <c r="D1969" t="n">
        <v>0</v>
      </c>
      <c r="E1969" t="n">
        <v>0</v>
      </c>
      <c r="F1969" t="n">
        <v>0</v>
      </c>
      <c r="G1969" t="n">
        <v>0</v>
      </c>
      <c r="H1969" t="n">
        <v>0</v>
      </c>
      <c r="I1969" s="3" t="n">
        <v>0</v>
      </c>
      <c r="J1969" s="3" t="n">
        <v>0</v>
      </c>
      <c r="K1969" s="3" t="n">
        <v>0</v>
      </c>
      <c r="L1969" s="3">
        <f>IF(K1969&lt;-5,"CRÍTICO",IF(K1969&lt;0,"ATENÇÃO",IF(K1969&lt;=5,"BOM","EXCELENTE")))</f>
        <v/>
      </c>
      <c r="M1969" t="n">
        <v>0</v>
      </c>
      <c r="N1969" t="n">
        <v>0</v>
      </c>
      <c r="O1969" t="n">
        <v>0</v>
      </c>
    </row>
    <row r="1970" hidden="1">
      <c r="A1970" s="11" t="n">
        <v>46063</v>
      </c>
      <c r="B1970" t="inlineStr">
        <is>
          <t>Clessiane Pereira dos Santos</t>
        </is>
      </c>
      <c r="C1970" t="inlineStr">
        <is>
          <t>Técnico I</t>
        </is>
      </c>
      <c r="D1970" t="n">
        <v>106</v>
      </c>
      <c r="E1970" t="n">
        <v>12</v>
      </c>
      <c r="F1970" t="n">
        <v>3.23</v>
      </c>
      <c r="G1970" t="n">
        <v>0</v>
      </c>
      <c r="H1970" t="n">
        <v>0</v>
      </c>
      <c r="I1970" s="3">
        <f>E1970+G1970+H1970</f>
        <v/>
      </c>
      <c r="J1970" s="3">
        <f>ROUND(MIN(IF(C1970="Técnico III",35,IF(C1970="Técnico II",28,IF(C1970="Técnico I",23,IF(C1970="JR",20,IF(C1970="Estágio",10,0))))),IF(C1970="Técnico III",SUMIFS($D:$D,$A:$A,$A1970,$B:$B,"&lt;&gt;Patrícia Karla de Sousa Araújo",$B:$B,"&lt;&gt;Lorena Dias de Araujo",$B:$B,"&lt;&gt;Lucas Luiz Romero")*(35/1083),IF(C1970="Técnico II",SUMIFS($D:$D,$A:$A,$A1970,$B:$B,"&lt;&gt;Patrícia Karla de Sousa Araújo",$B:$B,"&lt;&gt;Lorena Dias de Araujo",$B:$B,"&lt;&gt;Lucas Luiz Romero")*(28/1083),IF(C1970="Técnico I",SUMIFS($D:$D,$A:$A,$A1970,$B:$B,"&lt;&gt;Patrícia Karla de Sousa Araújo",$B:$B,"&lt;&gt;Lorena Dias de Araujo",$B:$B,"&lt;&gt;Lucas Luiz Romero")*(23/1083),IF(C1970="JR",SUMIFS($D:$D,$A:$A,$A1970,$B:$B,"&lt;&gt;Patrícia Karla de Sousa Araújo",$B:$B,"&lt;&gt;Lorena Dias de Araujo",$B:$B,"&lt;&gt;Lucas Luiz Romero")*(20/1083),IF(C1970="Estágio",SUMIFS($D:$D,$A:$A,$A1970,$B:$B,"&lt;&gt;Patrícia Karla de Sousa Araújo",$B:$B,"&lt;&gt;Lorena Dias de Araujo",$B:$B,"&lt;&gt;Lucas Luiz Romero")*(10/1083),0)))))),0)</f>
        <v/>
      </c>
      <c r="K1970" s="3">
        <f>I1970-J1970</f>
        <v/>
      </c>
      <c r="L1970" s="3">
        <f>IF(K1970&lt;-5,"CRÍTICO",IF(K1970&lt;0,"ATENÇÃO",IF(K1970&lt;=5,"BOM","EXCELENTE")))</f>
        <v/>
      </c>
      <c r="M1970" t="n">
        <v>14</v>
      </c>
      <c r="N1970" t="n">
        <v>98.75</v>
      </c>
      <c r="O1970" t="n">
        <v>24.32432432432433</v>
      </c>
    </row>
    <row r="1971" hidden="1">
      <c r="A1971" s="11" t="n">
        <v>46063</v>
      </c>
      <c r="B1971" t="inlineStr">
        <is>
          <t>Cristiane Ramos da Silva Rocha</t>
        </is>
      </c>
      <c r="C1971" t="inlineStr">
        <is>
          <t>Técnico III</t>
        </is>
      </c>
      <c r="D1971" t="n">
        <v>40</v>
      </c>
      <c r="E1971" t="n">
        <v>37</v>
      </c>
      <c r="F1971" t="n">
        <v>14.01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M1971" t="n">
        <v>33</v>
      </c>
      <c r="N1971" t="n">
        <v>93.48</v>
      </c>
      <c r="O1971" t="n">
        <v>31.52804642166344</v>
      </c>
    </row>
    <row r="1972" hidden="1">
      <c r="A1972" s="11" t="n">
        <v>46063</v>
      </c>
      <c r="B1972" t="inlineStr">
        <is>
          <t>Damyllis Lorraine de Oliveira Gonçalves</t>
        </is>
      </c>
      <c r="C1972" t="inlineStr">
        <is>
          <t>Técnico II</t>
        </is>
      </c>
      <c r="D1972" t="n">
        <v>31</v>
      </c>
      <c r="E1972" t="n">
        <v>27</v>
      </c>
      <c r="F1972" t="n">
        <v>21.59</v>
      </c>
      <c r="G1972" t="n">
        <v>0</v>
      </c>
      <c r="H1972" t="n">
        <v>0</v>
      </c>
      <c r="I1972" s="3" t="n">
        <v>0</v>
      </c>
      <c r="J1972" s="3" t="n">
        <v>0</v>
      </c>
      <c r="K1972" s="3" t="n">
        <v>0</v>
      </c>
      <c r="L1972" s="3">
        <f>IF(K1972&lt;-5,"CRÍTICO",IF(K1972&lt;0,"ATENÇÃO",IF(K1972&lt;=5,"BOM","EXCELENTE")))</f>
        <v/>
      </c>
      <c r="M1972" t="n">
        <v>24</v>
      </c>
      <c r="N1972" t="n">
        <v>99.16</v>
      </c>
      <c r="O1972" t="n">
        <v>26.13908872901678</v>
      </c>
    </row>
    <row r="1973" hidden="1">
      <c r="A1973" s="11" t="n">
        <v>46063</v>
      </c>
      <c r="B1973" t="inlineStr">
        <is>
          <t>Daniel Gomes da Silva</t>
        </is>
      </c>
      <c r="C1973" t="inlineStr">
        <is>
          <t>Técnico I</t>
        </is>
      </c>
      <c r="D1973" t="n">
        <v>28</v>
      </c>
      <c r="E1973" t="n">
        <v>26</v>
      </c>
      <c r="F1973" t="n">
        <v>23.46</v>
      </c>
      <c r="G1973" t="n">
        <v>0</v>
      </c>
      <c r="H1973" t="n">
        <v>0</v>
      </c>
      <c r="I1973" s="3">
        <f>E1973+G1973+H1973</f>
        <v/>
      </c>
      <c r="J1973" s="3">
        <f>ROUND(MIN(IF(C1973="Técnico III",35,IF(C1973="Técnico II",28,IF(C1973="Técnico I",23,IF(C1973="JR",20,IF(C1973="Estágio",10,0))))),IF(C1973="Técnico III",SUMIFS($D:$D,$A:$A,$A1973,$B:$B,"&lt;&gt;Patrícia Karla de Sousa Araújo",$B:$B,"&lt;&gt;Lorena Dias de Araujo",$B:$B,"&lt;&gt;Lucas Luiz Romero")*(35/1083),IF(C1973="Técnico II",SUMIFS($D:$D,$A:$A,$A1973,$B:$B,"&lt;&gt;Patrícia Karla de Sousa Araújo",$B:$B,"&lt;&gt;Lorena Dias de Araujo",$B:$B,"&lt;&gt;Lucas Luiz Romero")*(28/1083),IF(C1973="Técnico I",SUMIFS($D:$D,$A:$A,$A1973,$B:$B,"&lt;&gt;Patrícia Karla de Sousa Araújo",$B:$B,"&lt;&gt;Lorena Dias de Araujo",$B:$B,"&lt;&gt;Lucas Luiz Romero")*(23/1083),IF(C1973="JR",SUMIFS($D:$D,$A:$A,$A1973,$B:$B,"&lt;&gt;Patrícia Karla de Sousa Araújo",$B:$B,"&lt;&gt;Lorena Dias de Araujo",$B:$B,"&lt;&gt;Lucas Luiz Romero")*(20/1083),IF(C1973="Estágio",SUMIFS($D:$D,$A:$A,$A1973,$B:$B,"&lt;&gt;Patrícia Karla de Sousa Araújo",$B:$B,"&lt;&gt;Lorena Dias de Araujo",$B:$B,"&lt;&gt;Lucas Luiz Romero")*(10/1083),0)))))),0)</f>
        <v/>
      </c>
      <c r="K1973" s="3">
        <f>I1973-J1973</f>
        <v/>
      </c>
      <c r="L1973" s="3">
        <f>IF(K1973&lt;-5,"CRÍTICO",IF(K1973&lt;0,"ATENÇÃO",IF(K1973&lt;=5,"BOM","EXCELENTE")))</f>
        <v/>
      </c>
      <c r="M1973" t="n">
        <v>28</v>
      </c>
      <c r="N1973" t="n">
        <v>100</v>
      </c>
      <c r="O1973" t="n">
        <v>31.08974358974359</v>
      </c>
    </row>
    <row r="1974" hidden="1">
      <c r="A1974" s="11" t="n">
        <v>46063</v>
      </c>
      <c r="B1974" t="inlineStr">
        <is>
          <t>Davylla Rodrigues Freitas Silva</t>
        </is>
      </c>
      <c r="C1974" t="inlineStr">
        <is>
          <t>Técnico III</t>
        </is>
      </c>
      <c r="D1974" t="n">
        <v>30</v>
      </c>
      <c r="E1974" t="n">
        <v>29</v>
      </c>
      <c r="F1974" t="n">
        <v>25.58</v>
      </c>
      <c r="G1974" t="n">
        <v>0</v>
      </c>
      <c r="H1974" t="n">
        <v>0</v>
      </c>
      <c r="I1974" s="3" t="n">
        <v>0</v>
      </c>
      <c r="J1974" s="3" t="n">
        <v>0</v>
      </c>
      <c r="K1974" s="3" t="n">
        <v>0</v>
      </c>
      <c r="L1974" s="3">
        <f>IF(K1974&lt;-5,"CRÍTICO",IF(K1974&lt;0,"ATENÇÃO",IF(K1974&lt;=5,"BOM","EXCELENTE")))</f>
        <v/>
      </c>
      <c r="M1974" t="n">
        <v>30</v>
      </c>
      <c r="N1974" t="n">
        <v>98.11</v>
      </c>
      <c r="O1974" t="n">
        <v>33.03370786516854</v>
      </c>
    </row>
    <row r="1975" hidden="1">
      <c r="A1975" s="11" t="n">
        <v>46063</v>
      </c>
      <c r="B1975" t="inlineStr">
        <is>
          <t>Emilly Caylane Costa</t>
        </is>
      </c>
      <c r="C1975" t="inlineStr">
        <is>
          <t>Estágio</t>
        </is>
      </c>
      <c r="D1975" t="n">
        <v>20</v>
      </c>
      <c r="E1975" t="n">
        <v>18</v>
      </c>
      <c r="F1975" t="n">
        <v>10.15</v>
      </c>
      <c r="G1975" t="n">
        <v>0</v>
      </c>
      <c r="H1975" t="n">
        <v>0</v>
      </c>
      <c r="I1975" s="3">
        <f>E1975+G1975+H1975</f>
        <v/>
      </c>
      <c r="J1975" s="3">
        <f>ROUND(MIN(IF(C1975="Técnico III",35,IF(C1975="Técnico II",28,IF(C1975="Técnico I",23,IF(C1975="JR",20,IF(C1975="Estágio",10,0))))),IF(C1975="Técnico III",SUMIFS($D:$D,$A:$A,$A1975,$B:$B,"&lt;&gt;Patrícia Karla de Sousa Araújo",$B:$B,"&lt;&gt;Lorena Dias de Araujo",$B:$B,"&lt;&gt;Lucas Luiz Romero")*(35/1083),IF(C1975="Técnico II",SUMIFS($D:$D,$A:$A,$A1975,$B:$B,"&lt;&gt;Patrícia Karla de Sousa Araújo",$B:$B,"&lt;&gt;Lorena Dias de Araujo",$B:$B,"&lt;&gt;Lucas Luiz Romero")*(28/1083),IF(C1975="Técnico I",SUMIFS($D:$D,$A:$A,$A1975,$B:$B,"&lt;&gt;Patrícia Karla de Sousa Araújo",$B:$B,"&lt;&gt;Lorena Dias de Araujo",$B:$B,"&lt;&gt;Lucas Luiz Romero")*(23/1083),IF(C1975="JR",SUMIFS($D:$D,$A:$A,$A1975,$B:$B,"&lt;&gt;Patrícia Karla de Sousa Araújo",$B:$B,"&lt;&gt;Lorena Dias de Araujo",$B:$B,"&lt;&gt;Lucas Luiz Romero")*(20/1083),IF(C1975="Estágio",SUMIFS($D:$D,$A:$A,$A1975,$B:$B,"&lt;&gt;Patrícia Karla de Sousa Araújo",$B:$B,"&lt;&gt;Lorena Dias de Araujo",$B:$B,"&lt;&gt;Lucas Luiz Romero")*(10/1083),0)))))),0)</f>
        <v/>
      </c>
      <c r="K1975" s="3">
        <f>I1975-J1975</f>
        <v/>
      </c>
      <c r="L1975" s="3">
        <f>IF(K1975&lt;-5,"CRÍTICO",IF(K1975&lt;0,"ATENÇÃO",IF(K1975&lt;=5,"BOM","EXCELENTE")))</f>
        <v/>
      </c>
      <c r="M1975" t="n">
        <v>1</v>
      </c>
      <c r="N1975" t="n">
        <v>78.95</v>
      </c>
      <c r="O1975" t="n">
        <v>38.98305084745763</v>
      </c>
    </row>
    <row r="1976" hidden="1">
      <c r="A1976" s="11" t="n">
        <v>46063</v>
      </c>
      <c r="B1976" t="inlineStr">
        <is>
          <t>Emilly Kamilly Medeiros Miranda</t>
        </is>
      </c>
      <c r="C1976" t="inlineStr">
        <is>
          <t>Técnico II</t>
        </is>
      </c>
      <c r="D1976" t="n">
        <v>14</v>
      </c>
      <c r="E1976" t="n">
        <v>14</v>
      </c>
      <c r="F1976" t="n">
        <v>35.38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M1976" t="n">
        <v>12</v>
      </c>
      <c r="N1976" t="n">
        <v>98.45</v>
      </c>
      <c r="O1976" t="n">
        <v>29.2817679558011</v>
      </c>
    </row>
    <row r="1977" hidden="1">
      <c r="A1977" s="11" t="n">
        <v>46063</v>
      </c>
      <c r="B1977" t="inlineStr">
        <is>
          <t>Francielson de Oliveira</t>
        </is>
      </c>
      <c r="C1977" t="inlineStr">
        <is>
          <t>Técnico III</t>
        </is>
      </c>
      <c r="D1977" t="n">
        <v>30</v>
      </c>
      <c r="E1977" t="n">
        <v>30</v>
      </c>
      <c r="F1977" t="n">
        <v>18.44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M1977" t="n">
        <v>28</v>
      </c>
      <c r="N1977" t="n">
        <v>97.84</v>
      </c>
      <c r="O1977" t="n">
        <v>26.28205128205128</v>
      </c>
    </row>
    <row r="1978" hidden="1">
      <c r="A1978" s="11" t="n">
        <v>46063</v>
      </c>
      <c r="B1978" t="inlineStr">
        <is>
          <t>Francilene Ferreira de Jesus</t>
        </is>
      </c>
      <c r="C1978" t="inlineStr">
        <is>
          <t>Técnico II</t>
        </is>
      </c>
      <c r="D1978" t="n">
        <v>34</v>
      </c>
      <c r="E1978" t="n">
        <v>30</v>
      </c>
      <c r="F1978" t="n">
        <v>16.53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M1978" t="n">
        <v>33</v>
      </c>
      <c r="N1978" t="n">
        <v>98.5</v>
      </c>
      <c r="O1978" t="n">
        <v>23.97769516728625</v>
      </c>
    </row>
    <row r="1979" hidden="1">
      <c r="A1979" s="11" t="n">
        <v>46097</v>
      </c>
      <c r="B1979" t="inlineStr">
        <is>
          <t>Gabriel Gomes de Andrade</t>
        </is>
      </c>
      <c r="C1979" t="inlineStr">
        <is>
          <t>Técnico I</t>
        </is>
      </c>
      <c r="D1979" t="n">
        <v>23</v>
      </c>
      <c r="E1979" t="n">
        <v>22</v>
      </c>
      <c r="F1979" t="n">
        <v>23.26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M1979" t="n">
        <v>21</v>
      </c>
      <c r="N1979" t="n">
        <v>99.05</v>
      </c>
      <c r="O1979" t="n">
        <v>26.62192393736018</v>
      </c>
    </row>
    <row r="1980" hidden="1">
      <c r="A1980" s="11" t="n">
        <v>46063</v>
      </c>
      <c r="B1980" t="inlineStr">
        <is>
          <t>Isabella Borges de Oliveira</t>
        </is>
      </c>
      <c r="C1980" t="inlineStr">
        <is>
          <t>Técnico II</t>
        </is>
      </c>
      <c r="D1980" t="n">
        <v>29</v>
      </c>
      <c r="E1980" t="n">
        <v>29</v>
      </c>
      <c r="F1980" t="n">
        <v>25.09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M1980" t="n">
        <v>25</v>
      </c>
      <c r="N1980" t="n">
        <v>98.53</v>
      </c>
      <c r="O1980" t="n">
        <v>31.57894736842105</v>
      </c>
    </row>
    <row r="1981" hidden="1">
      <c r="A1981" s="11" t="n">
        <v>46063</v>
      </c>
      <c r="B1981" t="inlineStr">
        <is>
          <t>Janaina Lima dos Reis Urany</t>
        </is>
      </c>
      <c r="C1981" t="inlineStr">
        <is>
          <t>Técnico III</t>
        </is>
      </c>
      <c r="D1981" t="n">
        <v>48</v>
      </c>
      <c r="E1981" t="n">
        <v>46</v>
      </c>
      <c r="F1981" t="n">
        <v>15.35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M1981" t="n">
        <v>42</v>
      </c>
      <c r="N1981" t="n">
        <v>100</v>
      </c>
      <c r="O1981" t="n">
        <v>25.72214580467676</v>
      </c>
    </row>
    <row r="1982" hidden="1">
      <c r="A1982" s="11" t="n">
        <v>46063</v>
      </c>
      <c r="B1982" t="inlineStr">
        <is>
          <t>Jaqueline Evangelista da Silva Martins</t>
        </is>
      </c>
      <c r="C1982" t="inlineStr">
        <is>
          <t>Técnico III</t>
        </is>
      </c>
      <c r="D1982" t="n">
        <v>39</v>
      </c>
      <c r="E1982" t="n">
        <v>34</v>
      </c>
      <c r="F1982" t="n">
        <v>8.470000000000001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M1982" t="n">
        <v>32</v>
      </c>
      <c r="N1982" t="n">
        <v>94.64</v>
      </c>
      <c r="O1982" t="n">
        <v>27.52941176470588</v>
      </c>
    </row>
    <row r="1983" hidden="1">
      <c r="A1983" s="11" t="n">
        <v>46063</v>
      </c>
      <c r="B1983" t="inlineStr">
        <is>
          <t>Jessica Faria da Silveira</t>
        </is>
      </c>
      <c r="C1983" t="inlineStr">
        <is>
          <t>Técnico II</t>
        </is>
      </c>
      <c r="D1983" t="n">
        <v>26</v>
      </c>
      <c r="E1983" t="n">
        <v>21</v>
      </c>
      <c r="F1983" t="n">
        <v>21.47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M1983" t="n">
        <v>16</v>
      </c>
      <c r="N1983" t="n">
        <v>99.06999999999999</v>
      </c>
      <c r="O1983" t="n">
        <v>26.3768115942029</v>
      </c>
    </row>
    <row r="1984" hidden="1">
      <c r="A1984" s="11" t="n">
        <v>46063</v>
      </c>
      <c r="B1984" t="inlineStr">
        <is>
          <t>Jéssica Fé Moura</t>
        </is>
      </c>
      <c r="C1984" t="inlineStr">
        <is>
          <t>Técnico III</t>
        </is>
      </c>
      <c r="D1984" t="n">
        <v>0</v>
      </c>
      <c r="E1984" t="n">
        <v>0</v>
      </c>
      <c r="F1984" t="n">
        <v>0</v>
      </c>
      <c r="G1984" t="n">
        <v>0</v>
      </c>
      <c r="H1984" t="n">
        <v>0</v>
      </c>
      <c r="I1984" s="3" t="n">
        <v>0</v>
      </c>
      <c r="J1984" s="3" t="n">
        <v>0</v>
      </c>
      <c r="K1984" s="3" t="n">
        <v>0</v>
      </c>
      <c r="L1984" s="3">
        <f>IF(K1984&lt;-5,"CRÍTICO",IF(K1984&lt;0,"ATENÇÃO",IF(K1984&lt;=5,"BOM","EXCELENTE")))</f>
        <v/>
      </c>
      <c r="M1984" t="n">
        <v>0</v>
      </c>
      <c r="N1984" t="n">
        <v>100</v>
      </c>
      <c r="O1984" t="n">
        <v>0</v>
      </c>
    </row>
    <row r="1985" hidden="1">
      <c r="A1985" s="11" t="n">
        <v>46063</v>
      </c>
      <c r="B1985" t="inlineStr">
        <is>
          <t>Karina Gonçalves Martins</t>
        </is>
      </c>
      <c r="C1985" t="inlineStr">
        <is>
          <t>JR</t>
        </is>
      </c>
      <c r="D1985" t="n">
        <v>14</v>
      </c>
      <c r="E1985" t="n">
        <v>13</v>
      </c>
      <c r="F1985" t="n">
        <v>19.07</v>
      </c>
      <c r="G1985" t="n">
        <v>0</v>
      </c>
      <c r="H1985" t="n">
        <v>0</v>
      </c>
      <c r="I1985" s="3">
        <f>E1985+G1985+H1985</f>
        <v/>
      </c>
      <c r="J1985" s="3">
        <f>ROUND(MIN(IF(C1985="Técnico III",35,IF(C1985="Técnico II",28,IF(C1985="Técnico I",23,IF(C1985="JR",20,IF(C1985="Estágio",10,0))))),IF(C1985="Técnico III",SUMIFS($D:$D,$A:$A,$A1985,$B:$B,"&lt;&gt;Patrícia Karla de Sousa Araújo",$B:$B,"&lt;&gt;Lorena Dias de Araujo",$B:$B,"&lt;&gt;Lucas Luiz Romero")*(35/1083),IF(C1985="Técnico II",SUMIFS($D:$D,$A:$A,$A1985,$B:$B,"&lt;&gt;Patrícia Karla de Sousa Araújo",$B:$B,"&lt;&gt;Lorena Dias de Araujo",$B:$B,"&lt;&gt;Lucas Luiz Romero")*(28/1083),IF(C1985="Técnico I",SUMIFS($D:$D,$A:$A,$A1985,$B:$B,"&lt;&gt;Patrícia Karla de Sousa Araújo",$B:$B,"&lt;&gt;Lorena Dias de Araujo",$B:$B,"&lt;&gt;Lucas Luiz Romero")*(23/1083),IF(C1985="JR",SUMIFS($D:$D,$A:$A,$A1985,$B:$B,"&lt;&gt;Patrícia Karla de Sousa Araújo",$B:$B,"&lt;&gt;Lorena Dias de Araujo",$B:$B,"&lt;&gt;Lucas Luiz Romero")*(20/1083),IF(C1985="Estágio",SUMIFS($D:$D,$A:$A,$A1985,$B:$B,"&lt;&gt;Patrícia Karla de Sousa Araújo",$B:$B,"&lt;&gt;Lorena Dias de Araujo",$B:$B,"&lt;&gt;Lucas Luiz Romero")*(10/1083),0)))))),0)</f>
        <v/>
      </c>
      <c r="K1985" s="3">
        <f>I1985-J1985</f>
        <v/>
      </c>
      <c r="L1985" s="3">
        <f>IF(K1985&lt;-5,"CRÍTICO",IF(K1985&lt;0,"ATENÇÃO",IF(K1985&lt;=5,"BOM","EXCELENTE")))</f>
        <v/>
      </c>
      <c r="M1985" t="n">
        <v>14</v>
      </c>
      <c r="N1985" t="n">
        <v>98.48</v>
      </c>
      <c r="O1985" t="n">
        <v>27.85388127853881</v>
      </c>
    </row>
    <row r="1986" hidden="1">
      <c r="A1986" s="11" t="n">
        <v>46063</v>
      </c>
      <c r="B1986" t="inlineStr">
        <is>
          <t>Kerollen Cristielly de Jesus Siqueira</t>
        </is>
      </c>
      <c r="C1986" t="inlineStr">
        <is>
          <t>Técnico III</t>
        </is>
      </c>
      <c r="D1986" t="n">
        <v>4</v>
      </c>
      <c r="E1986" t="n">
        <v>4</v>
      </c>
      <c r="F1986" t="n">
        <v>63.33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M1986" t="n">
        <v>2</v>
      </c>
      <c r="N1986" t="n">
        <v>95.15000000000001</v>
      </c>
      <c r="O1986" t="n">
        <v>34.13173652694611</v>
      </c>
    </row>
    <row r="1987" hidden="1">
      <c r="A1987" s="11" t="n">
        <v>46063</v>
      </c>
      <c r="B1987" t="inlineStr">
        <is>
          <t>Leandro de Souza Silva</t>
        </is>
      </c>
      <c r="C1987" t="inlineStr">
        <is>
          <t>JR</t>
        </is>
      </c>
      <c r="D1987" t="n">
        <v>0</v>
      </c>
      <c r="E1987" t="n">
        <v>0</v>
      </c>
      <c r="F1987" t="n">
        <v>0</v>
      </c>
      <c r="G1987" t="n">
        <v>0</v>
      </c>
      <c r="H1987" t="n">
        <v>0</v>
      </c>
      <c r="I1987" s="3" t="n">
        <v>0</v>
      </c>
      <c r="J1987" s="3" t="n">
        <v>0</v>
      </c>
      <c r="K1987" s="3" t="n">
        <v>0</v>
      </c>
      <c r="L1987" s="3">
        <f>IF(K1987&lt;-5,"CRÍTICO",IF(K1987&lt;0,"ATENÇÃO",IF(K1987&lt;=5,"BOM","EXCELENTE")))</f>
        <v/>
      </c>
      <c r="M1987" t="n">
        <v>0</v>
      </c>
      <c r="N1987" t="n">
        <v>0</v>
      </c>
      <c r="O1987" t="n">
        <v>0</v>
      </c>
    </row>
    <row r="1988" hidden="1">
      <c r="A1988" s="11" t="n">
        <v>46063</v>
      </c>
      <c r="B1988" t="inlineStr">
        <is>
          <t>Leandro Oliveira de Sousa</t>
        </is>
      </c>
      <c r="C1988" t="inlineStr">
        <is>
          <t>Técnico III</t>
        </is>
      </c>
      <c r="D1988" t="n">
        <v>27</v>
      </c>
      <c r="E1988" t="n">
        <v>25</v>
      </c>
      <c r="F1988" t="n">
        <v>22.36</v>
      </c>
      <c r="G1988" t="n">
        <v>0</v>
      </c>
      <c r="H1988" t="n">
        <v>0</v>
      </c>
      <c r="I1988" s="3">
        <f>E1988+G1988+H1988</f>
        <v/>
      </c>
      <c r="J1988" s="3">
        <f>ROUND(MIN(IF(C1988="Técnico III",35,IF(C1988="Técnico II",28,IF(C1988="Técnico I",23,IF(C1988="JR",20,IF(C1988="Estágio",10,0))))),IF(C1988="Técnico III",SUMIFS($D:$D,$A:$A,$A1988,$B:$B,"&lt;&gt;Patrícia Karla de Sousa Araújo",$B:$B,"&lt;&gt;Lorena Dias de Araujo",$B:$B,"&lt;&gt;Lucas Luiz Romero")*(35/1083),IF(C1988="Técnico II",SUMIFS($D:$D,$A:$A,$A1988,$B:$B,"&lt;&gt;Patrícia Karla de Sousa Araújo",$B:$B,"&lt;&gt;Lorena Dias de Araujo",$B:$B,"&lt;&gt;Lucas Luiz Romero")*(28/1083),IF(C1988="Técnico I",SUMIFS($D:$D,$A:$A,$A1988,$B:$B,"&lt;&gt;Patrícia Karla de Sousa Araújo",$B:$B,"&lt;&gt;Lorena Dias de Araujo",$B:$B,"&lt;&gt;Lucas Luiz Romero")*(23/1083),IF(C1988="JR",SUMIFS($D:$D,$A:$A,$A1988,$B:$B,"&lt;&gt;Patrícia Karla de Sousa Araújo",$B:$B,"&lt;&gt;Lorena Dias de Araujo",$B:$B,"&lt;&gt;Lucas Luiz Romero")*(20/1083),IF(C1988="Estágio",SUMIFS($D:$D,$A:$A,$A1988,$B:$B,"&lt;&gt;Patrícia Karla de Sousa Araújo",$B:$B,"&lt;&gt;Lorena Dias de Araujo",$B:$B,"&lt;&gt;Lucas Luiz Romero")*(10/1083),0)))))),0)</f>
        <v/>
      </c>
      <c r="K1988" s="3">
        <f>I1988-J1988</f>
        <v/>
      </c>
      <c r="L1988" s="3">
        <f>IF(K1988&lt;-5,"CRÍTICO",IF(K1988&lt;0,"ATENÇÃO",IF(K1988&lt;=5,"BOM","EXCELENTE")))</f>
        <v/>
      </c>
      <c r="M1988" t="n">
        <v>23</v>
      </c>
      <c r="N1988" t="n">
        <v>99.26000000000001</v>
      </c>
      <c r="O1988" t="n">
        <v>30.84832904884319</v>
      </c>
    </row>
    <row r="1989" hidden="1">
      <c r="A1989" s="11" t="n">
        <v>46063</v>
      </c>
      <c r="B1989" t="inlineStr">
        <is>
          <t>Lizandra Gomes Duarte</t>
        </is>
      </c>
      <c r="C1989" t="inlineStr">
        <is>
          <t>Técnico II</t>
        </is>
      </c>
      <c r="D1989" t="n">
        <v>35</v>
      </c>
      <c r="E1989" t="n">
        <v>30</v>
      </c>
      <c r="F1989" t="n">
        <v>21.5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M1989" t="n">
        <v>21</v>
      </c>
      <c r="N1989" t="n">
        <v>97.48</v>
      </c>
      <c r="O1989" t="n">
        <v>27.76470588235294</v>
      </c>
    </row>
    <row r="1990" hidden="1">
      <c r="A1990" s="11" t="n">
        <v>46063</v>
      </c>
      <c r="B1990" t="inlineStr">
        <is>
          <t>Lorena Dias de Araujo</t>
        </is>
      </c>
      <c r="C1990" t="inlineStr">
        <is>
          <t>Técnico II</t>
        </is>
      </c>
      <c r="D1990" t="n">
        <v>38</v>
      </c>
      <c r="E1990" t="n">
        <v>37</v>
      </c>
      <c r="F1990" t="n">
        <v>16.55</v>
      </c>
      <c r="G1990" t="n">
        <v>0</v>
      </c>
      <c r="H1990" t="n">
        <v>0</v>
      </c>
      <c r="I1990" s="3" t="n">
        <v>0</v>
      </c>
      <c r="J1990" s="3" t="n">
        <v>0</v>
      </c>
      <c r="K1990" s="3" t="n">
        <v>0</v>
      </c>
      <c r="L1990" s="3">
        <f>IF(K1990&lt;-5,"CRÍTICO",IF(K1990&lt;0,"ATENÇÃO",IF(K1990&lt;=5,"BOM","EXCELENTE")))</f>
        <v/>
      </c>
      <c r="M1990" t="n">
        <v>34</v>
      </c>
      <c r="N1990" t="n">
        <v>99.34</v>
      </c>
      <c r="O1990" t="n">
        <v>30.04291845493562</v>
      </c>
    </row>
    <row r="1991" hidden="1">
      <c r="A1991" s="11" t="n">
        <v>46063</v>
      </c>
      <c r="B1991" t="inlineStr">
        <is>
          <t>Lucas Luiz Romero</t>
        </is>
      </c>
      <c r="C1991" t="inlineStr">
        <is>
          <t>Técnico III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M1991" t="n">
        <v>0</v>
      </c>
      <c r="N1991" t="n">
        <v>96.3</v>
      </c>
      <c r="O1991" t="n">
        <v>24.29378531073446</v>
      </c>
    </row>
    <row r="1992" hidden="1">
      <c r="A1992" s="11" t="n">
        <v>46063</v>
      </c>
      <c r="B1992" t="inlineStr">
        <is>
          <t>Luiz Fernando de Carvalho Junior</t>
        </is>
      </c>
      <c r="C1992" t="inlineStr">
        <is>
          <t>Técnico I</t>
        </is>
      </c>
      <c r="D1992" t="n">
        <v>25</v>
      </c>
      <c r="E1992" t="n">
        <v>22</v>
      </c>
      <c r="F1992" t="n">
        <v>24.18</v>
      </c>
      <c r="G1992" t="n">
        <v>0</v>
      </c>
      <c r="H1992" t="n">
        <v>0</v>
      </c>
      <c r="I1992" s="3">
        <f>E1992+G1992+H1992</f>
        <v/>
      </c>
      <c r="J1992" s="3">
        <f>ROUND(MIN(IF(C1992="Técnico III",35,IF(C1992="Técnico II",28,IF(C1992="Técnico I",23,IF(C1992="JR",20,IF(C1992="Estágio",10,0))))),IF(C1992="Técnico III",SUMIFS($D:$D,$A:$A,$A1992,$B:$B,"&lt;&gt;Patrícia Karla de Sousa Araújo",$B:$B,"&lt;&gt;Lorena Dias de Araujo",$B:$B,"&lt;&gt;Lucas Luiz Romero")*(35/1083),IF(C1992="Técnico II",SUMIFS($D:$D,$A:$A,$A1992,$B:$B,"&lt;&gt;Patrícia Karla de Sousa Araújo",$B:$B,"&lt;&gt;Lorena Dias de Araujo",$B:$B,"&lt;&gt;Lucas Luiz Romero")*(28/1083),IF(C1992="Técnico I",SUMIFS($D:$D,$A:$A,$A1992,$B:$B,"&lt;&gt;Patrícia Karla de Sousa Araújo",$B:$B,"&lt;&gt;Lorena Dias de Araujo",$B:$B,"&lt;&gt;Lucas Luiz Romero")*(23/1083),IF(C1992="JR",SUMIFS($D:$D,$A:$A,$A1992,$B:$B,"&lt;&gt;Patrícia Karla de Sousa Araújo",$B:$B,"&lt;&gt;Lorena Dias de Araujo",$B:$B,"&lt;&gt;Lucas Luiz Romero")*(20/1083),IF(C1992="Estágio",SUMIFS($D:$D,$A:$A,$A1992,$B:$B,"&lt;&gt;Patrícia Karla de Sousa Araújo",$B:$B,"&lt;&gt;Lorena Dias de Araujo",$B:$B,"&lt;&gt;Lucas Luiz Romero")*(10/1083),0)))))),0)</f>
        <v/>
      </c>
      <c r="K1992" s="3">
        <f>I1992-J1992</f>
        <v/>
      </c>
      <c r="L1992" s="3">
        <f>IF(K1992&lt;-5,"CRÍTICO",IF(K1992&lt;0,"ATENÇÃO",IF(K1992&lt;=5,"BOM","EXCELENTE")))</f>
        <v/>
      </c>
      <c r="M1992" t="n">
        <v>22</v>
      </c>
      <c r="N1992" t="n">
        <v>100</v>
      </c>
      <c r="O1992" t="n">
        <v>26.54320987654321</v>
      </c>
    </row>
    <row r="1993" hidden="1">
      <c r="A1993" s="11" t="n">
        <v>46063</v>
      </c>
      <c r="B1993" t="inlineStr">
        <is>
          <t>Maria Eduarda Sousa Costa</t>
        </is>
      </c>
      <c r="C1993" t="inlineStr">
        <is>
          <t>Estágio</t>
        </is>
      </c>
      <c r="D1993" t="n">
        <v>0</v>
      </c>
      <c r="E1993" t="n">
        <v>0</v>
      </c>
      <c r="F1993" t="n">
        <v>0</v>
      </c>
      <c r="G1993" t="n">
        <v>0</v>
      </c>
      <c r="H1993" t="n">
        <v>0</v>
      </c>
      <c r="I1993" s="3" t="n">
        <v>0</v>
      </c>
      <c r="J1993" s="3" t="n">
        <v>0</v>
      </c>
      <c r="K1993" s="3" t="n">
        <v>0</v>
      </c>
      <c r="L1993" s="3">
        <f>IF(K1993&lt;-5,"CRÍTICO",IF(K1993&lt;0,"ATENÇÃO",IF(K1993&lt;=5,"BOM","EXCELENTE")))</f>
        <v/>
      </c>
      <c r="M1993" t="n">
        <v>0</v>
      </c>
      <c r="N1993" t="n">
        <v>100</v>
      </c>
      <c r="O1993" t="n">
        <v>35.48387096774194</v>
      </c>
    </row>
    <row r="1994" hidden="1">
      <c r="A1994" s="11" t="n">
        <v>46063</v>
      </c>
      <c r="B1994" t="inlineStr">
        <is>
          <t>Matheus Farias De Souza</t>
        </is>
      </c>
      <c r="C1994" t="inlineStr">
        <is>
          <t>Técnico III</t>
        </is>
      </c>
      <c r="D1994" t="n">
        <v>26</v>
      </c>
      <c r="E1994" t="n">
        <v>23</v>
      </c>
      <c r="F1994" t="n">
        <v>18.47</v>
      </c>
      <c r="G1994" t="n">
        <v>0</v>
      </c>
      <c r="H1994" t="n">
        <v>0</v>
      </c>
      <c r="I1994" s="3">
        <f>E1994+G1994+H1994</f>
        <v/>
      </c>
      <c r="J1994" s="3">
        <f>ROUND(MIN(IF(C1994="Técnico III",35,IF(C1994="Técnico II",28,IF(C1994="Técnico I",23,IF(C1994="JR",20,IF(C1994="Estágio",10,0))))),IF(C1994="Técnico III",SUMIFS($D:$D,$A:$A,$A1994,$B:$B,"&lt;&gt;Patrícia Karla de Sousa Araújo",$B:$B,"&lt;&gt;Lorena Dias de Araujo",$B:$B,"&lt;&gt;Lucas Luiz Romero")*(35/1083),IF(C1994="Técnico II",SUMIFS($D:$D,$A:$A,$A1994,$B:$B,"&lt;&gt;Patrícia Karla de Sousa Araújo",$B:$B,"&lt;&gt;Lorena Dias de Araujo",$B:$B,"&lt;&gt;Lucas Luiz Romero")*(28/1083),IF(C1994="Técnico I",SUMIFS($D:$D,$A:$A,$A1994,$B:$B,"&lt;&gt;Patrícia Karla de Sousa Araújo",$B:$B,"&lt;&gt;Lorena Dias de Araujo",$B:$B,"&lt;&gt;Lucas Luiz Romero")*(23/1083),IF(C1994="JR",SUMIFS($D:$D,$A:$A,$A1994,$B:$B,"&lt;&gt;Patrícia Karla de Sousa Araújo",$B:$B,"&lt;&gt;Lorena Dias de Araujo",$B:$B,"&lt;&gt;Lucas Luiz Romero")*(20/1083),IF(C1994="Estágio",SUMIFS($D:$D,$A:$A,$A1994,$B:$B,"&lt;&gt;Patrícia Karla de Sousa Araújo",$B:$B,"&lt;&gt;Lorena Dias de Araujo",$B:$B,"&lt;&gt;Lucas Luiz Romero")*(10/1083),0)))))),0)</f>
        <v/>
      </c>
      <c r="K1994" s="3">
        <f>I1994-J1994</f>
        <v/>
      </c>
      <c r="L1994" s="3">
        <f>IF(K1994&lt;-5,"CRÍTICO",IF(K1994&lt;0,"ATENÇÃO",IF(K1994&lt;=5,"BOM","EXCELENTE")))</f>
        <v/>
      </c>
      <c r="M1994" t="n">
        <v>34</v>
      </c>
      <c r="N1994" t="n">
        <v>99.27</v>
      </c>
      <c r="O1994" t="n">
        <v>31.16370808678501</v>
      </c>
    </row>
    <row r="1995" hidden="1">
      <c r="A1995" s="11" t="n">
        <v>46063</v>
      </c>
      <c r="B1995" t="inlineStr">
        <is>
          <t>Maysa Victoria Dias Moura</t>
        </is>
      </c>
      <c r="C1995" t="inlineStr">
        <is>
          <t>Técnico III</t>
        </is>
      </c>
      <c r="D1995" t="n">
        <v>42</v>
      </c>
      <c r="E1995" t="n">
        <v>40</v>
      </c>
      <c r="F1995" t="n">
        <v>15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M1995" t="n">
        <v>33</v>
      </c>
      <c r="N1995" t="n">
        <v>94.16</v>
      </c>
      <c r="O1995" t="n">
        <v>27.03862660944206</v>
      </c>
    </row>
    <row r="1996" hidden="1">
      <c r="A1996" s="11" t="n">
        <v>46063</v>
      </c>
      <c r="B1996" t="inlineStr">
        <is>
          <t>Michelle G Santos</t>
        </is>
      </c>
      <c r="C1996" t="inlineStr">
        <is>
          <t>Estágio</t>
        </is>
      </c>
      <c r="D1996" t="n">
        <v>15</v>
      </c>
      <c r="E1996" t="n">
        <v>15</v>
      </c>
      <c r="F1996" t="n">
        <v>47.29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M1996" t="n">
        <v>5</v>
      </c>
      <c r="N1996" t="n">
        <v>93.75</v>
      </c>
      <c r="O1996" t="n">
        <v>19.31818181818182</v>
      </c>
    </row>
    <row r="1997" hidden="1">
      <c r="A1997" s="11" t="n">
        <v>46063</v>
      </c>
      <c r="B1997" t="inlineStr">
        <is>
          <t>Milena Sales</t>
        </is>
      </c>
      <c r="C1997" t="inlineStr">
        <is>
          <t>JR</t>
        </is>
      </c>
      <c r="D1997" t="n">
        <v>0</v>
      </c>
      <c r="E1997" t="n">
        <v>0</v>
      </c>
      <c r="F1997" t="n">
        <v>0</v>
      </c>
      <c r="G1997" t="n">
        <v>0</v>
      </c>
      <c r="H1997" t="n">
        <v>0</v>
      </c>
      <c r="I1997" s="3" t="n">
        <v>0</v>
      </c>
      <c r="J1997" s="3" t="n">
        <v>0</v>
      </c>
      <c r="K1997" s="3" t="n">
        <v>0</v>
      </c>
      <c r="L1997" s="3">
        <f>IF(K1997&lt;-5,"CRÍTICO",IF(K1997&lt;0,"ATENÇÃO",IF(K1997&lt;=5,"BOM","EXCELENTE")))</f>
        <v/>
      </c>
      <c r="M1997" t="n">
        <v>0</v>
      </c>
      <c r="N1997" t="n">
        <v>0</v>
      </c>
      <c r="O1997" t="n">
        <v>0</v>
      </c>
    </row>
    <row r="1998" hidden="1">
      <c r="A1998" s="11" t="n">
        <v>46063</v>
      </c>
      <c r="B1998" t="inlineStr">
        <is>
          <t>Patrícia Karla de Sousa Araújo</t>
        </is>
      </c>
      <c r="C1998" t="inlineStr">
        <is>
          <t>Técnico II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M1998" t="n">
        <v>0</v>
      </c>
      <c r="N1998" t="n">
        <v>97.92</v>
      </c>
      <c r="O1998" t="n">
        <v>32.87671232876712</v>
      </c>
    </row>
    <row r="1999" hidden="1">
      <c r="A1999" s="11" t="n">
        <v>46063</v>
      </c>
      <c r="B1999" t="inlineStr">
        <is>
          <t>Paulo Ricardo Santos</t>
        </is>
      </c>
      <c r="C1999" t="inlineStr">
        <is>
          <t>JR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M1999" t="n">
        <v>0</v>
      </c>
      <c r="N1999" t="n">
        <v>0</v>
      </c>
      <c r="O1999" t="n">
        <v>0</v>
      </c>
    </row>
    <row r="2000" hidden="1">
      <c r="A2000" s="11" t="n">
        <v>46063</v>
      </c>
      <c r="B2000" t="inlineStr">
        <is>
          <t>Pedro Luiz Mota Sousa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M2000" t="n">
        <v>0</v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Quirino Diogo Leite Torres</t>
        </is>
      </c>
      <c r="C2001" t="inlineStr">
        <is>
          <t>Estágio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M2001" t="n">
        <v>0</v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Raane Batista Matos</t>
        </is>
      </c>
      <c r="C2002" t="inlineStr">
        <is>
          <t>Técnico I</t>
        </is>
      </c>
      <c r="D2002" t="n">
        <v>14</v>
      </c>
      <c r="E2002" t="n">
        <v>13</v>
      </c>
      <c r="F2002" t="n">
        <v>51.52</v>
      </c>
      <c r="G2002" t="n">
        <v>0</v>
      </c>
      <c r="H2002" t="n">
        <v>0</v>
      </c>
      <c r="I2002" s="3">
        <f>E2002+G2002+H2002</f>
        <v/>
      </c>
      <c r="J2002" s="3">
        <f>ROUND(MIN(IF(C2002="Técnico III",35,IF(C2002="Técnico II",28,IF(C2002="Técnico I",23,IF(C2002="JR",20,IF(C2002="Estágio",10,0))))),IF(C2002="Técnico III",SUMIFS($D:$D,$A:$A,$A2002,$B:$B,"&lt;&gt;Patrícia Karla de Sousa Araújo",$B:$B,"&lt;&gt;Lorena Dias de Araujo",$B:$B,"&lt;&gt;Lucas Luiz Romero")*(35/1083),IF(C2002="Técnico II",SUMIFS($D:$D,$A:$A,$A2002,$B:$B,"&lt;&gt;Patrícia Karla de Sousa Araújo",$B:$B,"&lt;&gt;Lorena Dias de Araujo",$B:$B,"&lt;&gt;Lucas Luiz Romero")*(28/1083),IF(C2002="Técnico I",SUMIFS($D:$D,$A:$A,$A2002,$B:$B,"&lt;&gt;Patrícia Karla de Sousa Araújo",$B:$B,"&lt;&gt;Lorena Dias de Araujo",$B:$B,"&lt;&gt;Lucas Luiz Romero")*(23/1083),IF(C2002="JR",SUMIFS($D:$D,$A:$A,$A2002,$B:$B,"&lt;&gt;Patrícia Karla de Sousa Araújo",$B:$B,"&lt;&gt;Lorena Dias de Araujo",$B:$B,"&lt;&gt;Lucas Luiz Romero")*(20/1083),IF(C2002="Estágio",SUMIFS($D:$D,$A:$A,$A2002,$B:$B,"&lt;&gt;Patrícia Karla de Sousa Araújo",$B:$B,"&lt;&gt;Lorena Dias de Araujo",$B:$B,"&lt;&gt;Lucas Luiz Romero")*(10/1083),0)))))),0)</f>
        <v/>
      </c>
      <c r="K2002" s="3">
        <f>I2002-J2002</f>
        <v/>
      </c>
      <c r="L2002" s="3">
        <f>IF(K2002&lt;-5,"CRÍTICO",IF(K2002&lt;0,"ATENÇÃO",IF(K2002&lt;=5,"BOM","EXCELENTE")))</f>
        <v/>
      </c>
      <c r="M2002" t="n">
        <v>11</v>
      </c>
      <c r="N2002" t="n">
        <v>98.51000000000001</v>
      </c>
      <c r="O2002" t="n">
        <v>29.71014492753623</v>
      </c>
    </row>
    <row r="2003" hidden="1">
      <c r="A2003" s="11" t="n">
        <v>46063</v>
      </c>
      <c r="B2003" t="inlineStr">
        <is>
          <t>Rafael Gomes de Morais</t>
        </is>
      </c>
      <c r="C2003" t="inlineStr">
        <is>
          <t>Técnico III</t>
        </is>
      </c>
      <c r="D2003" t="n">
        <v>42</v>
      </c>
      <c r="E2003" t="n">
        <v>38</v>
      </c>
      <c r="F2003" t="n">
        <v>14.07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M2003" t="n">
        <v>31</v>
      </c>
      <c r="N2003" t="n">
        <v>98.81</v>
      </c>
      <c r="O2003" t="n">
        <v>30.71297989031079</v>
      </c>
    </row>
    <row r="2004" hidden="1">
      <c r="A2004" s="11" t="n">
        <v>46063</v>
      </c>
      <c r="B2004" t="inlineStr">
        <is>
          <t>Sara Maria Monteiro Lopes</t>
        </is>
      </c>
      <c r="C2004" t="inlineStr">
        <is>
          <t>Técnico I</t>
        </is>
      </c>
      <c r="D2004" t="n">
        <v>13</v>
      </c>
      <c r="E2004" t="n">
        <v>13</v>
      </c>
      <c r="F2004" t="n">
        <v>47.03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M2004" t="n">
        <v>12</v>
      </c>
      <c r="N2004" t="n">
        <v>98.48</v>
      </c>
      <c r="O2004" t="n">
        <v>29.35323383084577</v>
      </c>
    </row>
    <row r="2005" hidden="1">
      <c r="A2005" s="11" t="n">
        <v>46063</v>
      </c>
      <c r="B2005" t="inlineStr">
        <is>
          <t>Sarah Steffanie de Lima Borges</t>
        </is>
      </c>
      <c r="C2005" t="inlineStr">
        <is>
          <t>Técnico III</t>
        </is>
      </c>
      <c r="D2005" t="n">
        <v>27</v>
      </c>
      <c r="E2005" t="n">
        <v>27</v>
      </c>
      <c r="F2005" t="n">
        <v>15.3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M2005" t="n">
        <v>25</v>
      </c>
      <c r="N2005" t="n">
        <v>98.56</v>
      </c>
      <c r="O2005" t="n">
        <v>29.37365010799136</v>
      </c>
    </row>
    <row r="2006" hidden="1">
      <c r="A2006" s="11" t="n">
        <v>46064</v>
      </c>
      <c r="B2006" t="inlineStr">
        <is>
          <t>Alisson de Freitas Silva</t>
        </is>
      </c>
      <c r="C2006" t="inlineStr">
        <is>
          <t>Técnico II</t>
        </is>
      </c>
      <c r="D2006" t="n">
        <v>33</v>
      </c>
      <c r="E2006" t="n">
        <v>33</v>
      </c>
      <c r="F2006" t="n">
        <v>16.48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M2006" t="n">
        <v>31</v>
      </c>
      <c r="N2006" t="n">
        <v>98.31999999999999</v>
      </c>
      <c r="O2006" t="n">
        <v>30.3030303030303</v>
      </c>
    </row>
    <row r="2007" hidden="1">
      <c r="A2007" s="11" t="n">
        <v>46064</v>
      </c>
      <c r="B2007" t="inlineStr">
        <is>
          <t>Amanda Moura Ferreira</t>
        </is>
      </c>
      <c r="C2007" t="inlineStr">
        <is>
          <t>Técnico III</t>
        </is>
      </c>
      <c r="D2007" t="n">
        <v>0</v>
      </c>
      <c r="E2007" t="n">
        <v>0</v>
      </c>
      <c r="F2007" t="n">
        <v>0</v>
      </c>
      <c r="G2007" t="n">
        <v>0</v>
      </c>
      <c r="H2007" t="n">
        <v>0</v>
      </c>
      <c r="I2007" s="3" t="n">
        <v>0</v>
      </c>
      <c r="J2007" s="3" t="n">
        <v>0</v>
      </c>
      <c r="K2007" s="3" t="n">
        <v>0</v>
      </c>
      <c r="L2007" s="3">
        <f>IF(K2007&lt;-5,"CRÍTICO",IF(K2007&lt;0,"ATENÇÃO",IF(K2007&lt;=5,"BOM","EXCELENTE")))</f>
        <v/>
      </c>
      <c r="M2007" t="n">
        <v>25</v>
      </c>
      <c r="N2007" t="n">
        <v>98.68000000000001</v>
      </c>
      <c r="O2007" t="n">
        <v>26.21951219512195</v>
      </c>
    </row>
    <row r="2008" hidden="1">
      <c r="A2008" s="11" t="n">
        <v>46064</v>
      </c>
      <c r="B2008" t="inlineStr">
        <is>
          <t>Ana Karollyne Souza Faria</t>
        </is>
      </c>
      <c r="C2008" t="inlineStr">
        <is>
          <t>Técnico I</t>
        </is>
      </c>
      <c r="D2008" t="n">
        <v>28</v>
      </c>
      <c r="E2008" t="n">
        <v>26</v>
      </c>
      <c r="F2008" t="n">
        <v>24.11</v>
      </c>
      <c r="G2008" t="n">
        <v>0</v>
      </c>
      <c r="H2008" t="n">
        <v>0</v>
      </c>
      <c r="I2008" s="3">
        <f>E2008+G2008+H2008</f>
        <v/>
      </c>
      <c r="J2008" s="3">
        <f>ROUND(MIN(IF(C2008="Técnico III",35,IF(C2008="Técnico II",28,IF(C2008="Técnico I",23,IF(C2008="JR",20,IF(C2008="Estágio",10,0))))),IF(C2008="Técnico III",SUMIFS($D:$D,$A:$A,$A2008,$B:$B,"&lt;&gt;Patrícia Karla de Sousa Araújo",$B:$B,"&lt;&gt;Lorena Dias de Araujo",$B:$B,"&lt;&gt;Lucas Luiz Romero")*(35/1083),IF(C2008="Técnico II",SUMIFS($D:$D,$A:$A,$A2008,$B:$B,"&lt;&gt;Patrícia Karla de Sousa Araújo",$B:$B,"&lt;&gt;Lorena Dias de Araujo",$B:$B,"&lt;&gt;Lucas Luiz Romero")*(28/1083),IF(C2008="Técnico I",SUMIFS($D:$D,$A:$A,$A2008,$B:$B,"&lt;&gt;Patrícia Karla de Sousa Araújo",$B:$B,"&lt;&gt;Lorena Dias de Araujo",$B:$B,"&lt;&gt;Lucas Luiz Romero")*(23/1083),IF(C2008="JR",SUMIFS($D:$D,$A:$A,$A2008,$B:$B,"&lt;&gt;Patrícia Karla de Sousa Araújo",$B:$B,"&lt;&gt;Lorena Dias de Araujo",$B:$B,"&lt;&gt;Lucas Luiz Romero")*(20/1083),IF(C2008="Estágio",SUMIFS($D:$D,$A:$A,$A2008,$B:$B,"&lt;&gt;Patrícia Karla de Sousa Araújo",$B:$B,"&lt;&gt;Lorena Dias de Araujo",$B:$B,"&lt;&gt;Lucas Luiz Romero")*(10/1083),0)))))),0)</f>
        <v/>
      </c>
      <c r="K2008" s="3">
        <f>I2008-J2008</f>
        <v/>
      </c>
      <c r="L2008" s="3">
        <f>IF(K2008&lt;-5,"CRÍTICO",IF(K2008&lt;0,"ATENÇÃO",IF(K2008&lt;=5,"BOM","EXCELENTE")))</f>
        <v/>
      </c>
      <c r="M2008" t="n">
        <v>23</v>
      </c>
      <c r="N2008" t="n">
        <v>100</v>
      </c>
      <c r="O2008" t="n">
        <v>31.74224343675418</v>
      </c>
    </row>
    <row r="2009" hidden="1">
      <c r="A2009" s="11" t="n">
        <v>46064</v>
      </c>
      <c r="B2009" t="inlineStr">
        <is>
          <t>Ana Paula Da Luz Silva Aleixo</t>
        </is>
      </c>
      <c r="C2009" t="inlineStr">
        <is>
          <t>Técnico III</t>
        </is>
      </c>
      <c r="D2009" t="n">
        <v>24</v>
      </c>
      <c r="E2009" t="n">
        <v>24</v>
      </c>
      <c r="F2009" t="n">
        <v>20.32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t="n">
        <v>23</v>
      </c>
      <c r="N2009" t="n">
        <v>98.25</v>
      </c>
      <c r="O2009" t="n">
        <v>25.83518930957684</v>
      </c>
    </row>
    <row r="2010" hidden="1">
      <c r="A2010" s="11" t="n">
        <v>46064</v>
      </c>
      <c r="B2010" t="inlineStr">
        <is>
          <t>Anna Luiza Rezende Tavares</t>
        </is>
      </c>
      <c r="C2010" t="inlineStr">
        <is>
          <t>Estágio</t>
        </is>
      </c>
      <c r="D2010" t="n">
        <v>9</v>
      </c>
      <c r="E2010" t="n">
        <v>8</v>
      </c>
      <c r="F2010" t="n">
        <v>25.31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t="n">
        <v>7</v>
      </c>
      <c r="N2010" t="n">
        <v>97.5</v>
      </c>
      <c r="O2010" t="n">
        <v>30.07518796992481</v>
      </c>
    </row>
    <row r="2011" hidden="1">
      <c r="A2011" s="11" t="n">
        <v>46064</v>
      </c>
      <c r="B2011" t="inlineStr">
        <is>
          <t>Brenda de Menezes Silva</t>
        </is>
      </c>
      <c r="C2011" t="inlineStr">
        <is>
          <t>Técnico II</t>
        </is>
      </c>
      <c r="D2011" t="n">
        <v>23</v>
      </c>
      <c r="E2011" t="n">
        <v>22</v>
      </c>
      <c r="F2011" t="n">
        <v>28.45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M2011" t="n">
        <v>18</v>
      </c>
      <c r="N2011" t="n">
        <v>100</v>
      </c>
      <c r="O2011" t="n">
        <v>29.71311475409836</v>
      </c>
    </row>
    <row r="2012" hidden="1">
      <c r="A2012" s="11" t="n">
        <v>46064</v>
      </c>
      <c r="B2012" t="inlineStr">
        <is>
          <t>Carlos Mateus Cassimiro Nunes</t>
        </is>
      </c>
      <c r="C2012" t="inlineStr">
        <is>
          <t>Técnico II</t>
        </is>
      </c>
      <c r="D2012" t="n">
        <v>20</v>
      </c>
      <c r="E2012" t="n">
        <v>19</v>
      </c>
      <c r="F2012" t="n">
        <v>24.11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t="n">
        <v>22</v>
      </c>
      <c r="N2012" t="n">
        <v>99.22</v>
      </c>
      <c r="O2012" t="n">
        <v>35.25641025641026</v>
      </c>
    </row>
    <row r="2013" hidden="1">
      <c r="A2013" s="11" t="n">
        <v>46064</v>
      </c>
      <c r="B2013" t="inlineStr">
        <is>
          <t>Claudio de Sousa Velasco Filho</t>
        </is>
      </c>
      <c r="C2013" t="inlineStr">
        <is>
          <t>Estágio</t>
        </is>
      </c>
      <c r="D2013" t="n">
        <v>0</v>
      </c>
      <c r="E2013" t="n">
        <v>0</v>
      </c>
      <c r="F2013" t="n">
        <v>0</v>
      </c>
      <c r="G2013" t="n">
        <v>0</v>
      </c>
      <c r="H2013" t="n">
        <v>0</v>
      </c>
      <c r="I2013" s="3" t="n">
        <v>0</v>
      </c>
      <c r="J2013" s="3" t="n">
        <v>0</v>
      </c>
      <c r="K2013" s="3" t="n">
        <v>0</v>
      </c>
      <c r="L2013" s="3">
        <f>IF(K2013&lt;-5,"CRÍTICO",IF(K2013&lt;0,"ATENÇÃO",IF(K2013&lt;=5,"BOM","EXCELENTE")))</f>
        <v/>
      </c>
      <c r="M2013" t="n">
        <v>0</v>
      </c>
      <c r="N2013" t="n">
        <v>0</v>
      </c>
      <c r="O2013" t="n">
        <v>0</v>
      </c>
    </row>
    <row r="2014" hidden="1">
      <c r="A2014" s="11" t="n">
        <v>46064</v>
      </c>
      <c r="B2014" t="inlineStr">
        <is>
          <t>Clessiane Pereira dos Santos</t>
        </is>
      </c>
      <c r="C2014" t="inlineStr">
        <is>
          <t>Técnico I</t>
        </is>
      </c>
      <c r="D2014" t="n">
        <v>38</v>
      </c>
      <c r="E2014" t="n">
        <v>4</v>
      </c>
      <c r="F2014" t="n">
        <v>7.03</v>
      </c>
      <c r="G2014" t="n">
        <v>0</v>
      </c>
      <c r="H2014" t="n">
        <v>0</v>
      </c>
      <c r="I2014" s="3">
        <f>E2014+G2014+H2014</f>
        <v/>
      </c>
      <c r="J2014" s="3">
        <f>ROUND(MIN(IF(C2014="Técnico III",35,IF(C2014="Técnico II",28,IF(C2014="Técnico I",23,IF(C2014="JR",20,IF(C2014="Estágio",10,0))))),IF(C2014="Técnico III",SUMIFS($D:$D,$A:$A,$A2014,$B:$B,"&lt;&gt;Patrícia Karla de Sousa Araújo",$B:$B,"&lt;&gt;Lorena Dias de Araujo",$B:$B,"&lt;&gt;Lucas Luiz Romero")*(35/1083),IF(C2014="Técnico II",SUMIFS($D:$D,$A:$A,$A2014,$B:$B,"&lt;&gt;Patrícia Karla de Sousa Araújo",$B:$B,"&lt;&gt;Lorena Dias de Araujo",$B:$B,"&lt;&gt;Lucas Luiz Romero")*(28/1083),IF(C2014="Técnico I",SUMIFS($D:$D,$A:$A,$A2014,$B:$B,"&lt;&gt;Patrícia Karla de Sousa Araújo",$B:$B,"&lt;&gt;Lorena Dias de Araujo",$B:$B,"&lt;&gt;Lucas Luiz Romero")*(23/1083),IF(C2014="JR",SUMIFS($D:$D,$A:$A,$A2014,$B:$B,"&lt;&gt;Patrícia Karla de Sousa Araújo",$B:$B,"&lt;&gt;Lorena Dias de Araujo",$B:$B,"&lt;&gt;Lucas Luiz Romero")*(20/1083),IF(C2014="Estágio",SUMIFS($D:$D,$A:$A,$A2014,$B:$B,"&lt;&gt;Patrícia Karla de Sousa Araújo",$B:$B,"&lt;&gt;Lorena Dias de Araujo",$B:$B,"&lt;&gt;Lucas Luiz Romero")*(10/1083),0)))))),0)</f>
        <v/>
      </c>
      <c r="K2014" s="3">
        <f>I2014-J2014</f>
        <v/>
      </c>
      <c r="L2014" s="3">
        <f>IF(K2014&lt;-5,"CRÍTICO",IF(K2014&lt;0,"ATENÇÃO",IF(K2014&lt;=5,"BOM","EXCELENTE")))</f>
        <v/>
      </c>
      <c r="M2014" t="n">
        <v>15</v>
      </c>
      <c r="N2014" t="n">
        <v>98.75</v>
      </c>
      <c r="O2014" t="n">
        <v>24.32432432432433</v>
      </c>
    </row>
    <row r="2015" hidden="1">
      <c r="A2015" s="11" t="n">
        <v>46064</v>
      </c>
      <c r="B2015" t="inlineStr">
        <is>
          <t>Cristiane Ramos da Silva Rocha</t>
        </is>
      </c>
      <c r="C2015" t="inlineStr">
        <is>
          <t>Técnico III</t>
        </is>
      </c>
      <c r="D2015" t="n">
        <v>36</v>
      </c>
      <c r="E2015" t="n">
        <v>35</v>
      </c>
      <c r="F2015" t="n">
        <v>17.02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t="n">
        <v>32</v>
      </c>
      <c r="N2015" t="n">
        <v>93.48</v>
      </c>
      <c r="O2015" t="n">
        <v>31.52804642166344</v>
      </c>
    </row>
    <row r="2016" hidden="1">
      <c r="A2016" s="11" t="n">
        <v>46064</v>
      </c>
      <c r="B2016" t="inlineStr">
        <is>
          <t>Damyllis Lorraine de Oliveira Gonçalves</t>
        </is>
      </c>
      <c r="C2016" t="inlineStr">
        <is>
          <t>Técnico II</t>
        </is>
      </c>
      <c r="D2016" t="n">
        <v>21</v>
      </c>
      <c r="E2016" t="n">
        <v>19</v>
      </c>
      <c r="F2016" t="n">
        <v>25.11</v>
      </c>
      <c r="G2016" t="n">
        <v>0</v>
      </c>
      <c r="H2016" t="n">
        <v>0</v>
      </c>
      <c r="I2016" s="3" t="n">
        <v>0</v>
      </c>
      <c r="J2016" s="3" t="n">
        <v>0</v>
      </c>
      <c r="K2016" s="3" t="n">
        <v>0</v>
      </c>
      <c r="L2016" s="3">
        <f>IF(K2016&lt;-5,"CRÍTICO",IF(K2016&lt;0,"ATENÇÃO",IF(K2016&lt;=5,"BOM","EXCELENTE")))</f>
        <v/>
      </c>
      <c r="M2016" t="n">
        <v>18</v>
      </c>
      <c r="N2016" t="n">
        <v>99.16</v>
      </c>
      <c r="O2016" t="n">
        <v>26.13908872901678</v>
      </c>
    </row>
    <row r="2017" hidden="1">
      <c r="A2017" s="11" t="n">
        <v>46064</v>
      </c>
      <c r="B2017" t="inlineStr">
        <is>
          <t>Daniel Gomes da Silva</t>
        </is>
      </c>
      <c r="C2017" t="inlineStr">
        <is>
          <t>Técnico I</t>
        </is>
      </c>
      <c r="D2017" t="n">
        <v>17</v>
      </c>
      <c r="E2017" t="n">
        <v>16</v>
      </c>
      <c r="F2017" t="n">
        <v>34.12</v>
      </c>
      <c r="G2017" t="n">
        <v>0</v>
      </c>
      <c r="H2017" t="n">
        <v>0</v>
      </c>
      <c r="I2017" s="3">
        <f>E2017+G2017+H2017</f>
        <v/>
      </c>
      <c r="J2017" s="3">
        <f>ROUND(MIN(IF(C2017="Técnico III",35,IF(C2017="Técnico II",28,IF(C2017="Técnico I",23,IF(C2017="JR",20,IF(C2017="Estágio",10,0))))),IF(C2017="Técnico III",SUMIFS($D:$D,$A:$A,$A2017,$B:$B,"&lt;&gt;Patrícia Karla de Sousa Araújo",$B:$B,"&lt;&gt;Lorena Dias de Araujo",$B:$B,"&lt;&gt;Lucas Luiz Romero")*(35/1083),IF(C2017="Técnico II",SUMIFS($D:$D,$A:$A,$A2017,$B:$B,"&lt;&gt;Patrícia Karla de Sousa Araújo",$B:$B,"&lt;&gt;Lorena Dias de Araujo",$B:$B,"&lt;&gt;Lucas Luiz Romero")*(28/1083),IF(C2017="Técnico I",SUMIFS($D:$D,$A:$A,$A2017,$B:$B,"&lt;&gt;Patrícia Karla de Sousa Araújo",$B:$B,"&lt;&gt;Lorena Dias de Araujo",$B:$B,"&lt;&gt;Lucas Luiz Romero")*(23/1083),IF(C2017="JR",SUMIFS($D:$D,$A:$A,$A2017,$B:$B,"&lt;&gt;Patrícia Karla de Sousa Araújo",$B:$B,"&lt;&gt;Lorena Dias de Araujo",$B:$B,"&lt;&gt;Lucas Luiz Romero")*(20/1083),IF(C2017="Estágio",SUMIFS($D:$D,$A:$A,$A2017,$B:$B,"&lt;&gt;Patrícia Karla de Sousa Araújo",$B:$B,"&lt;&gt;Lorena Dias de Araujo",$B:$B,"&lt;&gt;Lucas Luiz Romero")*(10/1083),0)))))),0)</f>
        <v/>
      </c>
      <c r="K2017" s="3">
        <f>I2017-J2017</f>
        <v/>
      </c>
      <c r="L2017" s="3">
        <f>IF(K2017&lt;-5,"CRÍTICO",IF(K2017&lt;0,"ATENÇÃO",IF(K2017&lt;=5,"BOM","EXCELENTE")))</f>
        <v/>
      </c>
      <c r="M2017" t="n">
        <v>14</v>
      </c>
      <c r="N2017" t="n">
        <v>100</v>
      </c>
      <c r="O2017" t="n">
        <v>31.08974358974359</v>
      </c>
    </row>
    <row r="2018" hidden="1">
      <c r="A2018" s="11" t="n">
        <v>46064</v>
      </c>
      <c r="B2018" t="inlineStr">
        <is>
          <t>Davylla Rodrigues Freitas Silva</t>
        </is>
      </c>
      <c r="C2018" t="inlineStr">
        <is>
          <t>Técnico III</t>
        </is>
      </c>
      <c r="D2018" t="n">
        <v>30</v>
      </c>
      <c r="E2018" t="n">
        <v>29</v>
      </c>
      <c r="F2018" t="n">
        <v>23.51</v>
      </c>
      <c r="G2018" t="n">
        <v>0</v>
      </c>
      <c r="H2018" t="n">
        <v>0</v>
      </c>
      <c r="I2018" s="3" t="n">
        <v>0</v>
      </c>
      <c r="J2018" s="3" t="n">
        <v>0</v>
      </c>
      <c r="K2018" s="3" t="n">
        <v>0</v>
      </c>
      <c r="L2018" s="3">
        <f>IF(K2018&lt;-5,"CRÍTICO",IF(K2018&lt;0,"ATENÇÃO",IF(K2018&lt;=5,"BOM","EXCELENTE")))</f>
        <v/>
      </c>
      <c r="M2018" t="n">
        <v>30</v>
      </c>
      <c r="N2018" t="n">
        <v>98.11</v>
      </c>
      <c r="O2018" t="n">
        <v>33.03370786516854</v>
      </c>
    </row>
    <row r="2019" hidden="1">
      <c r="A2019" s="11" t="n">
        <v>46064</v>
      </c>
      <c r="B2019" t="inlineStr">
        <is>
          <t>Emilly Caylane Costa</t>
        </is>
      </c>
      <c r="C2019" t="inlineStr">
        <is>
          <t>Estágio</t>
        </is>
      </c>
      <c r="D2019" t="n">
        <v>57</v>
      </c>
      <c r="E2019" t="n">
        <v>42</v>
      </c>
      <c r="F2019" t="n">
        <v>5.59</v>
      </c>
      <c r="G2019" t="n">
        <v>0</v>
      </c>
      <c r="H2019" t="n">
        <v>0</v>
      </c>
      <c r="I2019" s="3">
        <f>E2019+G2019+H2019</f>
        <v/>
      </c>
      <c r="J2019" s="3">
        <f>ROUND(MIN(IF(C2019="Técnico III",35,IF(C2019="Técnico II",28,IF(C2019="Técnico I",23,IF(C2019="JR",20,IF(C2019="Estágio",10,0))))),IF(C2019="Técnico III",SUMIFS($D:$D,$A:$A,$A2019,$B:$B,"&lt;&gt;Patrícia Karla de Sousa Araújo",$B:$B,"&lt;&gt;Lorena Dias de Araujo",$B:$B,"&lt;&gt;Lucas Luiz Romero")*(35/1083),IF(C2019="Técnico II",SUMIFS($D:$D,$A:$A,$A2019,$B:$B,"&lt;&gt;Patrícia Karla de Sousa Araújo",$B:$B,"&lt;&gt;Lorena Dias de Araujo",$B:$B,"&lt;&gt;Lucas Luiz Romero")*(28/1083),IF(C2019="Técnico I",SUMIFS($D:$D,$A:$A,$A2019,$B:$B,"&lt;&gt;Patrícia Karla de Sousa Araújo",$B:$B,"&lt;&gt;Lorena Dias de Araujo",$B:$B,"&lt;&gt;Lucas Luiz Romero")*(23/1083),IF(C2019="JR",SUMIFS($D:$D,$A:$A,$A2019,$B:$B,"&lt;&gt;Patrícia Karla de Sousa Araújo",$B:$B,"&lt;&gt;Lorena Dias de Araujo",$B:$B,"&lt;&gt;Lucas Luiz Romero")*(20/1083),IF(C2019="Estágio",SUMIFS($D:$D,$A:$A,$A2019,$B:$B,"&lt;&gt;Patrícia Karla de Sousa Araújo",$B:$B,"&lt;&gt;Lorena Dias de Araujo",$B:$B,"&lt;&gt;Lucas Luiz Romero")*(10/1083),0)))))),0)</f>
        <v/>
      </c>
      <c r="K2019" s="3">
        <f>I2019-J2019</f>
        <v/>
      </c>
      <c r="L2019" s="3">
        <f>IF(K2019&lt;-5,"CRÍTICO",IF(K2019&lt;0,"ATENÇÃO",IF(K2019&lt;=5,"BOM","EXCELENTE")))</f>
        <v/>
      </c>
      <c r="M2019" t="n">
        <v>2</v>
      </c>
      <c r="N2019" t="n">
        <v>78.95</v>
      </c>
      <c r="O2019" t="n">
        <v>38.98305084745763</v>
      </c>
    </row>
    <row r="2020" hidden="1">
      <c r="A2020" s="11" t="n">
        <v>46064</v>
      </c>
      <c r="B2020" t="inlineStr">
        <is>
          <t>Emilly Kamilly Medeiros Miranda</t>
        </is>
      </c>
      <c r="C2020" t="inlineStr">
        <is>
          <t>Técnico II</t>
        </is>
      </c>
      <c r="D2020" t="n">
        <v>24</v>
      </c>
      <c r="E2020" t="n">
        <v>23</v>
      </c>
      <c r="F2020" t="n">
        <v>24.16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t="n">
        <v>21</v>
      </c>
      <c r="N2020" t="n">
        <v>98.45</v>
      </c>
      <c r="O2020" t="n">
        <v>29.2817679558011</v>
      </c>
    </row>
    <row r="2021" hidden="1">
      <c r="A2021" s="11" t="n">
        <v>46064</v>
      </c>
      <c r="B2021" t="inlineStr">
        <is>
          <t>Francielson de Oliveira</t>
        </is>
      </c>
      <c r="C2021" t="inlineStr">
        <is>
          <t>Técnico III</t>
        </is>
      </c>
      <c r="D2021" t="n">
        <v>29</v>
      </c>
      <c r="E2021" t="n">
        <v>28</v>
      </c>
      <c r="F2021" t="n">
        <v>20.03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t="n">
        <v>28</v>
      </c>
      <c r="N2021" t="n">
        <v>97.84</v>
      </c>
      <c r="O2021" t="n">
        <v>26.28205128205128</v>
      </c>
    </row>
    <row r="2022" hidden="1">
      <c r="A2022" s="11" t="n">
        <v>46064</v>
      </c>
      <c r="B2022" t="inlineStr">
        <is>
          <t>Francilene Ferreira de Jesus</t>
        </is>
      </c>
      <c r="C2022" t="inlineStr">
        <is>
          <t>Técnico II</t>
        </is>
      </c>
      <c r="D2022" t="n">
        <v>26</v>
      </c>
      <c r="E2022" t="n">
        <v>21</v>
      </c>
      <c r="F2022" t="n">
        <v>25.1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t="n">
        <v>24</v>
      </c>
      <c r="N2022" t="n">
        <v>98.5</v>
      </c>
      <c r="O2022" t="n">
        <v>23.97769516728625</v>
      </c>
    </row>
    <row r="2023" hidden="1">
      <c r="A2023" s="11" t="n">
        <v>46098</v>
      </c>
      <c r="B2023" t="inlineStr">
        <is>
          <t>Gabriel Gomes de Andrade</t>
        </is>
      </c>
      <c r="C2023" t="inlineStr">
        <is>
          <t>Técnico I</t>
        </is>
      </c>
      <c r="D2023" t="n">
        <v>14</v>
      </c>
      <c r="E2023" t="n">
        <v>13</v>
      </c>
      <c r="F2023" t="n">
        <v>26.55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t="n">
        <v>13</v>
      </c>
      <c r="N2023" t="n">
        <v>99.05</v>
      </c>
      <c r="O2023" t="n">
        <v>26.62192393736018</v>
      </c>
    </row>
    <row r="2024" hidden="1">
      <c r="A2024" s="11" t="n">
        <v>46064</v>
      </c>
      <c r="B2024" t="inlineStr">
        <is>
          <t>Isabella Borges de Oliveira</t>
        </is>
      </c>
      <c r="C2024" t="inlineStr">
        <is>
          <t>Técnico II</t>
        </is>
      </c>
      <c r="D2024" t="n">
        <v>28</v>
      </c>
      <c r="E2024" t="n">
        <v>26</v>
      </c>
      <c r="F2024" t="n">
        <v>25.04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M2024" t="n">
        <v>26</v>
      </c>
      <c r="N2024" t="n">
        <v>98.53</v>
      </c>
      <c r="O2024" t="n">
        <v>31.57894736842105</v>
      </c>
    </row>
    <row r="2025" hidden="1">
      <c r="A2025" s="11" t="n">
        <v>46064</v>
      </c>
      <c r="B2025" t="inlineStr">
        <is>
          <t>Janaina Lima dos Reis Urany</t>
        </is>
      </c>
      <c r="C2025" t="inlineStr">
        <is>
          <t>Técnico III</t>
        </is>
      </c>
      <c r="D2025" t="n">
        <v>55</v>
      </c>
      <c r="E2025" t="n">
        <v>49</v>
      </c>
      <c r="F2025" t="n">
        <v>13.21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t="n">
        <v>51</v>
      </c>
      <c r="N2025" t="n">
        <v>100</v>
      </c>
      <c r="O2025" t="n">
        <v>25.72214580467676</v>
      </c>
    </row>
    <row r="2026" hidden="1">
      <c r="A2026" s="11" t="n">
        <v>46064</v>
      </c>
      <c r="B2026" t="inlineStr">
        <is>
          <t>Jaqueline Evangelista da Silva Martins</t>
        </is>
      </c>
      <c r="C2026" t="inlineStr">
        <is>
          <t>Técnico III</t>
        </is>
      </c>
      <c r="D2026" t="n">
        <v>41</v>
      </c>
      <c r="E2026" t="n">
        <v>38</v>
      </c>
      <c r="F2026" t="n">
        <v>12.05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M2026" t="n">
        <v>34</v>
      </c>
      <c r="N2026" t="n">
        <v>94.64</v>
      </c>
      <c r="O2026" t="n">
        <v>27.52941176470588</v>
      </c>
    </row>
    <row r="2027" hidden="1">
      <c r="A2027" s="11" t="n">
        <v>46064</v>
      </c>
      <c r="B2027" t="inlineStr">
        <is>
          <t>Jessica Faria da Silveira</t>
        </is>
      </c>
      <c r="C2027" t="inlineStr">
        <is>
          <t>Técnico II</t>
        </is>
      </c>
      <c r="D2027" t="n">
        <v>30</v>
      </c>
      <c r="E2027" t="n">
        <v>26</v>
      </c>
      <c r="F2027" t="n">
        <v>21.43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t="n">
        <v>23</v>
      </c>
      <c r="N2027" t="n">
        <v>99.06999999999999</v>
      </c>
      <c r="O2027" t="n">
        <v>26.3768115942029</v>
      </c>
    </row>
    <row r="2028" hidden="1">
      <c r="A2028" s="11" t="n">
        <v>46064</v>
      </c>
      <c r="B2028" t="inlineStr">
        <is>
          <t>Jéssica Fé Moura</t>
        </is>
      </c>
      <c r="C2028" t="inlineStr">
        <is>
          <t>Técnico III</t>
        </is>
      </c>
      <c r="D2028" t="n">
        <v>0</v>
      </c>
      <c r="E2028" t="n">
        <v>0</v>
      </c>
      <c r="F2028" t="n">
        <v>0</v>
      </c>
      <c r="G2028" t="n">
        <v>0</v>
      </c>
      <c r="H2028" t="n">
        <v>0</v>
      </c>
      <c r="I2028" s="3" t="n">
        <v>0</v>
      </c>
      <c r="J2028" s="3" t="n">
        <v>0</v>
      </c>
      <c r="K2028" s="3" t="n">
        <v>0</v>
      </c>
      <c r="L2028" s="3">
        <f>IF(K2028&lt;-5,"CRÍTICO",IF(K2028&lt;0,"ATENÇÃO",IF(K2028&lt;=5,"BOM","EXCELENTE")))</f>
        <v/>
      </c>
      <c r="M2028" t="n">
        <v>0</v>
      </c>
      <c r="N2028" t="n">
        <v>100</v>
      </c>
      <c r="O2028" t="n">
        <v>0</v>
      </c>
    </row>
    <row r="2029" hidden="1">
      <c r="A2029" s="11" t="n">
        <v>46064</v>
      </c>
      <c r="B2029" t="inlineStr">
        <is>
          <t>Karina Gonçalves Martins</t>
        </is>
      </c>
      <c r="C2029" t="inlineStr">
        <is>
          <t>JR</t>
        </is>
      </c>
      <c r="D2029" t="n">
        <v>12</v>
      </c>
      <c r="E2029" t="n">
        <v>12</v>
      </c>
      <c r="F2029" t="n">
        <v>26.47</v>
      </c>
      <c r="G2029" t="n">
        <v>0</v>
      </c>
      <c r="H2029" t="n">
        <v>0</v>
      </c>
      <c r="I2029" s="3">
        <f>E2029+G2029+H2029</f>
        <v/>
      </c>
      <c r="J2029" s="3">
        <f>ROUND(MIN(IF(C2029="Técnico III",35,IF(C2029="Técnico II",28,IF(C2029="Técnico I",23,IF(C2029="JR",20,IF(C2029="Estágio",10,0))))),IF(C2029="Técnico III",SUMIFS($D:$D,$A:$A,$A2029,$B:$B,"&lt;&gt;Patrícia Karla de Sousa Araújo",$B:$B,"&lt;&gt;Lorena Dias de Araujo",$B:$B,"&lt;&gt;Lucas Luiz Romero")*(35/1083),IF(C2029="Técnico II",SUMIFS($D:$D,$A:$A,$A2029,$B:$B,"&lt;&gt;Patrícia Karla de Sousa Araújo",$B:$B,"&lt;&gt;Lorena Dias de Araujo",$B:$B,"&lt;&gt;Lucas Luiz Romero")*(28/1083),IF(C2029="Técnico I",SUMIFS($D:$D,$A:$A,$A2029,$B:$B,"&lt;&gt;Patrícia Karla de Sousa Araújo",$B:$B,"&lt;&gt;Lorena Dias de Araujo",$B:$B,"&lt;&gt;Lucas Luiz Romero")*(23/1083),IF(C2029="JR",SUMIFS($D:$D,$A:$A,$A2029,$B:$B,"&lt;&gt;Patrícia Karla de Sousa Araújo",$B:$B,"&lt;&gt;Lorena Dias de Araujo",$B:$B,"&lt;&gt;Lucas Luiz Romero")*(20/1083),IF(C2029="Estágio",SUMIFS($D:$D,$A:$A,$A2029,$B:$B,"&lt;&gt;Patrícia Karla de Sousa Araújo",$B:$B,"&lt;&gt;Lorena Dias de Araujo",$B:$B,"&lt;&gt;Lucas Luiz Romero")*(10/1083),0)))))),0)</f>
        <v/>
      </c>
      <c r="K2029" s="3">
        <f>I2029-J2029</f>
        <v/>
      </c>
      <c r="L2029" s="3">
        <f>IF(K2029&lt;-5,"CRÍTICO",IF(K2029&lt;0,"ATENÇÃO",IF(K2029&lt;=5,"BOM","EXCELENTE")))</f>
        <v/>
      </c>
      <c r="M2029" t="n">
        <v>10</v>
      </c>
      <c r="N2029" t="n">
        <v>98.48</v>
      </c>
      <c r="O2029" t="n">
        <v>27.85388127853881</v>
      </c>
    </row>
    <row r="2030" hidden="1">
      <c r="A2030" s="11" t="n">
        <v>46064</v>
      </c>
      <c r="B2030" t="inlineStr">
        <is>
          <t>Kerollen Cristielly de Jesus Siqueira</t>
        </is>
      </c>
      <c r="C2030" t="inlineStr">
        <is>
          <t>Técnico III</t>
        </is>
      </c>
      <c r="D2030" t="n">
        <v>3</v>
      </c>
      <c r="E2030" t="n">
        <v>2</v>
      </c>
      <c r="F2030" t="n">
        <v>3.36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t="n">
        <v>4</v>
      </c>
      <c r="N2030" t="n">
        <v>95.15000000000001</v>
      </c>
      <c r="O2030" t="n">
        <v>34.13173652694611</v>
      </c>
    </row>
    <row r="2031" hidden="1">
      <c r="A2031" s="11" t="n">
        <v>46064</v>
      </c>
      <c r="B2031" t="inlineStr">
        <is>
          <t>Leandro de Souza Silva</t>
        </is>
      </c>
      <c r="C2031" t="inlineStr">
        <is>
          <t>JR</t>
        </is>
      </c>
      <c r="D2031" t="n">
        <v>0</v>
      </c>
      <c r="E2031" t="n">
        <v>0</v>
      </c>
      <c r="F2031" t="n">
        <v>0</v>
      </c>
      <c r="G2031" t="n">
        <v>0</v>
      </c>
      <c r="H2031" t="n">
        <v>0</v>
      </c>
      <c r="I2031" s="3" t="n">
        <v>0</v>
      </c>
      <c r="J2031" s="3" t="n">
        <v>0</v>
      </c>
      <c r="K2031" s="3" t="n">
        <v>0</v>
      </c>
      <c r="L2031" s="3">
        <f>IF(K2031&lt;-5,"CRÍTICO",IF(K2031&lt;0,"ATENÇÃO",IF(K2031&lt;=5,"BOM","EXCELENTE")))</f>
        <v/>
      </c>
      <c r="M2031" t="n">
        <v>0</v>
      </c>
      <c r="N2031" t="n">
        <v>0</v>
      </c>
      <c r="O2031" t="n">
        <v>0</v>
      </c>
    </row>
    <row r="2032" hidden="1">
      <c r="A2032" s="11" t="n">
        <v>46064</v>
      </c>
      <c r="B2032" t="inlineStr">
        <is>
          <t>Leandro Oliveira de Sousa</t>
        </is>
      </c>
      <c r="C2032" t="inlineStr">
        <is>
          <t>Técnico III</t>
        </is>
      </c>
      <c r="D2032" t="n">
        <v>27</v>
      </c>
      <c r="E2032" t="n">
        <v>26</v>
      </c>
      <c r="F2032" t="n">
        <v>26.56</v>
      </c>
      <c r="G2032" t="n">
        <v>0</v>
      </c>
      <c r="H2032" t="n">
        <v>0</v>
      </c>
      <c r="I2032" s="3">
        <f>E2032+G2032+H2032</f>
        <v/>
      </c>
      <c r="J2032" s="3">
        <f>ROUND(MIN(IF(C2032="Técnico III",35,IF(C2032="Técnico II",28,IF(C2032="Técnico I",23,IF(C2032="JR",20,IF(C2032="Estágio",10,0))))),IF(C2032="Técnico III",SUMIFS($D:$D,$A:$A,$A2032,$B:$B,"&lt;&gt;Patrícia Karla de Sousa Araújo",$B:$B,"&lt;&gt;Lorena Dias de Araujo",$B:$B,"&lt;&gt;Lucas Luiz Romero")*(35/1083),IF(C2032="Técnico II",SUMIFS($D:$D,$A:$A,$A2032,$B:$B,"&lt;&gt;Patrícia Karla de Sousa Araújo",$B:$B,"&lt;&gt;Lorena Dias de Araujo",$B:$B,"&lt;&gt;Lucas Luiz Romero")*(28/1083),IF(C2032="Técnico I",SUMIFS($D:$D,$A:$A,$A2032,$B:$B,"&lt;&gt;Patrícia Karla de Sousa Araújo",$B:$B,"&lt;&gt;Lorena Dias de Araujo",$B:$B,"&lt;&gt;Lucas Luiz Romero")*(23/1083),IF(C2032="JR",SUMIFS($D:$D,$A:$A,$A2032,$B:$B,"&lt;&gt;Patrícia Karla de Sousa Araújo",$B:$B,"&lt;&gt;Lorena Dias de Araujo",$B:$B,"&lt;&gt;Lucas Luiz Romero")*(20/1083),IF(C2032="Estágio",SUMIFS($D:$D,$A:$A,$A2032,$B:$B,"&lt;&gt;Patrícia Karla de Sousa Araújo",$B:$B,"&lt;&gt;Lorena Dias de Araujo",$B:$B,"&lt;&gt;Lucas Luiz Romero")*(10/1083),0)))))),0)</f>
        <v/>
      </c>
      <c r="K2032" s="3">
        <f>I2032-J2032</f>
        <v/>
      </c>
      <c r="L2032" s="3">
        <f>IF(K2032&lt;-5,"CRÍTICO",IF(K2032&lt;0,"ATENÇÃO",IF(K2032&lt;=5,"BOM","EXCELENTE")))</f>
        <v/>
      </c>
      <c r="M2032" t="n">
        <v>28</v>
      </c>
      <c r="N2032" t="n">
        <v>99.26000000000001</v>
      </c>
      <c r="O2032" t="n">
        <v>30.84832904884319</v>
      </c>
    </row>
    <row r="2033" hidden="1">
      <c r="A2033" s="11" t="n">
        <v>46064</v>
      </c>
      <c r="B2033" t="inlineStr">
        <is>
          <t>Lizandra Gomes Duarte</t>
        </is>
      </c>
      <c r="C2033" t="inlineStr">
        <is>
          <t>Técnico II</t>
        </is>
      </c>
      <c r="D2033" t="n">
        <v>19</v>
      </c>
      <c r="E2033" t="n">
        <v>18</v>
      </c>
      <c r="F2033" t="n">
        <v>32.33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M2033" t="n">
        <v>18</v>
      </c>
      <c r="N2033" t="n">
        <v>97.48</v>
      </c>
      <c r="O2033" t="n">
        <v>27.76470588235294</v>
      </c>
    </row>
    <row r="2034" hidden="1">
      <c r="A2034" s="11" t="n">
        <v>46064</v>
      </c>
      <c r="B2034" t="inlineStr">
        <is>
          <t>Lorena Dias de Araujo</t>
        </is>
      </c>
      <c r="C2034" t="inlineStr">
        <is>
          <t>Técnico II</t>
        </is>
      </c>
      <c r="D2034" t="n">
        <v>33</v>
      </c>
      <c r="E2034" t="n">
        <v>30</v>
      </c>
      <c r="F2034" t="n">
        <v>19.01</v>
      </c>
      <c r="G2034" t="n">
        <v>0</v>
      </c>
      <c r="H2034" t="n">
        <v>0</v>
      </c>
      <c r="I2034" s="3" t="n">
        <v>0</v>
      </c>
      <c r="J2034" s="3" t="n">
        <v>0</v>
      </c>
      <c r="K2034" s="3" t="n">
        <v>0</v>
      </c>
      <c r="L2034" s="3">
        <f>IF(K2034&lt;-5,"CRÍTICO",IF(K2034&lt;0,"ATENÇÃO",IF(K2034&lt;=5,"BOM","EXCELENTE")))</f>
        <v/>
      </c>
      <c r="M2034" t="n">
        <v>23</v>
      </c>
      <c r="N2034" t="n">
        <v>99.34</v>
      </c>
      <c r="O2034" t="n">
        <v>30.04291845493562</v>
      </c>
    </row>
    <row r="2035" hidden="1">
      <c r="A2035" s="11" t="n">
        <v>46064</v>
      </c>
      <c r="B2035" t="inlineStr">
        <is>
          <t>Lucas Luiz Romero</t>
        </is>
      </c>
      <c r="C2035" t="inlineStr">
        <is>
          <t>Técnico III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M2035" t="n">
        <v>0</v>
      </c>
      <c r="N2035" t="n">
        <v>96.3</v>
      </c>
      <c r="O2035" t="n">
        <v>24.29378531073446</v>
      </c>
    </row>
    <row r="2036" hidden="1">
      <c r="A2036" s="11" t="n">
        <v>46064</v>
      </c>
      <c r="B2036" t="inlineStr">
        <is>
          <t>Luiz Fernando de Carvalho Junior</t>
        </is>
      </c>
      <c r="C2036" t="inlineStr">
        <is>
          <t>Técnico I</t>
        </is>
      </c>
      <c r="D2036" t="n">
        <v>19</v>
      </c>
      <c r="E2036" t="n">
        <v>19</v>
      </c>
      <c r="F2036" t="n">
        <v>29.07</v>
      </c>
      <c r="G2036" t="n">
        <v>0</v>
      </c>
      <c r="H2036" t="n">
        <v>0</v>
      </c>
      <c r="I2036" s="3">
        <f>E2036+G2036+H2036</f>
        <v/>
      </c>
      <c r="J2036" s="3">
        <f>ROUND(MIN(IF(C2036="Técnico III",35,IF(C2036="Técnico II",28,IF(C2036="Técnico I",23,IF(C2036="JR",20,IF(C2036="Estágio",10,0))))),IF(C2036="Técnico III",SUMIFS($D:$D,$A:$A,$A2036,$B:$B,"&lt;&gt;Patrícia Karla de Sousa Araújo",$B:$B,"&lt;&gt;Lorena Dias de Araujo",$B:$B,"&lt;&gt;Lucas Luiz Romero")*(35/1083),IF(C2036="Técnico II",SUMIFS($D:$D,$A:$A,$A2036,$B:$B,"&lt;&gt;Patrícia Karla de Sousa Araújo",$B:$B,"&lt;&gt;Lorena Dias de Araujo",$B:$B,"&lt;&gt;Lucas Luiz Romero")*(28/1083),IF(C2036="Técnico I",SUMIFS($D:$D,$A:$A,$A2036,$B:$B,"&lt;&gt;Patrícia Karla de Sousa Araújo",$B:$B,"&lt;&gt;Lorena Dias de Araujo",$B:$B,"&lt;&gt;Lucas Luiz Romero")*(23/1083),IF(C2036="JR",SUMIFS($D:$D,$A:$A,$A2036,$B:$B,"&lt;&gt;Patrícia Karla de Sousa Araújo",$B:$B,"&lt;&gt;Lorena Dias de Araujo",$B:$B,"&lt;&gt;Lucas Luiz Romero")*(20/1083),IF(C2036="Estágio",SUMIFS($D:$D,$A:$A,$A2036,$B:$B,"&lt;&gt;Patrícia Karla de Sousa Araújo",$B:$B,"&lt;&gt;Lorena Dias de Araujo",$B:$B,"&lt;&gt;Lucas Luiz Romero")*(10/1083),0)))))),0)</f>
        <v/>
      </c>
      <c r="K2036" s="3">
        <f>I2036-J2036</f>
        <v/>
      </c>
      <c r="L2036" s="3">
        <f>IF(K2036&lt;-5,"CRÍTICO",IF(K2036&lt;0,"ATENÇÃO",IF(K2036&lt;=5,"BOM","EXCELENTE")))</f>
        <v/>
      </c>
      <c r="M2036" t="n">
        <v>18</v>
      </c>
      <c r="N2036" t="n">
        <v>100</v>
      </c>
      <c r="O2036" t="n">
        <v>26.54320987654321</v>
      </c>
    </row>
    <row r="2037" hidden="1">
      <c r="A2037" s="11" t="n">
        <v>46064</v>
      </c>
      <c r="B2037" t="inlineStr">
        <is>
          <t>Maria Eduarda Sousa Costa</t>
        </is>
      </c>
      <c r="C2037" t="inlineStr">
        <is>
          <t>Estágio</t>
        </is>
      </c>
      <c r="D2037" t="n">
        <v>74</v>
      </c>
      <c r="E2037" t="n">
        <v>26</v>
      </c>
      <c r="F2037" t="n">
        <v>5.27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t="n">
        <v>0</v>
      </c>
      <c r="N2037" t="n">
        <v>100</v>
      </c>
      <c r="O2037" t="n">
        <v>35.48387096774194</v>
      </c>
    </row>
    <row r="2038" hidden="1">
      <c r="A2038" s="11" t="n">
        <v>46064</v>
      </c>
      <c r="B2038" t="inlineStr">
        <is>
          <t>Matheus Farias De Souza</t>
        </is>
      </c>
      <c r="C2038" t="inlineStr">
        <is>
          <t>Técnico III</t>
        </is>
      </c>
      <c r="D2038" t="n">
        <v>16</v>
      </c>
      <c r="E2038" t="n">
        <v>15</v>
      </c>
      <c r="F2038" t="n">
        <v>31.4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t="n">
        <v>33</v>
      </c>
      <c r="N2038" t="n">
        <v>99.27</v>
      </c>
      <c r="O2038" t="n">
        <v>31.16370808678501</v>
      </c>
    </row>
    <row r="2039" hidden="1">
      <c r="A2039" s="11" t="n">
        <v>46064</v>
      </c>
      <c r="B2039" t="inlineStr">
        <is>
          <t>Maysa Victoria Dias Moura</t>
        </is>
      </c>
      <c r="C2039" t="inlineStr">
        <is>
          <t>Técnico III</t>
        </is>
      </c>
      <c r="D2039" t="n">
        <v>17</v>
      </c>
      <c r="E2039" t="n">
        <v>17</v>
      </c>
      <c r="F2039" t="n">
        <v>30.2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M2039" t="n">
        <v>15</v>
      </c>
      <c r="N2039" t="n">
        <v>94.16</v>
      </c>
      <c r="O2039" t="n">
        <v>27.03862660944206</v>
      </c>
    </row>
    <row r="2040" hidden="1">
      <c r="A2040" s="11" t="n">
        <v>46064</v>
      </c>
      <c r="B2040" t="inlineStr">
        <is>
          <t>Michelle G Santos</t>
        </is>
      </c>
      <c r="C2040" t="inlineStr">
        <is>
          <t>Estágio</t>
        </is>
      </c>
      <c r="D2040" t="n">
        <v>10</v>
      </c>
      <c r="E2040" t="n">
        <v>10</v>
      </c>
      <c r="F2040" t="n">
        <v>67.16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M2040" t="n">
        <v>4</v>
      </c>
      <c r="N2040" t="n">
        <v>93.75</v>
      </c>
      <c r="O2040" t="n">
        <v>19.31818181818182</v>
      </c>
    </row>
    <row r="2041" hidden="1">
      <c r="A2041" s="11" t="n">
        <v>46064</v>
      </c>
      <c r="B2041" t="inlineStr">
        <is>
          <t>Milena Sales</t>
        </is>
      </c>
      <c r="C2041" t="inlineStr">
        <is>
          <t>JR</t>
        </is>
      </c>
      <c r="D2041" t="n">
        <v>0</v>
      </c>
      <c r="E2041" t="n">
        <v>0</v>
      </c>
      <c r="F2041" t="n">
        <v>0</v>
      </c>
      <c r="G2041" t="n">
        <v>0</v>
      </c>
      <c r="H2041" t="n">
        <v>0</v>
      </c>
      <c r="I2041" s="3" t="n">
        <v>0</v>
      </c>
      <c r="J2041" s="3" t="n">
        <v>0</v>
      </c>
      <c r="K2041" s="3" t="n">
        <v>0</v>
      </c>
      <c r="L2041" s="3">
        <f>IF(K2041&lt;-5,"CRÍTICO",IF(K2041&lt;0,"ATENÇÃO",IF(K2041&lt;=5,"BOM","EXCELENTE")))</f>
        <v/>
      </c>
      <c r="M2041" t="n">
        <v>0</v>
      </c>
      <c r="N2041" t="n">
        <v>0</v>
      </c>
      <c r="O2041" t="n">
        <v>0</v>
      </c>
    </row>
    <row r="2042" hidden="1">
      <c r="A2042" s="11" t="n">
        <v>46064</v>
      </c>
      <c r="B2042" t="inlineStr">
        <is>
          <t>Patrícia Karla de Sousa Araújo</t>
        </is>
      </c>
      <c r="C2042" t="inlineStr">
        <is>
          <t>Técnico II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t="n">
        <v>0</v>
      </c>
      <c r="N2042" t="n">
        <v>97.92</v>
      </c>
      <c r="O2042" t="n">
        <v>32.87671232876712</v>
      </c>
    </row>
    <row r="2043" hidden="1">
      <c r="A2043" s="11" t="n">
        <v>46064</v>
      </c>
      <c r="B2043" t="inlineStr">
        <is>
          <t>Paulo Ricardo Santos</t>
        </is>
      </c>
      <c r="C2043" t="inlineStr">
        <is>
          <t>JR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t="n">
        <v>0</v>
      </c>
      <c r="N2043" t="n">
        <v>0</v>
      </c>
      <c r="O2043" t="n">
        <v>0</v>
      </c>
    </row>
    <row r="2044" hidden="1">
      <c r="A2044" s="11" t="n">
        <v>46064</v>
      </c>
      <c r="B2044" t="inlineStr">
        <is>
          <t>Pedro Luiz Mota Sousa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M2044" t="n">
        <v>0</v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Quirino Diogo Leite Torres</t>
        </is>
      </c>
      <c r="C2045" t="inlineStr">
        <is>
          <t>Estágio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M2045" t="n">
        <v>0</v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Raane Batista Matos</t>
        </is>
      </c>
      <c r="C2046" t="inlineStr">
        <is>
          <t>Técnico I</t>
        </is>
      </c>
      <c r="D2046" t="n">
        <v>25</v>
      </c>
      <c r="E2046" t="n">
        <v>24</v>
      </c>
      <c r="F2046" t="n">
        <v>23.53</v>
      </c>
      <c r="G2046" t="n">
        <v>0</v>
      </c>
      <c r="H2046" t="n">
        <v>0</v>
      </c>
      <c r="I2046" s="3">
        <f>E2046+G2046+H2046</f>
        <v/>
      </c>
      <c r="J2046" s="3">
        <f>ROUND(MIN(IF(C2046="Técnico III",35,IF(C2046="Técnico II",28,IF(C2046="Técnico I",23,IF(C2046="JR",20,IF(C2046="Estágio",10,0))))),IF(C2046="Técnico III",SUMIFS($D:$D,$A:$A,$A2046,$B:$B,"&lt;&gt;Patrícia Karla de Sousa Araújo",$B:$B,"&lt;&gt;Lorena Dias de Araujo",$B:$B,"&lt;&gt;Lucas Luiz Romero")*(35/1083),IF(C2046="Técnico II",SUMIFS($D:$D,$A:$A,$A2046,$B:$B,"&lt;&gt;Patrícia Karla de Sousa Araújo",$B:$B,"&lt;&gt;Lorena Dias de Araujo",$B:$B,"&lt;&gt;Lucas Luiz Romero")*(28/1083),IF(C2046="Técnico I",SUMIFS($D:$D,$A:$A,$A2046,$B:$B,"&lt;&gt;Patrícia Karla de Sousa Araújo",$B:$B,"&lt;&gt;Lorena Dias de Araujo",$B:$B,"&lt;&gt;Lucas Luiz Romero")*(23/1083),IF(C2046="JR",SUMIFS($D:$D,$A:$A,$A2046,$B:$B,"&lt;&gt;Patrícia Karla de Sousa Araújo",$B:$B,"&lt;&gt;Lorena Dias de Araujo",$B:$B,"&lt;&gt;Lucas Luiz Romero")*(20/1083),IF(C2046="Estágio",SUMIFS($D:$D,$A:$A,$A2046,$B:$B,"&lt;&gt;Patrícia Karla de Sousa Araújo",$B:$B,"&lt;&gt;Lorena Dias de Araujo",$B:$B,"&lt;&gt;Lucas Luiz Romero")*(10/1083),0)))))),0)</f>
        <v/>
      </c>
      <c r="K2046" s="3">
        <f>I2046-J2046</f>
        <v/>
      </c>
      <c r="L2046" s="3">
        <f>IF(K2046&lt;-5,"CRÍTICO",IF(K2046&lt;0,"ATENÇÃO",IF(K2046&lt;=5,"BOM","EXCELENTE")))</f>
        <v/>
      </c>
      <c r="M2046" t="n">
        <v>17</v>
      </c>
      <c r="N2046" t="n">
        <v>98.51000000000001</v>
      </c>
      <c r="O2046" t="n">
        <v>29.71014492753623</v>
      </c>
    </row>
    <row r="2047" hidden="1">
      <c r="A2047" s="11" t="n">
        <v>46064</v>
      </c>
      <c r="B2047" t="inlineStr">
        <is>
          <t>Rafael Gomes de Morais</t>
        </is>
      </c>
      <c r="C2047" t="inlineStr">
        <is>
          <t>Técnico III</t>
        </is>
      </c>
      <c r="D2047" t="n">
        <v>38</v>
      </c>
      <c r="E2047" t="n">
        <v>35</v>
      </c>
      <c r="F2047" t="n">
        <v>15.06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t="n">
        <v>38</v>
      </c>
      <c r="N2047" t="n">
        <v>98.81</v>
      </c>
      <c r="O2047" t="n">
        <v>30.71297989031079</v>
      </c>
    </row>
    <row r="2048" hidden="1">
      <c r="A2048" s="11" t="n">
        <v>46064</v>
      </c>
      <c r="B2048" t="inlineStr">
        <is>
          <t>Sara Maria Monteiro Lopes</t>
        </is>
      </c>
      <c r="C2048" t="inlineStr">
        <is>
          <t>Técnico I</t>
        </is>
      </c>
      <c r="D2048" t="n">
        <v>12</v>
      </c>
      <c r="E2048" t="n">
        <v>11</v>
      </c>
      <c r="F2048" t="n">
        <v>37.18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t="n">
        <v>12</v>
      </c>
      <c r="N2048" t="n">
        <v>98.48</v>
      </c>
      <c r="O2048" t="n">
        <v>29.35323383084577</v>
      </c>
    </row>
    <row r="2049" hidden="1">
      <c r="A2049" s="11" t="n">
        <v>46064</v>
      </c>
      <c r="B2049" t="inlineStr">
        <is>
          <t>Sarah Steffanie de Lima Borges</t>
        </is>
      </c>
      <c r="C2049" t="inlineStr">
        <is>
          <t>Técnico III</t>
        </is>
      </c>
      <c r="D2049" t="n">
        <v>35</v>
      </c>
      <c r="E2049" t="n">
        <v>32</v>
      </c>
      <c r="F2049" t="n">
        <v>18.27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M2049" t="n">
        <v>27</v>
      </c>
      <c r="N2049" t="n">
        <v>98.56</v>
      </c>
      <c r="O2049" t="n">
        <v>29.37365010799136</v>
      </c>
    </row>
    <row r="2050" hidden="1">
      <c r="A2050" s="11" t="n">
        <v>46065</v>
      </c>
      <c r="B2050" t="inlineStr">
        <is>
          <t>Alisson de Freitas Silva</t>
        </is>
      </c>
      <c r="C2050" t="inlineStr">
        <is>
          <t>Técnico II</t>
        </is>
      </c>
      <c r="D2050" t="n">
        <v>1</v>
      </c>
      <c r="E2050" t="n">
        <v>0</v>
      </c>
      <c r="F2050" t="n">
        <v>2.07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t="n">
        <v>0</v>
      </c>
      <c r="N2050" t="n">
        <v>98.31999999999999</v>
      </c>
      <c r="O2050" t="n">
        <v>30.3030303030303</v>
      </c>
    </row>
    <row r="2051" hidden="1">
      <c r="A2051" s="11" t="n">
        <v>46065</v>
      </c>
      <c r="B2051" t="inlineStr">
        <is>
          <t>Amanda Moura Ferreira</t>
        </is>
      </c>
      <c r="C2051" t="inlineStr">
        <is>
          <t>Técnico III</t>
        </is>
      </c>
      <c r="D2051" t="n">
        <v>0</v>
      </c>
      <c r="E2051" t="n">
        <v>0</v>
      </c>
      <c r="F2051" t="n">
        <v>0</v>
      </c>
      <c r="G2051" t="n">
        <v>0</v>
      </c>
      <c r="H2051" t="n">
        <v>0</v>
      </c>
      <c r="I2051" s="3" t="n">
        <v>0</v>
      </c>
      <c r="J2051" s="3" t="n">
        <v>0</v>
      </c>
      <c r="K2051" s="3" t="n">
        <v>0</v>
      </c>
      <c r="L2051" s="3">
        <f>IF(K2051&lt;-5,"CRÍTICO",IF(K2051&lt;0,"ATENÇÃO",IF(K2051&lt;=5,"BOM","EXCELENTE")))</f>
        <v/>
      </c>
      <c r="M2051" t="n">
        <v>33</v>
      </c>
      <c r="N2051" t="n">
        <v>98.68000000000001</v>
      </c>
      <c r="O2051" t="n">
        <v>26.21951219512195</v>
      </c>
    </row>
    <row r="2052" hidden="1">
      <c r="A2052" s="11" t="n">
        <v>46065</v>
      </c>
      <c r="B2052" t="inlineStr">
        <is>
          <t>Ana Karollyne Souza Faria</t>
        </is>
      </c>
      <c r="C2052" t="inlineStr">
        <is>
          <t>Técnico I</t>
        </is>
      </c>
      <c r="D2052" t="n">
        <v>25</v>
      </c>
      <c r="E2052" t="n">
        <v>24</v>
      </c>
      <c r="F2052" t="n">
        <v>25.21</v>
      </c>
      <c r="G2052" t="n">
        <v>0</v>
      </c>
      <c r="H2052" t="n">
        <v>0</v>
      </c>
      <c r="I2052" s="3">
        <f>E2052+G2052+H2052</f>
        <v/>
      </c>
      <c r="J2052" s="3">
        <f>ROUND(MIN(IF(C2052="Técnico III",35,IF(C2052="Técnico II",28,IF(C2052="Técnico I",23,IF(C2052="JR",20,IF(C2052="Estágio",10,0))))),IF(C2052="Técnico III",SUMIFS($D:$D,$A:$A,$A2052,$B:$B,"&lt;&gt;Patrícia Karla de Sousa Araújo",$B:$B,"&lt;&gt;Lorena Dias de Araujo",$B:$B,"&lt;&gt;Lucas Luiz Romero")*(35/1083),IF(C2052="Técnico II",SUMIFS($D:$D,$A:$A,$A2052,$B:$B,"&lt;&gt;Patrícia Karla de Sousa Araújo",$B:$B,"&lt;&gt;Lorena Dias de Araujo",$B:$B,"&lt;&gt;Lucas Luiz Romero")*(28/1083),IF(C2052="Técnico I",SUMIFS($D:$D,$A:$A,$A2052,$B:$B,"&lt;&gt;Patrícia Karla de Sousa Araújo",$B:$B,"&lt;&gt;Lorena Dias de Araujo",$B:$B,"&lt;&gt;Lucas Luiz Romero")*(23/1083),IF(C2052="JR",SUMIFS($D:$D,$A:$A,$A2052,$B:$B,"&lt;&gt;Patrícia Karla de Sousa Araújo",$B:$B,"&lt;&gt;Lorena Dias de Araujo",$B:$B,"&lt;&gt;Lucas Luiz Romero")*(20/1083),IF(C2052="Estágio",SUMIFS($D:$D,$A:$A,$A2052,$B:$B,"&lt;&gt;Patrícia Karla de Sousa Araújo",$B:$B,"&lt;&gt;Lorena Dias de Araujo",$B:$B,"&lt;&gt;Lucas Luiz Romero")*(10/1083),0)))))),0)</f>
        <v/>
      </c>
      <c r="K2052" s="3">
        <f>I2052-J2052</f>
        <v/>
      </c>
      <c r="L2052" s="3">
        <f>IF(K2052&lt;-5,"CRÍTICO",IF(K2052&lt;0,"ATENÇÃO",IF(K2052&lt;=5,"BOM","EXCELENTE")))</f>
        <v/>
      </c>
      <c r="M2052" t="n">
        <v>20</v>
      </c>
      <c r="N2052" t="n">
        <v>100</v>
      </c>
      <c r="O2052" t="n">
        <v>31.74224343675418</v>
      </c>
    </row>
    <row r="2053" hidden="1">
      <c r="A2053" s="11" t="n">
        <v>46065</v>
      </c>
      <c r="B2053" t="inlineStr">
        <is>
          <t>Ana Paula Da Luz Silva Aleixo</t>
        </is>
      </c>
      <c r="C2053" t="inlineStr">
        <is>
          <t>Técnico III</t>
        </is>
      </c>
      <c r="D2053" t="n">
        <v>28</v>
      </c>
      <c r="E2053" t="n">
        <v>26</v>
      </c>
      <c r="F2053" t="n">
        <v>23.36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t="n">
        <v>25</v>
      </c>
      <c r="N2053" t="n">
        <v>98.25</v>
      </c>
      <c r="O2053" t="n">
        <v>25.83518930957684</v>
      </c>
    </row>
    <row r="2054" hidden="1">
      <c r="A2054" s="11" t="n">
        <v>46065</v>
      </c>
      <c r="B2054" t="inlineStr">
        <is>
          <t>Anna Luiza Rezende Tavares</t>
        </is>
      </c>
      <c r="C2054" t="inlineStr">
        <is>
          <t>Estágio</t>
        </is>
      </c>
      <c r="D2054" t="n">
        <v>10</v>
      </c>
      <c r="E2054" t="n">
        <v>9</v>
      </c>
      <c r="F2054" t="n">
        <v>30.53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t="n">
        <v>9</v>
      </c>
      <c r="N2054" t="n">
        <v>97.5</v>
      </c>
      <c r="O2054" t="n">
        <v>30.07518796992481</v>
      </c>
    </row>
    <row r="2055" hidden="1">
      <c r="A2055" s="11" t="n">
        <v>46065</v>
      </c>
      <c r="B2055" t="inlineStr">
        <is>
          <t>Brenda de Menezes Silva</t>
        </is>
      </c>
      <c r="C2055" t="inlineStr">
        <is>
          <t>Técnico II</t>
        </is>
      </c>
      <c r="D2055" t="n">
        <v>17</v>
      </c>
      <c r="E2055" t="n">
        <v>17</v>
      </c>
      <c r="F2055" t="n">
        <v>22.38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M2055" t="n">
        <v>17</v>
      </c>
      <c r="N2055" t="n">
        <v>100</v>
      </c>
      <c r="O2055" t="n">
        <v>29.71311475409836</v>
      </c>
    </row>
    <row r="2056" hidden="1">
      <c r="A2056" s="11" t="n">
        <v>46065</v>
      </c>
      <c r="B2056" t="inlineStr">
        <is>
          <t>Carlos Mateus Cassimiro Nunes</t>
        </is>
      </c>
      <c r="C2056" t="inlineStr">
        <is>
          <t>Técnico II</t>
        </is>
      </c>
      <c r="D2056" t="n">
        <v>14</v>
      </c>
      <c r="E2056" t="n">
        <v>13</v>
      </c>
      <c r="F2056" t="n">
        <v>41.45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t="n">
        <v>14</v>
      </c>
      <c r="N2056" t="n">
        <v>99.22</v>
      </c>
      <c r="O2056" t="n">
        <v>35.25641025641026</v>
      </c>
    </row>
    <row r="2057" hidden="1">
      <c r="A2057" s="11" t="n">
        <v>46065</v>
      </c>
      <c r="B2057" t="inlineStr">
        <is>
          <t>Claudio de Sousa Velasco Filho</t>
        </is>
      </c>
      <c r="C2057" t="inlineStr">
        <is>
          <t>Estágio</t>
        </is>
      </c>
      <c r="D2057" t="n">
        <v>0</v>
      </c>
      <c r="E2057" t="n">
        <v>0</v>
      </c>
      <c r="F2057" t="n">
        <v>0</v>
      </c>
      <c r="G2057" t="n">
        <v>0</v>
      </c>
      <c r="H2057" t="n">
        <v>0</v>
      </c>
      <c r="I2057" s="3" t="n">
        <v>0</v>
      </c>
      <c r="J2057" s="3" t="n">
        <v>0</v>
      </c>
      <c r="K2057" s="3" t="n">
        <v>0</v>
      </c>
      <c r="L2057" s="3">
        <f>IF(K2057&lt;-5,"CRÍTICO",IF(K2057&lt;0,"ATENÇÃO",IF(K2057&lt;=5,"BOM","EXCELENTE")))</f>
        <v/>
      </c>
      <c r="M2057" t="n">
        <v>0</v>
      </c>
      <c r="N2057" t="n">
        <v>0</v>
      </c>
      <c r="O2057" t="n">
        <v>0</v>
      </c>
    </row>
    <row r="2058" hidden="1">
      <c r="A2058" s="11" t="n">
        <v>46065</v>
      </c>
      <c r="B2058" t="inlineStr">
        <is>
          <t>Clessiane Pereira dos Santos</t>
        </is>
      </c>
      <c r="C2058" t="inlineStr">
        <is>
          <t>Técnico I</t>
        </is>
      </c>
      <c r="D2058" t="n">
        <v>40</v>
      </c>
      <c r="E2058" t="n">
        <v>6</v>
      </c>
      <c r="F2058" t="n">
        <v>3.57</v>
      </c>
      <c r="G2058" t="n">
        <v>0</v>
      </c>
      <c r="H2058" t="n">
        <v>0</v>
      </c>
      <c r="I2058" s="3">
        <f>E2058+G2058+H2058</f>
        <v/>
      </c>
      <c r="J2058" s="3">
        <f>ROUND(MIN(IF(C2058="Técnico III",35,IF(C2058="Técnico II",28,IF(C2058="Técnico I",23,IF(C2058="JR",20,IF(C2058="Estágio",10,0))))),IF(C2058="Técnico III",SUMIFS($D:$D,$A:$A,$A2058,$B:$B,"&lt;&gt;Patrícia Karla de Sousa Araújo",$B:$B,"&lt;&gt;Lorena Dias de Araujo",$B:$B,"&lt;&gt;Lucas Luiz Romero")*(35/1083),IF(C2058="Técnico II",SUMIFS($D:$D,$A:$A,$A2058,$B:$B,"&lt;&gt;Patrícia Karla de Sousa Araújo",$B:$B,"&lt;&gt;Lorena Dias de Araujo",$B:$B,"&lt;&gt;Lucas Luiz Romero")*(28/1083),IF(C2058="Técnico I",SUMIFS($D:$D,$A:$A,$A2058,$B:$B,"&lt;&gt;Patrícia Karla de Sousa Araújo",$B:$B,"&lt;&gt;Lorena Dias de Araujo",$B:$B,"&lt;&gt;Lucas Luiz Romero")*(23/1083),IF(C2058="JR",SUMIFS($D:$D,$A:$A,$A2058,$B:$B,"&lt;&gt;Patrícia Karla de Sousa Araújo",$B:$B,"&lt;&gt;Lorena Dias de Araujo",$B:$B,"&lt;&gt;Lucas Luiz Romero")*(20/1083),IF(C2058="Estágio",SUMIFS($D:$D,$A:$A,$A2058,$B:$B,"&lt;&gt;Patrícia Karla de Sousa Araújo",$B:$B,"&lt;&gt;Lorena Dias de Araujo",$B:$B,"&lt;&gt;Lucas Luiz Romero")*(10/1083),0)))))),0)</f>
        <v/>
      </c>
      <c r="K2058" s="3">
        <f>I2058-J2058</f>
        <v/>
      </c>
      <c r="L2058" s="3">
        <f>IF(K2058&lt;-5,"CRÍTICO",IF(K2058&lt;0,"ATENÇÃO",IF(K2058&lt;=5,"BOM","EXCELENTE")))</f>
        <v/>
      </c>
      <c r="M2058" t="n">
        <v>9</v>
      </c>
      <c r="N2058" t="n">
        <v>98.75</v>
      </c>
      <c r="O2058" t="n">
        <v>24.32432432432433</v>
      </c>
    </row>
    <row r="2059" hidden="1">
      <c r="A2059" s="11" t="n">
        <v>46065</v>
      </c>
      <c r="B2059" t="inlineStr">
        <is>
          <t>Cristiane Ramos da Silva Rocha</t>
        </is>
      </c>
      <c r="C2059" t="inlineStr">
        <is>
          <t>Técnico III</t>
        </is>
      </c>
      <c r="D2059" t="n">
        <v>39</v>
      </c>
      <c r="E2059" t="n">
        <v>36</v>
      </c>
      <c r="F2059" t="n">
        <v>19.05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t="n">
        <v>35</v>
      </c>
      <c r="N2059" t="n">
        <v>93.48</v>
      </c>
      <c r="O2059" t="n">
        <v>31.52804642166344</v>
      </c>
    </row>
    <row r="2060" hidden="1">
      <c r="A2060" s="11" t="n">
        <v>46065</v>
      </c>
      <c r="B2060" t="inlineStr">
        <is>
          <t>Damyllis Lorraine de Oliveira Gonçalves</t>
        </is>
      </c>
      <c r="C2060" t="inlineStr">
        <is>
          <t>Técnico II</t>
        </is>
      </c>
      <c r="D2060" t="n">
        <v>38</v>
      </c>
      <c r="E2060" t="n">
        <v>36</v>
      </c>
      <c r="F2060" t="n">
        <v>15.56</v>
      </c>
      <c r="G2060" t="n">
        <v>0</v>
      </c>
      <c r="H2060" t="n">
        <v>0</v>
      </c>
      <c r="I2060" s="3" t="n">
        <v>0</v>
      </c>
      <c r="J2060" s="3" t="n">
        <v>0</v>
      </c>
      <c r="K2060" s="3" t="n">
        <v>0</v>
      </c>
      <c r="L2060" s="3">
        <f>IF(K2060&lt;-5,"CRÍTICO",IF(K2060&lt;0,"ATENÇÃO",IF(K2060&lt;=5,"BOM","EXCELENTE")))</f>
        <v/>
      </c>
      <c r="M2060" t="n">
        <v>36</v>
      </c>
      <c r="N2060" t="n">
        <v>99.16</v>
      </c>
      <c r="O2060" t="n">
        <v>26.13908872901678</v>
      </c>
    </row>
    <row r="2061" hidden="1">
      <c r="A2061" s="11" t="n">
        <v>46065</v>
      </c>
      <c r="B2061" t="inlineStr">
        <is>
          <t>Daniel Gomes da Silva</t>
        </is>
      </c>
      <c r="C2061" t="inlineStr">
        <is>
          <t>Técnico I</t>
        </is>
      </c>
      <c r="D2061" t="n">
        <v>15</v>
      </c>
      <c r="E2061" t="n">
        <v>15</v>
      </c>
      <c r="F2061" t="n">
        <v>30.17</v>
      </c>
      <c r="G2061" t="n">
        <v>0</v>
      </c>
      <c r="H2061" t="n">
        <v>0</v>
      </c>
      <c r="I2061" s="3">
        <f>E2061+G2061+H2061</f>
        <v/>
      </c>
      <c r="J2061" s="3">
        <f>ROUND(MIN(IF(C2061="Técnico III",35,IF(C2061="Técnico II",28,IF(C2061="Técnico I",23,IF(C2061="JR",20,IF(C2061="Estágio",10,0))))),IF(C2061="Técnico III",SUMIFS($D:$D,$A:$A,$A2061,$B:$B,"&lt;&gt;Patrícia Karla de Sousa Araújo",$B:$B,"&lt;&gt;Lorena Dias de Araujo",$B:$B,"&lt;&gt;Lucas Luiz Romero")*(35/1083),IF(C2061="Técnico II",SUMIFS($D:$D,$A:$A,$A2061,$B:$B,"&lt;&gt;Patrícia Karla de Sousa Araújo",$B:$B,"&lt;&gt;Lorena Dias de Araujo",$B:$B,"&lt;&gt;Lucas Luiz Romero")*(28/1083),IF(C2061="Técnico I",SUMIFS($D:$D,$A:$A,$A2061,$B:$B,"&lt;&gt;Patrícia Karla de Sousa Araújo",$B:$B,"&lt;&gt;Lorena Dias de Araujo",$B:$B,"&lt;&gt;Lucas Luiz Romero")*(23/1083),IF(C2061="JR",SUMIFS($D:$D,$A:$A,$A2061,$B:$B,"&lt;&gt;Patrícia Karla de Sousa Araújo",$B:$B,"&lt;&gt;Lorena Dias de Araujo",$B:$B,"&lt;&gt;Lucas Luiz Romero")*(20/1083),IF(C2061="Estágio",SUMIFS($D:$D,$A:$A,$A2061,$B:$B,"&lt;&gt;Patrícia Karla de Sousa Araújo",$B:$B,"&lt;&gt;Lorena Dias de Araujo",$B:$B,"&lt;&gt;Lucas Luiz Romero")*(10/1083),0)))))),0)</f>
        <v/>
      </c>
      <c r="K2061" s="3">
        <f>I2061-J2061</f>
        <v/>
      </c>
      <c r="L2061" s="3">
        <f>IF(K2061&lt;-5,"CRÍTICO",IF(K2061&lt;0,"ATENÇÃO",IF(K2061&lt;=5,"BOM","EXCELENTE")))</f>
        <v/>
      </c>
      <c r="M2061" t="n">
        <v>13</v>
      </c>
      <c r="N2061" t="n">
        <v>100</v>
      </c>
      <c r="O2061" t="n">
        <v>31.08974358974359</v>
      </c>
    </row>
    <row r="2062" hidden="1">
      <c r="A2062" s="11" t="n">
        <v>46065</v>
      </c>
      <c r="B2062" t="inlineStr">
        <is>
          <t>Davylla Rodrigues Freitas Silva</t>
        </is>
      </c>
      <c r="C2062" t="inlineStr">
        <is>
          <t>Técnico III</t>
        </is>
      </c>
      <c r="D2062" t="n">
        <v>26</v>
      </c>
      <c r="E2062" t="n">
        <v>26</v>
      </c>
      <c r="F2062" t="n">
        <v>27.22</v>
      </c>
      <c r="G2062" t="n">
        <v>0</v>
      </c>
      <c r="H2062" t="n">
        <v>0</v>
      </c>
      <c r="I2062" s="3" t="n">
        <v>0</v>
      </c>
      <c r="J2062" s="3" t="n">
        <v>0</v>
      </c>
      <c r="K2062" s="3" t="n">
        <v>0</v>
      </c>
      <c r="L2062" s="3">
        <f>IF(K2062&lt;-5,"CRÍTICO",IF(K2062&lt;0,"ATENÇÃO",IF(K2062&lt;=5,"BOM","EXCELENTE")))</f>
        <v/>
      </c>
      <c r="M2062" t="n">
        <v>25</v>
      </c>
      <c r="N2062" t="n">
        <v>98.11</v>
      </c>
      <c r="O2062" t="n">
        <v>33.03370786516854</v>
      </c>
    </row>
    <row r="2063" hidden="1">
      <c r="A2063" s="11" t="n">
        <v>46065</v>
      </c>
      <c r="B2063" t="inlineStr">
        <is>
          <t>Emilly Caylane Costa</t>
        </is>
      </c>
      <c r="C2063" t="inlineStr">
        <is>
          <t>Estágio</t>
        </is>
      </c>
      <c r="D2063" t="n">
        <v>20</v>
      </c>
      <c r="E2063" t="n">
        <v>13</v>
      </c>
      <c r="F2063" t="n">
        <v>15.49</v>
      </c>
      <c r="G2063" t="n">
        <v>0</v>
      </c>
      <c r="H2063" t="n">
        <v>0</v>
      </c>
      <c r="I2063" s="3">
        <f>E2063+G2063+H2063</f>
        <v/>
      </c>
      <c r="J2063" s="3">
        <f>ROUND(MIN(IF(C2063="Técnico III",35,IF(C2063="Técnico II",28,IF(C2063="Técnico I",23,IF(C2063="JR",20,IF(C2063="Estágio",10,0))))),IF(C2063="Técnico III",SUMIFS($D:$D,$A:$A,$A2063,$B:$B,"&lt;&gt;Patrícia Karla de Sousa Araújo",$B:$B,"&lt;&gt;Lorena Dias de Araujo",$B:$B,"&lt;&gt;Lucas Luiz Romero")*(35/1083),IF(C2063="Técnico II",SUMIFS($D:$D,$A:$A,$A2063,$B:$B,"&lt;&gt;Patrícia Karla de Sousa Araújo",$B:$B,"&lt;&gt;Lorena Dias de Araujo",$B:$B,"&lt;&gt;Lucas Luiz Romero")*(28/1083),IF(C2063="Técnico I",SUMIFS($D:$D,$A:$A,$A2063,$B:$B,"&lt;&gt;Patrícia Karla de Sousa Araújo",$B:$B,"&lt;&gt;Lorena Dias de Araujo",$B:$B,"&lt;&gt;Lucas Luiz Romero")*(23/1083),IF(C2063="JR",SUMIFS($D:$D,$A:$A,$A2063,$B:$B,"&lt;&gt;Patrícia Karla de Sousa Araújo",$B:$B,"&lt;&gt;Lorena Dias de Araujo",$B:$B,"&lt;&gt;Lucas Luiz Romero")*(20/1083),IF(C2063="Estágio",SUMIFS($D:$D,$A:$A,$A2063,$B:$B,"&lt;&gt;Patrícia Karla de Sousa Araújo",$B:$B,"&lt;&gt;Lorena Dias de Araujo",$B:$B,"&lt;&gt;Lucas Luiz Romero")*(10/1083),0)))))),0)</f>
        <v/>
      </c>
      <c r="K2063" s="3">
        <f>I2063-J2063</f>
        <v/>
      </c>
      <c r="L2063" s="3">
        <f>IF(K2063&lt;-5,"CRÍTICO",IF(K2063&lt;0,"ATENÇÃO",IF(K2063&lt;=5,"BOM","EXCELENTE")))</f>
        <v/>
      </c>
      <c r="M2063" t="n">
        <v>2</v>
      </c>
      <c r="N2063" t="n">
        <v>78.95</v>
      </c>
      <c r="O2063" t="n">
        <v>38.98305084745763</v>
      </c>
    </row>
    <row r="2064" hidden="1">
      <c r="A2064" s="11" t="n">
        <v>46065</v>
      </c>
      <c r="B2064" t="inlineStr">
        <is>
          <t>Emilly Kamilly Medeiros Miranda</t>
        </is>
      </c>
      <c r="C2064" t="inlineStr">
        <is>
          <t>Técnico II</t>
        </is>
      </c>
      <c r="D2064" t="n">
        <v>22</v>
      </c>
      <c r="E2064" t="n">
        <v>20</v>
      </c>
      <c r="F2064" t="n">
        <v>27.35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t="n">
        <v>17</v>
      </c>
      <c r="N2064" t="n">
        <v>98.45</v>
      </c>
      <c r="O2064" t="n">
        <v>29.2817679558011</v>
      </c>
    </row>
    <row r="2065" hidden="1">
      <c r="A2065" s="11" t="n">
        <v>46065</v>
      </c>
      <c r="B2065" t="inlineStr">
        <is>
          <t>Francielson de Oliveira</t>
        </is>
      </c>
      <c r="C2065" t="inlineStr">
        <is>
          <t>Técnico III</t>
        </is>
      </c>
      <c r="D2065" t="n">
        <v>29</v>
      </c>
      <c r="E2065" t="n">
        <v>29</v>
      </c>
      <c r="F2065" t="n">
        <v>20.22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t="n">
        <v>29</v>
      </c>
      <c r="N2065" t="n">
        <v>97.84</v>
      </c>
      <c r="O2065" t="n">
        <v>26.28205128205128</v>
      </c>
    </row>
    <row r="2066" hidden="1">
      <c r="A2066" s="11" t="n">
        <v>46065</v>
      </c>
      <c r="B2066" t="inlineStr">
        <is>
          <t>Francilene Ferreira de Jesus</t>
        </is>
      </c>
      <c r="C2066" t="inlineStr">
        <is>
          <t>Técnico II</t>
        </is>
      </c>
      <c r="D2066" t="n">
        <v>29</v>
      </c>
      <c r="E2066" t="n">
        <v>29</v>
      </c>
      <c r="F2066" t="n">
        <v>22.35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t="n">
        <v>29</v>
      </c>
      <c r="N2066" t="n">
        <v>98.5</v>
      </c>
      <c r="O2066" t="n">
        <v>23.97769516728625</v>
      </c>
    </row>
    <row r="2067" hidden="1">
      <c r="A2067" s="11" t="n">
        <v>46099</v>
      </c>
      <c r="B2067" t="inlineStr">
        <is>
          <t>Gabriel Gomes de Andrade</t>
        </is>
      </c>
      <c r="C2067" t="inlineStr">
        <is>
          <t>Técnico I</t>
        </is>
      </c>
      <c r="D2067" t="n">
        <v>25</v>
      </c>
      <c r="E2067" t="n">
        <v>25</v>
      </c>
      <c r="F2067" t="n">
        <v>19.19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t="n">
        <v>24</v>
      </c>
      <c r="N2067" t="n">
        <v>99.05</v>
      </c>
      <c r="O2067" t="n">
        <v>26.62192393736018</v>
      </c>
    </row>
    <row r="2068" hidden="1">
      <c r="A2068" s="11" t="n">
        <v>46065</v>
      </c>
      <c r="B2068" t="inlineStr">
        <is>
          <t>Isabella Borges de Oliveira</t>
        </is>
      </c>
      <c r="C2068" t="inlineStr">
        <is>
          <t>Técnico II</t>
        </is>
      </c>
      <c r="D2068" t="n">
        <v>35</v>
      </c>
      <c r="E2068" t="n">
        <v>33</v>
      </c>
      <c r="F2068" t="n">
        <v>20.43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M2068" t="n">
        <v>29</v>
      </c>
      <c r="N2068" t="n">
        <v>98.53</v>
      </c>
      <c r="O2068" t="n">
        <v>31.57894736842105</v>
      </c>
    </row>
    <row r="2069" hidden="1">
      <c r="A2069" s="11" t="n">
        <v>46065</v>
      </c>
      <c r="B2069" t="inlineStr">
        <is>
          <t>Janaina Lima dos Reis Urany</t>
        </is>
      </c>
      <c r="C2069" t="inlineStr">
        <is>
          <t>Técnico III</t>
        </is>
      </c>
      <c r="D2069" t="n">
        <v>44</v>
      </c>
      <c r="E2069" t="n">
        <v>37</v>
      </c>
      <c r="F2069" t="n">
        <v>15.28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t="n">
        <v>37</v>
      </c>
      <c r="N2069" t="n">
        <v>100</v>
      </c>
      <c r="O2069" t="n">
        <v>25.72214580467676</v>
      </c>
    </row>
    <row r="2070" hidden="1">
      <c r="A2070" s="11" t="n">
        <v>46065</v>
      </c>
      <c r="B2070" t="inlineStr">
        <is>
          <t>Jaqueline Evangelista da Silva Martins</t>
        </is>
      </c>
      <c r="C2070" t="inlineStr">
        <is>
          <t>Técnico III</t>
        </is>
      </c>
      <c r="D2070" t="n">
        <v>21</v>
      </c>
      <c r="E2070" t="n">
        <v>20</v>
      </c>
      <c r="F2070" t="n">
        <v>13.29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M2070" t="n">
        <v>17</v>
      </c>
      <c r="N2070" t="n">
        <v>94.64</v>
      </c>
      <c r="O2070" t="n">
        <v>27.52941176470588</v>
      </c>
    </row>
    <row r="2071" hidden="1">
      <c r="A2071" s="11" t="n">
        <v>46065</v>
      </c>
      <c r="B2071" t="inlineStr">
        <is>
          <t>Jessica Faria da Silveira</t>
        </is>
      </c>
      <c r="C2071" t="inlineStr">
        <is>
          <t>Técnico II</t>
        </is>
      </c>
      <c r="D2071" t="n">
        <v>19</v>
      </c>
      <c r="E2071" t="n">
        <v>17</v>
      </c>
      <c r="F2071" t="n">
        <v>30.31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t="n">
        <v>16</v>
      </c>
      <c r="N2071" t="n">
        <v>99.06999999999999</v>
      </c>
      <c r="O2071" t="n">
        <v>26.3768115942029</v>
      </c>
    </row>
    <row r="2072" hidden="1">
      <c r="A2072" s="11" t="n">
        <v>46065</v>
      </c>
      <c r="B2072" t="inlineStr">
        <is>
          <t>Jéssica Fé Moura</t>
        </is>
      </c>
      <c r="C2072" t="inlineStr">
        <is>
          <t>Técnico III</t>
        </is>
      </c>
      <c r="D2072" t="n">
        <v>0</v>
      </c>
      <c r="E2072" t="n">
        <v>0</v>
      </c>
      <c r="F2072" t="n">
        <v>0</v>
      </c>
      <c r="G2072" t="n">
        <v>0</v>
      </c>
      <c r="H2072" t="n">
        <v>0</v>
      </c>
      <c r="I2072" s="3" t="n">
        <v>0</v>
      </c>
      <c r="J2072" s="3" t="n">
        <v>0</v>
      </c>
      <c r="K2072" s="3" t="n">
        <v>0</v>
      </c>
      <c r="L2072" s="3">
        <f>IF(K2072&lt;-5,"CRÍTICO",IF(K2072&lt;0,"ATENÇÃO",IF(K2072&lt;=5,"BOM","EXCELENTE")))</f>
        <v/>
      </c>
      <c r="M2072" t="n">
        <v>0</v>
      </c>
      <c r="N2072" t="n">
        <v>100</v>
      </c>
      <c r="O2072" t="n">
        <v>0</v>
      </c>
    </row>
    <row r="2073" hidden="1">
      <c r="A2073" s="11" t="n">
        <v>46065</v>
      </c>
      <c r="B2073" t="inlineStr">
        <is>
          <t>Karina Gonçalves Martins</t>
        </is>
      </c>
      <c r="C2073" t="inlineStr">
        <is>
          <t>JR</t>
        </is>
      </c>
      <c r="D2073" t="n">
        <v>8</v>
      </c>
      <c r="E2073" t="n">
        <v>7</v>
      </c>
      <c r="F2073" t="n">
        <v>32.06</v>
      </c>
      <c r="G2073" t="n">
        <v>0</v>
      </c>
      <c r="H2073" t="n">
        <v>0</v>
      </c>
      <c r="I2073" s="3">
        <f>E2073+G2073+H2073</f>
        <v/>
      </c>
      <c r="J2073" s="3">
        <f>ROUND(MIN(IF(C2073="Técnico III",35,IF(C2073="Técnico II",28,IF(C2073="Técnico I",23,IF(C2073="JR",20,IF(C2073="Estágio",10,0))))),IF(C2073="Técnico III",SUMIFS($D:$D,$A:$A,$A2073,$B:$B,"&lt;&gt;Patrícia Karla de Sousa Araújo",$B:$B,"&lt;&gt;Lorena Dias de Araujo",$B:$B,"&lt;&gt;Lucas Luiz Romero")*(35/1083),IF(C2073="Técnico II",SUMIFS($D:$D,$A:$A,$A2073,$B:$B,"&lt;&gt;Patrícia Karla de Sousa Araújo",$B:$B,"&lt;&gt;Lorena Dias de Araujo",$B:$B,"&lt;&gt;Lucas Luiz Romero")*(28/1083),IF(C2073="Técnico I",SUMIFS($D:$D,$A:$A,$A2073,$B:$B,"&lt;&gt;Patrícia Karla de Sousa Araújo",$B:$B,"&lt;&gt;Lorena Dias de Araujo",$B:$B,"&lt;&gt;Lucas Luiz Romero")*(23/1083),IF(C2073="JR",SUMIFS($D:$D,$A:$A,$A2073,$B:$B,"&lt;&gt;Patrícia Karla de Sousa Araújo",$B:$B,"&lt;&gt;Lorena Dias de Araujo",$B:$B,"&lt;&gt;Lucas Luiz Romero")*(20/1083),IF(C2073="Estágio",SUMIFS($D:$D,$A:$A,$A2073,$B:$B,"&lt;&gt;Patrícia Karla de Sousa Araújo",$B:$B,"&lt;&gt;Lorena Dias de Araujo",$B:$B,"&lt;&gt;Lucas Luiz Romero")*(10/1083),0)))))),0)</f>
        <v/>
      </c>
      <c r="K2073" s="3">
        <f>I2073-J2073</f>
        <v/>
      </c>
      <c r="L2073" s="3">
        <f>IF(K2073&lt;-5,"CRÍTICO",IF(K2073&lt;0,"ATENÇÃO",IF(K2073&lt;=5,"BOM","EXCELENTE")))</f>
        <v/>
      </c>
      <c r="M2073" t="n">
        <v>7</v>
      </c>
      <c r="N2073" t="n">
        <v>98.48</v>
      </c>
      <c r="O2073" t="n">
        <v>27.85388127853881</v>
      </c>
    </row>
    <row r="2074" hidden="1">
      <c r="A2074" s="11" t="n">
        <v>46065</v>
      </c>
      <c r="B2074" t="inlineStr">
        <is>
          <t>Kerollen Cristielly de Jesus Siqueira</t>
        </is>
      </c>
      <c r="C2074" t="inlineStr">
        <is>
          <t>Técnico III</t>
        </is>
      </c>
      <c r="D2074" t="n">
        <v>11</v>
      </c>
      <c r="E2074" t="n">
        <v>9</v>
      </c>
      <c r="F2074" t="n">
        <v>15.24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t="n">
        <v>21</v>
      </c>
      <c r="N2074" t="n">
        <v>95.15000000000001</v>
      </c>
      <c r="O2074" t="n">
        <v>34.13173652694611</v>
      </c>
    </row>
    <row r="2075" hidden="1">
      <c r="A2075" s="11" t="n">
        <v>46065</v>
      </c>
      <c r="B2075" t="inlineStr">
        <is>
          <t>Leandro de Souza Silva</t>
        </is>
      </c>
      <c r="C2075" t="inlineStr">
        <is>
          <t>JR</t>
        </is>
      </c>
      <c r="D2075" t="n">
        <v>0</v>
      </c>
      <c r="E2075" t="n">
        <v>0</v>
      </c>
      <c r="F2075" t="n">
        <v>0</v>
      </c>
      <c r="G2075" t="n">
        <v>0</v>
      </c>
      <c r="H2075" t="n">
        <v>0</v>
      </c>
      <c r="I2075" s="3" t="n">
        <v>0</v>
      </c>
      <c r="J2075" s="3" t="n">
        <v>0</v>
      </c>
      <c r="K2075" s="3" t="n">
        <v>0</v>
      </c>
      <c r="L2075" s="3">
        <f>IF(K2075&lt;-5,"CRÍTICO",IF(K2075&lt;0,"ATENÇÃO",IF(K2075&lt;=5,"BOM","EXCELENTE")))</f>
        <v/>
      </c>
      <c r="M2075" t="n">
        <v>0</v>
      </c>
      <c r="N2075" t="n">
        <v>0</v>
      </c>
      <c r="O2075" t="n">
        <v>0</v>
      </c>
    </row>
    <row r="2076" hidden="1">
      <c r="A2076" s="11" t="n">
        <v>46065</v>
      </c>
      <c r="B2076" t="inlineStr">
        <is>
          <t>Leandro Oliveira de Sousa</t>
        </is>
      </c>
      <c r="C2076" t="inlineStr">
        <is>
          <t>Técnico III</t>
        </is>
      </c>
      <c r="D2076" t="n">
        <v>29</v>
      </c>
      <c r="E2076" t="n">
        <v>29</v>
      </c>
      <c r="F2076" t="n">
        <v>19.17</v>
      </c>
      <c r="G2076" t="n">
        <v>0</v>
      </c>
      <c r="H2076" t="n">
        <v>0</v>
      </c>
      <c r="I2076" s="3">
        <f>E2076+G2076+H2076</f>
        <v/>
      </c>
      <c r="J2076" s="3">
        <f>ROUND(MIN(IF(C2076="Técnico III",35,IF(C2076="Técnico II",28,IF(C2076="Técnico I",23,IF(C2076="JR",20,IF(C2076="Estágio",10,0))))),IF(C2076="Técnico III",SUMIFS($D:$D,$A:$A,$A2076,$B:$B,"&lt;&gt;Patrícia Karla de Sousa Araújo",$B:$B,"&lt;&gt;Lorena Dias de Araujo",$B:$B,"&lt;&gt;Lucas Luiz Romero")*(35/1083),IF(C2076="Técnico II",SUMIFS($D:$D,$A:$A,$A2076,$B:$B,"&lt;&gt;Patrícia Karla de Sousa Araújo",$B:$B,"&lt;&gt;Lorena Dias de Araujo",$B:$B,"&lt;&gt;Lucas Luiz Romero")*(28/1083),IF(C2076="Técnico I",SUMIFS($D:$D,$A:$A,$A2076,$B:$B,"&lt;&gt;Patrícia Karla de Sousa Araújo",$B:$B,"&lt;&gt;Lorena Dias de Araujo",$B:$B,"&lt;&gt;Lucas Luiz Romero")*(23/1083),IF(C2076="JR",SUMIFS($D:$D,$A:$A,$A2076,$B:$B,"&lt;&gt;Patrícia Karla de Sousa Araújo",$B:$B,"&lt;&gt;Lorena Dias de Araujo",$B:$B,"&lt;&gt;Lucas Luiz Romero")*(20/1083),IF(C2076="Estágio",SUMIFS($D:$D,$A:$A,$A2076,$B:$B,"&lt;&gt;Patrícia Karla de Sousa Araújo",$B:$B,"&lt;&gt;Lorena Dias de Araujo",$B:$B,"&lt;&gt;Lucas Luiz Romero")*(10/1083),0)))))),0)</f>
        <v/>
      </c>
      <c r="K2076" s="3">
        <f>I2076-J2076</f>
        <v/>
      </c>
      <c r="L2076" s="3">
        <f>IF(K2076&lt;-5,"CRÍTICO",IF(K2076&lt;0,"ATENÇÃO",IF(K2076&lt;=5,"BOM","EXCELENTE")))</f>
        <v/>
      </c>
      <c r="M2076" t="n">
        <v>26</v>
      </c>
      <c r="N2076" t="n">
        <v>99.26000000000001</v>
      </c>
      <c r="O2076" t="n">
        <v>30.84832904884319</v>
      </c>
    </row>
    <row r="2077" hidden="1">
      <c r="A2077" s="11" t="n">
        <v>46065</v>
      </c>
      <c r="B2077" t="inlineStr">
        <is>
          <t>Lizandra Gomes Duarte</t>
        </is>
      </c>
      <c r="C2077" t="inlineStr">
        <is>
          <t>Técnico II</t>
        </is>
      </c>
      <c r="D2077" t="n">
        <v>41</v>
      </c>
      <c r="E2077" t="n">
        <v>36</v>
      </c>
      <c r="F2077" t="n">
        <v>18.57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M2077" t="n">
        <v>23</v>
      </c>
      <c r="N2077" t="n">
        <v>97.48</v>
      </c>
      <c r="O2077" t="n">
        <v>27.76470588235294</v>
      </c>
    </row>
    <row r="2078" hidden="1">
      <c r="A2078" s="11" t="n">
        <v>46065</v>
      </c>
      <c r="B2078" t="inlineStr">
        <is>
          <t>Lorena Dias de Araujo</t>
        </is>
      </c>
      <c r="C2078" t="inlineStr">
        <is>
          <t>Técnico II</t>
        </is>
      </c>
      <c r="D2078" t="n">
        <v>25</v>
      </c>
      <c r="E2078" t="n">
        <v>23</v>
      </c>
      <c r="F2078" t="n">
        <v>20.41</v>
      </c>
      <c r="G2078" t="n">
        <v>0</v>
      </c>
      <c r="H2078" t="n">
        <v>0</v>
      </c>
      <c r="I2078" s="3" t="n">
        <v>0</v>
      </c>
      <c r="J2078" s="3" t="n">
        <v>0</v>
      </c>
      <c r="K2078" s="3" t="n">
        <v>0</v>
      </c>
      <c r="L2078" s="3">
        <f>IF(K2078&lt;-5,"CRÍTICO",IF(K2078&lt;0,"ATENÇÃO",IF(K2078&lt;=5,"BOM","EXCELENTE")))</f>
        <v/>
      </c>
      <c r="M2078" t="n">
        <v>19</v>
      </c>
      <c r="N2078" t="n">
        <v>99.34</v>
      </c>
      <c r="O2078" t="n">
        <v>30.04291845493562</v>
      </c>
    </row>
    <row r="2079" hidden="1">
      <c r="A2079" s="11" t="n">
        <v>46065</v>
      </c>
      <c r="B2079" t="inlineStr">
        <is>
          <t>Lucas Luiz Romero</t>
        </is>
      </c>
      <c r="C2079" t="inlineStr">
        <is>
          <t>Técnico III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M2079" t="n">
        <v>0</v>
      </c>
      <c r="N2079" t="n">
        <v>96.3</v>
      </c>
      <c r="O2079" t="n">
        <v>24.29378531073446</v>
      </c>
    </row>
    <row r="2080" hidden="1">
      <c r="A2080" s="11" t="n">
        <v>46065</v>
      </c>
      <c r="B2080" t="inlineStr">
        <is>
          <t>Luiz Fernando de Carvalho Junior</t>
        </is>
      </c>
      <c r="C2080" t="inlineStr">
        <is>
          <t>Técnico I</t>
        </is>
      </c>
      <c r="D2080" t="n">
        <v>29</v>
      </c>
      <c r="E2080" t="n">
        <v>28</v>
      </c>
      <c r="F2080" t="n">
        <v>23.4</v>
      </c>
      <c r="G2080" t="n">
        <v>0</v>
      </c>
      <c r="H2080" t="n">
        <v>0</v>
      </c>
      <c r="I2080" s="3">
        <f>E2080+G2080+H2080</f>
        <v/>
      </c>
      <c r="J2080" s="3">
        <f>ROUND(MIN(IF(C2080="Técnico III",35,IF(C2080="Técnico II",28,IF(C2080="Técnico I",23,IF(C2080="JR",20,IF(C2080="Estágio",10,0))))),IF(C2080="Técnico III",SUMIFS($D:$D,$A:$A,$A2080,$B:$B,"&lt;&gt;Patrícia Karla de Sousa Araújo",$B:$B,"&lt;&gt;Lorena Dias de Araujo",$B:$B,"&lt;&gt;Lucas Luiz Romero")*(35/1083),IF(C2080="Técnico II",SUMIFS($D:$D,$A:$A,$A2080,$B:$B,"&lt;&gt;Patrícia Karla de Sousa Araújo",$B:$B,"&lt;&gt;Lorena Dias de Araujo",$B:$B,"&lt;&gt;Lucas Luiz Romero")*(28/1083),IF(C2080="Técnico I",SUMIFS($D:$D,$A:$A,$A2080,$B:$B,"&lt;&gt;Patrícia Karla de Sousa Araújo",$B:$B,"&lt;&gt;Lorena Dias de Araujo",$B:$B,"&lt;&gt;Lucas Luiz Romero")*(23/1083),IF(C2080="JR",SUMIFS($D:$D,$A:$A,$A2080,$B:$B,"&lt;&gt;Patrícia Karla de Sousa Araújo",$B:$B,"&lt;&gt;Lorena Dias de Araujo",$B:$B,"&lt;&gt;Lucas Luiz Romero")*(20/1083),IF(C2080="Estágio",SUMIFS($D:$D,$A:$A,$A2080,$B:$B,"&lt;&gt;Patrícia Karla de Sousa Araújo",$B:$B,"&lt;&gt;Lorena Dias de Araujo",$B:$B,"&lt;&gt;Lucas Luiz Romero")*(10/1083),0)))))),0)</f>
        <v/>
      </c>
      <c r="K2080" s="3">
        <f>I2080-J2080</f>
        <v/>
      </c>
      <c r="L2080" s="3">
        <f>IF(K2080&lt;-5,"CRÍTICO",IF(K2080&lt;0,"ATENÇÃO",IF(K2080&lt;=5,"BOM","EXCELENTE")))</f>
        <v/>
      </c>
      <c r="M2080" t="n">
        <v>23</v>
      </c>
      <c r="N2080" t="n">
        <v>100</v>
      </c>
      <c r="O2080" t="n">
        <v>26.54320987654321</v>
      </c>
    </row>
    <row r="2081" hidden="1">
      <c r="A2081" s="11" t="n">
        <v>46065</v>
      </c>
      <c r="B2081" t="inlineStr">
        <is>
          <t>Maria Eduarda Sousa Costa</t>
        </is>
      </c>
      <c r="C2081" t="inlineStr">
        <is>
          <t>Estágio</t>
        </is>
      </c>
      <c r="D2081" t="n">
        <v>37</v>
      </c>
      <c r="E2081" t="n">
        <v>16</v>
      </c>
      <c r="F2081" t="n">
        <v>8.289999999999999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t="n">
        <v>1</v>
      </c>
      <c r="N2081" t="n">
        <v>100</v>
      </c>
      <c r="O2081" t="n">
        <v>35.48387096774194</v>
      </c>
    </row>
    <row r="2082" hidden="1">
      <c r="A2082" s="11" t="n">
        <v>46065</v>
      </c>
      <c r="B2082" t="inlineStr">
        <is>
          <t>Matheus Farias De Souza</t>
        </is>
      </c>
      <c r="C2082" t="inlineStr">
        <is>
          <t>Técnico III</t>
        </is>
      </c>
      <c r="D2082" t="n">
        <v>37</v>
      </c>
      <c r="E2082" t="n">
        <v>34</v>
      </c>
      <c r="F2082" t="n">
        <v>15.47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t="n">
        <v>31</v>
      </c>
      <c r="N2082" t="n">
        <v>99.27</v>
      </c>
      <c r="O2082" t="n">
        <v>31.16370808678501</v>
      </c>
    </row>
    <row r="2083" hidden="1">
      <c r="A2083" s="11" t="n">
        <v>46065</v>
      </c>
      <c r="B2083" t="inlineStr">
        <is>
          <t>Maysa Victoria Dias Moura</t>
        </is>
      </c>
      <c r="C2083" t="inlineStr">
        <is>
          <t>Técnico III</t>
        </is>
      </c>
      <c r="D2083" t="n">
        <v>18</v>
      </c>
      <c r="E2083" t="n">
        <v>17</v>
      </c>
      <c r="F2083" t="n">
        <v>20.59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M2083" t="n">
        <v>16</v>
      </c>
      <c r="N2083" t="n">
        <v>94.16</v>
      </c>
      <c r="O2083" t="n">
        <v>27.03862660944206</v>
      </c>
    </row>
    <row r="2084" hidden="1">
      <c r="A2084" s="11" t="n">
        <v>46065</v>
      </c>
      <c r="B2084" t="inlineStr">
        <is>
          <t>Michelle G Santos</t>
        </is>
      </c>
      <c r="C2084" t="inlineStr">
        <is>
          <t>Estágio</t>
        </is>
      </c>
      <c r="D2084" t="n">
        <v>14</v>
      </c>
      <c r="E2084" t="n">
        <v>13</v>
      </c>
      <c r="F2084" t="n">
        <v>57.03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M2084" t="n">
        <v>4</v>
      </c>
      <c r="N2084" t="n">
        <v>93.75</v>
      </c>
      <c r="O2084" t="n">
        <v>19.31818181818182</v>
      </c>
    </row>
    <row r="2085" hidden="1">
      <c r="A2085" s="11" t="n">
        <v>46065</v>
      </c>
      <c r="B2085" t="inlineStr">
        <is>
          <t>Milena Sales</t>
        </is>
      </c>
      <c r="C2085" t="inlineStr">
        <is>
          <t>JR</t>
        </is>
      </c>
      <c r="D2085" t="n">
        <v>0</v>
      </c>
      <c r="E2085" t="n">
        <v>0</v>
      </c>
      <c r="F2085" t="n">
        <v>0</v>
      </c>
      <c r="G2085" t="n">
        <v>0</v>
      </c>
      <c r="H2085" t="n">
        <v>0</v>
      </c>
      <c r="I2085" s="3" t="n">
        <v>0</v>
      </c>
      <c r="J2085" s="3" t="n">
        <v>0</v>
      </c>
      <c r="K2085" s="3" t="n">
        <v>0</v>
      </c>
      <c r="L2085" s="3">
        <f>IF(K2085&lt;-5,"CRÍTICO",IF(K2085&lt;0,"ATENÇÃO",IF(K2085&lt;=5,"BOM","EXCELENTE")))</f>
        <v/>
      </c>
      <c r="M2085" t="n">
        <v>0</v>
      </c>
      <c r="N2085" t="n">
        <v>0</v>
      </c>
      <c r="O2085" t="n">
        <v>0</v>
      </c>
    </row>
    <row r="2086" hidden="1">
      <c r="A2086" s="11" t="n">
        <v>46065</v>
      </c>
      <c r="B2086" t="inlineStr">
        <is>
          <t>Patrícia Karla de Sousa Araújo</t>
        </is>
      </c>
      <c r="C2086" t="inlineStr">
        <is>
          <t>Técnico II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t="n">
        <v>0</v>
      </c>
      <c r="N2086" t="n">
        <v>97.92</v>
      </c>
      <c r="O2086" t="n">
        <v>32.87671232876712</v>
      </c>
    </row>
    <row r="2087" hidden="1">
      <c r="A2087" s="11" t="n">
        <v>46065</v>
      </c>
      <c r="B2087" t="inlineStr">
        <is>
          <t>Paulo Ricardo Santos</t>
        </is>
      </c>
      <c r="C2087" t="inlineStr">
        <is>
          <t>JR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t="n">
        <v>0</v>
      </c>
      <c r="N2087" t="n">
        <v>0</v>
      </c>
      <c r="O2087" t="n">
        <v>0</v>
      </c>
    </row>
    <row r="2088" hidden="1">
      <c r="A2088" s="11" t="n">
        <v>46065</v>
      </c>
      <c r="B2088" t="inlineStr">
        <is>
          <t>Pedro Luiz Mota Sousa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M2088" t="n">
        <v>0</v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Quirino Diogo Leite Torres</t>
        </is>
      </c>
      <c r="C2089" t="inlineStr">
        <is>
          <t>Estágio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M2089" t="n">
        <v>0</v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Raane Batista Matos</t>
        </is>
      </c>
      <c r="C2090" t="inlineStr">
        <is>
          <t>Técnico I</t>
        </is>
      </c>
      <c r="D2090" t="n">
        <v>27</v>
      </c>
      <c r="E2090" t="n">
        <v>24</v>
      </c>
      <c r="F2090" t="n">
        <v>19.01</v>
      </c>
      <c r="G2090" t="n">
        <v>0</v>
      </c>
      <c r="H2090" t="n">
        <v>0</v>
      </c>
      <c r="I2090" s="3">
        <f>E2090+G2090+H2090</f>
        <v/>
      </c>
      <c r="J2090" s="3">
        <f>ROUND(MIN(IF(C2090="Técnico III",35,IF(C2090="Técnico II",28,IF(C2090="Técnico I",23,IF(C2090="JR",20,IF(C2090="Estágio",10,0))))),IF(C2090="Técnico III",SUMIFS($D:$D,$A:$A,$A2090,$B:$B,"&lt;&gt;Patrícia Karla de Sousa Araújo",$B:$B,"&lt;&gt;Lorena Dias de Araujo",$B:$B,"&lt;&gt;Lucas Luiz Romero")*(35/1083),IF(C2090="Técnico II",SUMIFS($D:$D,$A:$A,$A2090,$B:$B,"&lt;&gt;Patrícia Karla de Sousa Araújo",$B:$B,"&lt;&gt;Lorena Dias de Araujo",$B:$B,"&lt;&gt;Lucas Luiz Romero")*(28/1083),IF(C2090="Técnico I",SUMIFS($D:$D,$A:$A,$A2090,$B:$B,"&lt;&gt;Patrícia Karla de Sousa Araújo",$B:$B,"&lt;&gt;Lorena Dias de Araujo",$B:$B,"&lt;&gt;Lucas Luiz Romero")*(23/1083),IF(C2090="JR",SUMIFS($D:$D,$A:$A,$A2090,$B:$B,"&lt;&gt;Patrícia Karla de Sousa Araújo",$B:$B,"&lt;&gt;Lorena Dias de Araujo",$B:$B,"&lt;&gt;Lucas Luiz Romero")*(20/1083),IF(C2090="Estágio",SUMIFS($D:$D,$A:$A,$A2090,$B:$B,"&lt;&gt;Patrícia Karla de Sousa Araújo",$B:$B,"&lt;&gt;Lorena Dias de Araujo",$B:$B,"&lt;&gt;Lucas Luiz Romero")*(10/1083),0)))))),0)</f>
        <v/>
      </c>
      <c r="K2090" s="3">
        <f>I2090-J2090</f>
        <v/>
      </c>
      <c r="L2090" s="3">
        <f>IF(K2090&lt;-5,"CRÍTICO",IF(K2090&lt;0,"ATENÇÃO",IF(K2090&lt;=5,"BOM","EXCELENTE")))</f>
        <v/>
      </c>
      <c r="M2090" t="n">
        <v>20</v>
      </c>
      <c r="N2090" t="n">
        <v>98.51000000000001</v>
      </c>
      <c r="O2090" t="n">
        <v>29.71014492753623</v>
      </c>
    </row>
    <row r="2091" hidden="1">
      <c r="A2091" s="11" t="n">
        <v>46065</v>
      </c>
      <c r="B2091" t="inlineStr">
        <is>
          <t>Rafael Gomes de Morais</t>
        </is>
      </c>
      <c r="C2091" t="inlineStr">
        <is>
          <t>Técnico III</t>
        </is>
      </c>
      <c r="D2091" t="n">
        <v>54</v>
      </c>
      <c r="E2091" t="n">
        <v>46</v>
      </c>
      <c r="F2091" t="n">
        <v>13.36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t="n">
        <v>43</v>
      </c>
      <c r="N2091" t="n">
        <v>98.81</v>
      </c>
      <c r="O2091" t="n">
        <v>30.71297989031079</v>
      </c>
    </row>
    <row r="2092" hidden="1">
      <c r="A2092" s="11" t="n">
        <v>46065</v>
      </c>
      <c r="B2092" t="inlineStr">
        <is>
          <t>Sara Maria Monteiro Lopes</t>
        </is>
      </c>
      <c r="C2092" t="inlineStr">
        <is>
          <t>Técnico I</t>
        </is>
      </c>
      <c r="D2092" t="n">
        <v>11</v>
      </c>
      <c r="E2092" t="n">
        <v>11</v>
      </c>
      <c r="F2092" t="n">
        <v>62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t="n">
        <v>7</v>
      </c>
      <c r="N2092" t="n">
        <v>98.48</v>
      </c>
      <c r="O2092" t="n">
        <v>29.35323383084577</v>
      </c>
    </row>
    <row r="2093" hidden="1">
      <c r="A2093" s="11" t="n">
        <v>46065</v>
      </c>
      <c r="B2093" t="inlineStr">
        <is>
          <t>Sarah Steffanie de Lima Borges</t>
        </is>
      </c>
      <c r="C2093" t="inlineStr">
        <is>
          <t>Técnico III</t>
        </is>
      </c>
      <c r="D2093" t="n">
        <v>29</v>
      </c>
      <c r="E2093" t="n">
        <v>29</v>
      </c>
      <c r="F2093" t="n">
        <v>25.29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M2093" t="n">
        <v>26</v>
      </c>
      <c r="N2093" t="n">
        <v>98.56</v>
      </c>
      <c r="O2093" t="n">
        <v>29.37365010799136</v>
      </c>
    </row>
    <row r="2094" hidden="1">
      <c r="A2094" s="11" t="n">
        <v>46066</v>
      </c>
      <c r="B2094" t="inlineStr">
        <is>
          <t>Alisson de Freitas Silva</t>
        </is>
      </c>
      <c r="C2094" t="inlineStr">
        <is>
          <t>Técnico II</t>
        </is>
      </c>
      <c r="D2094" t="n">
        <v>35</v>
      </c>
      <c r="E2094" t="n">
        <v>31</v>
      </c>
      <c r="F2094" t="n">
        <v>20.24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t="n">
        <v>27</v>
      </c>
      <c r="N2094" t="n">
        <v>98.31999999999999</v>
      </c>
      <c r="O2094" t="n">
        <v>30.3030303030303</v>
      </c>
    </row>
    <row r="2095" hidden="1">
      <c r="A2095" s="11" t="n">
        <v>46066</v>
      </c>
      <c r="B2095" t="inlineStr">
        <is>
          <t>Amanda Moura Ferreira</t>
        </is>
      </c>
      <c r="C2095" t="inlineStr">
        <is>
          <t>Técnico III</t>
        </is>
      </c>
      <c r="D2095" t="n">
        <v>0</v>
      </c>
      <c r="E2095" t="n">
        <v>0</v>
      </c>
      <c r="F2095" t="n">
        <v>0</v>
      </c>
      <c r="G2095" t="n">
        <v>0</v>
      </c>
      <c r="H2095" t="n">
        <v>0</v>
      </c>
      <c r="I2095" s="3" t="n">
        <v>0</v>
      </c>
      <c r="J2095" s="3" t="n">
        <v>0</v>
      </c>
      <c r="K2095" s="3" t="n">
        <v>0</v>
      </c>
      <c r="L2095" s="3">
        <f>IF(K2095&lt;-5,"CRÍTICO",IF(K2095&lt;0,"ATENÇÃO",IF(K2095&lt;=5,"BOM","EXCELENTE")))</f>
        <v/>
      </c>
      <c r="M2095" t="n">
        <v>28</v>
      </c>
      <c r="N2095" t="n">
        <v>98.68000000000001</v>
      </c>
      <c r="O2095" t="n">
        <v>26.21951219512195</v>
      </c>
    </row>
    <row r="2096" hidden="1">
      <c r="A2096" s="11" t="n">
        <v>46066</v>
      </c>
      <c r="B2096" t="inlineStr">
        <is>
          <t>Ana Karollyne Souza Faria</t>
        </is>
      </c>
      <c r="C2096" t="inlineStr">
        <is>
          <t>Técnico I</t>
        </is>
      </c>
      <c r="D2096" t="n">
        <v>18</v>
      </c>
      <c r="E2096" t="n">
        <v>16</v>
      </c>
      <c r="F2096" t="n">
        <v>28.58</v>
      </c>
      <c r="G2096" t="n">
        <v>0</v>
      </c>
      <c r="H2096" t="n">
        <v>0</v>
      </c>
      <c r="I2096" s="3">
        <f>E2096+G2096+H2096</f>
        <v/>
      </c>
      <c r="J2096" s="3">
        <f>ROUND(MIN(IF(C2096="Técnico III",35,IF(C2096="Técnico II",28,IF(C2096="Técnico I",23,IF(C2096="JR",20,IF(C2096="Estágio",10,0))))),IF(C2096="Técnico III",SUMIFS($D:$D,$A:$A,$A2096,$B:$B,"&lt;&gt;Patrícia Karla de Sousa Araújo",$B:$B,"&lt;&gt;Lorena Dias de Araujo",$B:$B,"&lt;&gt;Lucas Luiz Romero")*(35/1083),IF(C2096="Técnico II",SUMIFS($D:$D,$A:$A,$A2096,$B:$B,"&lt;&gt;Patrícia Karla de Sousa Araújo",$B:$B,"&lt;&gt;Lorena Dias de Araujo",$B:$B,"&lt;&gt;Lucas Luiz Romero")*(28/1083),IF(C2096="Técnico I",SUMIFS($D:$D,$A:$A,$A2096,$B:$B,"&lt;&gt;Patrícia Karla de Sousa Araújo",$B:$B,"&lt;&gt;Lorena Dias de Araujo",$B:$B,"&lt;&gt;Lucas Luiz Romero")*(23/1083),IF(C2096="JR",SUMIFS($D:$D,$A:$A,$A2096,$B:$B,"&lt;&gt;Patrícia Karla de Sousa Araújo",$B:$B,"&lt;&gt;Lorena Dias de Araujo",$B:$B,"&lt;&gt;Lucas Luiz Romero")*(20/1083),IF(C2096="Estágio",SUMIFS($D:$D,$A:$A,$A2096,$B:$B,"&lt;&gt;Patrícia Karla de Sousa Araújo",$B:$B,"&lt;&gt;Lorena Dias de Araujo",$B:$B,"&lt;&gt;Lucas Luiz Romero")*(10/1083),0)))))),0)</f>
        <v/>
      </c>
      <c r="K2096" s="3">
        <f>I2096-J2096</f>
        <v/>
      </c>
      <c r="L2096" s="3">
        <f>IF(K2096&lt;-5,"CRÍTICO",IF(K2096&lt;0,"ATENÇÃO",IF(K2096&lt;=5,"BOM","EXCELENTE")))</f>
        <v/>
      </c>
      <c r="M2096" t="n">
        <v>16</v>
      </c>
      <c r="N2096" t="n">
        <v>100</v>
      </c>
      <c r="O2096" t="n">
        <v>31.74224343675418</v>
      </c>
    </row>
    <row r="2097" hidden="1">
      <c r="A2097" s="11" t="n">
        <v>46066</v>
      </c>
      <c r="B2097" t="inlineStr">
        <is>
          <t>Ana Paula Da Luz Silva Aleixo</t>
        </is>
      </c>
      <c r="C2097" t="inlineStr">
        <is>
          <t>Técnico III</t>
        </is>
      </c>
      <c r="D2097" t="n">
        <v>20</v>
      </c>
      <c r="E2097" t="n">
        <v>17</v>
      </c>
      <c r="F2097" t="n">
        <v>27.07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t="n">
        <v>17</v>
      </c>
      <c r="N2097" t="n">
        <v>98.25</v>
      </c>
      <c r="O2097" t="n">
        <v>25.83518930957684</v>
      </c>
    </row>
    <row r="2098" hidden="1">
      <c r="A2098" s="11" t="n">
        <v>46066</v>
      </c>
      <c r="B2098" t="inlineStr">
        <is>
          <t>Anna Luiza Rezende Tavares</t>
        </is>
      </c>
      <c r="C2098" t="inlineStr">
        <is>
          <t>Estágio</t>
        </is>
      </c>
      <c r="D2098" t="n">
        <v>9</v>
      </c>
      <c r="E2098" t="n">
        <v>8</v>
      </c>
      <c r="F2098" t="n">
        <v>45.3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t="n">
        <v>7</v>
      </c>
      <c r="N2098" t="n">
        <v>97.5</v>
      </c>
      <c r="O2098" t="n">
        <v>30.07518796992481</v>
      </c>
    </row>
    <row r="2099" hidden="1">
      <c r="A2099" s="11" t="n">
        <v>46066</v>
      </c>
      <c r="B2099" t="inlineStr">
        <is>
          <t>Brenda de Menezes Silva</t>
        </is>
      </c>
      <c r="C2099" t="inlineStr">
        <is>
          <t>Técnico II</t>
        </is>
      </c>
      <c r="D2099" t="n">
        <v>32</v>
      </c>
      <c r="E2099" t="n">
        <v>30</v>
      </c>
      <c r="F2099" t="n">
        <v>23.36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M2099" t="n">
        <v>31</v>
      </c>
      <c r="N2099" t="n">
        <v>100</v>
      </c>
      <c r="O2099" t="n">
        <v>29.71311475409836</v>
      </c>
    </row>
    <row r="2100" hidden="1">
      <c r="A2100" s="11" t="n">
        <v>46066</v>
      </c>
      <c r="B2100" t="inlineStr">
        <is>
          <t>Carlos Mateus Cassimiro Nunes</t>
        </is>
      </c>
      <c r="C2100" t="inlineStr">
        <is>
          <t>Técnico II</t>
        </is>
      </c>
      <c r="D2100" t="n">
        <v>17</v>
      </c>
      <c r="E2100" t="n">
        <v>16</v>
      </c>
      <c r="F2100" t="n">
        <v>35.24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t="n">
        <v>18</v>
      </c>
      <c r="N2100" t="n">
        <v>99.22</v>
      </c>
      <c r="O2100" t="n">
        <v>35.25641025641026</v>
      </c>
    </row>
    <row r="2101" hidden="1">
      <c r="A2101" s="11" t="n">
        <v>46066</v>
      </c>
      <c r="B2101" t="inlineStr">
        <is>
          <t>Claudio de Sousa Velasco Filho</t>
        </is>
      </c>
      <c r="C2101" t="inlineStr">
        <is>
          <t>Estágio</t>
        </is>
      </c>
      <c r="D2101" t="n">
        <v>0</v>
      </c>
      <c r="E2101" t="n">
        <v>0</v>
      </c>
      <c r="F2101" t="n">
        <v>0</v>
      </c>
      <c r="G2101" t="n">
        <v>0</v>
      </c>
      <c r="H2101" t="n">
        <v>0</v>
      </c>
      <c r="I2101" s="3" t="n">
        <v>0</v>
      </c>
      <c r="J2101" s="3" t="n">
        <v>0</v>
      </c>
      <c r="K2101" s="3" t="n">
        <v>0</v>
      </c>
      <c r="L2101" s="3">
        <f>IF(K2101&lt;-5,"CRÍTICO",IF(K2101&lt;0,"ATENÇÃO",IF(K2101&lt;=5,"BOM","EXCELENTE")))</f>
        <v/>
      </c>
      <c r="M2101" t="n">
        <v>0</v>
      </c>
      <c r="N2101" t="n">
        <v>0</v>
      </c>
      <c r="O2101" t="n">
        <v>0</v>
      </c>
    </row>
    <row r="2102" hidden="1">
      <c r="A2102" s="11" t="n">
        <v>46066</v>
      </c>
      <c r="B2102" t="inlineStr">
        <is>
          <t>Clessiane Pereira dos Santos</t>
        </is>
      </c>
      <c r="C2102" t="inlineStr">
        <is>
          <t>Técnico I</t>
        </is>
      </c>
      <c r="D2102" t="n">
        <v>26</v>
      </c>
      <c r="E2102" t="n">
        <v>8</v>
      </c>
      <c r="F2102" t="n">
        <v>8.58</v>
      </c>
      <c r="G2102" t="n">
        <v>0</v>
      </c>
      <c r="H2102" t="n">
        <v>0</v>
      </c>
      <c r="I2102" s="3">
        <f>E2102+G2102+H2102</f>
        <v/>
      </c>
      <c r="J2102" s="3">
        <f>ROUND(MIN(IF(C2102="Técnico III",35,IF(C2102="Técnico II",28,IF(C2102="Técnico I",23,IF(C2102="JR",20,IF(C2102="Estágio",10,0))))),IF(C2102="Técnico III",SUMIFS($D:$D,$A:$A,$A2102,$B:$B,"&lt;&gt;Patrícia Karla de Sousa Araújo",$B:$B,"&lt;&gt;Lorena Dias de Araujo",$B:$B,"&lt;&gt;Lucas Luiz Romero")*(35/1083),IF(C2102="Técnico II",SUMIFS($D:$D,$A:$A,$A2102,$B:$B,"&lt;&gt;Patrícia Karla de Sousa Araújo",$B:$B,"&lt;&gt;Lorena Dias de Araujo",$B:$B,"&lt;&gt;Lucas Luiz Romero")*(28/1083),IF(C2102="Técnico I",SUMIFS($D:$D,$A:$A,$A2102,$B:$B,"&lt;&gt;Patrícia Karla de Sousa Araújo",$B:$B,"&lt;&gt;Lorena Dias de Araujo",$B:$B,"&lt;&gt;Lucas Luiz Romero")*(23/1083),IF(C2102="JR",SUMIFS($D:$D,$A:$A,$A2102,$B:$B,"&lt;&gt;Patrícia Karla de Sousa Araújo",$B:$B,"&lt;&gt;Lorena Dias de Araujo",$B:$B,"&lt;&gt;Lucas Luiz Romero")*(20/1083),IF(C2102="Estágio",SUMIFS($D:$D,$A:$A,$A2102,$B:$B,"&lt;&gt;Patrícia Karla de Sousa Araújo",$B:$B,"&lt;&gt;Lorena Dias de Araujo",$B:$B,"&lt;&gt;Lucas Luiz Romero")*(10/1083),0)))))),0)</f>
        <v/>
      </c>
      <c r="K2102" s="3">
        <f>I2102-J2102</f>
        <v/>
      </c>
      <c r="L2102" s="3">
        <f>IF(K2102&lt;-5,"CRÍTICO",IF(K2102&lt;0,"ATENÇÃO",IF(K2102&lt;=5,"BOM","EXCELENTE")))</f>
        <v/>
      </c>
      <c r="M2102" t="n">
        <v>17</v>
      </c>
      <c r="N2102" t="n">
        <v>98.75</v>
      </c>
      <c r="O2102" t="n">
        <v>24.32432432432433</v>
      </c>
    </row>
    <row r="2103" hidden="1">
      <c r="A2103" s="11" t="n">
        <v>46066</v>
      </c>
      <c r="B2103" t="inlineStr">
        <is>
          <t>Cristiane Ramos da Silva Rocha</t>
        </is>
      </c>
      <c r="C2103" t="inlineStr">
        <is>
          <t>Técnico III</t>
        </is>
      </c>
      <c r="D2103" t="n">
        <v>46</v>
      </c>
      <c r="E2103" t="n">
        <v>38</v>
      </c>
      <c r="F2103" t="n">
        <v>14.14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t="n">
        <v>42</v>
      </c>
      <c r="N2103" t="n">
        <v>93.48</v>
      </c>
      <c r="O2103" t="n">
        <v>31.52804642166344</v>
      </c>
    </row>
    <row r="2104" hidden="1">
      <c r="A2104" s="11" t="n">
        <v>46066</v>
      </c>
      <c r="B2104" t="inlineStr">
        <is>
          <t>Damyllis Lorraine de Oliveira Gonçalves</t>
        </is>
      </c>
      <c r="C2104" t="inlineStr">
        <is>
          <t>Técnico II</t>
        </is>
      </c>
      <c r="D2104" t="n">
        <v>21</v>
      </c>
      <c r="E2104" t="n">
        <v>18</v>
      </c>
      <c r="F2104" t="n">
        <v>35.57</v>
      </c>
      <c r="G2104" t="n">
        <v>0</v>
      </c>
      <c r="H2104" t="n">
        <v>0</v>
      </c>
      <c r="I2104" s="3" t="n">
        <v>0</v>
      </c>
      <c r="J2104" s="3" t="n">
        <v>0</v>
      </c>
      <c r="K2104" s="3" t="n">
        <v>0</v>
      </c>
      <c r="L2104" s="3">
        <f>IF(K2104&lt;-5,"CRÍTICO",IF(K2104&lt;0,"ATENÇÃO",IF(K2104&lt;=5,"BOM","EXCELENTE")))</f>
        <v/>
      </c>
      <c r="M2104" t="n">
        <v>21</v>
      </c>
      <c r="N2104" t="n">
        <v>99.16</v>
      </c>
      <c r="O2104" t="n">
        <v>26.13908872901678</v>
      </c>
    </row>
    <row r="2105" hidden="1">
      <c r="A2105" s="11" t="n">
        <v>46066</v>
      </c>
      <c r="B2105" t="inlineStr">
        <is>
          <t>Daniel Gomes da Silva</t>
        </is>
      </c>
      <c r="C2105" t="inlineStr">
        <is>
          <t>Técnico I</t>
        </is>
      </c>
      <c r="D2105" t="n">
        <v>12</v>
      </c>
      <c r="E2105" t="n">
        <v>12</v>
      </c>
      <c r="F2105" t="n">
        <v>51.55</v>
      </c>
      <c r="G2105" t="n">
        <v>0</v>
      </c>
      <c r="H2105" t="n">
        <v>0</v>
      </c>
      <c r="I2105" s="3">
        <f>E2105+G2105+H2105</f>
        <v/>
      </c>
      <c r="J2105" s="3">
        <f>ROUND(MIN(IF(C2105="Técnico III",35,IF(C2105="Técnico II",28,IF(C2105="Técnico I",23,IF(C2105="JR",20,IF(C2105="Estágio",10,0))))),IF(C2105="Técnico III",SUMIFS($D:$D,$A:$A,$A2105,$B:$B,"&lt;&gt;Patrícia Karla de Sousa Araújo",$B:$B,"&lt;&gt;Lorena Dias de Araujo",$B:$B,"&lt;&gt;Lucas Luiz Romero")*(35/1083),IF(C2105="Técnico II",SUMIFS($D:$D,$A:$A,$A2105,$B:$B,"&lt;&gt;Patrícia Karla de Sousa Araújo",$B:$B,"&lt;&gt;Lorena Dias de Araujo",$B:$B,"&lt;&gt;Lucas Luiz Romero")*(28/1083),IF(C2105="Técnico I",SUMIFS($D:$D,$A:$A,$A2105,$B:$B,"&lt;&gt;Patrícia Karla de Sousa Araújo",$B:$B,"&lt;&gt;Lorena Dias de Araujo",$B:$B,"&lt;&gt;Lucas Luiz Romero")*(23/1083),IF(C2105="JR",SUMIFS($D:$D,$A:$A,$A2105,$B:$B,"&lt;&gt;Patrícia Karla de Sousa Araújo",$B:$B,"&lt;&gt;Lorena Dias de Araujo",$B:$B,"&lt;&gt;Lucas Luiz Romero")*(20/1083),IF(C2105="Estágio",SUMIFS($D:$D,$A:$A,$A2105,$B:$B,"&lt;&gt;Patrícia Karla de Sousa Araújo",$B:$B,"&lt;&gt;Lorena Dias de Araujo",$B:$B,"&lt;&gt;Lucas Luiz Romero")*(10/1083),0)))))),0)</f>
        <v/>
      </c>
      <c r="K2105" s="3">
        <f>I2105-J2105</f>
        <v/>
      </c>
      <c r="L2105" s="3">
        <f>IF(K2105&lt;-5,"CRÍTICO",IF(K2105&lt;0,"ATENÇÃO",IF(K2105&lt;=5,"BOM","EXCELENTE")))</f>
        <v/>
      </c>
      <c r="M2105" t="n">
        <v>9</v>
      </c>
      <c r="N2105" t="n">
        <v>100</v>
      </c>
      <c r="O2105" t="n">
        <v>31.08974358974359</v>
      </c>
    </row>
    <row r="2106" hidden="1">
      <c r="A2106" s="11" t="n">
        <v>46066</v>
      </c>
      <c r="B2106" t="inlineStr">
        <is>
          <t>Davylla Rodrigues Freitas Silva</t>
        </is>
      </c>
      <c r="C2106" t="inlineStr">
        <is>
          <t>Técnico III</t>
        </is>
      </c>
      <c r="D2106" t="n">
        <v>29</v>
      </c>
      <c r="E2106" t="n">
        <v>28</v>
      </c>
      <c r="F2106" t="n">
        <v>27.38</v>
      </c>
      <c r="G2106" t="n">
        <v>0</v>
      </c>
      <c r="H2106" t="n">
        <v>0</v>
      </c>
      <c r="I2106" s="3" t="n">
        <v>0</v>
      </c>
      <c r="J2106" s="3" t="n">
        <v>0</v>
      </c>
      <c r="K2106" s="3" t="n">
        <v>0</v>
      </c>
      <c r="L2106" s="3">
        <f>IF(K2106&lt;-5,"CRÍTICO",IF(K2106&lt;0,"ATENÇÃO",IF(K2106&lt;=5,"BOM","EXCELENTE")))</f>
        <v/>
      </c>
      <c r="M2106" t="n">
        <v>28</v>
      </c>
      <c r="N2106" t="n">
        <v>98.11</v>
      </c>
      <c r="O2106" t="n">
        <v>33.03370786516854</v>
      </c>
    </row>
    <row r="2107" hidden="1">
      <c r="A2107" s="11" t="n">
        <v>46066</v>
      </c>
      <c r="B2107" t="inlineStr">
        <is>
          <t>Emilly Caylane Costa</t>
        </is>
      </c>
      <c r="C2107" t="inlineStr">
        <is>
          <t>Estágio</t>
        </is>
      </c>
      <c r="D2107" t="n">
        <v>46</v>
      </c>
      <c r="E2107" t="n">
        <v>33</v>
      </c>
      <c r="F2107" t="n">
        <v>7.18</v>
      </c>
      <c r="G2107" t="n">
        <v>0</v>
      </c>
      <c r="H2107" t="n">
        <v>0</v>
      </c>
      <c r="I2107" s="3">
        <f>E2107+G2107+H2107</f>
        <v/>
      </c>
      <c r="J2107" s="3">
        <f>ROUND(MIN(IF(C2107="Técnico III",35,IF(C2107="Técnico II",28,IF(C2107="Técnico I",23,IF(C2107="JR",20,IF(C2107="Estágio",10,0))))),IF(C2107="Técnico III",SUMIFS($D:$D,$A:$A,$A2107,$B:$B,"&lt;&gt;Patrícia Karla de Sousa Araújo",$B:$B,"&lt;&gt;Lorena Dias de Araujo",$B:$B,"&lt;&gt;Lucas Luiz Romero")*(35/1083),IF(C2107="Técnico II",SUMIFS($D:$D,$A:$A,$A2107,$B:$B,"&lt;&gt;Patrícia Karla de Sousa Araújo",$B:$B,"&lt;&gt;Lorena Dias de Araujo",$B:$B,"&lt;&gt;Lucas Luiz Romero")*(28/1083),IF(C2107="Técnico I",SUMIFS($D:$D,$A:$A,$A2107,$B:$B,"&lt;&gt;Patrícia Karla de Sousa Araújo",$B:$B,"&lt;&gt;Lorena Dias de Araujo",$B:$B,"&lt;&gt;Lucas Luiz Romero")*(23/1083),IF(C2107="JR",SUMIFS($D:$D,$A:$A,$A2107,$B:$B,"&lt;&gt;Patrícia Karla de Sousa Araújo",$B:$B,"&lt;&gt;Lorena Dias de Araujo",$B:$B,"&lt;&gt;Lucas Luiz Romero")*(20/1083),IF(C2107="Estágio",SUMIFS($D:$D,$A:$A,$A2107,$B:$B,"&lt;&gt;Patrícia Karla de Sousa Araújo",$B:$B,"&lt;&gt;Lorena Dias de Araujo",$B:$B,"&lt;&gt;Lucas Luiz Romero")*(10/1083),0)))))),0)</f>
        <v/>
      </c>
      <c r="K2107" s="3">
        <f>I2107-J2107</f>
        <v/>
      </c>
      <c r="L2107" s="3">
        <f>IF(K2107&lt;-5,"CRÍTICO",IF(K2107&lt;0,"ATENÇÃO",IF(K2107&lt;=5,"BOM","EXCELENTE")))</f>
        <v/>
      </c>
      <c r="M2107" t="n">
        <v>2</v>
      </c>
      <c r="N2107" t="n">
        <v>78.95</v>
      </c>
      <c r="O2107" t="n">
        <v>38.98305084745763</v>
      </c>
    </row>
    <row r="2108" hidden="1">
      <c r="A2108" s="11" t="n">
        <v>46066</v>
      </c>
      <c r="B2108" t="inlineStr">
        <is>
          <t>Emilly Kamilly Medeiros Miranda</t>
        </is>
      </c>
      <c r="C2108" t="inlineStr">
        <is>
          <t>Técnico II</t>
        </is>
      </c>
      <c r="D2108" t="n">
        <v>18</v>
      </c>
      <c r="E2108" t="n">
        <v>16</v>
      </c>
      <c r="F2108" t="n">
        <v>23.47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t="n">
        <v>17</v>
      </c>
      <c r="N2108" t="n">
        <v>98.45</v>
      </c>
      <c r="O2108" t="n">
        <v>29.2817679558011</v>
      </c>
    </row>
    <row r="2109" hidden="1">
      <c r="A2109" s="11" t="n">
        <v>46066</v>
      </c>
      <c r="B2109" t="inlineStr">
        <is>
          <t>Francielson de Oliveira</t>
        </is>
      </c>
      <c r="C2109" t="inlineStr">
        <is>
          <t>Técnico III</t>
        </is>
      </c>
      <c r="D2109" t="n">
        <v>28</v>
      </c>
      <c r="E2109" t="n">
        <v>25</v>
      </c>
      <c r="F2109" t="n">
        <v>20.19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t="n">
        <v>26</v>
      </c>
      <c r="N2109" t="n">
        <v>97.84</v>
      </c>
      <c r="O2109" t="n">
        <v>26.28205128205128</v>
      </c>
    </row>
    <row r="2110" hidden="1">
      <c r="A2110" s="11" t="n">
        <v>46066</v>
      </c>
      <c r="B2110" t="inlineStr">
        <is>
          <t>Francilene Ferreira de Jesus</t>
        </is>
      </c>
      <c r="C2110" t="inlineStr">
        <is>
          <t>Técnico II</t>
        </is>
      </c>
      <c r="D2110" t="n">
        <v>39</v>
      </c>
      <c r="E2110" t="n">
        <v>36</v>
      </c>
      <c r="F2110" t="n">
        <v>19.19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t="n">
        <v>34</v>
      </c>
      <c r="N2110" t="n">
        <v>98.5</v>
      </c>
      <c r="O2110" t="n">
        <v>23.97769516728625</v>
      </c>
    </row>
    <row r="2111" hidden="1">
      <c r="A2111" s="11" t="n">
        <v>46100</v>
      </c>
      <c r="B2111" t="inlineStr">
        <is>
          <t>Gabriel Gomes de Andrade</t>
        </is>
      </c>
      <c r="C2111" t="inlineStr">
        <is>
          <t>Técnico I</t>
        </is>
      </c>
      <c r="D2111" t="n">
        <v>14</v>
      </c>
      <c r="E2111" t="n">
        <v>12</v>
      </c>
      <c r="F2111" t="n">
        <v>25.05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t="n">
        <v>11</v>
      </c>
      <c r="N2111" t="n">
        <v>99.05</v>
      </c>
      <c r="O2111" t="n">
        <v>26.62192393736018</v>
      </c>
    </row>
    <row r="2112" hidden="1">
      <c r="A2112" s="11" t="n">
        <v>46066</v>
      </c>
      <c r="B2112" t="inlineStr">
        <is>
          <t>Isabella Borges de Oliveira</t>
        </is>
      </c>
      <c r="C2112" t="inlineStr">
        <is>
          <t>Técnico II</t>
        </is>
      </c>
      <c r="D2112" t="n">
        <v>26</v>
      </c>
      <c r="E2112" t="n">
        <v>24</v>
      </c>
      <c r="F2112" t="n">
        <v>30.25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M2112" t="n">
        <v>22</v>
      </c>
      <c r="N2112" t="n">
        <v>98.53</v>
      </c>
      <c r="O2112" t="n">
        <v>31.57894736842105</v>
      </c>
    </row>
    <row r="2113" hidden="1">
      <c r="A2113" s="11" t="n">
        <v>46066</v>
      </c>
      <c r="B2113" t="inlineStr">
        <is>
          <t>Janaina Lima dos Reis Urany</t>
        </is>
      </c>
      <c r="C2113" t="inlineStr">
        <is>
          <t>Técnico III</t>
        </is>
      </c>
      <c r="D2113" t="n">
        <v>46</v>
      </c>
      <c r="E2113" t="n">
        <v>44</v>
      </c>
      <c r="F2113" t="n">
        <v>17.01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t="n">
        <v>40</v>
      </c>
      <c r="N2113" t="n">
        <v>100</v>
      </c>
      <c r="O2113" t="n">
        <v>25.72214580467676</v>
      </c>
    </row>
    <row r="2114" hidden="1">
      <c r="A2114" s="11" t="n">
        <v>46066</v>
      </c>
      <c r="B2114" t="inlineStr">
        <is>
          <t>Jaqueline Evangelista da Silva Martins</t>
        </is>
      </c>
      <c r="C2114" t="inlineStr">
        <is>
          <t>Técnico III</t>
        </is>
      </c>
      <c r="D2114" t="n">
        <v>41</v>
      </c>
      <c r="E2114" t="n">
        <v>33</v>
      </c>
      <c r="F2114" t="n">
        <v>11.43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M2114" t="n">
        <v>33</v>
      </c>
      <c r="N2114" t="n">
        <v>94.64</v>
      </c>
      <c r="O2114" t="n">
        <v>27.52941176470588</v>
      </c>
    </row>
    <row r="2115" hidden="1">
      <c r="A2115" s="11" t="n">
        <v>46066</v>
      </c>
      <c r="B2115" t="inlineStr">
        <is>
          <t>Jessica Faria da Silveira</t>
        </is>
      </c>
      <c r="C2115" t="inlineStr">
        <is>
          <t>Técnico II</t>
        </is>
      </c>
      <c r="D2115" t="n">
        <v>35</v>
      </c>
      <c r="E2115" t="n">
        <v>30</v>
      </c>
      <c r="F2115" t="n">
        <v>20.41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t="n">
        <v>24</v>
      </c>
      <c r="N2115" t="n">
        <v>99.06999999999999</v>
      </c>
      <c r="O2115" t="n">
        <v>26.3768115942029</v>
      </c>
    </row>
    <row r="2116" hidden="1">
      <c r="A2116" s="11" t="n">
        <v>46066</v>
      </c>
      <c r="B2116" t="inlineStr">
        <is>
          <t>Jéssica Fé Moura</t>
        </is>
      </c>
      <c r="C2116" t="inlineStr">
        <is>
          <t>Técnico III</t>
        </is>
      </c>
      <c r="D2116" t="n">
        <v>0</v>
      </c>
      <c r="E2116" t="n">
        <v>0</v>
      </c>
      <c r="F2116" t="n">
        <v>0</v>
      </c>
      <c r="G2116" t="n">
        <v>0</v>
      </c>
      <c r="H2116" t="n">
        <v>0</v>
      </c>
      <c r="I2116" s="3" t="n">
        <v>0</v>
      </c>
      <c r="J2116" s="3" t="n">
        <v>0</v>
      </c>
      <c r="K2116" s="3" t="n">
        <v>0</v>
      </c>
      <c r="L2116" s="3">
        <f>IF(K2116&lt;-5,"CRÍTICO",IF(K2116&lt;0,"ATENÇÃO",IF(K2116&lt;=5,"BOM","EXCELENTE")))</f>
        <v/>
      </c>
      <c r="M2116" t="n">
        <v>0</v>
      </c>
      <c r="N2116" t="n">
        <v>100</v>
      </c>
      <c r="O2116" t="n">
        <v>0</v>
      </c>
    </row>
    <row r="2117" hidden="1">
      <c r="A2117" s="11" t="n">
        <v>46066</v>
      </c>
      <c r="B2117" t="inlineStr">
        <is>
          <t>Karina Gonçalves Martins</t>
        </is>
      </c>
      <c r="C2117" t="inlineStr">
        <is>
          <t>JR</t>
        </is>
      </c>
      <c r="D2117" t="n">
        <v>8</v>
      </c>
      <c r="E2117" t="n">
        <v>8</v>
      </c>
      <c r="F2117" t="n">
        <v>38.53</v>
      </c>
      <c r="G2117" t="n">
        <v>0</v>
      </c>
      <c r="H2117" t="n">
        <v>0</v>
      </c>
      <c r="I2117" s="3">
        <f>E2117+G2117+H2117</f>
        <v/>
      </c>
      <c r="J2117" s="3">
        <f>ROUND(MIN(IF(C2117="Técnico III",35,IF(C2117="Técnico II",28,IF(C2117="Técnico I",23,IF(C2117="JR",20,IF(C2117="Estágio",10,0))))),IF(C2117="Técnico III",SUMIFS($D:$D,$A:$A,$A2117,$B:$B,"&lt;&gt;Patrícia Karla de Sousa Araújo",$B:$B,"&lt;&gt;Lorena Dias de Araujo",$B:$B,"&lt;&gt;Lucas Luiz Romero")*(35/1083),IF(C2117="Técnico II",SUMIFS($D:$D,$A:$A,$A2117,$B:$B,"&lt;&gt;Patrícia Karla de Sousa Araújo",$B:$B,"&lt;&gt;Lorena Dias de Araujo",$B:$B,"&lt;&gt;Lucas Luiz Romero")*(28/1083),IF(C2117="Técnico I",SUMIFS($D:$D,$A:$A,$A2117,$B:$B,"&lt;&gt;Patrícia Karla de Sousa Araújo",$B:$B,"&lt;&gt;Lorena Dias de Araujo",$B:$B,"&lt;&gt;Lucas Luiz Romero")*(23/1083),IF(C2117="JR",SUMIFS($D:$D,$A:$A,$A2117,$B:$B,"&lt;&gt;Patrícia Karla de Sousa Araújo",$B:$B,"&lt;&gt;Lorena Dias de Araujo",$B:$B,"&lt;&gt;Lucas Luiz Romero")*(20/1083),IF(C2117="Estágio",SUMIFS($D:$D,$A:$A,$A2117,$B:$B,"&lt;&gt;Patrícia Karla de Sousa Araújo",$B:$B,"&lt;&gt;Lorena Dias de Araujo",$B:$B,"&lt;&gt;Lucas Luiz Romero")*(10/1083),0)))))),0)</f>
        <v/>
      </c>
      <c r="K2117" s="3">
        <f>I2117-J2117</f>
        <v/>
      </c>
      <c r="L2117" s="3">
        <f>IF(K2117&lt;-5,"CRÍTICO",IF(K2117&lt;0,"ATENÇÃO",IF(K2117&lt;=5,"BOM","EXCELENTE")))</f>
        <v/>
      </c>
      <c r="M2117" t="n">
        <v>8</v>
      </c>
      <c r="N2117" t="n">
        <v>98.48</v>
      </c>
      <c r="O2117" t="n">
        <v>27.85388127853881</v>
      </c>
    </row>
    <row r="2118" hidden="1">
      <c r="A2118" s="11" t="n">
        <v>46066</v>
      </c>
      <c r="B2118" t="inlineStr">
        <is>
          <t>Kerollen Cristielly de Jesus Siqueira</t>
        </is>
      </c>
      <c r="C2118" t="inlineStr">
        <is>
          <t>Técnico III</t>
        </is>
      </c>
      <c r="D2118" t="n">
        <v>3</v>
      </c>
      <c r="E2118" t="n">
        <v>2</v>
      </c>
      <c r="F2118" t="n">
        <v>18.36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t="n">
        <v>5</v>
      </c>
      <c r="N2118" t="n">
        <v>95.15000000000001</v>
      </c>
      <c r="O2118" t="n">
        <v>34.13173652694611</v>
      </c>
    </row>
    <row r="2119" hidden="1">
      <c r="A2119" s="11" t="n">
        <v>46066</v>
      </c>
      <c r="B2119" t="inlineStr">
        <is>
          <t>Leandro de Souza Silva</t>
        </is>
      </c>
      <c r="C2119" t="inlineStr">
        <is>
          <t>JR</t>
        </is>
      </c>
      <c r="D2119" t="n">
        <v>0</v>
      </c>
      <c r="E2119" t="n">
        <v>0</v>
      </c>
      <c r="F2119" t="n">
        <v>0</v>
      </c>
      <c r="G2119" t="n">
        <v>0</v>
      </c>
      <c r="H2119" t="n">
        <v>0</v>
      </c>
      <c r="I2119" s="3" t="n">
        <v>0</v>
      </c>
      <c r="J2119" s="3" t="n">
        <v>0</v>
      </c>
      <c r="K2119" s="3" t="n">
        <v>0</v>
      </c>
      <c r="L2119" s="3">
        <f>IF(K2119&lt;-5,"CRÍTICO",IF(K2119&lt;0,"ATENÇÃO",IF(K2119&lt;=5,"BOM","EXCELENTE")))</f>
        <v/>
      </c>
      <c r="M2119" t="n">
        <v>0</v>
      </c>
      <c r="N2119" t="n">
        <v>0</v>
      </c>
      <c r="O2119" t="n">
        <v>0</v>
      </c>
    </row>
    <row r="2120" hidden="1">
      <c r="A2120" s="11" t="n">
        <v>46066</v>
      </c>
      <c r="B2120" t="inlineStr">
        <is>
          <t>Leandro Oliveira de Sousa</t>
        </is>
      </c>
      <c r="C2120" t="inlineStr">
        <is>
          <t>Técnico III</t>
        </is>
      </c>
      <c r="D2120" t="n">
        <v>23</v>
      </c>
      <c r="E2120" t="n">
        <v>22</v>
      </c>
      <c r="F2120" t="n">
        <v>29.18</v>
      </c>
      <c r="G2120" t="n">
        <v>0</v>
      </c>
      <c r="H2120" t="n">
        <v>0</v>
      </c>
      <c r="I2120" s="3">
        <f>E2120+G2120+H2120</f>
        <v/>
      </c>
      <c r="J2120" s="3">
        <f>ROUND(MIN(IF(C2120="Técnico III",35,IF(C2120="Técnico II",28,IF(C2120="Técnico I",23,IF(C2120="JR",20,IF(C2120="Estágio",10,0))))),IF(C2120="Técnico III",SUMIFS($D:$D,$A:$A,$A2120,$B:$B,"&lt;&gt;Patrícia Karla de Sousa Araújo",$B:$B,"&lt;&gt;Lorena Dias de Araujo",$B:$B,"&lt;&gt;Lucas Luiz Romero")*(35/1083),IF(C2120="Técnico II",SUMIFS($D:$D,$A:$A,$A2120,$B:$B,"&lt;&gt;Patrícia Karla de Sousa Araújo",$B:$B,"&lt;&gt;Lorena Dias de Araujo",$B:$B,"&lt;&gt;Lucas Luiz Romero")*(28/1083),IF(C2120="Técnico I",SUMIFS($D:$D,$A:$A,$A2120,$B:$B,"&lt;&gt;Patrícia Karla de Sousa Araújo",$B:$B,"&lt;&gt;Lorena Dias de Araujo",$B:$B,"&lt;&gt;Lucas Luiz Romero")*(23/1083),IF(C2120="JR",SUMIFS($D:$D,$A:$A,$A2120,$B:$B,"&lt;&gt;Patrícia Karla de Sousa Araújo",$B:$B,"&lt;&gt;Lorena Dias de Araujo",$B:$B,"&lt;&gt;Lucas Luiz Romero")*(20/1083),IF(C2120="Estágio",SUMIFS($D:$D,$A:$A,$A2120,$B:$B,"&lt;&gt;Patrícia Karla de Sousa Araújo",$B:$B,"&lt;&gt;Lorena Dias de Araujo",$B:$B,"&lt;&gt;Lucas Luiz Romero")*(10/1083),0)))))),0)</f>
        <v/>
      </c>
      <c r="K2120" s="3">
        <f>I2120-J2120</f>
        <v/>
      </c>
      <c r="L2120" s="3">
        <f>IF(K2120&lt;-5,"CRÍTICO",IF(K2120&lt;0,"ATENÇÃO",IF(K2120&lt;=5,"BOM","EXCELENTE")))</f>
        <v/>
      </c>
      <c r="M2120" t="n">
        <v>24</v>
      </c>
      <c r="N2120" t="n">
        <v>99.26000000000001</v>
      </c>
      <c r="O2120" t="n">
        <v>30.84832904884319</v>
      </c>
    </row>
    <row r="2121" hidden="1">
      <c r="A2121" s="11" t="n">
        <v>46066</v>
      </c>
      <c r="B2121" t="inlineStr">
        <is>
          <t>Lizandra Gomes Duarte</t>
        </is>
      </c>
      <c r="C2121" t="inlineStr">
        <is>
          <t>Técnico II</t>
        </is>
      </c>
      <c r="D2121" t="n">
        <v>23</v>
      </c>
      <c r="E2121" t="n">
        <v>22</v>
      </c>
      <c r="F2121" t="n">
        <v>30.3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M2121" t="n">
        <v>8</v>
      </c>
      <c r="N2121" t="n">
        <v>97.48</v>
      </c>
      <c r="O2121" t="n">
        <v>27.76470588235294</v>
      </c>
    </row>
    <row r="2122" hidden="1">
      <c r="A2122" s="11" t="n">
        <v>46066</v>
      </c>
      <c r="B2122" t="inlineStr">
        <is>
          <t>Lorena Dias de Araujo</t>
        </is>
      </c>
      <c r="C2122" t="inlineStr">
        <is>
          <t>Técnico II</t>
        </is>
      </c>
      <c r="D2122" t="n">
        <v>32</v>
      </c>
      <c r="E2122" t="n">
        <v>28</v>
      </c>
      <c r="F2122" t="n">
        <v>22.28</v>
      </c>
      <c r="G2122" t="n">
        <v>0</v>
      </c>
      <c r="H2122" t="n">
        <v>0</v>
      </c>
      <c r="I2122" s="3" t="n">
        <v>0</v>
      </c>
      <c r="J2122" s="3" t="n">
        <v>0</v>
      </c>
      <c r="K2122" s="3" t="n">
        <v>0</v>
      </c>
      <c r="L2122" s="3">
        <f>IF(K2122&lt;-5,"CRÍTICO",IF(K2122&lt;0,"ATENÇÃO",IF(K2122&lt;=5,"BOM","EXCELENTE")))</f>
        <v/>
      </c>
      <c r="M2122" t="n">
        <v>25</v>
      </c>
      <c r="N2122" t="n">
        <v>99.34</v>
      </c>
      <c r="O2122" t="n">
        <v>30.04291845493562</v>
      </c>
    </row>
    <row r="2123" hidden="1">
      <c r="A2123" s="11" t="n">
        <v>46066</v>
      </c>
      <c r="B2123" t="inlineStr">
        <is>
          <t>Lucas Luiz Romero</t>
        </is>
      </c>
      <c r="C2123" t="inlineStr">
        <is>
          <t>Técnico III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M2123" t="n">
        <v>0</v>
      </c>
      <c r="N2123" t="n">
        <v>96.3</v>
      </c>
      <c r="O2123" t="n">
        <v>24.29378531073446</v>
      </c>
    </row>
    <row r="2124" hidden="1">
      <c r="A2124" s="11" t="n">
        <v>46066</v>
      </c>
      <c r="B2124" t="inlineStr">
        <is>
          <t>Luiz Fernando de Carvalho Junior</t>
        </is>
      </c>
      <c r="C2124" t="inlineStr">
        <is>
          <t>Técnico I</t>
        </is>
      </c>
      <c r="D2124" t="n">
        <v>16</v>
      </c>
      <c r="E2124" t="n">
        <v>16</v>
      </c>
      <c r="F2124" t="n">
        <v>26.48</v>
      </c>
      <c r="G2124" t="n">
        <v>0</v>
      </c>
      <c r="H2124" t="n">
        <v>0</v>
      </c>
      <c r="I2124" s="3">
        <f>E2124+G2124+H2124</f>
        <v/>
      </c>
      <c r="J2124" s="3">
        <f>ROUND(MIN(IF(C2124="Técnico III",35,IF(C2124="Técnico II",28,IF(C2124="Técnico I",23,IF(C2124="JR",20,IF(C2124="Estágio",10,0))))),IF(C2124="Técnico III",SUMIFS($D:$D,$A:$A,$A2124,$B:$B,"&lt;&gt;Patrícia Karla de Sousa Araújo",$B:$B,"&lt;&gt;Lorena Dias de Araujo",$B:$B,"&lt;&gt;Lucas Luiz Romero")*(35/1083),IF(C2124="Técnico II",SUMIFS($D:$D,$A:$A,$A2124,$B:$B,"&lt;&gt;Patrícia Karla de Sousa Araújo",$B:$B,"&lt;&gt;Lorena Dias de Araujo",$B:$B,"&lt;&gt;Lucas Luiz Romero")*(28/1083),IF(C2124="Técnico I",SUMIFS($D:$D,$A:$A,$A2124,$B:$B,"&lt;&gt;Patrícia Karla de Sousa Araújo",$B:$B,"&lt;&gt;Lorena Dias de Araujo",$B:$B,"&lt;&gt;Lucas Luiz Romero")*(23/1083),IF(C2124="JR",SUMIFS($D:$D,$A:$A,$A2124,$B:$B,"&lt;&gt;Patrícia Karla de Sousa Araújo",$B:$B,"&lt;&gt;Lorena Dias de Araujo",$B:$B,"&lt;&gt;Lucas Luiz Romero")*(20/1083),IF(C2124="Estágio",SUMIFS($D:$D,$A:$A,$A2124,$B:$B,"&lt;&gt;Patrícia Karla de Sousa Araújo",$B:$B,"&lt;&gt;Lorena Dias de Araujo",$B:$B,"&lt;&gt;Lucas Luiz Romero")*(10/1083),0)))))),0)</f>
        <v/>
      </c>
      <c r="K2124" s="3">
        <f>I2124-J2124</f>
        <v/>
      </c>
      <c r="L2124" s="3">
        <f>IF(K2124&lt;-5,"CRÍTICO",IF(K2124&lt;0,"ATENÇÃO",IF(K2124&lt;=5,"BOM","EXCELENTE")))</f>
        <v/>
      </c>
      <c r="M2124" t="n">
        <v>16</v>
      </c>
      <c r="N2124" t="n">
        <v>100</v>
      </c>
      <c r="O2124" t="n">
        <v>26.54320987654321</v>
      </c>
    </row>
    <row r="2125" hidden="1">
      <c r="A2125" s="11" t="n">
        <v>46066</v>
      </c>
      <c r="B2125" t="inlineStr">
        <is>
          <t>Maria Eduarda Sousa Costa</t>
        </is>
      </c>
      <c r="C2125" t="inlineStr">
        <is>
          <t>Estágio</t>
        </is>
      </c>
      <c r="D2125" t="n">
        <v>49</v>
      </c>
      <c r="E2125" t="n">
        <v>25</v>
      </c>
      <c r="F2125" t="n">
        <v>7.19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t="n">
        <v>2</v>
      </c>
      <c r="N2125" t="n">
        <v>100</v>
      </c>
      <c r="O2125" t="n">
        <v>35.48387096774194</v>
      </c>
    </row>
    <row r="2126" hidden="1">
      <c r="A2126" s="11" t="n">
        <v>46066</v>
      </c>
      <c r="B2126" t="inlineStr">
        <is>
          <t>Matheus Farias De Souza</t>
        </is>
      </c>
      <c r="C2126" t="inlineStr">
        <is>
          <t>Técnico III</t>
        </is>
      </c>
      <c r="D2126" t="n">
        <v>27</v>
      </c>
      <c r="E2126" t="n">
        <v>25</v>
      </c>
      <c r="F2126" t="n">
        <v>27.36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t="n">
        <v>23</v>
      </c>
      <c r="N2126" t="n">
        <v>99.27</v>
      </c>
      <c r="O2126" t="n">
        <v>31.16370808678501</v>
      </c>
    </row>
    <row r="2127" hidden="1">
      <c r="A2127" s="11" t="n">
        <v>46066</v>
      </c>
      <c r="B2127" t="inlineStr">
        <is>
          <t>Maysa Victoria Dias Moura</t>
        </is>
      </c>
      <c r="C2127" t="inlineStr">
        <is>
          <t>Técnico III</t>
        </is>
      </c>
      <c r="D2127" t="n">
        <v>34</v>
      </c>
      <c r="E2127" t="n">
        <v>33</v>
      </c>
      <c r="F2127" t="n">
        <v>20.53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M2127" t="n">
        <v>27</v>
      </c>
      <c r="N2127" t="n">
        <v>94.16</v>
      </c>
      <c r="O2127" t="n">
        <v>27.03862660944206</v>
      </c>
    </row>
    <row r="2128" hidden="1">
      <c r="A2128" s="11" t="n">
        <v>46066</v>
      </c>
      <c r="B2128" t="inlineStr">
        <is>
          <t>Michelle G Santos</t>
        </is>
      </c>
      <c r="C2128" t="inlineStr">
        <is>
          <t>Estágio</t>
        </is>
      </c>
      <c r="D2128" t="n">
        <v>12</v>
      </c>
      <c r="E2128" t="n">
        <v>11</v>
      </c>
      <c r="F2128" t="n">
        <v>50.19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M2128" t="n">
        <v>5</v>
      </c>
      <c r="N2128" t="n">
        <v>93.75</v>
      </c>
      <c r="O2128" t="n">
        <v>19.31818181818182</v>
      </c>
    </row>
    <row r="2129" hidden="1">
      <c r="A2129" s="11" t="n">
        <v>46066</v>
      </c>
      <c r="B2129" t="inlineStr">
        <is>
          <t>Milena Sales</t>
        </is>
      </c>
      <c r="C2129" t="inlineStr">
        <is>
          <t>JR</t>
        </is>
      </c>
      <c r="D2129" t="n">
        <v>0</v>
      </c>
      <c r="E2129" t="n">
        <v>0</v>
      </c>
      <c r="F2129" t="n">
        <v>0</v>
      </c>
      <c r="G2129" t="n">
        <v>0</v>
      </c>
      <c r="H2129" t="n">
        <v>0</v>
      </c>
      <c r="I2129" s="3" t="n">
        <v>0</v>
      </c>
      <c r="J2129" s="3" t="n">
        <v>0</v>
      </c>
      <c r="K2129" s="3" t="n">
        <v>0</v>
      </c>
      <c r="L2129" s="3">
        <f>IF(K2129&lt;-5,"CRÍTICO",IF(K2129&lt;0,"ATENÇÃO",IF(K2129&lt;=5,"BOM","EXCELENTE")))</f>
        <v/>
      </c>
      <c r="M2129" t="n">
        <v>0</v>
      </c>
      <c r="N2129" t="n">
        <v>0</v>
      </c>
      <c r="O2129" t="n">
        <v>0</v>
      </c>
    </row>
    <row r="2130" hidden="1">
      <c r="A2130" s="11" t="n">
        <v>46066</v>
      </c>
      <c r="B2130" t="inlineStr">
        <is>
          <t>Patrícia Karla de Sousa Araújo</t>
        </is>
      </c>
      <c r="C2130" t="inlineStr">
        <is>
          <t>Técnico II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t="n">
        <v>0</v>
      </c>
      <c r="N2130" t="n">
        <v>97.92</v>
      </c>
      <c r="O2130" t="n">
        <v>32.87671232876712</v>
      </c>
    </row>
    <row r="2131" hidden="1">
      <c r="A2131" s="11" t="n">
        <v>46066</v>
      </c>
      <c r="B2131" t="inlineStr">
        <is>
          <t>Paulo Ricardo Santos</t>
        </is>
      </c>
      <c r="C2131" t="inlineStr">
        <is>
          <t>JR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t="n">
        <v>0</v>
      </c>
      <c r="N2131" t="n">
        <v>0</v>
      </c>
      <c r="O2131" t="n">
        <v>0</v>
      </c>
    </row>
    <row r="2132" hidden="1">
      <c r="A2132" s="11" t="n">
        <v>46066</v>
      </c>
      <c r="B2132" t="inlineStr">
        <is>
          <t>Pedro Luiz Mota Sousa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M2132" t="n">
        <v>0</v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Quirino Diogo Leite Torres</t>
        </is>
      </c>
      <c r="C2133" t="inlineStr">
        <is>
          <t>Estágio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M2133" t="n">
        <v>0</v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Raane Batista Matos</t>
        </is>
      </c>
      <c r="C2134" t="inlineStr">
        <is>
          <t>Técnico I</t>
        </is>
      </c>
      <c r="D2134" t="n">
        <v>21</v>
      </c>
      <c r="E2134" t="n">
        <v>16</v>
      </c>
      <c r="F2134" t="n">
        <v>26.41</v>
      </c>
      <c r="G2134" t="n">
        <v>0</v>
      </c>
      <c r="H2134" t="n">
        <v>0</v>
      </c>
      <c r="I2134" s="3">
        <f>E2134+G2134+H2134</f>
        <v/>
      </c>
      <c r="J2134" s="3">
        <f>ROUND(MIN(IF(C2134="Técnico III",35,IF(C2134="Técnico II",28,IF(C2134="Técnico I",23,IF(C2134="JR",20,IF(C2134="Estágio",10,0))))),IF(C2134="Técnico III",SUMIFS($D:$D,$A:$A,$A2134,$B:$B,"&lt;&gt;Patrícia Karla de Sousa Araújo",$B:$B,"&lt;&gt;Lorena Dias de Araujo",$B:$B,"&lt;&gt;Lucas Luiz Romero")*(35/1083),IF(C2134="Técnico II",SUMIFS($D:$D,$A:$A,$A2134,$B:$B,"&lt;&gt;Patrícia Karla de Sousa Araújo",$B:$B,"&lt;&gt;Lorena Dias de Araujo",$B:$B,"&lt;&gt;Lucas Luiz Romero")*(28/1083),IF(C2134="Técnico I",SUMIFS($D:$D,$A:$A,$A2134,$B:$B,"&lt;&gt;Patrícia Karla de Sousa Araújo",$B:$B,"&lt;&gt;Lorena Dias de Araujo",$B:$B,"&lt;&gt;Lucas Luiz Romero")*(23/1083),IF(C2134="JR",SUMIFS($D:$D,$A:$A,$A2134,$B:$B,"&lt;&gt;Patrícia Karla de Sousa Araújo",$B:$B,"&lt;&gt;Lorena Dias de Araujo",$B:$B,"&lt;&gt;Lucas Luiz Romero")*(20/1083),IF(C2134="Estágio",SUMIFS($D:$D,$A:$A,$A2134,$B:$B,"&lt;&gt;Patrícia Karla de Sousa Araújo",$B:$B,"&lt;&gt;Lorena Dias de Araujo",$B:$B,"&lt;&gt;Lucas Luiz Romero")*(10/1083),0)))))),0)</f>
        <v/>
      </c>
      <c r="K2134" s="3">
        <f>I2134-J2134</f>
        <v/>
      </c>
      <c r="L2134" s="3">
        <f>IF(K2134&lt;-5,"CRÍTICO",IF(K2134&lt;0,"ATENÇÃO",IF(K2134&lt;=5,"BOM","EXCELENTE")))</f>
        <v/>
      </c>
      <c r="M2134" t="n">
        <v>12</v>
      </c>
      <c r="N2134" t="n">
        <v>98.51000000000001</v>
      </c>
      <c r="O2134" t="n">
        <v>29.71014492753623</v>
      </c>
    </row>
    <row r="2135" hidden="1">
      <c r="A2135" s="11" t="n">
        <v>46066</v>
      </c>
      <c r="B2135" t="inlineStr">
        <is>
          <t>Rafael Gomes de Morais</t>
        </is>
      </c>
      <c r="C2135" t="inlineStr">
        <is>
          <t>Técnico III</t>
        </is>
      </c>
      <c r="D2135" t="n">
        <v>37</v>
      </c>
      <c r="E2135" t="n">
        <v>32</v>
      </c>
      <c r="F2135" t="n">
        <v>15.18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t="n">
        <v>30</v>
      </c>
      <c r="N2135" t="n">
        <v>98.81</v>
      </c>
      <c r="O2135" t="n">
        <v>30.71297989031079</v>
      </c>
    </row>
    <row r="2136" hidden="1">
      <c r="A2136" s="11" t="n">
        <v>46066</v>
      </c>
      <c r="B2136" t="inlineStr">
        <is>
          <t>Sara Maria Monteiro Lopes</t>
        </is>
      </c>
      <c r="C2136" t="inlineStr">
        <is>
          <t>Técnico I</t>
        </is>
      </c>
      <c r="D2136" t="n">
        <v>10</v>
      </c>
      <c r="E2136" t="n">
        <v>9</v>
      </c>
      <c r="F2136" t="n">
        <v>42.17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t="n">
        <v>11</v>
      </c>
      <c r="N2136" t="n">
        <v>98.48</v>
      </c>
      <c r="O2136" t="n">
        <v>29.35323383084577</v>
      </c>
    </row>
    <row r="2137" hidden="1">
      <c r="A2137" s="11" t="n">
        <v>46066</v>
      </c>
      <c r="B2137" t="inlineStr">
        <is>
          <t>Sarah Steffanie de Lima Borges</t>
        </is>
      </c>
      <c r="C2137" t="inlineStr">
        <is>
          <t>Técnico III</t>
        </is>
      </c>
      <c r="D2137" t="n">
        <v>31</v>
      </c>
      <c r="E2137" t="n">
        <v>30</v>
      </c>
      <c r="F2137" t="n">
        <v>19.11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M2137" t="n">
        <v>30</v>
      </c>
      <c r="N2137" t="n">
        <v>98.56</v>
      </c>
      <c r="O2137" t="n">
        <v>29.37365010799136</v>
      </c>
    </row>
    <row r="2138" hidden="1">
      <c r="A2138" s="11" t="n">
        <v>46069</v>
      </c>
      <c r="B2138" t="inlineStr">
        <is>
          <t>Alisson de Freitas Silva</t>
        </is>
      </c>
      <c r="C2138" t="inlineStr">
        <is>
          <t>Técnico II</t>
        </is>
      </c>
      <c r="D2138" t="n">
        <v>8</v>
      </c>
      <c r="E2138" t="n">
        <v>8</v>
      </c>
      <c r="F2138" t="n">
        <v>18.47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t="n">
        <v>4</v>
      </c>
      <c r="N2138" t="n">
        <v>98.31999999999999</v>
      </c>
      <c r="O2138" t="n">
        <v>30.3030303030303</v>
      </c>
    </row>
    <row r="2139" hidden="1">
      <c r="A2139" s="11" t="n">
        <v>46069</v>
      </c>
      <c r="B2139" t="inlineStr">
        <is>
          <t>Amanda Moura Ferreira</t>
        </is>
      </c>
      <c r="C2139" t="inlineStr">
        <is>
          <t>Técnico III</t>
        </is>
      </c>
      <c r="D2139" t="n">
        <v>0</v>
      </c>
      <c r="E2139" t="n">
        <v>0</v>
      </c>
      <c r="F2139" t="n">
        <v>0</v>
      </c>
      <c r="G2139" t="n">
        <v>0</v>
      </c>
      <c r="H2139" t="n">
        <v>0</v>
      </c>
      <c r="I2139" s="3" t="n">
        <v>0</v>
      </c>
      <c r="J2139" s="3" t="n">
        <v>0</v>
      </c>
      <c r="K2139" s="3" t="n">
        <v>0</v>
      </c>
      <c r="L2139" s="3">
        <f>IF(K2139&lt;-5,"CRÍTICO",IF(K2139&lt;0,"ATENÇÃO",IF(K2139&lt;=5,"BOM","EXCELENTE")))</f>
        <v/>
      </c>
      <c r="M2139" t="n">
        <v>6</v>
      </c>
      <c r="N2139" t="n">
        <v>98.68000000000001</v>
      </c>
      <c r="O2139" t="n">
        <v>26.21951219512195</v>
      </c>
    </row>
    <row r="2140" hidden="1">
      <c r="A2140" s="11" t="n">
        <v>46069</v>
      </c>
      <c r="B2140" t="inlineStr">
        <is>
          <t>Ana Karollyne Souza Faria</t>
        </is>
      </c>
      <c r="C2140" t="inlineStr">
        <is>
          <t>Técnico I</t>
        </is>
      </c>
      <c r="D2140" t="n">
        <v>8</v>
      </c>
      <c r="E2140" t="n">
        <v>8</v>
      </c>
      <c r="F2140" t="n">
        <v>18.35</v>
      </c>
      <c r="G2140" t="n">
        <v>0</v>
      </c>
      <c r="H2140" t="n">
        <v>0</v>
      </c>
      <c r="I2140" s="3">
        <f>E2140+G2140+H2140</f>
        <v/>
      </c>
      <c r="J2140" s="3">
        <f>ROUND(MIN(IF(C2140="Técnico III",35,IF(C2140="Técnico II",28,IF(C2140="Técnico I",23,IF(C2140="JR",20,IF(C2140="Estágio",10,0))))),IF(C2140="Técnico III",SUMIFS($D:$D,$A:$A,$A2140,$B:$B,"&lt;&gt;Patrícia Karla de Sousa Araújo",$B:$B,"&lt;&gt;Lorena Dias de Araujo",$B:$B,"&lt;&gt;Lucas Luiz Romero")*(35/1083),IF(C2140="Técnico II",SUMIFS($D:$D,$A:$A,$A2140,$B:$B,"&lt;&gt;Patrícia Karla de Sousa Araújo",$B:$B,"&lt;&gt;Lorena Dias de Araujo",$B:$B,"&lt;&gt;Lucas Luiz Romero")*(28/1083),IF(C2140="Técnico I",SUMIFS($D:$D,$A:$A,$A2140,$B:$B,"&lt;&gt;Patrícia Karla de Sousa Araújo",$B:$B,"&lt;&gt;Lorena Dias de Araujo",$B:$B,"&lt;&gt;Lucas Luiz Romero")*(23/1083),IF(C2140="JR",SUMIFS($D:$D,$A:$A,$A2140,$B:$B,"&lt;&gt;Patrícia Karla de Sousa Araújo",$B:$B,"&lt;&gt;Lorena Dias de Araujo",$B:$B,"&lt;&gt;Lucas Luiz Romero")*(20/1083),IF(C2140="Estágio",SUMIFS($D:$D,$A:$A,$A2140,$B:$B,"&lt;&gt;Patrícia Karla de Sousa Araújo",$B:$B,"&lt;&gt;Lorena Dias de Araujo",$B:$B,"&lt;&gt;Lucas Luiz Romero")*(10/1083),0)))))),0)</f>
        <v/>
      </c>
      <c r="K2140" s="3">
        <f>I2140-J2140</f>
        <v/>
      </c>
      <c r="L2140" s="3">
        <f>IF(K2140&lt;-5,"CRÍTICO",IF(K2140&lt;0,"ATENÇÃO",IF(K2140&lt;=5,"BOM","EXCELENTE")))</f>
        <v/>
      </c>
      <c r="M2140" t="n">
        <v>7</v>
      </c>
      <c r="N2140" t="n">
        <v>100</v>
      </c>
      <c r="O2140" t="n">
        <v>31.74224343675418</v>
      </c>
    </row>
    <row r="2141" hidden="1">
      <c r="A2141" s="11" t="n">
        <v>46069</v>
      </c>
      <c r="B2141" t="inlineStr">
        <is>
          <t>Ana Paula Da Luz Silva Aleixo</t>
        </is>
      </c>
      <c r="C2141" t="inlineStr">
        <is>
          <t>Técnico III</t>
        </is>
      </c>
      <c r="D2141" t="n">
        <v>9</v>
      </c>
      <c r="E2141" t="n">
        <v>8</v>
      </c>
      <c r="F2141" t="n">
        <v>30.38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t="n">
        <v>5</v>
      </c>
      <c r="N2141" t="n">
        <v>98.25</v>
      </c>
      <c r="O2141" t="n">
        <v>25.83518930957684</v>
      </c>
    </row>
    <row r="2142" hidden="1">
      <c r="A2142" s="11" t="n">
        <v>46069</v>
      </c>
      <c r="B2142" t="inlineStr">
        <is>
          <t>Anna Luiza Rezende Tavares</t>
        </is>
      </c>
      <c r="C2142" t="inlineStr">
        <is>
          <t>Estágio</t>
        </is>
      </c>
      <c r="D2142" t="n">
        <v>4</v>
      </c>
      <c r="E2142" t="n">
        <v>2</v>
      </c>
      <c r="F2142" t="n">
        <v>23.3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t="n">
        <v>3</v>
      </c>
      <c r="N2142" t="n">
        <v>97.5</v>
      </c>
      <c r="O2142" t="n">
        <v>30.07518796992481</v>
      </c>
    </row>
    <row r="2143" hidden="1">
      <c r="A2143" s="11" t="n">
        <v>46069</v>
      </c>
      <c r="B2143" t="inlineStr">
        <is>
          <t>Brenda de Menezes Silva</t>
        </is>
      </c>
      <c r="C2143" t="inlineStr">
        <is>
          <t>Técnico II</t>
        </is>
      </c>
      <c r="D2143" t="n">
        <v>6</v>
      </c>
      <c r="E2143" t="n">
        <v>6</v>
      </c>
      <c r="F2143" t="n">
        <v>23.58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M2143" t="n">
        <v>5</v>
      </c>
      <c r="N2143" t="n">
        <v>100</v>
      </c>
      <c r="O2143" t="n">
        <v>29.71311475409836</v>
      </c>
    </row>
    <row r="2144" hidden="1">
      <c r="A2144" s="11" t="n">
        <v>46069</v>
      </c>
      <c r="B2144" t="inlineStr">
        <is>
          <t>Carlos Mateus Cassimiro Nunes</t>
        </is>
      </c>
      <c r="C2144" t="inlineStr">
        <is>
          <t>Técnico II</t>
        </is>
      </c>
      <c r="D2144" t="n">
        <v>7</v>
      </c>
      <c r="E2144" t="n">
        <v>7</v>
      </c>
      <c r="F2144" t="n">
        <v>33.44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t="n">
        <v>8</v>
      </c>
      <c r="N2144" t="n">
        <v>99.22</v>
      </c>
      <c r="O2144" t="n">
        <v>35.25641025641026</v>
      </c>
    </row>
    <row r="2145" hidden="1">
      <c r="A2145" s="11" t="n">
        <v>46069</v>
      </c>
      <c r="B2145" t="inlineStr">
        <is>
          <t>Claudio de Sousa Velasco Filho</t>
        </is>
      </c>
      <c r="C2145" t="inlineStr">
        <is>
          <t>Estágio</t>
        </is>
      </c>
      <c r="D2145" t="n">
        <v>0</v>
      </c>
      <c r="E2145" t="n">
        <v>0</v>
      </c>
      <c r="F2145" t="n">
        <v>0</v>
      </c>
      <c r="G2145" t="n">
        <v>0</v>
      </c>
      <c r="H2145" t="n">
        <v>0</v>
      </c>
      <c r="I2145" s="3" t="n">
        <v>0</v>
      </c>
      <c r="J2145" s="3" t="n">
        <v>0</v>
      </c>
      <c r="K2145" s="3" t="n">
        <v>0</v>
      </c>
      <c r="L2145" s="3">
        <f>IF(K2145&lt;-5,"CRÍTICO",IF(K2145&lt;0,"ATENÇÃO",IF(K2145&lt;=5,"BOM","EXCELENTE")))</f>
        <v/>
      </c>
      <c r="M2145" t="n">
        <v>0</v>
      </c>
      <c r="N2145" t="n">
        <v>0</v>
      </c>
      <c r="O2145" t="n">
        <v>0</v>
      </c>
    </row>
    <row r="2146" hidden="1">
      <c r="A2146" s="11" t="n">
        <v>46069</v>
      </c>
      <c r="B2146" t="inlineStr">
        <is>
          <t>Clessiane Pereira dos Santos</t>
        </is>
      </c>
      <c r="C2146" t="inlineStr">
        <is>
          <t>Técnico I</t>
        </is>
      </c>
      <c r="D2146" t="n">
        <v>7</v>
      </c>
      <c r="E2146" t="n">
        <v>6</v>
      </c>
      <c r="F2146" t="n">
        <v>20.3</v>
      </c>
      <c r="G2146" t="n">
        <v>0</v>
      </c>
      <c r="H2146" t="n">
        <v>0</v>
      </c>
      <c r="I2146" s="3">
        <f>E2146+G2146+H2146</f>
        <v/>
      </c>
      <c r="J2146" s="3">
        <f>ROUND(MIN(IF(C2146="Técnico III",35,IF(C2146="Técnico II",28,IF(C2146="Técnico I",23,IF(C2146="JR",20,IF(C2146="Estágio",10,0))))),IF(C2146="Técnico III",SUMIFS($D:$D,$A:$A,$A2146,$B:$B,"&lt;&gt;Patrícia Karla de Sousa Araújo",$B:$B,"&lt;&gt;Lorena Dias de Araujo",$B:$B,"&lt;&gt;Lucas Luiz Romero")*(35/1083),IF(C2146="Técnico II",SUMIFS($D:$D,$A:$A,$A2146,$B:$B,"&lt;&gt;Patrícia Karla de Sousa Araújo",$B:$B,"&lt;&gt;Lorena Dias de Araujo",$B:$B,"&lt;&gt;Lucas Luiz Romero")*(28/1083),IF(C2146="Técnico I",SUMIFS($D:$D,$A:$A,$A2146,$B:$B,"&lt;&gt;Patrícia Karla de Sousa Araújo",$B:$B,"&lt;&gt;Lorena Dias de Araujo",$B:$B,"&lt;&gt;Lucas Luiz Romero")*(23/1083),IF(C2146="JR",SUMIFS($D:$D,$A:$A,$A2146,$B:$B,"&lt;&gt;Patrícia Karla de Sousa Araújo",$B:$B,"&lt;&gt;Lorena Dias de Araujo",$B:$B,"&lt;&gt;Lucas Luiz Romero")*(20/1083),IF(C2146="Estágio",SUMIFS($D:$D,$A:$A,$A2146,$B:$B,"&lt;&gt;Patrícia Karla de Sousa Araújo",$B:$B,"&lt;&gt;Lorena Dias de Araujo",$B:$B,"&lt;&gt;Lucas Luiz Romero")*(10/1083),0)))))),0)</f>
        <v/>
      </c>
      <c r="K2146" s="3">
        <f>I2146-J2146</f>
        <v/>
      </c>
      <c r="L2146" s="3">
        <f>IF(K2146&lt;-5,"CRÍTICO",IF(K2146&lt;0,"ATENÇÃO",IF(K2146&lt;=5,"BOM","EXCELENTE")))</f>
        <v/>
      </c>
      <c r="M2146" t="n">
        <v>4</v>
      </c>
      <c r="N2146" t="n">
        <v>98.75</v>
      </c>
      <c r="O2146" t="n">
        <v>24.32432432432433</v>
      </c>
    </row>
    <row r="2147" hidden="1">
      <c r="A2147" s="11" t="n">
        <v>46069</v>
      </c>
      <c r="B2147" t="inlineStr">
        <is>
          <t>Cristiane Ramos da Silva Rocha</t>
        </is>
      </c>
      <c r="C2147" t="inlineStr">
        <is>
          <t>Técnico III</t>
        </is>
      </c>
      <c r="D2147" t="n">
        <v>9</v>
      </c>
      <c r="E2147" t="n">
        <v>7</v>
      </c>
      <c r="F2147" t="n">
        <v>10.33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t="n">
        <v>9</v>
      </c>
      <c r="N2147" t="n">
        <v>93.48</v>
      </c>
      <c r="O2147" t="n">
        <v>31.52804642166344</v>
      </c>
    </row>
    <row r="2148" hidden="1">
      <c r="A2148" s="11" t="n">
        <v>46069</v>
      </c>
      <c r="B2148" t="inlineStr">
        <is>
          <t>Damyllis Lorraine de Oliveira Gonçalves</t>
        </is>
      </c>
      <c r="C2148" t="inlineStr">
        <is>
          <t>Técnico II</t>
        </is>
      </c>
      <c r="D2148" t="n">
        <v>5</v>
      </c>
      <c r="E2148" t="n">
        <v>1</v>
      </c>
      <c r="F2148" t="n">
        <v>1.55</v>
      </c>
      <c r="G2148" t="n">
        <v>0</v>
      </c>
      <c r="H2148" t="n">
        <v>0</v>
      </c>
      <c r="I2148" s="3" t="n">
        <v>0</v>
      </c>
      <c r="J2148" s="3" t="n">
        <v>0</v>
      </c>
      <c r="K2148" s="3" t="n">
        <v>0</v>
      </c>
      <c r="L2148" s="3">
        <f>IF(K2148&lt;-5,"CRÍTICO",IF(K2148&lt;0,"ATENÇÃO",IF(K2148&lt;=5,"BOM","EXCELENTE")))</f>
        <v/>
      </c>
      <c r="M2148" t="n">
        <v>0</v>
      </c>
      <c r="N2148" t="n">
        <v>99.16</v>
      </c>
      <c r="O2148" t="n">
        <v>26.13908872901678</v>
      </c>
    </row>
    <row r="2149" hidden="1">
      <c r="A2149" s="11" t="n">
        <v>46069</v>
      </c>
      <c r="B2149" t="inlineStr">
        <is>
          <t>Daniel Gomes da Silva</t>
        </is>
      </c>
      <c r="C2149" t="inlineStr">
        <is>
          <t>Técnico I</t>
        </is>
      </c>
      <c r="D2149" t="n">
        <v>8</v>
      </c>
      <c r="E2149" t="n">
        <v>8</v>
      </c>
      <c r="F2149" t="n">
        <v>15.25</v>
      </c>
      <c r="G2149" t="n">
        <v>0</v>
      </c>
      <c r="H2149" t="n">
        <v>0</v>
      </c>
      <c r="I2149" s="3">
        <f>E2149+G2149+H2149</f>
        <v/>
      </c>
      <c r="J2149" s="3">
        <f>ROUND(MIN(IF(C2149="Técnico III",35,IF(C2149="Técnico II",28,IF(C2149="Técnico I",23,IF(C2149="JR",20,IF(C2149="Estágio",10,0))))),IF(C2149="Técnico III",SUMIFS($D:$D,$A:$A,$A2149,$B:$B,"&lt;&gt;Patrícia Karla de Sousa Araújo",$B:$B,"&lt;&gt;Lorena Dias de Araujo",$B:$B,"&lt;&gt;Lucas Luiz Romero")*(35/1083),IF(C2149="Técnico II",SUMIFS($D:$D,$A:$A,$A2149,$B:$B,"&lt;&gt;Patrícia Karla de Sousa Araújo",$B:$B,"&lt;&gt;Lorena Dias de Araujo",$B:$B,"&lt;&gt;Lucas Luiz Romero")*(28/1083),IF(C2149="Técnico I",SUMIFS($D:$D,$A:$A,$A2149,$B:$B,"&lt;&gt;Patrícia Karla de Sousa Araújo",$B:$B,"&lt;&gt;Lorena Dias de Araujo",$B:$B,"&lt;&gt;Lucas Luiz Romero")*(23/1083),IF(C2149="JR",SUMIFS($D:$D,$A:$A,$A2149,$B:$B,"&lt;&gt;Patrícia Karla de Sousa Araújo",$B:$B,"&lt;&gt;Lorena Dias de Araujo",$B:$B,"&lt;&gt;Lucas Luiz Romero")*(20/1083),IF(C2149="Estágio",SUMIFS($D:$D,$A:$A,$A2149,$B:$B,"&lt;&gt;Patrícia Karla de Sousa Araújo",$B:$B,"&lt;&gt;Lorena Dias de Araujo",$B:$B,"&lt;&gt;Lucas Luiz Romero")*(10/1083),0)))))),0)</f>
        <v/>
      </c>
      <c r="K2149" s="3">
        <f>I2149-J2149</f>
        <v/>
      </c>
      <c r="L2149" s="3">
        <f>IF(K2149&lt;-5,"CRÍTICO",IF(K2149&lt;0,"ATENÇÃO",IF(K2149&lt;=5,"BOM","EXCELENTE")))</f>
        <v/>
      </c>
      <c r="M2149" t="n">
        <v>6</v>
      </c>
      <c r="N2149" t="n">
        <v>100</v>
      </c>
      <c r="O2149" t="n">
        <v>31.08974358974359</v>
      </c>
    </row>
    <row r="2150" hidden="1">
      <c r="A2150" s="11" t="n">
        <v>46069</v>
      </c>
      <c r="B2150" t="inlineStr">
        <is>
          <t>Davylla Rodrigues Freitas Silva</t>
        </is>
      </c>
      <c r="C2150" t="inlineStr">
        <is>
          <t>Técnico III</t>
        </is>
      </c>
      <c r="D2150" t="n">
        <v>7</v>
      </c>
      <c r="E2150" t="n">
        <v>7</v>
      </c>
      <c r="F2150" t="n">
        <v>32.34</v>
      </c>
      <c r="G2150" t="n">
        <v>0</v>
      </c>
      <c r="H2150" t="n">
        <v>0</v>
      </c>
      <c r="I2150" s="3" t="n">
        <v>0</v>
      </c>
      <c r="J2150" s="3" t="n">
        <v>0</v>
      </c>
      <c r="K2150" s="3" t="n">
        <v>0</v>
      </c>
      <c r="L2150" s="3">
        <f>IF(K2150&lt;-5,"CRÍTICO",IF(K2150&lt;0,"ATENÇÃO",IF(K2150&lt;=5,"BOM","EXCELENTE")))</f>
        <v/>
      </c>
      <c r="M2150" t="n">
        <v>7</v>
      </c>
      <c r="N2150" t="n">
        <v>98.11</v>
      </c>
      <c r="O2150" t="n">
        <v>33.03370786516854</v>
      </c>
    </row>
    <row r="2151" hidden="1">
      <c r="A2151" s="11" t="n">
        <v>46069</v>
      </c>
      <c r="B2151" t="inlineStr">
        <is>
          <t>Emilly Caylane Costa</t>
        </is>
      </c>
      <c r="C2151" t="inlineStr">
        <is>
          <t>Estágio</t>
        </is>
      </c>
      <c r="D2151" t="n">
        <v>5</v>
      </c>
      <c r="E2151" t="n">
        <v>4</v>
      </c>
      <c r="F2151" t="n">
        <v>11.48</v>
      </c>
      <c r="G2151" t="n">
        <v>0</v>
      </c>
      <c r="H2151" t="n">
        <v>0</v>
      </c>
      <c r="I2151" s="3">
        <f>E2151+G2151+H2151</f>
        <v/>
      </c>
      <c r="J2151" s="3">
        <f>ROUND(MIN(IF(C2151="Técnico III",35,IF(C2151="Técnico II",28,IF(C2151="Técnico I",23,IF(C2151="JR",20,IF(C2151="Estágio",10,0))))),IF(C2151="Técnico III",SUMIFS($D:$D,$A:$A,$A2151,$B:$B,"&lt;&gt;Patrícia Karla de Sousa Araújo",$B:$B,"&lt;&gt;Lorena Dias de Araujo",$B:$B,"&lt;&gt;Lucas Luiz Romero")*(35/1083),IF(C2151="Técnico II",SUMIFS($D:$D,$A:$A,$A2151,$B:$B,"&lt;&gt;Patrícia Karla de Sousa Araújo",$B:$B,"&lt;&gt;Lorena Dias de Araujo",$B:$B,"&lt;&gt;Lucas Luiz Romero")*(28/1083),IF(C2151="Técnico I",SUMIFS($D:$D,$A:$A,$A2151,$B:$B,"&lt;&gt;Patrícia Karla de Sousa Araújo",$B:$B,"&lt;&gt;Lorena Dias de Araujo",$B:$B,"&lt;&gt;Lucas Luiz Romero")*(23/1083),IF(C2151="JR",SUMIFS($D:$D,$A:$A,$A2151,$B:$B,"&lt;&gt;Patrícia Karla de Sousa Araújo",$B:$B,"&lt;&gt;Lorena Dias de Araujo",$B:$B,"&lt;&gt;Lucas Luiz Romero")*(20/1083),IF(C2151="Estágio",SUMIFS($D:$D,$A:$A,$A2151,$B:$B,"&lt;&gt;Patrícia Karla de Sousa Araújo",$B:$B,"&lt;&gt;Lorena Dias de Araujo",$B:$B,"&lt;&gt;Lucas Luiz Romero")*(10/1083),0)))))),0)</f>
        <v/>
      </c>
      <c r="K2151" s="3">
        <f>I2151-J2151</f>
        <v/>
      </c>
      <c r="L2151" s="3">
        <f>IF(K2151&lt;-5,"CRÍTICO",IF(K2151&lt;0,"ATENÇÃO",IF(K2151&lt;=5,"BOM","EXCELENTE")))</f>
        <v/>
      </c>
      <c r="M2151" t="n">
        <v>3</v>
      </c>
      <c r="N2151" t="n">
        <v>78.95</v>
      </c>
      <c r="O2151" t="n">
        <v>38.98305084745763</v>
      </c>
    </row>
    <row r="2152" hidden="1">
      <c r="A2152" s="11" t="n">
        <v>46069</v>
      </c>
      <c r="B2152" t="inlineStr">
        <is>
          <t>Emilly Kamilly Medeiros Miranda</t>
        </is>
      </c>
      <c r="C2152" t="inlineStr">
        <is>
          <t>Técnico II</t>
        </is>
      </c>
      <c r="D2152" t="n">
        <v>10</v>
      </c>
      <c r="E2152" t="n">
        <v>10</v>
      </c>
      <c r="F2152" t="n">
        <v>22.03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t="n">
        <v>8</v>
      </c>
      <c r="N2152" t="n">
        <v>98.45</v>
      </c>
      <c r="O2152" t="n">
        <v>29.2817679558011</v>
      </c>
    </row>
    <row r="2153" hidden="1">
      <c r="A2153" s="11" t="n">
        <v>46069</v>
      </c>
      <c r="B2153" t="inlineStr">
        <is>
          <t>Francielson de Oliveira</t>
        </is>
      </c>
      <c r="C2153" t="inlineStr">
        <is>
          <t>Técnico III</t>
        </is>
      </c>
      <c r="D2153" t="n">
        <v>8</v>
      </c>
      <c r="E2153" t="n">
        <v>8</v>
      </c>
      <c r="F2153" t="n">
        <v>25.23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t="n">
        <v>9</v>
      </c>
      <c r="N2153" t="n">
        <v>97.84</v>
      </c>
      <c r="O2153" t="n">
        <v>26.28205128205128</v>
      </c>
    </row>
    <row r="2154" hidden="1">
      <c r="A2154" s="11" t="n">
        <v>46069</v>
      </c>
      <c r="B2154" t="inlineStr">
        <is>
          <t>Francilene Ferreira de Jesus</t>
        </is>
      </c>
      <c r="C2154" t="inlineStr">
        <is>
          <t>Técnico II</t>
        </is>
      </c>
      <c r="D2154" t="n">
        <v>7</v>
      </c>
      <c r="E2154" t="n">
        <v>7</v>
      </c>
      <c r="F2154" t="n">
        <v>30.48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t="n">
        <v>6</v>
      </c>
      <c r="N2154" t="n">
        <v>98.5</v>
      </c>
      <c r="O2154" t="n">
        <v>23.97769516728625</v>
      </c>
    </row>
    <row r="2155" hidden="1">
      <c r="A2155" s="11" t="n">
        <v>46101</v>
      </c>
      <c r="B2155" t="inlineStr">
        <is>
          <t>Gabriel Gomes de Andrade</t>
        </is>
      </c>
      <c r="C2155" t="inlineStr">
        <is>
          <t>Técnico I</t>
        </is>
      </c>
      <c r="D2155" t="n">
        <v>19</v>
      </c>
      <c r="E2155" t="n">
        <v>17</v>
      </c>
      <c r="F2155" t="n">
        <v>17.27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t="n">
        <v>18</v>
      </c>
      <c r="N2155" t="n">
        <v>99.05</v>
      </c>
      <c r="O2155" t="n">
        <v>26.62192393736018</v>
      </c>
    </row>
    <row r="2156" hidden="1">
      <c r="A2156" s="11" t="n">
        <v>46069</v>
      </c>
      <c r="B2156" t="inlineStr">
        <is>
          <t>Isabella Borges de Oliveira</t>
        </is>
      </c>
      <c r="C2156" t="inlineStr">
        <is>
          <t>Técnico II</t>
        </is>
      </c>
      <c r="D2156" t="n">
        <v>6</v>
      </c>
      <c r="E2156" t="n">
        <v>5</v>
      </c>
      <c r="F2156" t="n">
        <v>33.3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M2156" t="n">
        <v>5</v>
      </c>
      <c r="N2156" t="n">
        <v>98.53</v>
      </c>
      <c r="O2156" t="n">
        <v>31.57894736842105</v>
      </c>
    </row>
    <row r="2157" hidden="1">
      <c r="A2157" s="11" t="n">
        <v>46069</v>
      </c>
      <c r="B2157" t="inlineStr">
        <is>
          <t>Janaina Lima dos Reis Urany</t>
        </is>
      </c>
      <c r="C2157" t="inlineStr">
        <is>
          <t>Técnico III</t>
        </is>
      </c>
      <c r="D2157" t="n">
        <v>8</v>
      </c>
      <c r="E2157" t="n">
        <v>6</v>
      </c>
      <c r="F2157" t="n">
        <v>22.15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t="n">
        <v>6</v>
      </c>
      <c r="N2157" t="n">
        <v>100</v>
      </c>
      <c r="O2157" t="n">
        <v>25.72214580467676</v>
      </c>
    </row>
    <row r="2158" hidden="1">
      <c r="A2158" s="11" t="n">
        <v>46069</v>
      </c>
      <c r="B2158" t="inlineStr">
        <is>
          <t>Jaqueline Evangelista da Silva Martins</t>
        </is>
      </c>
      <c r="C2158" t="inlineStr">
        <is>
          <t>Técnico III</t>
        </is>
      </c>
      <c r="D2158" t="n">
        <v>7</v>
      </c>
      <c r="E2158" t="n">
        <v>7</v>
      </c>
      <c r="F2158" t="n">
        <v>8.539999999999999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M2158" t="n">
        <v>7</v>
      </c>
      <c r="N2158" t="n">
        <v>94.64</v>
      </c>
      <c r="O2158" t="n">
        <v>27.52941176470588</v>
      </c>
    </row>
    <row r="2159" hidden="1">
      <c r="A2159" s="11" t="n">
        <v>46069</v>
      </c>
      <c r="B2159" t="inlineStr">
        <is>
          <t>Jessica Faria da Silveira</t>
        </is>
      </c>
      <c r="C2159" t="inlineStr">
        <is>
          <t>Técnico II</t>
        </is>
      </c>
      <c r="D2159" t="n">
        <v>8</v>
      </c>
      <c r="E2159" t="n">
        <v>7</v>
      </c>
      <c r="F2159" t="n">
        <v>23.33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M2159" t="n">
        <v>6</v>
      </c>
      <c r="N2159" t="n">
        <v>99.06999999999999</v>
      </c>
      <c r="O2159" t="n">
        <v>26.3768115942029</v>
      </c>
    </row>
    <row r="2160" hidden="1">
      <c r="A2160" s="11" t="n">
        <v>46069</v>
      </c>
      <c r="B2160" t="inlineStr">
        <is>
          <t>Jéssica Fé Moura</t>
        </is>
      </c>
      <c r="C2160" t="inlineStr">
        <is>
          <t>Técnico III</t>
        </is>
      </c>
      <c r="D2160" t="n">
        <v>0</v>
      </c>
      <c r="E2160" t="n">
        <v>0</v>
      </c>
      <c r="F2160" t="n">
        <v>0</v>
      </c>
      <c r="G2160" t="n">
        <v>0</v>
      </c>
      <c r="H2160" t="n">
        <v>0</v>
      </c>
      <c r="I2160" s="3" t="n">
        <v>0</v>
      </c>
      <c r="J2160" s="3" t="n">
        <v>0</v>
      </c>
      <c r="K2160" s="3" t="n">
        <v>0</v>
      </c>
      <c r="L2160" s="3">
        <f>IF(K2160&lt;-5,"CRÍTICO",IF(K2160&lt;0,"ATENÇÃO",IF(K2160&lt;=5,"BOM","EXCELENTE")))</f>
        <v/>
      </c>
      <c r="M2160" t="n">
        <v>0</v>
      </c>
      <c r="N2160" t="n">
        <v>100</v>
      </c>
      <c r="O2160" t="n">
        <v>0</v>
      </c>
    </row>
    <row r="2161" hidden="1">
      <c r="A2161" s="11" t="n">
        <v>46069</v>
      </c>
      <c r="B2161" t="inlineStr">
        <is>
          <t>Karina Gonçalves Martins</t>
        </is>
      </c>
      <c r="C2161" t="inlineStr">
        <is>
          <t>JR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t="n">
        <v>0</v>
      </c>
      <c r="N2161" t="n">
        <v>98.48</v>
      </c>
      <c r="O2161" t="n">
        <v>27.85388127853881</v>
      </c>
    </row>
    <row r="2162" hidden="1">
      <c r="A2162" s="11" t="n">
        <v>46069</v>
      </c>
      <c r="B2162" t="inlineStr">
        <is>
          <t>Kerollen Cristielly de Jesus Siqueira</t>
        </is>
      </c>
      <c r="C2162" t="inlineStr">
        <is>
          <t>Técnico III</t>
        </is>
      </c>
      <c r="D2162" t="n">
        <v>7</v>
      </c>
      <c r="E2162" t="n">
        <v>6</v>
      </c>
      <c r="F2162" t="n">
        <v>22.25</v>
      </c>
      <c r="G2162" t="n">
        <v>0</v>
      </c>
      <c r="H2162" t="n">
        <v>0</v>
      </c>
      <c r="I2162" s="3">
        <f>E2162+G2162+H2162</f>
        <v/>
      </c>
      <c r="J2162" s="3">
        <f>ROUND(MIN(IF(C2162="Técnico III",35,IF(C2162="Técnico II",28,IF(C2162="Técnico I",23,IF(C2162="JR",20,IF(C2162="Estágio",10,0))))),IF(C2162="Técnico III",SUMIFS($D:$D,$A:$A,$A2162,$B:$B,"&lt;&gt;Patrícia Karla de Sousa Araújo",$B:$B,"&lt;&gt;Lorena Dias de Araujo",$B:$B,"&lt;&gt;Lucas Luiz Romero")*(35/1083),IF(C2162="Técnico II",SUMIFS($D:$D,$A:$A,$A2162,$B:$B,"&lt;&gt;Patrícia Karla de Sousa Araújo",$B:$B,"&lt;&gt;Lorena Dias de Araujo",$B:$B,"&lt;&gt;Lucas Luiz Romero")*(28/1083),IF(C2162="Técnico I",SUMIFS($D:$D,$A:$A,$A2162,$B:$B,"&lt;&gt;Patrícia Karla de Sousa Araújo",$B:$B,"&lt;&gt;Lorena Dias de Araujo",$B:$B,"&lt;&gt;Lucas Luiz Romero")*(23/1083),IF(C2162="JR",SUMIFS($D:$D,$A:$A,$A2162,$B:$B,"&lt;&gt;Patrícia Karla de Sousa Araújo",$B:$B,"&lt;&gt;Lorena Dias de Araujo",$B:$B,"&lt;&gt;Lucas Luiz Romero")*(20/1083),IF(C2162="Estágio",SUMIFS($D:$D,$A:$A,$A2162,$B:$B,"&lt;&gt;Patrícia Karla de Sousa Araújo",$B:$B,"&lt;&gt;Lorena Dias de Araujo",$B:$B,"&lt;&gt;Lucas Luiz Romero")*(10/1083),0)))))),0)</f>
        <v/>
      </c>
      <c r="K2162" s="3">
        <f>I2162-J2162</f>
        <v/>
      </c>
      <c r="L2162" s="3">
        <f>IF(K2162&lt;-5,"CRÍTICO",IF(K2162&lt;0,"ATENÇÃO",IF(K2162&lt;=5,"BOM","EXCELENTE")))</f>
        <v/>
      </c>
      <c r="M2162" t="n">
        <v>5</v>
      </c>
      <c r="N2162" t="n">
        <v>95.15000000000001</v>
      </c>
      <c r="O2162" t="n">
        <v>34.13173652694611</v>
      </c>
    </row>
    <row r="2163" hidden="1">
      <c r="A2163" s="11" t="n">
        <v>46069</v>
      </c>
      <c r="B2163" t="inlineStr">
        <is>
          <t>Leandro de Souza Silva</t>
        </is>
      </c>
      <c r="C2163" t="inlineStr">
        <is>
          <t>JR</t>
        </is>
      </c>
      <c r="D2163" t="n">
        <v>0</v>
      </c>
      <c r="E2163" t="n">
        <v>0</v>
      </c>
      <c r="F2163" t="n">
        <v>0</v>
      </c>
      <c r="G2163" t="n">
        <v>0</v>
      </c>
      <c r="H2163" t="n">
        <v>0</v>
      </c>
      <c r="I2163" s="3" t="n">
        <v>0</v>
      </c>
      <c r="J2163" s="3" t="n">
        <v>0</v>
      </c>
      <c r="K2163" s="3" t="n">
        <v>0</v>
      </c>
      <c r="L2163" s="3">
        <f>IF(K2163&lt;-5,"CRÍTICO",IF(K2163&lt;0,"ATENÇÃO",IF(K2163&lt;=5,"BOM","EXCELENTE")))</f>
        <v/>
      </c>
      <c r="M2163" t="n">
        <v>0</v>
      </c>
      <c r="N2163" t="n">
        <v>0</v>
      </c>
      <c r="O2163" t="n">
        <v>0</v>
      </c>
    </row>
    <row r="2164" hidden="1">
      <c r="A2164" s="11" t="n">
        <v>46069</v>
      </c>
      <c r="B2164" t="inlineStr">
        <is>
          <t>Leandro Oliveira de Sousa</t>
        </is>
      </c>
      <c r="C2164" t="inlineStr">
        <is>
          <t>Técnico III</t>
        </is>
      </c>
      <c r="D2164" t="n">
        <v>8</v>
      </c>
      <c r="E2164" t="n">
        <v>8</v>
      </c>
      <c r="F2164" t="n">
        <v>34.19</v>
      </c>
      <c r="G2164" t="n">
        <v>0</v>
      </c>
      <c r="H2164" t="n">
        <v>0</v>
      </c>
      <c r="I2164" s="3">
        <f>E2164+G2164+H2164</f>
        <v/>
      </c>
      <c r="J2164" s="3">
        <f>ROUND(MIN(IF(C2164="Técnico III",35,IF(C2164="Técnico II",28,IF(C2164="Técnico I",23,IF(C2164="JR",20,IF(C2164="Estágio",10,0))))),IF(C2164="Técnico III",SUMIFS($D:$D,$A:$A,$A2164,$B:$B,"&lt;&gt;Patrícia Karla de Sousa Araújo",$B:$B,"&lt;&gt;Lorena Dias de Araujo",$B:$B,"&lt;&gt;Lucas Luiz Romero")*(35/1083),IF(C2164="Técnico II",SUMIFS($D:$D,$A:$A,$A2164,$B:$B,"&lt;&gt;Patrícia Karla de Sousa Araújo",$B:$B,"&lt;&gt;Lorena Dias de Araujo",$B:$B,"&lt;&gt;Lucas Luiz Romero")*(28/1083),IF(C2164="Técnico I",SUMIFS($D:$D,$A:$A,$A2164,$B:$B,"&lt;&gt;Patrícia Karla de Sousa Araújo",$B:$B,"&lt;&gt;Lorena Dias de Araujo",$B:$B,"&lt;&gt;Lucas Luiz Romero")*(23/1083),IF(C2164="JR",SUMIFS($D:$D,$A:$A,$A2164,$B:$B,"&lt;&gt;Patrícia Karla de Sousa Araújo",$B:$B,"&lt;&gt;Lorena Dias de Araujo",$B:$B,"&lt;&gt;Lucas Luiz Romero")*(20/1083),IF(C2164="Estágio",SUMIFS($D:$D,$A:$A,$A2164,$B:$B,"&lt;&gt;Patrícia Karla de Sousa Araújo",$B:$B,"&lt;&gt;Lorena Dias de Araujo",$B:$B,"&lt;&gt;Lucas Luiz Romero")*(10/1083),0)))))),0)</f>
        <v/>
      </c>
      <c r="K2164" s="3">
        <f>I2164-J2164</f>
        <v/>
      </c>
      <c r="L2164" s="3">
        <f>IF(K2164&lt;-5,"CRÍTICO",IF(K2164&lt;0,"ATENÇÃO",IF(K2164&lt;=5,"BOM","EXCELENTE")))</f>
        <v/>
      </c>
      <c r="M2164" t="n">
        <v>8</v>
      </c>
      <c r="N2164" t="n">
        <v>99.26000000000001</v>
      </c>
      <c r="O2164" t="n">
        <v>30.84832904884319</v>
      </c>
    </row>
    <row r="2165" hidden="1">
      <c r="A2165" s="11" t="n">
        <v>46069</v>
      </c>
      <c r="B2165" t="inlineStr">
        <is>
          <t>Lizandra Gomes Duarte</t>
        </is>
      </c>
      <c r="C2165" t="inlineStr">
        <is>
          <t>Técnico II</t>
        </is>
      </c>
      <c r="D2165" t="n">
        <v>6</v>
      </c>
      <c r="E2165" t="n">
        <v>6</v>
      </c>
      <c r="F2165" t="n">
        <v>48.53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M2165" t="n">
        <v>35</v>
      </c>
      <c r="N2165" t="n">
        <v>97.48</v>
      </c>
      <c r="O2165" t="n">
        <v>27.76470588235294</v>
      </c>
    </row>
    <row r="2166" hidden="1">
      <c r="A2166" s="11" t="n">
        <v>46069</v>
      </c>
      <c r="B2166" t="inlineStr">
        <is>
          <t>Lorena Dias de Araujo</t>
        </is>
      </c>
      <c r="C2166" t="inlineStr">
        <is>
          <t>Técnico II</t>
        </is>
      </c>
      <c r="D2166" t="n">
        <v>7</v>
      </c>
      <c r="E2166" t="n">
        <v>7</v>
      </c>
      <c r="F2166" t="n">
        <v>35.48</v>
      </c>
      <c r="G2166" t="n">
        <v>0</v>
      </c>
      <c r="H2166" t="n">
        <v>0</v>
      </c>
      <c r="I2166" s="3" t="n">
        <v>0</v>
      </c>
      <c r="J2166" s="3" t="n">
        <v>0</v>
      </c>
      <c r="K2166" s="3" t="n">
        <v>0</v>
      </c>
      <c r="L2166" s="3">
        <f>IF(K2166&lt;-5,"CRÍTICO",IF(K2166&lt;0,"ATENÇÃO",IF(K2166&lt;=5,"BOM","EXCELENTE")))</f>
        <v/>
      </c>
      <c r="M2166" t="n">
        <v>5</v>
      </c>
      <c r="N2166" t="n">
        <v>99.34</v>
      </c>
      <c r="O2166" t="n">
        <v>30.04291845493562</v>
      </c>
    </row>
    <row r="2167" hidden="1">
      <c r="A2167" s="11" t="n">
        <v>46069</v>
      </c>
      <c r="B2167" t="inlineStr">
        <is>
          <t>Lucas Luiz Romero</t>
        </is>
      </c>
      <c r="C2167" t="inlineStr">
        <is>
          <t>Técnico III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M2167" t="n">
        <v>0</v>
      </c>
      <c r="N2167" t="n">
        <v>96.3</v>
      </c>
      <c r="O2167" t="n">
        <v>24.29378531073446</v>
      </c>
    </row>
    <row r="2168" hidden="1">
      <c r="A2168" s="11" t="n">
        <v>46069</v>
      </c>
      <c r="B2168" t="inlineStr">
        <is>
          <t>Luiz Fernando de Carvalho Junior</t>
        </is>
      </c>
      <c r="C2168" t="inlineStr">
        <is>
          <t>Técnico I</t>
        </is>
      </c>
      <c r="D2168" t="n">
        <v>7</v>
      </c>
      <c r="E2168" t="n">
        <v>7</v>
      </c>
      <c r="F2168" t="n">
        <v>22.37</v>
      </c>
      <c r="G2168" t="n">
        <v>0</v>
      </c>
      <c r="H2168" t="n">
        <v>0</v>
      </c>
      <c r="I2168" s="3">
        <f>E2168+G2168+H2168</f>
        <v/>
      </c>
      <c r="J2168" s="3">
        <f>ROUND(MIN(IF(C2168="Técnico III",35,IF(C2168="Técnico II",28,IF(C2168="Técnico I",23,IF(C2168="JR",20,IF(C2168="Estágio",10,0))))),IF(C2168="Técnico III",SUMIFS($D:$D,$A:$A,$A2168,$B:$B,"&lt;&gt;Patrícia Karla de Sousa Araújo",$B:$B,"&lt;&gt;Lorena Dias de Araujo",$B:$B,"&lt;&gt;Lucas Luiz Romero")*(35/1083),IF(C2168="Técnico II",SUMIFS($D:$D,$A:$A,$A2168,$B:$B,"&lt;&gt;Patrícia Karla de Sousa Araújo",$B:$B,"&lt;&gt;Lorena Dias de Araujo",$B:$B,"&lt;&gt;Lucas Luiz Romero")*(28/1083),IF(C2168="Técnico I",SUMIFS($D:$D,$A:$A,$A2168,$B:$B,"&lt;&gt;Patrícia Karla de Sousa Araújo",$B:$B,"&lt;&gt;Lorena Dias de Araujo",$B:$B,"&lt;&gt;Lucas Luiz Romero")*(23/1083),IF(C2168="JR",SUMIFS($D:$D,$A:$A,$A2168,$B:$B,"&lt;&gt;Patrícia Karla de Sousa Araújo",$B:$B,"&lt;&gt;Lorena Dias de Araujo",$B:$B,"&lt;&gt;Lucas Luiz Romero")*(20/1083),IF(C2168="Estágio",SUMIFS($D:$D,$A:$A,$A2168,$B:$B,"&lt;&gt;Patrícia Karla de Sousa Araújo",$B:$B,"&lt;&gt;Lorena Dias de Araujo",$B:$B,"&lt;&gt;Lucas Luiz Romero")*(10/1083),0)))))),0)</f>
        <v/>
      </c>
      <c r="K2168" s="3">
        <f>I2168-J2168</f>
        <v/>
      </c>
      <c r="L2168" s="3">
        <f>IF(K2168&lt;-5,"CRÍTICO",IF(K2168&lt;0,"ATENÇÃO",IF(K2168&lt;=5,"BOM","EXCELENTE")))</f>
        <v/>
      </c>
      <c r="M2168" t="n">
        <v>6</v>
      </c>
      <c r="N2168" t="n">
        <v>100</v>
      </c>
      <c r="O2168" t="n">
        <v>26.54320987654321</v>
      </c>
    </row>
    <row r="2169" hidden="1">
      <c r="A2169" s="11" t="n">
        <v>46069</v>
      </c>
      <c r="B2169" t="inlineStr">
        <is>
          <t>Maria Eduarda Sousa Costa</t>
        </is>
      </c>
      <c r="C2169" t="inlineStr">
        <is>
          <t>Estágio</t>
        </is>
      </c>
      <c r="D2169" t="n">
        <v>4</v>
      </c>
      <c r="E2169" t="n">
        <v>4</v>
      </c>
      <c r="F2169" t="n">
        <v>26.59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t="n">
        <v>3</v>
      </c>
      <c r="N2169" t="n">
        <v>100</v>
      </c>
      <c r="O2169" t="n">
        <v>35.48387096774194</v>
      </c>
    </row>
    <row r="2170" hidden="1">
      <c r="A2170" s="11" t="n">
        <v>46069</v>
      </c>
      <c r="B2170" t="inlineStr">
        <is>
          <t>Matheus Farias De Souza</t>
        </is>
      </c>
      <c r="C2170" t="inlineStr">
        <is>
          <t>Técnico III</t>
        </is>
      </c>
      <c r="D2170" t="n">
        <v>2</v>
      </c>
      <c r="E2170" t="n">
        <v>2</v>
      </c>
      <c r="F2170" t="n">
        <v>38.51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M2170" t="n">
        <v>3</v>
      </c>
      <c r="N2170" t="n">
        <v>99.27</v>
      </c>
      <c r="O2170" t="n">
        <v>31.16370808678501</v>
      </c>
    </row>
    <row r="2171" hidden="1">
      <c r="A2171" s="11" t="n">
        <v>46069</v>
      </c>
      <c r="B2171" t="inlineStr">
        <is>
          <t>Maysa Victoria Dias Moura</t>
        </is>
      </c>
      <c r="C2171" t="inlineStr">
        <is>
          <t>Técnico III</t>
        </is>
      </c>
      <c r="D2171" t="n">
        <v>7</v>
      </c>
      <c r="E2171" t="n">
        <v>5</v>
      </c>
      <c r="F2171" t="n">
        <v>7.07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M2171" t="n">
        <v>5</v>
      </c>
      <c r="N2171" t="n">
        <v>94.16</v>
      </c>
      <c r="O2171" t="n">
        <v>27.03862660944206</v>
      </c>
    </row>
    <row r="2172" hidden="1">
      <c r="A2172" s="11" t="n">
        <v>46069</v>
      </c>
      <c r="B2172" t="inlineStr">
        <is>
          <t>Michelle G Santos</t>
        </is>
      </c>
      <c r="C2172" t="inlineStr">
        <is>
          <t>Estágio</t>
        </is>
      </c>
      <c r="D2172" t="n">
        <v>0</v>
      </c>
      <c r="E2172" t="n">
        <v>0</v>
      </c>
      <c r="F2172" t="n">
        <v>0</v>
      </c>
      <c r="G2172" t="n">
        <v>0</v>
      </c>
      <c r="H2172" t="n">
        <v>0</v>
      </c>
      <c r="I2172" s="3" t="n">
        <v>0</v>
      </c>
      <c r="J2172" s="3" t="n">
        <v>0</v>
      </c>
      <c r="K2172" s="3" t="n">
        <v>0</v>
      </c>
      <c r="L2172" s="3">
        <f>IF(K2172&lt;-5,"CRÍTICO",IF(K2172&lt;0,"ATENÇÃO",IF(K2172&lt;=5,"BOM","EXCELENTE")))</f>
        <v/>
      </c>
      <c r="M2172" t="n">
        <v>0</v>
      </c>
      <c r="N2172" t="n">
        <v>93.75</v>
      </c>
      <c r="O2172" t="n">
        <v>19.31818181818182</v>
      </c>
    </row>
    <row r="2173" hidden="1">
      <c r="A2173" s="11" t="n">
        <v>46069</v>
      </c>
      <c r="B2173" t="inlineStr">
        <is>
          <t>Milena Sales</t>
        </is>
      </c>
      <c r="C2173" t="inlineStr">
        <is>
          <t>JR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t="n">
        <v>0</v>
      </c>
      <c r="N2173" t="n">
        <v>0</v>
      </c>
      <c r="O2173" t="n">
        <v>0</v>
      </c>
    </row>
    <row r="2174" hidden="1">
      <c r="A2174" s="11" t="n">
        <v>46069</v>
      </c>
      <c r="B2174" t="inlineStr">
        <is>
          <t>Patrícia Karla de Sousa Araújo</t>
        </is>
      </c>
      <c r="C2174" t="inlineStr">
        <is>
          <t>Técnico II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t="n">
        <v>0</v>
      </c>
      <c r="N2174" t="n">
        <v>97.92</v>
      </c>
      <c r="O2174" t="n">
        <v>32.87671232876712</v>
      </c>
    </row>
    <row r="2175" hidden="1">
      <c r="A2175" s="11" t="n">
        <v>46069</v>
      </c>
      <c r="B2175" t="inlineStr">
        <is>
          <t>Paulo Ricardo Santos</t>
        </is>
      </c>
      <c r="C2175" t="inlineStr">
        <is>
          <t>JR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t="n">
        <v>0</v>
      </c>
      <c r="N2175" t="n">
        <v>0</v>
      </c>
      <c r="O2175" t="n">
        <v>0</v>
      </c>
    </row>
    <row r="2176" hidden="1">
      <c r="A2176" s="11" t="n">
        <v>46069</v>
      </c>
      <c r="B2176" t="inlineStr">
        <is>
          <t>Pedro Luiz Mota Sousa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M2176" t="n">
        <v>0</v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Quirino Diogo Leite Torres</t>
        </is>
      </c>
      <c r="C2177" t="inlineStr">
        <is>
          <t>Estágio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M2177" t="n">
        <v>0</v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Raane Batista Matos</t>
        </is>
      </c>
      <c r="C2178" t="inlineStr">
        <is>
          <t>Técnico I</t>
        </is>
      </c>
      <c r="D2178" t="n">
        <v>7</v>
      </c>
      <c r="E2178" t="n">
        <v>7</v>
      </c>
      <c r="F2178" t="n">
        <v>25.45</v>
      </c>
      <c r="G2178" t="n">
        <v>0</v>
      </c>
      <c r="H2178" t="n">
        <v>0</v>
      </c>
      <c r="I2178" s="3">
        <f>E2178+G2178+H2178</f>
        <v/>
      </c>
      <c r="J2178" s="3">
        <f>ROUND(MIN(IF(C2178="Técnico III",35,IF(C2178="Técnico II",28,IF(C2178="Técnico I",23,IF(C2178="JR",20,IF(C2178="Estágio",10,0))))),IF(C2178="Técnico III",SUMIFS($D:$D,$A:$A,$A2178,$B:$B,"&lt;&gt;Patrícia Karla de Sousa Araújo",$B:$B,"&lt;&gt;Lorena Dias de Araujo",$B:$B,"&lt;&gt;Lucas Luiz Romero")*(35/1083),IF(C2178="Técnico II",SUMIFS($D:$D,$A:$A,$A2178,$B:$B,"&lt;&gt;Patrícia Karla de Sousa Araújo",$B:$B,"&lt;&gt;Lorena Dias de Araujo",$B:$B,"&lt;&gt;Lucas Luiz Romero")*(28/1083),IF(C2178="Técnico I",SUMIFS($D:$D,$A:$A,$A2178,$B:$B,"&lt;&gt;Patrícia Karla de Sousa Araújo",$B:$B,"&lt;&gt;Lorena Dias de Araujo",$B:$B,"&lt;&gt;Lucas Luiz Romero")*(23/1083),IF(C2178="JR",SUMIFS($D:$D,$A:$A,$A2178,$B:$B,"&lt;&gt;Patrícia Karla de Sousa Araújo",$B:$B,"&lt;&gt;Lorena Dias de Araujo",$B:$B,"&lt;&gt;Lucas Luiz Romero")*(20/1083),IF(C2178="Estágio",SUMIFS($D:$D,$A:$A,$A2178,$B:$B,"&lt;&gt;Patrícia Karla de Sousa Araújo",$B:$B,"&lt;&gt;Lorena Dias de Araujo",$B:$B,"&lt;&gt;Lucas Luiz Romero")*(10/1083),0)))))),0)</f>
        <v/>
      </c>
      <c r="K2178" s="3">
        <f>I2178-J2178</f>
        <v/>
      </c>
      <c r="L2178" s="3">
        <f>IF(K2178&lt;-5,"CRÍTICO",IF(K2178&lt;0,"ATENÇÃO",IF(K2178&lt;=5,"BOM","EXCELENTE")))</f>
        <v/>
      </c>
      <c r="M2178" t="n">
        <v>6</v>
      </c>
      <c r="N2178" t="n">
        <v>98.51000000000001</v>
      </c>
      <c r="O2178" t="n">
        <v>29.71014492753623</v>
      </c>
    </row>
    <row r="2179" hidden="1">
      <c r="A2179" s="11" t="n">
        <v>46069</v>
      </c>
      <c r="B2179" t="inlineStr">
        <is>
          <t>Rafael Gomes de Morais</t>
        </is>
      </c>
      <c r="C2179" t="inlineStr">
        <is>
          <t>Técnico III</t>
        </is>
      </c>
      <c r="D2179" t="n">
        <v>6</v>
      </c>
      <c r="E2179" t="n">
        <v>6</v>
      </c>
      <c r="F2179" t="n">
        <v>25.48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t="n">
        <v>3</v>
      </c>
      <c r="N2179" t="n">
        <v>98.81</v>
      </c>
      <c r="O2179" t="n">
        <v>30.71297989031079</v>
      </c>
    </row>
    <row r="2180" hidden="1">
      <c r="A2180" s="11" t="n">
        <v>46069</v>
      </c>
      <c r="B2180" t="inlineStr">
        <is>
          <t>Sara Maria Monteiro Lopes</t>
        </is>
      </c>
      <c r="C2180" t="inlineStr">
        <is>
          <t>Técnico I</t>
        </is>
      </c>
      <c r="D2180" t="n">
        <v>7</v>
      </c>
      <c r="E2180" t="n">
        <v>7</v>
      </c>
      <c r="F2180" t="n">
        <v>27.17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M2180" t="n">
        <v>7</v>
      </c>
      <c r="N2180" t="n">
        <v>98.48</v>
      </c>
      <c r="O2180" t="n">
        <v>29.35323383084577</v>
      </c>
    </row>
    <row r="2181" hidden="1">
      <c r="A2181" s="11" t="n">
        <v>46069</v>
      </c>
      <c r="B2181" t="inlineStr">
        <is>
          <t>Sarah Steffanie de Lima Borges</t>
        </is>
      </c>
      <c r="C2181" t="inlineStr">
        <is>
          <t>Técnico III</t>
        </is>
      </c>
      <c r="D2181" t="n">
        <v>10</v>
      </c>
      <c r="E2181" t="n">
        <v>9</v>
      </c>
      <c r="F2181" t="n">
        <v>27.23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M2181" t="n">
        <v>5</v>
      </c>
      <c r="N2181" t="n">
        <v>98.56</v>
      </c>
      <c r="O2181" t="n">
        <v>29.37365010799136</v>
      </c>
    </row>
    <row r="2182" hidden="1">
      <c r="A2182" s="11" t="n">
        <v>46070</v>
      </c>
      <c r="B2182" t="inlineStr">
        <is>
          <t>Alisson de Freitas Silva</t>
        </is>
      </c>
      <c r="C2182" t="inlineStr">
        <is>
          <t>Técnico II</t>
        </is>
      </c>
      <c r="D2182" t="n">
        <v>0</v>
      </c>
      <c r="E2182" t="n">
        <v>0</v>
      </c>
      <c r="F2182" t="n">
        <v>0</v>
      </c>
      <c r="G2182" t="n">
        <v>0</v>
      </c>
      <c r="H2182" t="n">
        <v>0</v>
      </c>
      <c r="I2182" s="3" t="n">
        <v>0</v>
      </c>
      <c r="J2182" s="3" t="n">
        <v>0</v>
      </c>
      <c r="K2182" s="3" t="n">
        <v>0</v>
      </c>
      <c r="L2182" s="3">
        <f>IF(K2182&lt;-5,"CRÍTICO",IF(K2182&lt;0,"ATENÇÃO",IF(K2182&lt;=5,"BOM","EXCELENTE")))</f>
        <v/>
      </c>
      <c r="M2182" t="n">
        <v>0</v>
      </c>
      <c r="N2182" t="n">
        <v>98.31999999999999</v>
      </c>
      <c r="O2182" t="n">
        <v>30.3030303030303</v>
      </c>
    </row>
    <row r="2183" hidden="1">
      <c r="A2183" s="11" t="n">
        <v>46070</v>
      </c>
      <c r="B2183" t="inlineStr">
        <is>
          <t>Amanda Moura Ferreira</t>
        </is>
      </c>
      <c r="C2183" t="inlineStr">
        <is>
          <t>Técnico III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t="n">
        <v>0</v>
      </c>
      <c r="N2183" t="n">
        <v>98.68000000000001</v>
      </c>
      <c r="O2183" t="n">
        <v>26.21951219512195</v>
      </c>
    </row>
    <row r="2184" hidden="1">
      <c r="A2184" s="11" t="n">
        <v>46070</v>
      </c>
      <c r="B2184" t="inlineStr">
        <is>
          <t>Ana Karollyne Souza Faria</t>
        </is>
      </c>
      <c r="C2184" t="inlineStr">
        <is>
          <t>Técnico 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t="n">
        <v>0</v>
      </c>
      <c r="N2184" t="n">
        <v>100</v>
      </c>
      <c r="O2184" t="n">
        <v>31.74224343675418</v>
      </c>
    </row>
    <row r="2185" hidden="1">
      <c r="A2185" s="11" t="n">
        <v>46070</v>
      </c>
      <c r="B2185" t="inlineStr">
        <is>
          <t>Ana Paula Da Luz Silva Aleixo</t>
        </is>
      </c>
      <c r="C2185" t="inlineStr">
        <is>
          <t>Técnico III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t="n">
        <v>0</v>
      </c>
      <c r="N2185" t="n">
        <v>98.25</v>
      </c>
      <c r="O2185" t="n">
        <v>25.83518930957684</v>
      </c>
    </row>
    <row r="2186" hidden="1">
      <c r="A2186" s="11" t="n">
        <v>46070</v>
      </c>
      <c r="B2186" t="inlineStr">
        <is>
          <t>Anna Luiza Rezende Tavares</t>
        </is>
      </c>
      <c r="C2186" t="inlineStr">
        <is>
          <t>Estágio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t="n">
        <v>0</v>
      </c>
      <c r="N2186" t="n">
        <v>97.5</v>
      </c>
      <c r="O2186" t="n">
        <v>30.07518796992481</v>
      </c>
    </row>
    <row r="2187" hidden="1">
      <c r="A2187" s="11" t="n">
        <v>46070</v>
      </c>
      <c r="B2187" t="inlineStr">
        <is>
          <t>Brenda de Menezes Silva</t>
        </is>
      </c>
      <c r="C2187" t="inlineStr">
        <is>
          <t>Técnico II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t="n">
        <v>0</v>
      </c>
      <c r="N2187" t="n">
        <v>100</v>
      </c>
      <c r="O2187" t="n">
        <v>29.71311475409836</v>
      </c>
    </row>
    <row r="2188" hidden="1">
      <c r="A2188" s="11" t="n">
        <v>46070</v>
      </c>
      <c r="B2188" t="inlineStr">
        <is>
          <t>Carlos Mateus Cassimiro Nunes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t="n">
        <v>0</v>
      </c>
      <c r="N2188" t="n">
        <v>99.22</v>
      </c>
      <c r="O2188" t="n">
        <v>35.25641025641026</v>
      </c>
    </row>
    <row r="2189" hidden="1">
      <c r="A2189" s="11" t="n">
        <v>46070</v>
      </c>
      <c r="B2189" t="inlineStr">
        <is>
          <t>Claudio de Sousa Velasco Filho</t>
        </is>
      </c>
      <c r="C2189" t="inlineStr">
        <is>
          <t>Estágio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t="n">
        <v>0</v>
      </c>
      <c r="N2189" t="n">
        <v>0</v>
      </c>
      <c r="O2189" t="n">
        <v>0</v>
      </c>
    </row>
    <row r="2190" hidden="1">
      <c r="A2190" s="11" t="n">
        <v>46070</v>
      </c>
      <c r="B2190" t="inlineStr">
        <is>
          <t>Clessiane Pereira dos Santos</t>
        </is>
      </c>
      <c r="C2190" t="inlineStr">
        <is>
          <t>Técnico I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t="n">
        <v>0</v>
      </c>
      <c r="N2190" t="n">
        <v>98.75</v>
      </c>
      <c r="O2190" t="n">
        <v>24.32432432432433</v>
      </c>
    </row>
    <row r="2191" hidden="1">
      <c r="A2191" s="11" t="n">
        <v>46070</v>
      </c>
      <c r="B2191" t="inlineStr">
        <is>
          <t>Cristiane Ramos da Silva Rocha</t>
        </is>
      </c>
      <c r="C2191" t="inlineStr">
        <is>
          <t>Técnico III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t="n">
        <v>0</v>
      </c>
      <c r="N2191" t="n">
        <v>93.48</v>
      </c>
      <c r="O2191" t="n">
        <v>31.52804642166344</v>
      </c>
    </row>
    <row r="2192" hidden="1">
      <c r="A2192" s="11" t="n">
        <v>46070</v>
      </c>
      <c r="B2192" t="inlineStr">
        <is>
          <t>Damyllis Lorraine de Oliveira Gonçalves</t>
        </is>
      </c>
      <c r="C2192" t="inlineStr">
        <is>
          <t>Técnico 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t="n">
        <v>0</v>
      </c>
      <c r="N2192" t="n">
        <v>99.16</v>
      </c>
      <c r="O2192" t="n">
        <v>26.13908872901678</v>
      </c>
    </row>
    <row r="2193" hidden="1">
      <c r="A2193" s="11" t="n">
        <v>46070</v>
      </c>
      <c r="B2193" t="inlineStr">
        <is>
          <t>Daniel Gomes da Silva</t>
        </is>
      </c>
      <c r="C2193" t="inlineStr">
        <is>
          <t>Técnico 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t="n">
        <v>0</v>
      </c>
      <c r="N2193" t="n">
        <v>100</v>
      </c>
      <c r="O2193" t="n">
        <v>31.08974358974359</v>
      </c>
    </row>
    <row r="2194" hidden="1">
      <c r="A2194" s="11" t="n">
        <v>46070</v>
      </c>
      <c r="B2194" t="inlineStr">
        <is>
          <t>Davylla Rodrigues Freitas Silva</t>
        </is>
      </c>
      <c r="C2194" t="inlineStr">
        <is>
          <t>Técnico III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t="n">
        <v>0</v>
      </c>
      <c r="N2194" t="n">
        <v>98.11</v>
      </c>
      <c r="O2194" t="n">
        <v>33.03370786516854</v>
      </c>
    </row>
    <row r="2195" hidden="1">
      <c r="A2195" s="11" t="n">
        <v>46070</v>
      </c>
      <c r="B2195" t="inlineStr">
        <is>
          <t>Emilly Caylane Costa</t>
        </is>
      </c>
      <c r="C2195" t="inlineStr">
        <is>
          <t>Estágio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t="n">
        <v>0</v>
      </c>
      <c r="N2195" t="n">
        <v>78.95</v>
      </c>
      <c r="O2195" t="n">
        <v>38.98305084745763</v>
      </c>
    </row>
    <row r="2196" hidden="1">
      <c r="A2196" s="11" t="n">
        <v>46070</v>
      </c>
      <c r="B2196" t="inlineStr">
        <is>
          <t>Emilly Kamilly Medeiros Miranda</t>
        </is>
      </c>
      <c r="C2196" t="inlineStr">
        <is>
          <t>Técnico II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t="n">
        <v>0</v>
      </c>
      <c r="N2196" t="n">
        <v>98.45</v>
      </c>
      <c r="O2196" t="n">
        <v>29.2817679558011</v>
      </c>
    </row>
    <row r="2197" hidden="1">
      <c r="A2197" s="11" t="n">
        <v>46070</v>
      </c>
      <c r="B2197" t="inlineStr">
        <is>
          <t>Francielson de Oliveira</t>
        </is>
      </c>
      <c r="C2197" t="inlineStr">
        <is>
          <t>Técnico III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M2197" t="n">
        <v>0</v>
      </c>
      <c r="N2197" t="n">
        <v>97.84</v>
      </c>
      <c r="O2197" t="n">
        <v>26.28205128205128</v>
      </c>
    </row>
    <row r="2198" hidden="1">
      <c r="A2198" s="11" t="n">
        <v>46070</v>
      </c>
      <c r="B2198" t="inlineStr">
        <is>
          <t>Francilene Ferreira de Jesus</t>
        </is>
      </c>
      <c r="C2198" t="inlineStr">
        <is>
          <t>Técnico 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t="n">
        <v>0</v>
      </c>
      <c r="N2198" t="n">
        <v>98.5</v>
      </c>
      <c r="O2198" t="n">
        <v>23.97769516728625</v>
      </c>
    </row>
    <row r="2199" hidden="1">
      <c r="A2199" s="11" t="n">
        <v>46104</v>
      </c>
      <c r="B2199" t="inlineStr">
        <is>
          <t>Gabriel Gomes de Andrade</t>
        </is>
      </c>
      <c r="C2199" t="inlineStr">
        <is>
          <t>Técnico I</t>
        </is>
      </c>
      <c r="D2199" t="n">
        <v>15</v>
      </c>
      <c r="E2199" t="n">
        <v>15</v>
      </c>
      <c r="F2199" t="n">
        <v>15.53</v>
      </c>
      <c r="G2199" t="n">
        <v>0</v>
      </c>
      <c r="H2199" t="n">
        <v>0</v>
      </c>
      <c r="I2199" s="3">
        <f>E2199+G2199+H2199</f>
        <v/>
      </c>
      <c r="J2199" s="3">
        <f>ROUND(MIN(IF(C2199="Técnico III",35,IF(C2199="Técnico II",28,IF(C2199="Técnico I",23,IF(C2199="JR",20,IF(C2199="Estágio",10,0))))),IF(C2199="Técnico III",SUMIFS($D:$D,$A:$A,$A2199,$B:$B,"&lt;&gt;Patrícia Karla de Sousa Araújo",$B:$B,"&lt;&gt;Lorena Dias de Araujo",$B:$B,"&lt;&gt;Lucas Luiz Romero")*(35/1083),IF(C2199="Técnico II",SUMIFS($D:$D,$A:$A,$A2199,$B:$B,"&lt;&gt;Patrícia Karla de Sousa Araújo",$B:$B,"&lt;&gt;Lorena Dias de Araujo",$B:$B,"&lt;&gt;Lucas Luiz Romero")*(28/1083),IF(C2199="Técnico I",SUMIFS($D:$D,$A:$A,$A2199,$B:$B,"&lt;&gt;Patrícia Karla de Sousa Araújo",$B:$B,"&lt;&gt;Lorena Dias de Araujo",$B:$B,"&lt;&gt;Lucas Luiz Romero")*(23/1083),IF(C2199="JR",SUMIFS($D:$D,$A:$A,$A2199,$B:$B,"&lt;&gt;Patrícia Karla de Sousa Araújo",$B:$B,"&lt;&gt;Lorena Dias de Araujo",$B:$B,"&lt;&gt;Lucas Luiz Romero")*(20/1083),IF(C2199="Estágio",SUMIFS($D:$D,$A:$A,$A2199,$B:$B,"&lt;&gt;Patrícia Karla de Sousa Araújo",$B:$B,"&lt;&gt;Lorena Dias de Araujo",$B:$B,"&lt;&gt;Lucas Luiz Romero")*(10/1083),0)))))),0)</f>
        <v/>
      </c>
      <c r="K2199" s="3">
        <f>I2199-J2199</f>
        <v/>
      </c>
      <c r="L2199" s="3">
        <f>IF(K2199&lt;-5,"CRÍTICO",IF(K2199&lt;0,"ATENÇÃO",IF(K2199&lt;=5,"BOM","EXCELENTE")))</f>
        <v/>
      </c>
      <c r="M2199" t="n">
        <v>11</v>
      </c>
      <c r="N2199" t="n">
        <v>99.05</v>
      </c>
      <c r="O2199" t="n">
        <v>26.62192393736018</v>
      </c>
    </row>
    <row r="2200" hidden="1">
      <c r="A2200" s="11" t="n">
        <v>46070</v>
      </c>
      <c r="B2200" t="inlineStr">
        <is>
          <t>Isabella Borges de Oliveira</t>
        </is>
      </c>
      <c r="C2200" t="inlineStr">
        <is>
          <t>Técnico II</t>
        </is>
      </c>
      <c r="D2200" t="n">
        <v>0</v>
      </c>
      <c r="E2200" t="n">
        <v>0</v>
      </c>
      <c r="F2200" t="n">
        <v>0</v>
      </c>
      <c r="G2200" t="n">
        <v>0</v>
      </c>
      <c r="H2200" t="n">
        <v>0</v>
      </c>
      <c r="I2200" s="3" t="n">
        <v>0</v>
      </c>
      <c r="J2200" s="3" t="n">
        <v>0</v>
      </c>
      <c r="K2200" s="3" t="n">
        <v>0</v>
      </c>
      <c r="L2200" s="3">
        <f>IF(K2200&lt;-5,"CRÍTICO",IF(K2200&lt;0,"ATENÇÃO",IF(K2200&lt;=5,"BOM","EXCELENTE")))</f>
        <v/>
      </c>
      <c r="M2200" t="n">
        <v>0</v>
      </c>
      <c r="N2200" t="n">
        <v>98.53</v>
      </c>
      <c r="O2200" t="n">
        <v>31.57894736842105</v>
      </c>
    </row>
    <row r="2201" hidden="1">
      <c r="A2201" s="11" t="n">
        <v>46070</v>
      </c>
      <c r="B2201" t="inlineStr">
        <is>
          <t>Janaina Lima dos Reis Urany</t>
        </is>
      </c>
      <c r="C2201" t="inlineStr">
        <is>
          <t>Técnico III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t="n">
        <v>0</v>
      </c>
      <c r="N2201" t="n">
        <v>100</v>
      </c>
      <c r="O2201" t="n">
        <v>25.72214580467676</v>
      </c>
    </row>
    <row r="2202" hidden="1">
      <c r="A2202" s="11" t="n">
        <v>46070</v>
      </c>
      <c r="B2202" t="inlineStr">
        <is>
          <t>Jaqueline Evangelista da Silva Martins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t="n">
        <v>0</v>
      </c>
      <c r="N2202" t="n">
        <v>94.64</v>
      </c>
      <c r="O2202" t="n">
        <v>27.52941176470588</v>
      </c>
    </row>
    <row r="2203" hidden="1">
      <c r="A2203" s="11" t="n">
        <v>46070</v>
      </c>
      <c r="B2203" t="inlineStr">
        <is>
          <t>Jessica Faria da Silveira</t>
        </is>
      </c>
      <c r="C2203" t="inlineStr">
        <is>
          <t>Técnico 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t="n">
        <v>0</v>
      </c>
      <c r="N2203" t="n">
        <v>99.06999999999999</v>
      </c>
      <c r="O2203" t="n">
        <v>26.3768115942029</v>
      </c>
    </row>
    <row r="2204" hidden="1">
      <c r="A2204" s="11" t="n">
        <v>46070</v>
      </c>
      <c r="B2204" t="inlineStr">
        <is>
          <t>Jéssica Fé Moura</t>
        </is>
      </c>
      <c r="C2204" t="inlineStr">
        <is>
          <t>Técnico III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t="n">
        <v>0</v>
      </c>
      <c r="N2204" t="n">
        <v>100</v>
      </c>
      <c r="O2204" t="n">
        <v>0</v>
      </c>
    </row>
    <row r="2205" hidden="1">
      <c r="A2205" s="11" t="n">
        <v>46070</v>
      </c>
      <c r="B2205" t="inlineStr">
        <is>
          <t>Karina Gonçalves Martins</t>
        </is>
      </c>
      <c r="C2205" t="inlineStr">
        <is>
          <t>JR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t="n">
        <v>0</v>
      </c>
      <c r="N2205" t="n">
        <v>98.48</v>
      </c>
      <c r="O2205" t="n">
        <v>27.85388127853881</v>
      </c>
    </row>
    <row r="2206" hidden="1">
      <c r="A2206" s="11" t="n">
        <v>46070</v>
      </c>
      <c r="B2206" t="inlineStr">
        <is>
          <t>Kerollen Cristielly de Jesus Siqueira</t>
        </is>
      </c>
      <c r="C2206" t="inlineStr">
        <is>
          <t>Técnico III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t="n">
        <v>0</v>
      </c>
      <c r="N2206" t="n">
        <v>95.15000000000001</v>
      </c>
      <c r="O2206" t="n">
        <v>34.13173652694611</v>
      </c>
    </row>
    <row r="2207" hidden="1">
      <c r="A2207" s="11" t="n">
        <v>46070</v>
      </c>
      <c r="B2207" t="inlineStr">
        <is>
          <t>Leandro de Souza Silva</t>
        </is>
      </c>
      <c r="C2207" t="inlineStr">
        <is>
          <t>JR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t="n">
        <v>0</v>
      </c>
      <c r="N2207" t="n">
        <v>0</v>
      </c>
      <c r="O2207" t="n">
        <v>0</v>
      </c>
    </row>
    <row r="2208" hidden="1">
      <c r="A2208" s="11" t="n">
        <v>46070</v>
      </c>
      <c r="B2208" t="inlineStr">
        <is>
          <t>Leandro Oliveira de Sousa</t>
        </is>
      </c>
      <c r="C2208" t="inlineStr">
        <is>
          <t>Técnico III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t="n">
        <v>0</v>
      </c>
      <c r="N2208" t="n">
        <v>99.26000000000001</v>
      </c>
      <c r="O2208" t="n">
        <v>30.84832904884319</v>
      </c>
    </row>
    <row r="2209" hidden="1">
      <c r="A2209" s="11" t="n">
        <v>46070</v>
      </c>
      <c r="B2209" t="inlineStr">
        <is>
          <t>Lizandra Gomes Duarte</t>
        </is>
      </c>
      <c r="C2209" t="inlineStr">
        <is>
          <t>Técnico 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t="n">
        <v>0</v>
      </c>
      <c r="N2209" t="n">
        <v>97.48</v>
      </c>
      <c r="O2209" t="n">
        <v>27.76470588235294</v>
      </c>
    </row>
    <row r="2210" hidden="1">
      <c r="A2210" s="11" t="n">
        <v>46070</v>
      </c>
      <c r="B2210" t="inlineStr">
        <is>
          <t>Lorena Dias de Araujo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t="n">
        <v>0</v>
      </c>
      <c r="N2210" t="n">
        <v>99.34</v>
      </c>
      <c r="O2210" t="n">
        <v>30.04291845493562</v>
      </c>
    </row>
    <row r="2211" hidden="1">
      <c r="A2211" s="11" t="n">
        <v>46070</v>
      </c>
      <c r="B2211" t="inlineStr">
        <is>
          <t>Lucas Luiz Romero</t>
        </is>
      </c>
      <c r="C2211" t="inlineStr">
        <is>
          <t>Técnico III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t="n">
        <v>0</v>
      </c>
      <c r="N2211" t="n">
        <v>96.3</v>
      </c>
      <c r="O2211" t="n">
        <v>24.29378531073446</v>
      </c>
    </row>
    <row r="2212" hidden="1">
      <c r="A2212" s="11" t="n">
        <v>46070</v>
      </c>
      <c r="B2212" t="inlineStr">
        <is>
          <t>Luiz Fernando de Carvalho Junior</t>
        </is>
      </c>
      <c r="C2212" t="inlineStr">
        <is>
          <t>Técnico 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t="n">
        <v>0</v>
      </c>
      <c r="N2212" t="n">
        <v>100</v>
      </c>
      <c r="O2212" t="n">
        <v>26.54320987654321</v>
      </c>
    </row>
    <row r="2213" hidden="1">
      <c r="A2213" s="11" t="n">
        <v>46070</v>
      </c>
      <c r="B2213" t="inlineStr">
        <is>
          <t>Maria Eduarda Sousa Costa</t>
        </is>
      </c>
      <c r="C2213" t="inlineStr">
        <is>
          <t>Estágio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t="n">
        <v>0</v>
      </c>
      <c r="N2213" t="n">
        <v>100</v>
      </c>
      <c r="O2213" t="n">
        <v>35.48387096774194</v>
      </c>
    </row>
    <row r="2214" hidden="1">
      <c r="A2214" s="11" t="n">
        <v>46070</v>
      </c>
      <c r="B2214" t="inlineStr">
        <is>
          <t>Matheus Farias De Souza</t>
        </is>
      </c>
      <c r="C2214" t="inlineStr">
        <is>
          <t>Técnico III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t="n">
        <v>0</v>
      </c>
      <c r="N2214" t="n">
        <v>99.27</v>
      </c>
      <c r="O2214" t="n">
        <v>31.16370808678501</v>
      </c>
    </row>
    <row r="2215" hidden="1">
      <c r="A2215" s="11" t="n">
        <v>46070</v>
      </c>
      <c r="B2215" t="inlineStr">
        <is>
          <t>Maysa Victoria Dias Moura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t="n">
        <v>0</v>
      </c>
      <c r="N2215" t="n">
        <v>94.16</v>
      </c>
      <c r="O2215" t="n">
        <v>27.03862660944206</v>
      </c>
    </row>
    <row r="2216" hidden="1">
      <c r="A2216" s="11" t="n">
        <v>46070</v>
      </c>
      <c r="B2216" t="inlineStr">
        <is>
          <t>Michelle G Santos</t>
        </is>
      </c>
      <c r="C2216" t="inlineStr">
        <is>
          <t>Estágio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t="n">
        <v>0</v>
      </c>
      <c r="N2216" t="n">
        <v>93.75</v>
      </c>
      <c r="O2216" t="n">
        <v>19.31818181818182</v>
      </c>
    </row>
    <row r="2217" hidden="1">
      <c r="A2217" s="11" t="n">
        <v>46070</v>
      </c>
      <c r="B2217" t="inlineStr">
        <is>
          <t>Milena Sales</t>
        </is>
      </c>
      <c r="C2217" t="inlineStr">
        <is>
          <t>JR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t="n">
        <v>0</v>
      </c>
      <c r="N2217" t="n">
        <v>0</v>
      </c>
      <c r="O2217" t="n">
        <v>0</v>
      </c>
    </row>
    <row r="2218" hidden="1">
      <c r="A2218" s="11" t="n">
        <v>46070</v>
      </c>
      <c r="B2218" t="inlineStr">
        <is>
          <t>Patrícia Karla de Sousa Araújo</t>
        </is>
      </c>
      <c r="C2218" t="inlineStr">
        <is>
          <t>Técnico II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t="n">
        <v>0</v>
      </c>
      <c r="N2218" t="n">
        <v>97.92</v>
      </c>
      <c r="O2218" t="n">
        <v>32.87671232876712</v>
      </c>
    </row>
    <row r="2219" hidden="1">
      <c r="A2219" s="11" t="n">
        <v>46070</v>
      </c>
      <c r="B2219" t="inlineStr">
        <is>
          <t>Paulo Ricardo Santos</t>
        </is>
      </c>
      <c r="C2219" t="inlineStr">
        <is>
          <t>JR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t="n">
        <v>0</v>
      </c>
      <c r="N2219" t="n">
        <v>0</v>
      </c>
      <c r="O2219" t="n">
        <v>0</v>
      </c>
    </row>
    <row r="2220" hidden="1">
      <c r="A2220" s="11" t="n">
        <v>46070</v>
      </c>
      <c r="B2220" t="inlineStr">
        <is>
          <t>Pedro Luiz Mota Sousa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t="n">
        <v>0</v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Quirino Diogo Leite Torres</t>
        </is>
      </c>
      <c r="C2221" t="inlineStr">
        <is>
          <t>Estágio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t="n">
        <v>0</v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Raane Batista Matos</t>
        </is>
      </c>
      <c r="C2222" t="inlineStr">
        <is>
          <t>Técnico I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t="n">
        <v>0</v>
      </c>
      <c r="N2222" t="n">
        <v>98.51000000000001</v>
      </c>
      <c r="O2222" t="n">
        <v>29.71014492753623</v>
      </c>
    </row>
    <row r="2223" hidden="1">
      <c r="A2223" s="11" t="n">
        <v>46070</v>
      </c>
      <c r="B2223" t="inlineStr">
        <is>
          <t>Rafael Gomes de Morais</t>
        </is>
      </c>
      <c r="C2223" t="inlineStr">
        <is>
          <t>Técnico III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t="n">
        <v>0</v>
      </c>
      <c r="N2223" t="n">
        <v>98.81</v>
      </c>
      <c r="O2223" t="n">
        <v>30.71297989031079</v>
      </c>
    </row>
    <row r="2224" hidden="1">
      <c r="A2224" s="11" t="n">
        <v>46070</v>
      </c>
      <c r="B2224" t="inlineStr">
        <is>
          <t>Sara Maria Monteiro Lopes</t>
        </is>
      </c>
      <c r="C2224" t="inlineStr">
        <is>
          <t>Técnico 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M2224" t="n">
        <v>0</v>
      </c>
      <c r="N2224" t="n">
        <v>98.48</v>
      </c>
      <c r="O2224" t="n">
        <v>29.35323383084577</v>
      </c>
    </row>
    <row r="2225" hidden="1">
      <c r="A2225" s="11" t="n">
        <v>46070</v>
      </c>
      <c r="B2225" t="inlineStr">
        <is>
          <t>Sarah Steffanie de Lima Borges</t>
        </is>
      </c>
      <c r="C2225" t="inlineStr">
        <is>
          <t>Técnico III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t="n">
        <v>0</v>
      </c>
      <c r="N2225" t="n">
        <v>98.56</v>
      </c>
      <c r="O2225" t="n">
        <v>29.37365010799136</v>
      </c>
    </row>
    <row r="2226" hidden="1">
      <c r="A2226" s="11" t="n">
        <v>46071</v>
      </c>
      <c r="B2226" t="inlineStr">
        <is>
          <t>Alisson de Freitas Silva</t>
        </is>
      </c>
      <c r="C2226" t="inlineStr">
        <is>
          <t>Técnico II</t>
        </is>
      </c>
      <c r="D2226" t="n">
        <v>35</v>
      </c>
      <c r="E2226" t="n">
        <v>32</v>
      </c>
      <c r="F2226" t="n">
        <v>27.15</v>
      </c>
      <c r="G2226" t="n">
        <v>0</v>
      </c>
      <c r="H2226" t="n">
        <v>0</v>
      </c>
      <c r="I2226" s="3">
        <f>E2226+G2226+H2226</f>
        <v/>
      </c>
      <c r="J2226" s="3">
        <f>ROUND(MIN(IF(C2226="Técnico III",35,IF(C2226="Técnico II",28,IF(C2226="Técnico I",23,IF(C2226="JR",20,IF(C2226="Estágio",10,0))))),IF(C2226="Técnico III",SUMIFS($D:$D,$A:$A,$A2226,$B:$B,"&lt;&gt;Patrícia Karla de Sousa Araújo",$B:$B,"&lt;&gt;Lorena Dias de Araujo",$B:$B,"&lt;&gt;Lucas Luiz Romero")*(35/1083),IF(C2226="Técnico II",SUMIFS($D:$D,$A:$A,$A2226,$B:$B,"&lt;&gt;Patrícia Karla de Sousa Araújo",$B:$B,"&lt;&gt;Lorena Dias de Araujo",$B:$B,"&lt;&gt;Lucas Luiz Romero")*(28/1083),IF(C2226="Técnico I",SUMIFS($D:$D,$A:$A,$A2226,$B:$B,"&lt;&gt;Patrícia Karla de Sousa Araújo",$B:$B,"&lt;&gt;Lorena Dias de Araujo",$B:$B,"&lt;&gt;Lucas Luiz Romero")*(23/1083),IF(C2226="JR",SUMIFS($D:$D,$A:$A,$A2226,$B:$B,"&lt;&gt;Patrícia Karla de Sousa Araújo",$B:$B,"&lt;&gt;Lorena Dias de Araujo",$B:$B,"&lt;&gt;Lucas Luiz Romero")*(20/1083),IF(C2226="Estágio",SUMIFS($D:$D,$A:$A,$A2226,$B:$B,"&lt;&gt;Patrícia Karla de Sousa Araújo",$B:$B,"&lt;&gt;Lorena Dias de Araujo",$B:$B,"&lt;&gt;Lucas Luiz Romero")*(10/1083),0)))))),0)</f>
        <v/>
      </c>
      <c r="K2226" s="3">
        <f>I2226-J2226</f>
        <v/>
      </c>
      <c r="L2226" s="3">
        <f>IF(K2226&lt;-5,"CRÍTICO",IF(K2226&lt;0,"ATENÇÃO",IF(K2226&lt;=5,"BOM","EXCELENTE")))</f>
        <v/>
      </c>
      <c r="M2226" t="n">
        <v>22</v>
      </c>
      <c r="N2226" t="n">
        <v>98.31999999999999</v>
      </c>
      <c r="O2226" t="n">
        <v>30.3030303030303</v>
      </c>
    </row>
    <row r="2227" hidden="1">
      <c r="A2227" s="11" t="n">
        <v>46071</v>
      </c>
      <c r="B2227" t="inlineStr">
        <is>
          <t>Amanda Moura Ferreira</t>
        </is>
      </c>
      <c r="C2227" t="inlineStr">
        <is>
          <t>Técnico III</t>
        </is>
      </c>
      <c r="D2227" t="n">
        <v>0</v>
      </c>
      <c r="E2227" t="n">
        <v>0</v>
      </c>
      <c r="F2227" t="n">
        <v>0</v>
      </c>
      <c r="G2227" t="n">
        <v>0</v>
      </c>
      <c r="H2227" t="n">
        <v>0</v>
      </c>
      <c r="I2227" s="3" t="n">
        <v>0</v>
      </c>
      <c r="J2227" s="3" t="n">
        <v>0</v>
      </c>
      <c r="K2227" s="3" t="n">
        <v>0</v>
      </c>
      <c r="L2227" s="3">
        <f>IF(K2227&lt;-5,"CRÍTICO",IF(K2227&lt;0,"ATENÇÃO",IF(K2227&lt;=5,"BOM","EXCELENTE")))</f>
        <v/>
      </c>
      <c r="M2227" t="n">
        <v>19</v>
      </c>
      <c r="N2227" t="n">
        <v>98.68000000000001</v>
      </c>
      <c r="O2227" t="n">
        <v>26.21951219512195</v>
      </c>
    </row>
    <row r="2228" hidden="1">
      <c r="A2228" s="11" t="n">
        <v>46071</v>
      </c>
      <c r="B2228" t="inlineStr">
        <is>
          <t>Ana Karollyne Souza Faria</t>
        </is>
      </c>
      <c r="C2228" t="inlineStr">
        <is>
          <t>Técnico I</t>
        </is>
      </c>
      <c r="D2228" t="n">
        <v>21</v>
      </c>
      <c r="E2228" t="n">
        <v>21</v>
      </c>
      <c r="F2228" t="n">
        <v>28.39</v>
      </c>
      <c r="G2228" t="n">
        <v>0</v>
      </c>
      <c r="H2228" t="n">
        <v>0</v>
      </c>
      <c r="I2228" s="3">
        <f>E2228+G2228+H2228</f>
        <v/>
      </c>
      <c r="J2228" s="3">
        <f>ROUND(MIN(IF(C2228="Técnico III",35,IF(C2228="Técnico II",28,IF(C2228="Técnico I",23,IF(C2228="JR",20,IF(C2228="Estágio",10,0))))),IF(C2228="Técnico III",SUMIFS($D:$D,$A:$A,$A2228,$B:$B,"&lt;&gt;Patrícia Karla de Sousa Araújo",$B:$B,"&lt;&gt;Lorena Dias de Araujo",$B:$B,"&lt;&gt;Lucas Luiz Romero")*(35/1083),IF(C2228="Técnico II",SUMIFS($D:$D,$A:$A,$A2228,$B:$B,"&lt;&gt;Patrícia Karla de Sousa Araújo",$B:$B,"&lt;&gt;Lorena Dias de Araujo",$B:$B,"&lt;&gt;Lucas Luiz Romero")*(28/1083),IF(C2228="Técnico I",SUMIFS($D:$D,$A:$A,$A2228,$B:$B,"&lt;&gt;Patrícia Karla de Sousa Araújo",$B:$B,"&lt;&gt;Lorena Dias de Araujo",$B:$B,"&lt;&gt;Lucas Luiz Romero")*(23/1083),IF(C2228="JR",SUMIFS($D:$D,$A:$A,$A2228,$B:$B,"&lt;&gt;Patrícia Karla de Sousa Araújo",$B:$B,"&lt;&gt;Lorena Dias de Araujo",$B:$B,"&lt;&gt;Lucas Luiz Romero")*(20/1083),IF(C2228="Estágio",SUMIFS($D:$D,$A:$A,$A2228,$B:$B,"&lt;&gt;Patrícia Karla de Sousa Araújo",$B:$B,"&lt;&gt;Lorena Dias de Araujo",$B:$B,"&lt;&gt;Lucas Luiz Romero")*(10/1083),0)))))),0)</f>
        <v/>
      </c>
      <c r="K2228" s="3">
        <f>I2228-J2228</f>
        <v/>
      </c>
      <c r="L2228" s="3">
        <f>IF(K2228&lt;-5,"CRÍTICO",IF(K2228&lt;0,"ATENÇÃO",IF(K2228&lt;=5,"BOM","EXCELENTE")))</f>
        <v/>
      </c>
      <c r="M2228" t="n">
        <v>21</v>
      </c>
      <c r="N2228" t="n">
        <v>100</v>
      </c>
      <c r="O2228" t="n">
        <v>31.74224343675418</v>
      </c>
    </row>
    <row r="2229" hidden="1">
      <c r="A2229" s="11" t="n">
        <v>46071</v>
      </c>
      <c r="B2229" t="inlineStr">
        <is>
          <t>Ana Paula Da Luz Silva Aleixo</t>
        </is>
      </c>
      <c r="C2229" t="inlineStr">
        <is>
          <t>Técnico III</t>
        </is>
      </c>
      <c r="D2229" t="n">
        <v>29</v>
      </c>
      <c r="E2229" t="n">
        <v>28</v>
      </c>
      <c r="F2229" t="n">
        <v>22.02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M2229" t="n">
        <v>26</v>
      </c>
      <c r="N2229" t="n">
        <v>98.25</v>
      </c>
      <c r="O2229" t="n">
        <v>25.83518930957684</v>
      </c>
    </row>
    <row r="2230" hidden="1">
      <c r="A2230" s="11" t="n">
        <v>46071</v>
      </c>
      <c r="B2230" t="inlineStr">
        <is>
          <t>Anna Luiza Rezende Tavares</t>
        </is>
      </c>
      <c r="C2230" t="inlineStr">
        <is>
          <t>Estágio</t>
        </is>
      </c>
      <c r="D2230" t="n">
        <v>6</v>
      </c>
      <c r="E2230" t="n">
        <v>6</v>
      </c>
      <c r="F2230" t="n">
        <v>55.14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M2230" t="n">
        <v>6</v>
      </c>
      <c r="N2230" t="n">
        <v>97.5</v>
      </c>
      <c r="O2230" t="n">
        <v>30.07518796992481</v>
      </c>
    </row>
    <row r="2231" hidden="1">
      <c r="A2231" s="11" t="n">
        <v>46071</v>
      </c>
      <c r="B2231" t="inlineStr">
        <is>
          <t>Brenda de Menezes Silva</t>
        </is>
      </c>
      <c r="C2231" t="inlineStr">
        <is>
          <t>Técnico II</t>
        </is>
      </c>
      <c r="D2231" t="n">
        <v>20</v>
      </c>
      <c r="E2231" t="n">
        <v>17</v>
      </c>
      <c r="F2231" t="n">
        <v>28.51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M2231" t="n">
        <v>19</v>
      </c>
      <c r="N2231" t="n">
        <v>100</v>
      </c>
      <c r="O2231" t="n">
        <v>29.71311475409836</v>
      </c>
    </row>
    <row r="2232" hidden="1">
      <c r="A2232" s="11" t="n">
        <v>46071</v>
      </c>
      <c r="B2232" t="inlineStr">
        <is>
          <t>Carlos Mateus Cassimiro Nunes</t>
        </is>
      </c>
      <c r="C2232" t="inlineStr">
        <is>
          <t>Técnico II</t>
        </is>
      </c>
      <c r="D2232" t="n">
        <v>9</v>
      </c>
      <c r="E2232" t="n">
        <v>9</v>
      </c>
      <c r="F2232" t="n">
        <v>75.15000000000001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M2232" t="n">
        <v>12</v>
      </c>
      <c r="N2232" t="n">
        <v>99.22</v>
      </c>
      <c r="O2232" t="n">
        <v>35.25641025641026</v>
      </c>
    </row>
    <row r="2233" hidden="1">
      <c r="A2233" s="11" t="n">
        <v>46071</v>
      </c>
      <c r="B2233" t="inlineStr">
        <is>
          <t>Claudio de Sousa Velasco Filho</t>
        </is>
      </c>
      <c r="C2233" t="inlineStr">
        <is>
          <t>Estágio</t>
        </is>
      </c>
      <c r="D2233" t="n">
        <v>0</v>
      </c>
      <c r="E2233" t="n">
        <v>0</v>
      </c>
      <c r="F2233" t="n">
        <v>0</v>
      </c>
      <c r="G2233" t="n">
        <v>0</v>
      </c>
      <c r="H2233" t="n">
        <v>0</v>
      </c>
      <c r="I2233" s="3" t="n">
        <v>0</v>
      </c>
      <c r="J2233" s="3" t="n">
        <v>0</v>
      </c>
      <c r="K2233" s="3" t="n">
        <v>0</v>
      </c>
      <c r="L2233" s="3">
        <f>IF(K2233&lt;-5,"CRÍTICO",IF(K2233&lt;0,"ATENÇÃO",IF(K2233&lt;=5,"BOM","EXCELENTE")))</f>
        <v/>
      </c>
      <c r="M2233" t="n">
        <v>0</v>
      </c>
      <c r="N2233" t="n">
        <v>0</v>
      </c>
      <c r="O2233" t="n">
        <v>0</v>
      </c>
    </row>
    <row r="2234" hidden="1">
      <c r="A2234" s="11" t="n">
        <v>46071</v>
      </c>
      <c r="B2234" t="inlineStr">
        <is>
          <t>Clessiane Pereira dos Santos</t>
        </is>
      </c>
      <c r="C2234" t="inlineStr">
        <is>
          <t>Técnico I</t>
        </is>
      </c>
      <c r="D2234" t="n">
        <v>22</v>
      </c>
      <c r="E2234" t="n">
        <v>22</v>
      </c>
      <c r="F2234" t="n">
        <v>30.28</v>
      </c>
      <c r="G2234" t="n">
        <v>0</v>
      </c>
      <c r="H2234" t="n">
        <v>0</v>
      </c>
      <c r="I2234" s="3">
        <f>E2234+G2234+H2234</f>
        <v/>
      </c>
      <c r="J2234" s="3">
        <f>ROUND(MIN(IF(C2234="Técnico III",35,IF(C2234="Técnico II",28,IF(C2234="Técnico I",23,IF(C2234="JR",20,IF(C2234="Estágio",10,0))))),IF(C2234="Técnico III",SUMIFS($D:$D,$A:$A,$A2234,$B:$B,"&lt;&gt;Patrícia Karla de Sousa Araújo",$B:$B,"&lt;&gt;Lorena Dias de Araujo",$B:$B,"&lt;&gt;Lucas Luiz Romero")*(35/1083),IF(C2234="Técnico II",SUMIFS($D:$D,$A:$A,$A2234,$B:$B,"&lt;&gt;Patrícia Karla de Sousa Araújo",$B:$B,"&lt;&gt;Lorena Dias de Araujo",$B:$B,"&lt;&gt;Lucas Luiz Romero")*(28/1083),IF(C2234="Técnico I",SUMIFS($D:$D,$A:$A,$A2234,$B:$B,"&lt;&gt;Patrícia Karla de Sousa Araújo",$B:$B,"&lt;&gt;Lorena Dias de Araujo",$B:$B,"&lt;&gt;Lucas Luiz Romero")*(23/1083),IF(C2234="JR",SUMIFS($D:$D,$A:$A,$A2234,$B:$B,"&lt;&gt;Patrícia Karla de Sousa Araújo",$B:$B,"&lt;&gt;Lorena Dias de Araujo",$B:$B,"&lt;&gt;Lucas Luiz Romero")*(20/1083),IF(C2234="Estágio",SUMIFS($D:$D,$A:$A,$A2234,$B:$B,"&lt;&gt;Patrícia Karla de Sousa Araújo",$B:$B,"&lt;&gt;Lorena Dias de Araujo",$B:$B,"&lt;&gt;Lucas Luiz Romero")*(10/1083),0)))))),0)</f>
        <v/>
      </c>
      <c r="K2234" s="3">
        <f>I2234-J2234</f>
        <v/>
      </c>
      <c r="L2234" s="3">
        <f>IF(K2234&lt;-5,"CRÍTICO",IF(K2234&lt;0,"ATENÇÃO",IF(K2234&lt;=5,"BOM","EXCELENTE")))</f>
        <v/>
      </c>
      <c r="M2234" t="n">
        <v>20</v>
      </c>
      <c r="N2234" t="n">
        <v>98.75</v>
      </c>
      <c r="O2234" t="n">
        <v>24.32432432432433</v>
      </c>
    </row>
    <row r="2235" hidden="1">
      <c r="A2235" s="11" t="n">
        <v>46071</v>
      </c>
      <c r="B2235" t="inlineStr">
        <is>
          <t>Cristiane Ramos da Silva Rocha</t>
        </is>
      </c>
      <c r="C2235" t="inlineStr">
        <is>
          <t>Técnico III</t>
        </is>
      </c>
      <c r="D2235" t="n">
        <v>38</v>
      </c>
      <c r="E2235" t="n">
        <v>37</v>
      </c>
      <c r="F2235" t="n">
        <v>17.18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M2235" t="n">
        <v>34</v>
      </c>
      <c r="N2235" t="n">
        <v>93.48</v>
      </c>
      <c r="O2235" t="n">
        <v>31.52804642166344</v>
      </c>
    </row>
    <row r="2236" hidden="1">
      <c r="A2236" s="11" t="n">
        <v>46071</v>
      </c>
      <c r="B2236" t="inlineStr">
        <is>
          <t>Damyllis Lorraine de Oliveira Gonçalves</t>
        </is>
      </c>
      <c r="C2236" t="inlineStr">
        <is>
          <t>Técnico II</t>
        </is>
      </c>
      <c r="D2236" t="n">
        <v>17</v>
      </c>
      <c r="E2236" t="n">
        <v>14</v>
      </c>
      <c r="F2236" t="n">
        <v>34.05</v>
      </c>
      <c r="G2236" t="n">
        <v>0</v>
      </c>
      <c r="H2236" t="n">
        <v>0</v>
      </c>
      <c r="I2236" s="3" t="n">
        <v>0</v>
      </c>
      <c r="J2236" s="3" t="n">
        <v>0</v>
      </c>
      <c r="K2236" s="3" t="n">
        <v>0</v>
      </c>
      <c r="L2236" s="3">
        <f>IF(K2236&lt;-5,"CRÍTICO",IF(K2236&lt;0,"ATENÇÃO",IF(K2236&lt;=5,"BOM","EXCELENTE")))</f>
        <v/>
      </c>
      <c r="M2236" t="n">
        <v>13</v>
      </c>
      <c r="N2236" t="n">
        <v>99.16</v>
      </c>
      <c r="O2236" t="n">
        <v>26.13908872901678</v>
      </c>
    </row>
    <row r="2237" hidden="1">
      <c r="A2237" s="11" t="n">
        <v>46071</v>
      </c>
      <c r="B2237" t="inlineStr">
        <is>
          <t>Daniel Gomes da Silva</t>
        </is>
      </c>
      <c r="C2237" t="inlineStr">
        <is>
          <t>Técnico I</t>
        </is>
      </c>
      <c r="D2237" t="n">
        <v>33</v>
      </c>
      <c r="E2237" t="n">
        <v>31</v>
      </c>
      <c r="F2237" t="n">
        <v>20</v>
      </c>
      <c r="G2237" t="n">
        <v>0</v>
      </c>
      <c r="H2237" t="n">
        <v>0</v>
      </c>
      <c r="I2237" s="3">
        <f>E2237+G2237+H2237</f>
        <v/>
      </c>
      <c r="J2237" s="3">
        <f>ROUND(MIN(IF(C2237="Técnico III",35,IF(C2237="Técnico II",28,IF(C2237="Técnico I",23,IF(C2237="JR",20,IF(C2237="Estágio",10,0))))),IF(C2237="Técnico III",SUMIFS($D:$D,$A:$A,$A2237,$B:$B,"&lt;&gt;Patrícia Karla de Sousa Araújo",$B:$B,"&lt;&gt;Lorena Dias de Araujo",$B:$B,"&lt;&gt;Lucas Luiz Romero")*(35/1083),IF(C2237="Técnico II",SUMIFS($D:$D,$A:$A,$A2237,$B:$B,"&lt;&gt;Patrícia Karla de Sousa Araújo",$B:$B,"&lt;&gt;Lorena Dias de Araujo",$B:$B,"&lt;&gt;Lucas Luiz Romero")*(28/1083),IF(C2237="Técnico I",SUMIFS($D:$D,$A:$A,$A2237,$B:$B,"&lt;&gt;Patrícia Karla de Sousa Araújo",$B:$B,"&lt;&gt;Lorena Dias de Araujo",$B:$B,"&lt;&gt;Lucas Luiz Romero")*(23/1083),IF(C2237="JR",SUMIFS($D:$D,$A:$A,$A2237,$B:$B,"&lt;&gt;Patrícia Karla de Sousa Araújo",$B:$B,"&lt;&gt;Lorena Dias de Araujo",$B:$B,"&lt;&gt;Lucas Luiz Romero")*(20/1083),IF(C2237="Estágio",SUMIFS($D:$D,$A:$A,$A2237,$B:$B,"&lt;&gt;Patrícia Karla de Sousa Araújo",$B:$B,"&lt;&gt;Lorena Dias de Araujo",$B:$B,"&lt;&gt;Lucas Luiz Romero")*(10/1083),0)))))),0)</f>
        <v/>
      </c>
      <c r="K2237" s="3">
        <f>I2237-J2237</f>
        <v/>
      </c>
      <c r="L2237" s="3">
        <f>IF(K2237&lt;-5,"CRÍTICO",IF(K2237&lt;0,"ATENÇÃO",IF(K2237&lt;=5,"BOM","EXCELENTE")))</f>
        <v/>
      </c>
      <c r="M2237" t="n">
        <v>24</v>
      </c>
      <c r="N2237" t="n">
        <v>100</v>
      </c>
      <c r="O2237" t="n">
        <v>31.08974358974359</v>
      </c>
    </row>
    <row r="2238" hidden="1">
      <c r="A2238" s="11" t="n">
        <v>46071</v>
      </c>
      <c r="B2238" t="inlineStr">
        <is>
          <t>Davylla Rodrigues Freitas Silva</t>
        </is>
      </c>
      <c r="C2238" t="inlineStr">
        <is>
          <t>Técnico III</t>
        </is>
      </c>
      <c r="D2238" t="n">
        <v>13</v>
      </c>
      <c r="E2238" t="n">
        <v>13</v>
      </c>
      <c r="F2238" t="n">
        <v>47.13</v>
      </c>
      <c r="G2238" t="n">
        <v>0</v>
      </c>
      <c r="H2238" t="n">
        <v>0</v>
      </c>
      <c r="I2238" s="3" t="n">
        <v>0</v>
      </c>
      <c r="J2238" s="3" t="n">
        <v>0</v>
      </c>
      <c r="K2238" s="3" t="n">
        <v>0</v>
      </c>
      <c r="L2238" s="3">
        <f>IF(K2238&lt;-5,"CRÍTICO",IF(K2238&lt;0,"ATENÇÃO",IF(K2238&lt;=5,"BOM","EXCELENTE")))</f>
        <v/>
      </c>
      <c r="M2238" t="n">
        <v>13</v>
      </c>
      <c r="N2238" t="n">
        <v>98.11</v>
      </c>
      <c r="O2238" t="n">
        <v>33.03370786516854</v>
      </c>
    </row>
    <row r="2239" hidden="1">
      <c r="A2239" s="11" t="n">
        <v>46071</v>
      </c>
      <c r="B2239" t="inlineStr">
        <is>
          <t>Emilly Caylane Costa</t>
        </is>
      </c>
      <c r="C2239" t="inlineStr">
        <is>
          <t>Estágio</t>
        </is>
      </c>
      <c r="D2239" t="n">
        <v>5</v>
      </c>
      <c r="E2239" t="n">
        <v>3</v>
      </c>
      <c r="F2239" t="n">
        <v>30.22</v>
      </c>
      <c r="G2239" t="n">
        <v>0</v>
      </c>
      <c r="H2239" t="n">
        <v>0</v>
      </c>
      <c r="I2239" s="3">
        <f>E2239+G2239+H2239</f>
        <v/>
      </c>
      <c r="J2239" s="3">
        <f>ROUND(MIN(IF(C2239="Técnico III",35,IF(C2239="Técnico II",28,IF(C2239="Técnico I",23,IF(C2239="JR",20,IF(C2239="Estágio",10,0))))),IF(C2239="Técnico III",SUMIFS($D:$D,$A:$A,$A2239,$B:$B,"&lt;&gt;Patrícia Karla de Sousa Araújo",$B:$B,"&lt;&gt;Lorena Dias de Araujo",$B:$B,"&lt;&gt;Lucas Luiz Romero")*(35/1083),IF(C2239="Técnico II",SUMIFS($D:$D,$A:$A,$A2239,$B:$B,"&lt;&gt;Patrícia Karla de Sousa Araújo",$B:$B,"&lt;&gt;Lorena Dias de Araujo",$B:$B,"&lt;&gt;Lucas Luiz Romero")*(28/1083),IF(C2239="Técnico I",SUMIFS($D:$D,$A:$A,$A2239,$B:$B,"&lt;&gt;Patrícia Karla de Sousa Araújo",$B:$B,"&lt;&gt;Lorena Dias de Araujo",$B:$B,"&lt;&gt;Lucas Luiz Romero")*(23/1083),IF(C2239="JR",SUMIFS($D:$D,$A:$A,$A2239,$B:$B,"&lt;&gt;Patrícia Karla de Sousa Araújo",$B:$B,"&lt;&gt;Lorena Dias de Araujo",$B:$B,"&lt;&gt;Lucas Luiz Romero")*(20/1083),IF(C2239="Estágio",SUMIFS($D:$D,$A:$A,$A2239,$B:$B,"&lt;&gt;Patrícia Karla de Sousa Araújo",$B:$B,"&lt;&gt;Lorena Dias de Araujo",$B:$B,"&lt;&gt;Lucas Luiz Romero")*(10/1083),0)))))),0)</f>
        <v/>
      </c>
      <c r="K2239" s="3">
        <f>I2239-J2239</f>
        <v/>
      </c>
      <c r="L2239" s="3">
        <f>IF(K2239&lt;-5,"CRÍTICO",IF(K2239&lt;0,"ATENÇÃO",IF(K2239&lt;=5,"BOM","EXCELENTE")))</f>
        <v/>
      </c>
      <c r="M2239" t="n">
        <v>4</v>
      </c>
      <c r="N2239" t="n">
        <v>78.95</v>
      </c>
      <c r="O2239" t="n">
        <v>38.98305084745763</v>
      </c>
    </row>
    <row r="2240" hidden="1">
      <c r="A2240" s="11" t="n">
        <v>46071</v>
      </c>
      <c r="B2240" t="inlineStr">
        <is>
          <t>Emilly Kamilly Medeiros Miranda</t>
        </is>
      </c>
      <c r="C2240" t="inlineStr">
        <is>
          <t>Técnico II</t>
        </is>
      </c>
      <c r="D2240" t="n">
        <v>30</v>
      </c>
      <c r="E2240" t="n">
        <v>28</v>
      </c>
      <c r="F2240" t="n">
        <v>18.55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M2240" t="n">
        <v>22</v>
      </c>
      <c r="N2240" t="n">
        <v>98.45</v>
      </c>
      <c r="O2240" t="n">
        <v>29.2817679558011</v>
      </c>
    </row>
    <row r="2241" hidden="1">
      <c r="A2241" s="11" t="n">
        <v>46071</v>
      </c>
      <c r="B2241" t="inlineStr">
        <is>
          <t>Francielson de Oliveira</t>
        </is>
      </c>
      <c r="C2241" t="inlineStr">
        <is>
          <t>Técnico III</t>
        </is>
      </c>
      <c r="D2241" t="n">
        <v>15</v>
      </c>
      <c r="E2241" t="n">
        <v>15</v>
      </c>
      <c r="F2241" t="n">
        <v>30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M2241" t="n">
        <v>14</v>
      </c>
      <c r="N2241" t="n">
        <v>97.84</v>
      </c>
      <c r="O2241" t="n">
        <v>26.28205128205128</v>
      </c>
    </row>
    <row r="2242" hidden="1">
      <c r="A2242" s="11" t="n">
        <v>46071</v>
      </c>
      <c r="B2242" t="inlineStr">
        <is>
          <t>Francilene Ferreira de Jesus</t>
        </is>
      </c>
      <c r="C2242" t="inlineStr">
        <is>
          <t>Técnico II</t>
        </is>
      </c>
      <c r="D2242" t="n">
        <v>26</v>
      </c>
      <c r="E2242" t="n">
        <v>24</v>
      </c>
      <c r="F2242" t="n">
        <v>29.02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M2242" t="n">
        <v>21</v>
      </c>
      <c r="N2242" t="n">
        <v>98.5</v>
      </c>
      <c r="O2242" t="n">
        <v>23.97769516728625</v>
      </c>
    </row>
    <row r="2243" hidden="1">
      <c r="A2243" s="11" t="n">
        <v>46105</v>
      </c>
      <c r="B2243" t="inlineStr">
        <is>
          <t>Gabriel Gomes de Andrade</t>
        </is>
      </c>
      <c r="C2243" t="inlineStr">
        <is>
          <t>Técnico I</t>
        </is>
      </c>
      <c r="D2243" t="n">
        <v>30</v>
      </c>
      <c r="E2243" t="n">
        <v>29</v>
      </c>
      <c r="F2243" t="n">
        <v>17.27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M2243" t="n">
        <v>29</v>
      </c>
      <c r="N2243" t="n">
        <v>99.05</v>
      </c>
      <c r="O2243" t="n">
        <v>26.62192393736018</v>
      </c>
    </row>
    <row r="2244" hidden="1">
      <c r="A2244" s="11" t="n">
        <v>46071</v>
      </c>
      <c r="B2244" t="inlineStr">
        <is>
          <t>Isabella Borges de Oliveira</t>
        </is>
      </c>
      <c r="C2244" t="inlineStr">
        <is>
          <t>Técnico II</t>
        </is>
      </c>
      <c r="D2244" t="n">
        <v>23</v>
      </c>
      <c r="E2244" t="n">
        <v>22</v>
      </c>
      <c r="F2244" t="n">
        <v>24.07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M2244" t="n">
        <v>21</v>
      </c>
      <c r="N2244" t="n">
        <v>98.53</v>
      </c>
      <c r="O2244" t="n">
        <v>31.57894736842105</v>
      </c>
    </row>
    <row r="2245" hidden="1">
      <c r="A2245" s="11" t="n">
        <v>46071</v>
      </c>
      <c r="B2245" t="inlineStr">
        <is>
          <t>Janaina Lima dos Reis Urany</t>
        </is>
      </c>
      <c r="C2245" t="inlineStr">
        <is>
          <t>Técnico III</t>
        </is>
      </c>
      <c r="D2245" t="n">
        <v>40</v>
      </c>
      <c r="E2245" t="n">
        <v>39</v>
      </c>
      <c r="F2245" t="n">
        <v>16.41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M2245" t="n">
        <v>37</v>
      </c>
      <c r="N2245" t="n">
        <v>100</v>
      </c>
      <c r="O2245" t="n">
        <v>25.72214580467676</v>
      </c>
    </row>
    <row r="2246" hidden="1">
      <c r="A2246" s="11" t="n">
        <v>46071</v>
      </c>
      <c r="B2246" t="inlineStr">
        <is>
          <t>Jaqueline Evangelista da Silva Martins</t>
        </is>
      </c>
      <c r="C2246" t="inlineStr">
        <is>
          <t>Técnico III</t>
        </is>
      </c>
      <c r="D2246" t="n">
        <v>29</v>
      </c>
      <c r="E2246" t="n">
        <v>26</v>
      </c>
      <c r="F2246" t="n">
        <v>14.14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M2246" t="n">
        <v>22</v>
      </c>
      <c r="N2246" t="n">
        <v>94.64</v>
      </c>
      <c r="O2246" t="n">
        <v>27.52941176470588</v>
      </c>
    </row>
    <row r="2247" hidden="1">
      <c r="A2247" s="11" t="n">
        <v>46071</v>
      </c>
      <c r="B2247" t="inlineStr">
        <is>
          <t>Jessica Faria da Silveira</t>
        </is>
      </c>
      <c r="C2247" t="inlineStr">
        <is>
          <t>Técnico II</t>
        </is>
      </c>
      <c r="D2247" t="n">
        <v>27</v>
      </c>
      <c r="E2247" t="n">
        <v>20</v>
      </c>
      <c r="F2247" t="n">
        <v>20.04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M2247" t="n">
        <v>16</v>
      </c>
      <c r="N2247" t="n">
        <v>99.06999999999999</v>
      </c>
      <c r="O2247" t="n">
        <v>26.3768115942029</v>
      </c>
    </row>
    <row r="2248" hidden="1">
      <c r="A2248" s="11" t="n">
        <v>46071</v>
      </c>
      <c r="B2248" t="inlineStr">
        <is>
          <t>Jéssica Fé Moura</t>
        </is>
      </c>
      <c r="C2248" t="inlineStr">
        <is>
          <t>Técnico III</t>
        </is>
      </c>
      <c r="D2248" t="n">
        <v>0</v>
      </c>
      <c r="E2248" t="n">
        <v>0</v>
      </c>
      <c r="F2248" t="n">
        <v>0</v>
      </c>
      <c r="G2248" t="n">
        <v>0</v>
      </c>
      <c r="H2248" t="n">
        <v>0</v>
      </c>
      <c r="I2248" s="3" t="n">
        <v>0</v>
      </c>
      <c r="J2248" s="3" t="n">
        <v>0</v>
      </c>
      <c r="K2248" s="3" t="n">
        <v>0</v>
      </c>
      <c r="L2248" s="3">
        <f>IF(K2248&lt;-5,"CRÍTICO",IF(K2248&lt;0,"ATENÇÃO",IF(K2248&lt;=5,"BOM","EXCELENTE")))</f>
        <v/>
      </c>
      <c r="M2248" t="n">
        <v>0</v>
      </c>
      <c r="N2248" t="n">
        <v>100</v>
      </c>
      <c r="O2248" t="n">
        <v>0</v>
      </c>
    </row>
    <row r="2249" hidden="1">
      <c r="A2249" s="11" t="n">
        <v>46071</v>
      </c>
      <c r="B2249" t="inlineStr">
        <is>
          <t>Karina Gonçalves Martins</t>
        </is>
      </c>
      <c r="C2249" t="inlineStr">
        <is>
          <t>JR</t>
        </is>
      </c>
      <c r="D2249" t="n">
        <v>10</v>
      </c>
      <c r="E2249" t="n">
        <v>9</v>
      </c>
      <c r="F2249" t="n">
        <v>42.14</v>
      </c>
      <c r="G2249" t="n">
        <v>0</v>
      </c>
      <c r="H2249" t="n">
        <v>0</v>
      </c>
      <c r="I2249" s="3">
        <f>E2249+G2249+H2249</f>
        <v/>
      </c>
      <c r="J2249" s="3">
        <f>ROUND(MIN(IF(C2249="Técnico III",35,IF(C2249="Técnico II",28,IF(C2249="Técnico I",23,IF(C2249="JR",20,IF(C2249="Estágio",10,0))))),IF(C2249="Técnico III",SUMIFS($D:$D,$A:$A,$A2249,$B:$B,"&lt;&gt;Patrícia Karla de Sousa Araújo",$B:$B,"&lt;&gt;Lorena Dias de Araujo",$B:$B,"&lt;&gt;Lucas Luiz Romero")*(35/1083),IF(C2249="Técnico II",SUMIFS($D:$D,$A:$A,$A2249,$B:$B,"&lt;&gt;Patrícia Karla de Sousa Araújo",$B:$B,"&lt;&gt;Lorena Dias de Araujo",$B:$B,"&lt;&gt;Lucas Luiz Romero")*(28/1083),IF(C2249="Técnico I",SUMIFS($D:$D,$A:$A,$A2249,$B:$B,"&lt;&gt;Patrícia Karla de Sousa Araújo",$B:$B,"&lt;&gt;Lorena Dias de Araujo",$B:$B,"&lt;&gt;Lucas Luiz Romero")*(23/1083),IF(C2249="JR",SUMIFS($D:$D,$A:$A,$A2249,$B:$B,"&lt;&gt;Patrícia Karla de Sousa Araújo",$B:$B,"&lt;&gt;Lorena Dias de Araujo",$B:$B,"&lt;&gt;Lucas Luiz Romero")*(20/1083),IF(C2249="Estágio",SUMIFS($D:$D,$A:$A,$A2249,$B:$B,"&lt;&gt;Patrícia Karla de Sousa Araújo",$B:$B,"&lt;&gt;Lorena Dias de Araujo",$B:$B,"&lt;&gt;Lucas Luiz Romero")*(10/1083),0)))))),0)</f>
        <v/>
      </c>
      <c r="K2249" s="3">
        <f>I2249-J2249</f>
        <v/>
      </c>
      <c r="L2249" s="3">
        <f>IF(K2249&lt;-5,"CRÍTICO",IF(K2249&lt;0,"ATENÇÃO",IF(K2249&lt;=5,"BOM","EXCELENTE")))</f>
        <v/>
      </c>
      <c r="M2249" t="n">
        <v>7</v>
      </c>
      <c r="N2249" t="n">
        <v>98.48</v>
      </c>
      <c r="O2249" t="n">
        <v>27.85388127853881</v>
      </c>
    </row>
    <row r="2250" hidden="1">
      <c r="A2250" s="11" t="n">
        <v>46071</v>
      </c>
      <c r="B2250" t="inlineStr">
        <is>
          <t>Kerollen Cristielly de Jesus Siqueira</t>
        </is>
      </c>
      <c r="C2250" t="inlineStr">
        <is>
          <t>Técnico III</t>
        </is>
      </c>
      <c r="D2250" t="n">
        <v>16</v>
      </c>
      <c r="E2250" t="n">
        <v>16</v>
      </c>
      <c r="F2250" t="n">
        <v>30.03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M2250" t="n">
        <v>14</v>
      </c>
      <c r="N2250" t="n">
        <v>95.15000000000001</v>
      </c>
      <c r="O2250" t="n">
        <v>34.13173652694611</v>
      </c>
    </row>
    <row r="2251" hidden="1">
      <c r="A2251" s="11" t="n">
        <v>46071</v>
      </c>
      <c r="B2251" t="inlineStr">
        <is>
          <t>Leandro de Souza Silva</t>
        </is>
      </c>
      <c r="C2251" t="inlineStr">
        <is>
          <t>JR</t>
        </is>
      </c>
      <c r="D2251" t="n">
        <v>0</v>
      </c>
      <c r="E2251" t="n">
        <v>0</v>
      </c>
      <c r="F2251" t="n">
        <v>0</v>
      </c>
      <c r="G2251" t="n">
        <v>0</v>
      </c>
      <c r="H2251" t="n">
        <v>0</v>
      </c>
      <c r="I2251" s="3" t="n">
        <v>0</v>
      </c>
      <c r="J2251" s="3" t="n">
        <v>0</v>
      </c>
      <c r="K2251" s="3" t="n">
        <v>0</v>
      </c>
      <c r="L2251" s="3">
        <f>IF(K2251&lt;-5,"CRÍTICO",IF(K2251&lt;0,"ATENÇÃO",IF(K2251&lt;=5,"BOM","EXCELENTE")))</f>
        <v/>
      </c>
      <c r="M2251" t="n">
        <v>0</v>
      </c>
      <c r="N2251" t="n">
        <v>0</v>
      </c>
      <c r="O2251" t="n">
        <v>0</v>
      </c>
    </row>
    <row r="2252" hidden="1">
      <c r="A2252" s="11" t="n">
        <v>46071</v>
      </c>
      <c r="B2252" t="inlineStr">
        <is>
          <t>Leandro Oliveira de Sousa</t>
        </is>
      </c>
      <c r="C2252" t="inlineStr">
        <is>
          <t>Técnico III</t>
        </is>
      </c>
      <c r="D2252" t="n">
        <v>20</v>
      </c>
      <c r="E2252" t="n">
        <v>18</v>
      </c>
      <c r="F2252" t="n">
        <v>30.28</v>
      </c>
      <c r="G2252" t="n">
        <v>0</v>
      </c>
      <c r="H2252" t="n">
        <v>0</v>
      </c>
      <c r="I2252" s="3">
        <f>E2252+G2252+H2252</f>
        <v/>
      </c>
      <c r="J2252" s="3">
        <f>ROUND(MIN(IF(C2252="Técnico III",35,IF(C2252="Técnico II",28,IF(C2252="Técnico I",23,IF(C2252="JR",20,IF(C2252="Estágio",10,0))))),IF(C2252="Técnico III",SUMIFS($D:$D,$A:$A,$A2252,$B:$B,"&lt;&gt;Patrícia Karla de Sousa Araújo",$B:$B,"&lt;&gt;Lorena Dias de Araujo",$B:$B,"&lt;&gt;Lucas Luiz Romero")*(35/1083),IF(C2252="Técnico II",SUMIFS($D:$D,$A:$A,$A2252,$B:$B,"&lt;&gt;Patrícia Karla de Sousa Araújo",$B:$B,"&lt;&gt;Lorena Dias de Araujo",$B:$B,"&lt;&gt;Lucas Luiz Romero")*(28/1083),IF(C2252="Técnico I",SUMIFS($D:$D,$A:$A,$A2252,$B:$B,"&lt;&gt;Patrícia Karla de Sousa Araújo",$B:$B,"&lt;&gt;Lorena Dias de Araujo",$B:$B,"&lt;&gt;Lucas Luiz Romero")*(23/1083),IF(C2252="JR",SUMIFS($D:$D,$A:$A,$A2252,$B:$B,"&lt;&gt;Patrícia Karla de Sousa Araújo",$B:$B,"&lt;&gt;Lorena Dias de Araujo",$B:$B,"&lt;&gt;Lucas Luiz Romero")*(20/1083),IF(C2252="Estágio",SUMIFS($D:$D,$A:$A,$A2252,$B:$B,"&lt;&gt;Patrícia Karla de Sousa Araújo",$B:$B,"&lt;&gt;Lorena Dias de Araujo",$B:$B,"&lt;&gt;Lucas Luiz Romero")*(10/1083),0)))))),0)</f>
        <v/>
      </c>
      <c r="K2252" s="3">
        <f>I2252-J2252</f>
        <v/>
      </c>
      <c r="L2252" s="3">
        <f>IF(K2252&lt;-5,"CRÍTICO",IF(K2252&lt;0,"ATENÇÃO",IF(K2252&lt;=5,"BOM","EXCELENTE")))</f>
        <v/>
      </c>
      <c r="M2252" t="n">
        <v>15</v>
      </c>
      <c r="N2252" t="n">
        <v>99.26000000000001</v>
      </c>
      <c r="O2252" t="n">
        <v>30.84832904884319</v>
      </c>
    </row>
    <row r="2253" hidden="1">
      <c r="A2253" s="11" t="n">
        <v>46071</v>
      </c>
      <c r="B2253" t="inlineStr">
        <is>
          <t>Lizandra Gomes Duarte</t>
        </is>
      </c>
      <c r="C2253" t="inlineStr">
        <is>
          <t>Técnico II</t>
        </is>
      </c>
      <c r="D2253" t="n">
        <v>25</v>
      </c>
      <c r="E2253" t="n">
        <v>22</v>
      </c>
      <c r="F2253" t="n">
        <v>25.32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M2253" t="n">
        <v>5</v>
      </c>
      <c r="N2253" t="n">
        <v>97.48</v>
      </c>
      <c r="O2253" t="n">
        <v>27.76470588235294</v>
      </c>
    </row>
    <row r="2254" hidden="1">
      <c r="A2254" s="11" t="n">
        <v>46071</v>
      </c>
      <c r="B2254" t="inlineStr">
        <is>
          <t>Lorena Dias de Araujo</t>
        </is>
      </c>
      <c r="C2254" t="inlineStr">
        <is>
          <t>Técnico II</t>
        </is>
      </c>
      <c r="D2254" t="n">
        <v>32</v>
      </c>
      <c r="E2254" t="n">
        <v>32</v>
      </c>
      <c r="F2254" t="n">
        <v>21.45</v>
      </c>
      <c r="G2254" t="n">
        <v>0</v>
      </c>
      <c r="H2254" t="n">
        <v>0</v>
      </c>
      <c r="I2254" s="3" t="n">
        <v>0</v>
      </c>
      <c r="J2254" s="3" t="n">
        <v>0</v>
      </c>
      <c r="K2254" s="3" t="n">
        <v>0</v>
      </c>
      <c r="L2254" s="3">
        <f>IF(K2254&lt;-5,"CRÍTICO",IF(K2254&lt;0,"ATENÇÃO",IF(K2254&lt;=5,"BOM","EXCELENTE")))</f>
        <v/>
      </c>
      <c r="M2254" t="n">
        <v>28</v>
      </c>
      <c r="N2254" t="n">
        <v>99.34</v>
      </c>
      <c r="O2254" t="n">
        <v>30.04291845493562</v>
      </c>
    </row>
    <row r="2255" hidden="1">
      <c r="A2255" s="11" t="n">
        <v>46071</v>
      </c>
      <c r="B2255" t="inlineStr">
        <is>
          <t>Lucas Luiz Romero</t>
        </is>
      </c>
      <c r="C2255" t="inlineStr">
        <is>
          <t>Técnico III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M2255" t="n">
        <v>0</v>
      </c>
      <c r="N2255" t="n">
        <v>96.3</v>
      </c>
      <c r="O2255" t="n">
        <v>24.29378531073446</v>
      </c>
    </row>
    <row r="2256" hidden="1">
      <c r="A2256" s="11" t="n">
        <v>46071</v>
      </c>
      <c r="B2256" t="inlineStr">
        <is>
          <t>Luiz Fernando de Carvalho Junior</t>
        </is>
      </c>
      <c r="C2256" t="inlineStr">
        <is>
          <t>Técnico I</t>
        </is>
      </c>
      <c r="D2256" t="n">
        <v>18</v>
      </c>
      <c r="E2256" t="n">
        <v>18</v>
      </c>
      <c r="F2256" t="n">
        <v>29.08</v>
      </c>
      <c r="G2256" t="n">
        <v>0</v>
      </c>
      <c r="H2256" t="n">
        <v>0</v>
      </c>
      <c r="I2256" s="3">
        <f>E2256+G2256+H2256</f>
        <v/>
      </c>
      <c r="J2256" s="3">
        <f>ROUND(MIN(IF(C2256="Técnico III",35,IF(C2256="Técnico II",28,IF(C2256="Técnico I",23,IF(C2256="JR",20,IF(C2256="Estágio",10,0))))),IF(C2256="Técnico III",SUMIFS($D:$D,$A:$A,$A2256,$B:$B,"&lt;&gt;Patrícia Karla de Sousa Araújo",$B:$B,"&lt;&gt;Lorena Dias de Araujo",$B:$B,"&lt;&gt;Lucas Luiz Romero")*(35/1083),IF(C2256="Técnico II",SUMIFS($D:$D,$A:$A,$A2256,$B:$B,"&lt;&gt;Patrícia Karla de Sousa Araújo",$B:$B,"&lt;&gt;Lorena Dias de Araujo",$B:$B,"&lt;&gt;Lucas Luiz Romero")*(28/1083),IF(C2256="Técnico I",SUMIFS($D:$D,$A:$A,$A2256,$B:$B,"&lt;&gt;Patrícia Karla de Sousa Araújo",$B:$B,"&lt;&gt;Lorena Dias de Araujo",$B:$B,"&lt;&gt;Lucas Luiz Romero")*(23/1083),IF(C2256="JR",SUMIFS($D:$D,$A:$A,$A2256,$B:$B,"&lt;&gt;Patrícia Karla de Sousa Araújo",$B:$B,"&lt;&gt;Lorena Dias de Araujo",$B:$B,"&lt;&gt;Lucas Luiz Romero")*(20/1083),IF(C2256="Estágio",SUMIFS($D:$D,$A:$A,$A2256,$B:$B,"&lt;&gt;Patrícia Karla de Sousa Araújo",$B:$B,"&lt;&gt;Lorena Dias de Araujo",$B:$B,"&lt;&gt;Lucas Luiz Romero")*(10/1083),0)))))),0)</f>
        <v/>
      </c>
      <c r="K2256" s="3">
        <f>I2256-J2256</f>
        <v/>
      </c>
      <c r="L2256" s="3">
        <f>IF(K2256&lt;-5,"CRÍTICO",IF(K2256&lt;0,"ATENÇÃO",IF(K2256&lt;=5,"BOM","EXCELENTE")))</f>
        <v/>
      </c>
      <c r="M2256" t="n">
        <v>16</v>
      </c>
      <c r="N2256" t="n">
        <v>100</v>
      </c>
      <c r="O2256" t="n">
        <v>26.54320987654321</v>
      </c>
    </row>
    <row r="2257" hidden="1">
      <c r="A2257" s="11" t="n">
        <v>46071</v>
      </c>
      <c r="B2257" t="inlineStr">
        <is>
          <t>Maria Eduarda Sousa Costa</t>
        </is>
      </c>
      <c r="C2257" t="inlineStr">
        <is>
          <t>Estágio</t>
        </is>
      </c>
      <c r="D2257" t="n">
        <v>2</v>
      </c>
      <c r="E2257" t="n">
        <v>2</v>
      </c>
      <c r="F2257" t="n">
        <v>65.20999999999999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M2257" t="n">
        <v>2</v>
      </c>
      <c r="N2257" t="n">
        <v>100</v>
      </c>
      <c r="O2257" t="n">
        <v>35.48387096774194</v>
      </c>
    </row>
    <row r="2258" hidden="1">
      <c r="A2258" s="11" t="n">
        <v>46071</v>
      </c>
      <c r="B2258" t="inlineStr">
        <is>
          <t>Matheus Farias De Souza</t>
        </is>
      </c>
      <c r="C2258" t="inlineStr">
        <is>
          <t>Técnico III</t>
        </is>
      </c>
      <c r="D2258" t="n">
        <v>29</v>
      </c>
      <c r="E2258" t="n">
        <v>28</v>
      </c>
      <c r="F2258" t="n">
        <v>20.02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M2258" t="n">
        <v>25</v>
      </c>
      <c r="N2258" t="n">
        <v>99.27</v>
      </c>
      <c r="O2258" t="n">
        <v>31.16370808678501</v>
      </c>
    </row>
    <row r="2259" hidden="1">
      <c r="A2259" s="11" t="n">
        <v>46071</v>
      </c>
      <c r="B2259" t="inlineStr">
        <is>
          <t>Maysa Victoria Dias Moura</t>
        </is>
      </c>
      <c r="C2259" t="inlineStr">
        <is>
          <t>Técnico III</t>
        </is>
      </c>
      <c r="D2259" t="n">
        <v>40</v>
      </c>
      <c r="E2259" t="n">
        <v>35</v>
      </c>
      <c r="F2259" t="n">
        <v>15.13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M2259" t="n">
        <v>26</v>
      </c>
      <c r="N2259" t="n">
        <v>94.16</v>
      </c>
      <c r="O2259" t="n">
        <v>27.03862660944206</v>
      </c>
    </row>
    <row r="2260" hidden="1">
      <c r="A2260" s="11" t="n">
        <v>46071</v>
      </c>
      <c r="B2260" t="inlineStr">
        <is>
          <t>Michelle G Santos</t>
        </is>
      </c>
      <c r="C2260" t="inlineStr">
        <is>
          <t>Estágio</t>
        </is>
      </c>
      <c r="D2260" t="n">
        <v>6</v>
      </c>
      <c r="E2260" t="n">
        <v>6</v>
      </c>
      <c r="F2260" t="n">
        <v>166.4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M2260" t="n">
        <v>4</v>
      </c>
      <c r="N2260" t="n">
        <v>93.75</v>
      </c>
      <c r="O2260" t="n">
        <v>19.31818181818182</v>
      </c>
    </row>
    <row r="2261" hidden="1">
      <c r="A2261" s="11" t="n">
        <v>46071</v>
      </c>
      <c r="B2261" t="inlineStr">
        <is>
          <t>Milena Sales</t>
        </is>
      </c>
      <c r="C2261" t="inlineStr">
        <is>
          <t>JR</t>
        </is>
      </c>
      <c r="D2261" t="n">
        <v>0</v>
      </c>
      <c r="E2261" t="n">
        <v>0</v>
      </c>
      <c r="F2261" t="n">
        <v>0</v>
      </c>
      <c r="G2261" t="n">
        <v>0</v>
      </c>
      <c r="H2261" t="n">
        <v>0</v>
      </c>
      <c r="I2261" s="3" t="n">
        <v>0</v>
      </c>
      <c r="J2261" s="3" t="n">
        <v>0</v>
      </c>
      <c r="K2261" s="3" t="n">
        <v>0</v>
      </c>
      <c r="L2261" s="3">
        <f>IF(K2261&lt;-5,"CRÍTICO",IF(K2261&lt;0,"ATENÇÃO",IF(K2261&lt;=5,"BOM","EXCELENTE")))</f>
        <v/>
      </c>
      <c r="M2261" t="n">
        <v>0</v>
      </c>
      <c r="N2261" t="n">
        <v>0</v>
      </c>
      <c r="O2261" t="n">
        <v>0</v>
      </c>
    </row>
    <row r="2262" hidden="1">
      <c r="A2262" s="11" t="n">
        <v>46071</v>
      </c>
      <c r="B2262" t="inlineStr">
        <is>
          <t>Patrícia Karla de Sousa Araújo</t>
        </is>
      </c>
      <c r="C2262" t="inlineStr">
        <is>
          <t>Técnico II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M2262" t="n">
        <v>0</v>
      </c>
      <c r="N2262" t="n">
        <v>97.92</v>
      </c>
      <c r="O2262" t="n">
        <v>32.87671232876712</v>
      </c>
    </row>
    <row r="2263" hidden="1">
      <c r="A2263" s="11" t="n">
        <v>46071</v>
      </c>
      <c r="B2263" t="inlineStr">
        <is>
          <t>Paulo Ricardo Santos</t>
        </is>
      </c>
      <c r="C2263" t="inlineStr">
        <is>
          <t>JR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M2263" t="n">
        <v>0</v>
      </c>
      <c r="N2263" t="n">
        <v>0</v>
      </c>
      <c r="O2263" t="n">
        <v>0</v>
      </c>
    </row>
    <row r="2264" hidden="1">
      <c r="A2264" s="11" t="n">
        <v>46071</v>
      </c>
      <c r="B2264" t="inlineStr">
        <is>
          <t>Pedro Luiz Mota Sousa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M2264" t="n">
        <v>0</v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Quirino Diogo Leite Torres</t>
        </is>
      </c>
      <c r="C2265" t="inlineStr">
        <is>
          <t>Estágio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M2265" t="n">
        <v>0</v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Raane Batista Matos</t>
        </is>
      </c>
      <c r="C2266" t="inlineStr">
        <is>
          <t>Técnico I</t>
        </is>
      </c>
      <c r="D2266" t="n">
        <v>34</v>
      </c>
      <c r="E2266" t="n">
        <v>34</v>
      </c>
      <c r="F2266" t="n">
        <v>19.14</v>
      </c>
      <c r="G2266" t="n">
        <v>0</v>
      </c>
      <c r="H2266" t="n">
        <v>0</v>
      </c>
      <c r="I2266" s="3">
        <f>E2266+G2266+H2266</f>
        <v/>
      </c>
      <c r="J2266" s="3">
        <f>ROUND(MIN(IF(C2266="Técnico III",35,IF(C2266="Técnico II",28,IF(C2266="Técnico I",23,IF(C2266="JR",20,IF(C2266="Estágio",10,0))))),IF(C2266="Técnico III",SUMIFS($D:$D,$A:$A,$A2266,$B:$B,"&lt;&gt;Patrícia Karla de Sousa Araújo",$B:$B,"&lt;&gt;Lorena Dias de Araujo",$B:$B,"&lt;&gt;Lucas Luiz Romero")*(35/1083),IF(C2266="Técnico II",SUMIFS($D:$D,$A:$A,$A2266,$B:$B,"&lt;&gt;Patrícia Karla de Sousa Araújo",$B:$B,"&lt;&gt;Lorena Dias de Araujo",$B:$B,"&lt;&gt;Lucas Luiz Romero")*(28/1083),IF(C2266="Técnico I",SUMIFS($D:$D,$A:$A,$A2266,$B:$B,"&lt;&gt;Patrícia Karla de Sousa Araújo",$B:$B,"&lt;&gt;Lorena Dias de Araujo",$B:$B,"&lt;&gt;Lucas Luiz Romero")*(23/1083),IF(C2266="JR",SUMIFS($D:$D,$A:$A,$A2266,$B:$B,"&lt;&gt;Patrícia Karla de Sousa Araújo",$B:$B,"&lt;&gt;Lorena Dias de Araujo",$B:$B,"&lt;&gt;Lucas Luiz Romero")*(20/1083),IF(C2266="Estágio",SUMIFS($D:$D,$A:$A,$A2266,$B:$B,"&lt;&gt;Patrícia Karla de Sousa Araújo",$B:$B,"&lt;&gt;Lorena Dias de Araujo",$B:$B,"&lt;&gt;Lucas Luiz Romero")*(10/1083),0)))))),0)</f>
        <v/>
      </c>
      <c r="K2266" s="3">
        <f>I2266-J2266</f>
        <v/>
      </c>
      <c r="L2266" s="3">
        <f>IF(K2266&lt;-5,"CRÍTICO",IF(K2266&lt;0,"ATENÇÃO",IF(K2266&lt;=5,"BOM","EXCELENTE")))</f>
        <v/>
      </c>
      <c r="M2266" t="n">
        <v>27</v>
      </c>
      <c r="N2266" t="n">
        <v>98.51000000000001</v>
      </c>
      <c r="O2266" t="n">
        <v>29.71014492753623</v>
      </c>
    </row>
    <row r="2267" hidden="1">
      <c r="A2267" s="11" t="n">
        <v>46071</v>
      </c>
      <c r="B2267" t="inlineStr">
        <is>
          <t>Rafael Gomes de Morais</t>
        </is>
      </c>
      <c r="C2267" t="inlineStr">
        <is>
          <t>Técnico III</t>
        </is>
      </c>
      <c r="D2267" t="n">
        <v>43</v>
      </c>
      <c r="E2267" t="n">
        <v>41</v>
      </c>
      <c r="F2267" t="n">
        <v>18.46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M2267" t="n">
        <v>36</v>
      </c>
      <c r="N2267" t="n">
        <v>98.81</v>
      </c>
      <c r="O2267" t="n">
        <v>30.71297989031079</v>
      </c>
    </row>
    <row r="2268" hidden="1">
      <c r="A2268" s="11" t="n">
        <v>46071</v>
      </c>
      <c r="B2268" t="inlineStr">
        <is>
          <t>Sara Maria Monteiro Lopes</t>
        </is>
      </c>
      <c r="C2268" t="inlineStr">
        <is>
          <t>Técnico I</t>
        </is>
      </c>
      <c r="D2268" t="n">
        <v>10</v>
      </c>
      <c r="E2268" t="n">
        <v>10</v>
      </c>
      <c r="F2268" t="n">
        <v>68.56999999999999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M2268" t="n">
        <v>8</v>
      </c>
      <c r="N2268" t="n">
        <v>98.48</v>
      </c>
      <c r="O2268" t="n">
        <v>29.35323383084577</v>
      </c>
    </row>
    <row r="2269" hidden="1">
      <c r="A2269" s="11" t="n">
        <v>46071</v>
      </c>
      <c r="B2269" t="inlineStr">
        <is>
          <t>Sarah Steffanie de Lima Borges</t>
        </is>
      </c>
      <c r="C2269" t="inlineStr">
        <is>
          <t>Técnico III</t>
        </is>
      </c>
      <c r="D2269" t="n">
        <v>28</v>
      </c>
      <c r="E2269" t="n">
        <v>26</v>
      </c>
      <c r="F2269" t="n">
        <v>17.08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M2269" t="n">
        <v>24</v>
      </c>
      <c r="N2269" t="n">
        <v>98.56</v>
      </c>
      <c r="O2269" t="n">
        <v>29.37365010799136</v>
      </c>
    </row>
    <row r="2270" hidden="1">
      <c r="A2270" s="11" t="n">
        <v>46072</v>
      </c>
      <c r="B2270" t="inlineStr">
        <is>
          <t>Alisson de Freitas Silva</t>
        </is>
      </c>
      <c r="C2270" t="inlineStr">
        <is>
          <t>Técnico II</t>
        </is>
      </c>
      <c r="D2270" t="n">
        <v>18</v>
      </c>
      <c r="E2270" t="n">
        <v>15</v>
      </c>
      <c r="F2270" t="n">
        <v>28.36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M2270" t="n">
        <v>12</v>
      </c>
      <c r="N2270" t="n">
        <v>98.31999999999999</v>
      </c>
      <c r="O2270" t="n">
        <v>30.3030303030303</v>
      </c>
    </row>
    <row r="2271" hidden="1">
      <c r="A2271" s="11" t="n">
        <v>46072</v>
      </c>
      <c r="B2271" t="inlineStr">
        <is>
          <t>Amanda Moura Ferreira</t>
        </is>
      </c>
      <c r="C2271" t="inlineStr">
        <is>
          <t>Técnico III</t>
        </is>
      </c>
      <c r="D2271" t="n">
        <v>0</v>
      </c>
      <c r="E2271" t="n">
        <v>0</v>
      </c>
      <c r="F2271" t="n">
        <v>0</v>
      </c>
      <c r="G2271" t="n">
        <v>0</v>
      </c>
      <c r="H2271" t="n">
        <v>0</v>
      </c>
      <c r="I2271" s="3" t="n">
        <v>0</v>
      </c>
      <c r="J2271" s="3" t="n">
        <v>0</v>
      </c>
      <c r="K2271" s="3" t="n">
        <v>0</v>
      </c>
      <c r="L2271" s="3">
        <f>IF(K2271&lt;-5,"CRÍTICO",IF(K2271&lt;0,"ATENÇÃO",IF(K2271&lt;=5,"BOM","EXCELENTE")))</f>
        <v/>
      </c>
      <c r="M2271" t="n">
        <v>21</v>
      </c>
      <c r="N2271" t="n">
        <v>98.68000000000001</v>
      </c>
      <c r="O2271" t="n">
        <v>26.21951219512195</v>
      </c>
    </row>
    <row r="2272" hidden="1">
      <c r="A2272" s="11" t="n">
        <v>46072</v>
      </c>
      <c r="B2272" t="inlineStr">
        <is>
          <t>Ana Karollyne Souza Faria</t>
        </is>
      </c>
      <c r="C2272" t="inlineStr">
        <is>
          <t>Técnico I</t>
        </is>
      </c>
      <c r="D2272" t="n">
        <v>14</v>
      </c>
      <c r="E2272" t="n">
        <v>14</v>
      </c>
      <c r="F2272" t="n">
        <v>52.3</v>
      </c>
      <c r="G2272" t="n">
        <v>0</v>
      </c>
      <c r="H2272" t="n">
        <v>0</v>
      </c>
      <c r="I2272" s="3">
        <f>E2272+G2272+H2272</f>
        <v/>
      </c>
      <c r="J2272" s="3">
        <f>ROUND(MIN(IF(C2272="Técnico III",35,IF(C2272="Técnico II",28,IF(C2272="Técnico I",23,IF(C2272="JR",20,IF(C2272="Estágio",10,0))))),IF(C2272="Técnico III",SUMIFS($D:$D,$A:$A,$A2272,$B:$B,"&lt;&gt;Patrícia Karla de Sousa Araújo",$B:$B,"&lt;&gt;Lorena Dias de Araujo",$B:$B,"&lt;&gt;Lucas Luiz Romero")*(35/1083),IF(C2272="Técnico II",SUMIFS($D:$D,$A:$A,$A2272,$B:$B,"&lt;&gt;Patrícia Karla de Sousa Araújo",$B:$B,"&lt;&gt;Lorena Dias de Araujo",$B:$B,"&lt;&gt;Lucas Luiz Romero")*(28/1083),IF(C2272="Técnico I",SUMIFS($D:$D,$A:$A,$A2272,$B:$B,"&lt;&gt;Patrícia Karla de Sousa Araújo",$B:$B,"&lt;&gt;Lorena Dias de Araujo",$B:$B,"&lt;&gt;Lucas Luiz Romero")*(23/1083),IF(C2272="JR",SUMIFS($D:$D,$A:$A,$A2272,$B:$B,"&lt;&gt;Patrícia Karla de Sousa Araújo",$B:$B,"&lt;&gt;Lorena Dias de Araujo",$B:$B,"&lt;&gt;Lucas Luiz Romero")*(20/1083),IF(C2272="Estágio",SUMIFS($D:$D,$A:$A,$A2272,$B:$B,"&lt;&gt;Patrícia Karla de Sousa Araújo",$B:$B,"&lt;&gt;Lorena Dias de Araujo",$B:$B,"&lt;&gt;Lucas Luiz Romero")*(10/1083),0)))))),0)</f>
        <v/>
      </c>
      <c r="K2272" s="3">
        <f>I2272-J2272</f>
        <v/>
      </c>
      <c r="L2272" s="3">
        <f>IF(K2272&lt;-5,"CRÍTICO",IF(K2272&lt;0,"ATENÇÃO",IF(K2272&lt;=5,"BOM","EXCELENTE")))</f>
        <v/>
      </c>
      <c r="M2272" t="n">
        <v>14</v>
      </c>
      <c r="N2272" t="n">
        <v>100</v>
      </c>
      <c r="O2272" t="n">
        <v>31.74224343675418</v>
      </c>
    </row>
    <row r="2273" hidden="1">
      <c r="A2273" s="11" t="n">
        <v>46072</v>
      </c>
      <c r="B2273" t="inlineStr">
        <is>
          <t>Ana Paula Da Luz Silva Aleixo</t>
        </is>
      </c>
      <c r="C2273" t="inlineStr">
        <is>
          <t>Técnico III</t>
        </is>
      </c>
      <c r="D2273" t="n">
        <v>30</v>
      </c>
      <c r="E2273" t="n">
        <v>28</v>
      </c>
      <c r="F2273" t="n">
        <v>25.44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M2273" t="n">
        <v>31</v>
      </c>
      <c r="N2273" t="n">
        <v>98.25</v>
      </c>
      <c r="O2273" t="n">
        <v>25.83518930957684</v>
      </c>
    </row>
    <row r="2274" hidden="1">
      <c r="A2274" s="11" t="n">
        <v>46072</v>
      </c>
      <c r="B2274" t="inlineStr">
        <is>
          <t>Anna Luiza Rezende Tavares</t>
        </is>
      </c>
      <c r="C2274" t="inlineStr">
        <is>
          <t>Estágio</t>
        </is>
      </c>
      <c r="D2274" t="n">
        <v>5</v>
      </c>
      <c r="E2274" t="n">
        <v>4</v>
      </c>
      <c r="F2274" t="n">
        <v>83.41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M2274" t="n">
        <v>5</v>
      </c>
      <c r="N2274" t="n">
        <v>97.5</v>
      </c>
      <c r="O2274" t="n">
        <v>30.07518796992481</v>
      </c>
    </row>
    <row r="2275" hidden="1">
      <c r="A2275" s="11" t="n">
        <v>46072</v>
      </c>
      <c r="B2275" t="inlineStr">
        <is>
          <t>Brenda de Menezes Silva</t>
        </is>
      </c>
      <c r="C2275" t="inlineStr">
        <is>
          <t>Técnico II</t>
        </is>
      </c>
      <c r="D2275" t="n">
        <v>28</v>
      </c>
      <c r="E2275" t="n">
        <v>23</v>
      </c>
      <c r="F2275" t="n">
        <v>18.54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M2275" t="n">
        <v>25</v>
      </c>
      <c r="N2275" t="n">
        <v>100</v>
      </c>
      <c r="O2275" t="n">
        <v>29.71311475409836</v>
      </c>
    </row>
    <row r="2276" hidden="1">
      <c r="A2276" s="11" t="n">
        <v>46072</v>
      </c>
      <c r="B2276" t="inlineStr">
        <is>
          <t>Carlos Mateus Cassimiro Nunes</t>
        </is>
      </c>
      <c r="C2276" t="inlineStr">
        <is>
          <t>Técnico II</t>
        </is>
      </c>
      <c r="D2276" t="n">
        <v>11</v>
      </c>
      <c r="E2276" t="n">
        <v>11</v>
      </c>
      <c r="F2276" t="n">
        <v>38.36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M2276" t="n">
        <v>11</v>
      </c>
      <c r="N2276" t="n">
        <v>99.22</v>
      </c>
      <c r="O2276" t="n">
        <v>35.25641025641026</v>
      </c>
    </row>
    <row r="2277" hidden="1">
      <c r="A2277" s="11" t="n">
        <v>46072</v>
      </c>
      <c r="B2277" t="inlineStr">
        <is>
          <t>Claudio de Sousa Velasco Filho</t>
        </is>
      </c>
      <c r="C2277" t="inlineStr">
        <is>
          <t>Estágio</t>
        </is>
      </c>
      <c r="D2277" t="n">
        <v>0</v>
      </c>
      <c r="E2277" t="n">
        <v>0</v>
      </c>
      <c r="F2277" t="n">
        <v>0</v>
      </c>
      <c r="G2277" t="n">
        <v>0</v>
      </c>
      <c r="H2277" t="n">
        <v>0</v>
      </c>
      <c r="I2277" s="3" t="n">
        <v>0</v>
      </c>
      <c r="J2277" s="3" t="n">
        <v>0</v>
      </c>
      <c r="K2277" s="3" t="n">
        <v>0</v>
      </c>
      <c r="L2277" s="3">
        <f>IF(K2277&lt;-5,"CRÍTICO",IF(K2277&lt;0,"ATENÇÃO",IF(K2277&lt;=5,"BOM","EXCELENTE")))</f>
        <v/>
      </c>
      <c r="M2277" t="n">
        <v>0</v>
      </c>
      <c r="N2277" t="n">
        <v>0</v>
      </c>
      <c r="O2277" t="n">
        <v>0</v>
      </c>
    </row>
    <row r="2278" hidden="1">
      <c r="A2278" s="11" t="n">
        <v>46072</v>
      </c>
      <c r="B2278" t="inlineStr">
        <is>
          <t>Clessiane Pereira dos Santos</t>
        </is>
      </c>
      <c r="C2278" t="inlineStr">
        <is>
          <t>Técnico I</t>
        </is>
      </c>
      <c r="D2278" t="n">
        <v>21</v>
      </c>
      <c r="E2278" t="n">
        <v>18</v>
      </c>
      <c r="F2278" t="n">
        <v>22.18</v>
      </c>
      <c r="G2278" t="n">
        <v>0</v>
      </c>
      <c r="H2278" t="n">
        <v>0</v>
      </c>
      <c r="I2278" s="3">
        <f>E2278+G2278+H2278</f>
        <v/>
      </c>
      <c r="J2278" s="3">
        <f>ROUND(MIN(IF(C2278="Técnico III",35,IF(C2278="Técnico II",28,IF(C2278="Técnico I",23,IF(C2278="JR",20,IF(C2278="Estágio",10,0))))),IF(C2278="Técnico III",SUMIFS($D:$D,$A:$A,$A2278,$B:$B,"&lt;&gt;Patrícia Karla de Sousa Araújo",$B:$B,"&lt;&gt;Lorena Dias de Araujo",$B:$B,"&lt;&gt;Lucas Luiz Romero")*(35/1083),IF(C2278="Técnico II",SUMIFS($D:$D,$A:$A,$A2278,$B:$B,"&lt;&gt;Patrícia Karla de Sousa Araújo",$B:$B,"&lt;&gt;Lorena Dias de Araujo",$B:$B,"&lt;&gt;Lucas Luiz Romero")*(28/1083),IF(C2278="Técnico I",SUMIFS($D:$D,$A:$A,$A2278,$B:$B,"&lt;&gt;Patrícia Karla de Sousa Araújo",$B:$B,"&lt;&gt;Lorena Dias de Araujo",$B:$B,"&lt;&gt;Lucas Luiz Romero")*(23/1083),IF(C2278="JR",SUMIFS($D:$D,$A:$A,$A2278,$B:$B,"&lt;&gt;Patrícia Karla de Sousa Araújo",$B:$B,"&lt;&gt;Lorena Dias de Araujo",$B:$B,"&lt;&gt;Lucas Luiz Romero")*(20/1083),IF(C2278="Estágio",SUMIFS($D:$D,$A:$A,$A2278,$B:$B,"&lt;&gt;Patrícia Karla de Sousa Araújo",$B:$B,"&lt;&gt;Lorena Dias de Araujo",$B:$B,"&lt;&gt;Lucas Luiz Romero")*(10/1083),0)))))),0)</f>
        <v/>
      </c>
      <c r="K2278" s="3">
        <f>I2278-J2278</f>
        <v/>
      </c>
      <c r="L2278" s="3">
        <f>IF(K2278&lt;-5,"CRÍTICO",IF(K2278&lt;0,"ATENÇÃO",IF(K2278&lt;=5,"BOM","EXCELENTE")))</f>
        <v/>
      </c>
      <c r="M2278" t="n">
        <v>16</v>
      </c>
      <c r="N2278" t="n">
        <v>98.75</v>
      </c>
      <c r="O2278" t="n">
        <v>24.32432432432433</v>
      </c>
    </row>
    <row r="2279" hidden="1">
      <c r="A2279" s="11" t="n">
        <v>46072</v>
      </c>
      <c r="B2279" t="inlineStr">
        <is>
          <t>Cristiane Ramos da Silva Rocha</t>
        </is>
      </c>
      <c r="C2279" t="inlineStr">
        <is>
          <t>Técnico III</t>
        </is>
      </c>
      <c r="D2279" t="n">
        <v>42</v>
      </c>
      <c r="E2279" t="n">
        <v>40</v>
      </c>
      <c r="F2279" t="n">
        <v>13.28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M2279" t="n">
        <v>31</v>
      </c>
      <c r="N2279" t="n">
        <v>93.48</v>
      </c>
      <c r="O2279" t="n">
        <v>31.52804642166344</v>
      </c>
    </row>
    <row r="2280" hidden="1">
      <c r="A2280" s="11" t="n">
        <v>46072</v>
      </c>
      <c r="B2280" t="inlineStr">
        <is>
          <t>Damyllis Lorraine de Oliveira Gonçalves</t>
        </is>
      </c>
      <c r="C2280" t="inlineStr">
        <is>
          <t>Técnico II</t>
        </is>
      </c>
      <c r="D2280" t="n">
        <v>35</v>
      </c>
      <c r="E2280" t="n">
        <v>30</v>
      </c>
      <c r="F2280" t="n">
        <v>22.16</v>
      </c>
      <c r="G2280" t="n">
        <v>0</v>
      </c>
      <c r="H2280" t="n">
        <v>0</v>
      </c>
      <c r="I2280" s="3" t="n">
        <v>0</v>
      </c>
      <c r="J2280" s="3" t="n">
        <v>0</v>
      </c>
      <c r="K2280" s="3" t="n">
        <v>0</v>
      </c>
      <c r="L2280" s="3">
        <f>IF(K2280&lt;-5,"CRÍTICO",IF(K2280&lt;0,"ATENÇÃO",IF(K2280&lt;=5,"BOM","EXCELENTE")))</f>
        <v/>
      </c>
      <c r="M2280" t="n">
        <v>27</v>
      </c>
      <c r="N2280" t="n">
        <v>99.16</v>
      </c>
      <c r="O2280" t="n">
        <v>26.13908872901678</v>
      </c>
    </row>
    <row r="2281" hidden="1">
      <c r="A2281" s="11" t="n">
        <v>46072</v>
      </c>
      <c r="B2281" t="inlineStr">
        <is>
          <t>Daniel Gomes da Silva</t>
        </is>
      </c>
      <c r="C2281" t="inlineStr">
        <is>
          <t>Técnico I</t>
        </is>
      </c>
      <c r="D2281" t="n">
        <v>13</v>
      </c>
      <c r="E2281" t="n">
        <v>13</v>
      </c>
      <c r="F2281" t="n">
        <v>47.1</v>
      </c>
      <c r="G2281" t="n">
        <v>0</v>
      </c>
      <c r="H2281" t="n">
        <v>0</v>
      </c>
      <c r="I2281" s="3">
        <f>E2281+G2281+H2281</f>
        <v/>
      </c>
      <c r="J2281" s="3">
        <f>ROUND(MIN(IF(C2281="Técnico III",35,IF(C2281="Técnico II",28,IF(C2281="Técnico I",23,IF(C2281="JR",20,IF(C2281="Estágio",10,0))))),IF(C2281="Técnico III",SUMIFS($D:$D,$A:$A,$A2281,$B:$B,"&lt;&gt;Patrícia Karla de Sousa Araújo",$B:$B,"&lt;&gt;Lorena Dias de Araujo",$B:$B,"&lt;&gt;Lucas Luiz Romero")*(35/1083),IF(C2281="Técnico II",SUMIFS($D:$D,$A:$A,$A2281,$B:$B,"&lt;&gt;Patrícia Karla de Sousa Araújo",$B:$B,"&lt;&gt;Lorena Dias de Araujo",$B:$B,"&lt;&gt;Lucas Luiz Romero")*(28/1083),IF(C2281="Técnico I",SUMIFS($D:$D,$A:$A,$A2281,$B:$B,"&lt;&gt;Patrícia Karla de Sousa Araújo",$B:$B,"&lt;&gt;Lorena Dias de Araujo",$B:$B,"&lt;&gt;Lucas Luiz Romero")*(23/1083),IF(C2281="JR",SUMIFS($D:$D,$A:$A,$A2281,$B:$B,"&lt;&gt;Patrícia Karla de Sousa Araújo",$B:$B,"&lt;&gt;Lorena Dias de Araujo",$B:$B,"&lt;&gt;Lucas Luiz Romero")*(20/1083),IF(C2281="Estágio",SUMIFS($D:$D,$A:$A,$A2281,$B:$B,"&lt;&gt;Patrícia Karla de Sousa Araújo",$B:$B,"&lt;&gt;Lorena Dias de Araujo",$B:$B,"&lt;&gt;Lucas Luiz Romero")*(10/1083),0)))))),0)</f>
        <v/>
      </c>
      <c r="K2281" s="3">
        <f>I2281-J2281</f>
        <v/>
      </c>
      <c r="L2281" s="3">
        <f>IF(K2281&lt;-5,"CRÍTICO",IF(K2281&lt;0,"ATENÇÃO",IF(K2281&lt;=5,"BOM","EXCELENTE")))</f>
        <v/>
      </c>
      <c r="M2281" t="n">
        <v>13</v>
      </c>
      <c r="N2281" t="n">
        <v>100</v>
      </c>
      <c r="O2281" t="n">
        <v>31.08974358974359</v>
      </c>
    </row>
    <row r="2282" hidden="1">
      <c r="A2282" s="11" t="n">
        <v>46072</v>
      </c>
      <c r="B2282" t="inlineStr">
        <is>
          <t>Davylla Rodrigues Freitas Silva</t>
        </is>
      </c>
      <c r="C2282" t="inlineStr">
        <is>
          <t>Técnico III</t>
        </is>
      </c>
      <c r="D2282" t="n">
        <v>23</v>
      </c>
      <c r="E2282" t="n">
        <v>23</v>
      </c>
      <c r="F2282" t="n">
        <v>35.42</v>
      </c>
      <c r="G2282" t="n">
        <v>0</v>
      </c>
      <c r="H2282" t="n">
        <v>0</v>
      </c>
      <c r="I2282" s="3" t="n">
        <v>0</v>
      </c>
      <c r="J2282" s="3" t="n">
        <v>0</v>
      </c>
      <c r="K2282" s="3" t="n">
        <v>0</v>
      </c>
      <c r="L2282" s="3">
        <f>IF(K2282&lt;-5,"CRÍTICO",IF(K2282&lt;0,"ATENÇÃO",IF(K2282&lt;=5,"BOM","EXCELENTE")))</f>
        <v/>
      </c>
      <c r="M2282" t="n">
        <v>24</v>
      </c>
      <c r="N2282" t="n">
        <v>98.11</v>
      </c>
      <c r="O2282" t="n">
        <v>33.03370786516854</v>
      </c>
    </row>
    <row r="2283" hidden="1">
      <c r="A2283" s="11" t="n">
        <v>46072</v>
      </c>
      <c r="B2283" t="inlineStr">
        <is>
          <t>Emilly Caylane Costa</t>
        </is>
      </c>
      <c r="C2283" t="inlineStr">
        <is>
          <t>Estágio</t>
        </is>
      </c>
      <c r="D2283" t="n">
        <v>10</v>
      </c>
      <c r="E2283" t="n">
        <v>9</v>
      </c>
      <c r="F2283" t="n">
        <v>33.51</v>
      </c>
      <c r="G2283" t="n">
        <v>0</v>
      </c>
      <c r="H2283" t="n">
        <v>0</v>
      </c>
      <c r="I2283" s="3">
        <f>E2283+G2283+H2283</f>
        <v/>
      </c>
      <c r="J2283" s="3">
        <f>ROUND(MIN(IF(C2283="Técnico III",35,IF(C2283="Técnico II",28,IF(C2283="Técnico I",23,IF(C2283="JR",20,IF(C2283="Estágio",10,0))))),IF(C2283="Técnico III",SUMIFS($D:$D,$A:$A,$A2283,$B:$B,"&lt;&gt;Patrícia Karla de Sousa Araújo",$B:$B,"&lt;&gt;Lorena Dias de Araujo",$B:$B,"&lt;&gt;Lucas Luiz Romero")*(35/1083),IF(C2283="Técnico II",SUMIFS($D:$D,$A:$A,$A2283,$B:$B,"&lt;&gt;Patrícia Karla de Sousa Araújo",$B:$B,"&lt;&gt;Lorena Dias de Araujo",$B:$B,"&lt;&gt;Lucas Luiz Romero")*(28/1083),IF(C2283="Técnico I",SUMIFS($D:$D,$A:$A,$A2283,$B:$B,"&lt;&gt;Patrícia Karla de Sousa Araújo",$B:$B,"&lt;&gt;Lorena Dias de Araujo",$B:$B,"&lt;&gt;Lucas Luiz Romero")*(23/1083),IF(C2283="JR",SUMIFS($D:$D,$A:$A,$A2283,$B:$B,"&lt;&gt;Patrícia Karla de Sousa Araújo",$B:$B,"&lt;&gt;Lorena Dias de Araujo",$B:$B,"&lt;&gt;Lucas Luiz Romero")*(20/1083),IF(C2283="Estágio",SUMIFS($D:$D,$A:$A,$A2283,$B:$B,"&lt;&gt;Patrícia Karla de Sousa Araújo",$B:$B,"&lt;&gt;Lorena Dias de Araujo",$B:$B,"&lt;&gt;Lucas Luiz Romero")*(10/1083),0)))))),0)</f>
        <v/>
      </c>
      <c r="K2283" s="3">
        <f>I2283-J2283</f>
        <v/>
      </c>
      <c r="L2283" s="3">
        <f>IF(K2283&lt;-5,"CRÍTICO",IF(K2283&lt;0,"ATENÇÃO",IF(K2283&lt;=5,"BOM","EXCELENTE")))</f>
        <v/>
      </c>
      <c r="M2283" t="n">
        <v>4</v>
      </c>
      <c r="N2283" t="n">
        <v>78.95</v>
      </c>
      <c r="O2283" t="n">
        <v>38.98305084745763</v>
      </c>
    </row>
    <row r="2284" hidden="1">
      <c r="A2284" s="11" t="n">
        <v>46072</v>
      </c>
      <c r="B2284" t="inlineStr">
        <is>
          <t>Emilly Kamilly Medeiros Miranda</t>
        </is>
      </c>
      <c r="C2284" t="inlineStr">
        <is>
          <t>Técnico II</t>
        </is>
      </c>
      <c r="D2284" t="n">
        <v>16</v>
      </c>
      <c r="E2284" t="n">
        <v>15</v>
      </c>
      <c r="F2284" t="n">
        <v>22.25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M2284" t="n">
        <v>13</v>
      </c>
      <c r="N2284" t="n">
        <v>98.45</v>
      </c>
      <c r="O2284" t="n">
        <v>29.2817679558011</v>
      </c>
    </row>
    <row r="2285" hidden="1">
      <c r="A2285" s="11" t="n">
        <v>46072</v>
      </c>
      <c r="B2285" t="inlineStr">
        <is>
          <t>Francielson de Oliveira</t>
        </is>
      </c>
      <c r="C2285" t="inlineStr">
        <is>
          <t>Técnico III</t>
        </is>
      </c>
      <c r="D2285" t="n">
        <v>22</v>
      </c>
      <c r="E2285" t="n">
        <v>21</v>
      </c>
      <c r="F2285" t="n">
        <v>20.17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M2285" t="n">
        <v>20</v>
      </c>
      <c r="N2285" t="n">
        <v>97.84</v>
      </c>
      <c r="O2285" t="n">
        <v>26.28205128205128</v>
      </c>
    </row>
    <row r="2286" hidden="1">
      <c r="A2286" s="11" t="n">
        <v>46072</v>
      </c>
      <c r="B2286" t="inlineStr">
        <is>
          <t>Francilene Ferreira de Jesus</t>
        </is>
      </c>
      <c r="C2286" t="inlineStr">
        <is>
          <t>Técnico II</t>
        </is>
      </c>
      <c r="D2286" t="n">
        <v>30</v>
      </c>
      <c r="E2286" t="n">
        <v>29</v>
      </c>
      <c r="F2286" t="n">
        <v>24.09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M2286" t="n">
        <v>26</v>
      </c>
      <c r="N2286" t="n">
        <v>98.5</v>
      </c>
      <c r="O2286" t="n">
        <v>23.97769516728625</v>
      </c>
    </row>
    <row r="2287" hidden="1">
      <c r="A2287" s="11" t="n">
        <v>46106</v>
      </c>
      <c r="B2287" t="inlineStr">
        <is>
          <t>Gabriel Gomes de Andrade</t>
        </is>
      </c>
      <c r="C2287" t="inlineStr">
        <is>
          <t>Técnico I</t>
        </is>
      </c>
      <c r="D2287" t="n">
        <v>22</v>
      </c>
      <c r="E2287" t="n">
        <v>21</v>
      </c>
      <c r="F2287" t="n">
        <v>23.42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M2287" t="n">
        <v>18</v>
      </c>
      <c r="N2287" t="n">
        <v>99.05</v>
      </c>
      <c r="O2287" t="n">
        <v>26.62192393736018</v>
      </c>
    </row>
    <row r="2288" hidden="1">
      <c r="A2288" s="11" t="n">
        <v>46072</v>
      </c>
      <c r="B2288" t="inlineStr">
        <is>
          <t>Isabella Borges de Oliveira</t>
        </is>
      </c>
      <c r="C2288" t="inlineStr">
        <is>
          <t>Técnico II</t>
        </is>
      </c>
      <c r="D2288" t="n">
        <v>23</v>
      </c>
      <c r="E2288" t="n">
        <v>22</v>
      </c>
      <c r="F2288" t="n">
        <v>32.13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M2288" t="n">
        <v>22</v>
      </c>
      <c r="N2288" t="n">
        <v>98.53</v>
      </c>
      <c r="O2288" t="n">
        <v>31.57894736842105</v>
      </c>
    </row>
    <row r="2289" hidden="1">
      <c r="A2289" s="11" t="n">
        <v>46072</v>
      </c>
      <c r="B2289" t="inlineStr">
        <is>
          <t>Janaina Lima dos Reis Urany</t>
        </is>
      </c>
      <c r="C2289" t="inlineStr">
        <is>
          <t>Técnico III</t>
        </is>
      </c>
      <c r="D2289" t="n">
        <v>31</v>
      </c>
      <c r="E2289" t="n">
        <v>31</v>
      </c>
      <c r="F2289" t="n">
        <v>23.47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M2289" t="n">
        <v>29</v>
      </c>
      <c r="N2289" t="n">
        <v>100</v>
      </c>
      <c r="O2289" t="n">
        <v>25.72214580467676</v>
      </c>
    </row>
    <row r="2290" hidden="1">
      <c r="A2290" s="11" t="n">
        <v>46072</v>
      </c>
      <c r="B2290" t="inlineStr">
        <is>
          <t>Jaqueline Evangelista da Silva Martins</t>
        </is>
      </c>
      <c r="C2290" t="inlineStr">
        <is>
          <t>Técnico III</t>
        </is>
      </c>
      <c r="D2290" t="n">
        <v>2</v>
      </c>
      <c r="E2290" t="n">
        <v>2</v>
      </c>
      <c r="F2290" t="n">
        <v>25.15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M2290" t="n">
        <v>2</v>
      </c>
      <c r="N2290" t="n">
        <v>94.64</v>
      </c>
      <c r="O2290" t="n">
        <v>27.52941176470588</v>
      </c>
    </row>
    <row r="2291" hidden="1">
      <c r="A2291" s="11" t="n">
        <v>46072</v>
      </c>
      <c r="B2291" t="inlineStr">
        <is>
          <t>Jessica Faria da Silveira</t>
        </is>
      </c>
      <c r="C2291" t="inlineStr">
        <is>
          <t>Técnico II</t>
        </is>
      </c>
      <c r="D2291" t="n">
        <v>19</v>
      </c>
      <c r="E2291" t="n">
        <v>14</v>
      </c>
      <c r="F2291" t="n">
        <v>15.17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M2291" t="n">
        <v>14</v>
      </c>
      <c r="N2291" t="n">
        <v>99.06999999999999</v>
      </c>
      <c r="O2291" t="n">
        <v>26.3768115942029</v>
      </c>
    </row>
    <row r="2292" hidden="1">
      <c r="A2292" s="11" t="n">
        <v>46072</v>
      </c>
      <c r="B2292" t="inlineStr">
        <is>
          <t>Jéssica Fé Moura</t>
        </is>
      </c>
      <c r="C2292" t="inlineStr">
        <is>
          <t>Técnico III</t>
        </is>
      </c>
      <c r="D2292" t="n">
        <v>0</v>
      </c>
      <c r="E2292" t="n">
        <v>0</v>
      </c>
      <c r="F2292" t="n">
        <v>0</v>
      </c>
      <c r="G2292" t="n">
        <v>0</v>
      </c>
      <c r="H2292" t="n">
        <v>0</v>
      </c>
      <c r="I2292" s="3" t="n">
        <v>0</v>
      </c>
      <c r="J2292" s="3" t="n">
        <v>0</v>
      </c>
      <c r="K2292" s="3" t="n">
        <v>0</v>
      </c>
      <c r="L2292" s="3">
        <f>IF(K2292&lt;-5,"CRÍTICO",IF(K2292&lt;0,"ATENÇÃO",IF(K2292&lt;=5,"BOM","EXCELENTE")))</f>
        <v/>
      </c>
      <c r="M2292" t="n">
        <v>0</v>
      </c>
      <c r="N2292" t="n">
        <v>100</v>
      </c>
      <c r="O2292" t="n">
        <v>0</v>
      </c>
    </row>
    <row r="2293" hidden="1">
      <c r="A2293" s="11" t="n">
        <v>46072</v>
      </c>
      <c r="B2293" t="inlineStr">
        <is>
          <t>Karina Gonçalves Martins</t>
        </is>
      </c>
      <c r="C2293" t="inlineStr">
        <is>
          <t>JR</t>
        </is>
      </c>
      <c r="D2293" t="n">
        <v>17</v>
      </c>
      <c r="E2293" t="n">
        <v>15</v>
      </c>
      <c r="F2293" t="n">
        <v>35.44</v>
      </c>
      <c r="G2293" t="n">
        <v>0</v>
      </c>
      <c r="H2293" t="n">
        <v>0</v>
      </c>
      <c r="I2293" s="3">
        <f>E2293+G2293+H2293</f>
        <v/>
      </c>
      <c r="J2293" s="3">
        <f>ROUND(MIN(IF(C2293="Técnico III",35,IF(C2293="Técnico II",28,IF(C2293="Técnico I",23,IF(C2293="JR",20,IF(C2293="Estágio",10,0))))),IF(C2293="Técnico III",SUMIFS($D:$D,$A:$A,$A2293,$B:$B,"&lt;&gt;Patrícia Karla de Sousa Araújo",$B:$B,"&lt;&gt;Lorena Dias de Araujo",$B:$B,"&lt;&gt;Lucas Luiz Romero")*(35/1083),IF(C2293="Técnico II",SUMIFS($D:$D,$A:$A,$A2293,$B:$B,"&lt;&gt;Patrícia Karla de Sousa Araújo",$B:$B,"&lt;&gt;Lorena Dias de Araujo",$B:$B,"&lt;&gt;Lucas Luiz Romero")*(28/1083),IF(C2293="Técnico I",SUMIFS($D:$D,$A:$A,$A2293,$B:$B,"&lt;&gt;Patrícia Karla de Sousa Araújo",$B:$B,"&lt;&gt;Lorena Dias de Araujo",$B:$B,"&lt;&gt;Lucas Luiz Romero")*(23/1083),IF(C2293="JR",SUMIFS($D:$D,$A:$A,$A2293,$B:$B,"&lt;&gt;Patrícia Karla de Sousa Araújo",$B:$B,"&lt;&gt;Lorena Dias de Araujo",$B:$B,"&lt;&gt;Lucas Luiz Romero")*(20/1083),IF(C2293="Estágio",SUMIFS($D:$D,$A:$A,$A2293,$B:$B,"&lt;&gt;Patrícia Karla de Sousa Araújo",$B:$B,"&lt;&gt;Lorena Dias de Araujo",$B:$B,"&lt;&gt;Lucas Luiz Romero")*(10/1083),0)))))),0)</f>
        <v/>
      </c>
      <c r="K2293" s="3">
        <f>I2293-J2293</f>
        <v/>
      </c>
      <c r="L2293" s="3">
        <f>IF(K2293&lt;-5,"CRÍTICO",IF(K2293&lt;0,"ATENÇÃO",IF(K2293&lt;=5,"BOM","EXCELENTE")))</f>
        <v/>
      </c>
      <c r="M2293" t="n">
        <v>13</v>
      </c>
      <c r="N2293" t="n">
        <v>98.48</v>
      </c>
      <c r="O2293" t="n">
        <v>27.85388127853881</v>
      </c>
    </row>
    <row r="2294" hidden="1">
      <c r="A2294" s="11" t="n">
        <v>46072</v>
      </c>
      <c r="B2294" t="inlineStr">
        <is>
          <t>Kerollen Cristielly de Jesus Siqueira</t>
        </is>
      </c>
      <c r="C2294" t="inlineStr">
        <is>
          <t>Técnico III</t>
        </is>
      </c>
      <c r="D2294" t="n">
        <v>18</v>
      </c>
      <c r="E2294" t="n">
        <v>17</v>
      </c>
      <c r="F2294" t="n">
        <v>27.03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M2294" t="n">
        <v>17</v>
      </c>
      <c r="N2294" t="n">
        <v>95.15000000000001</v>
      </c>
      <c r="O2294" t="n">
        <v>34.13173652694611</v>
      </c>
    </row>
    <row r="2295" hidden="1">
      <c r="A2295" s="11" t="n">
        <v>46072</v>
      </c>
      <c r="B2295" t="inlineStr">
        <is>
          <t>Leandro de Souza Silva</t>
        </is>
      </c>
      <c r="C2295" t="inlineStr">
        <is>
          <t>JR</t>
        </is>
      </c>
      <c r="D2295" t="n">
        <v>0</v>
      </c>
      <c r="E2295" t="n">
        <v>0</v>
      </c>
      <c r="F2295" t="n">
        <v>0</v>
      </c>
      <c r="G2295" t="n">
        <v>0</v>
      </c>
      <c r="H2295" t="n">
        <v>0</v>
      </c>
      <c r="I2295" s="3" t="n">
        <v>0</v>
      </c>
      <c r="J2295" s="3" t="n">
        <v>0</v>
      </c>
      <c r="K2295" s="3" t="n">
        <v>0</v>
      </c>
      <c r="L2295" s="3">
        <f>IF(K2295&lt;-5,"CRÍTICO",IF(K2295&lt;0,"ATENÇÃO",IF(K2295&lt;=5,"BOM","EXCELENTE")))</f>
        <v/>
      </c>
      <c r="M2295" t="n">
        <v>0</v>
      </c>
      <c r="N2295" t="n">
        <v>0</v>
      </c>
      <c r="O2295" t="n">
        <v>0</v>
      </c>
    </row>
    <row r="2296" hidden="1">
      <c r="A2296" s="11" t="n">
        <v>46072</v>
      </c>
      <c r="B2296" t="inlineStr">
        <is>
          <t>Leandro Oliveira de Sousa</t>
        </is>
      </c>
      <c r="C2296" t="inlineStr">
        <is>
          <t>Técnico III</t>
        </is>
      </c>
      <c r="D2296" t="n">
        <v>28</v>
      </c>
      <c r="E2296" t="n">
        <v>27</v>
      </c>
      <c r="F2296" t="n">
        <v>23.23</v>
      </c>
      <c r="G2296" t="n">
        <v>0</v>
      </c>
      <c r="H2296" t="n">
        <v>0</v>
      </c>
      <c r="I2296" s="3">
        <f>E2296+G2296+H2296</f>
        <v/>
      </c>
      <c r="J2296" s="3">
        <f>ROUND(MIN(IF(C2296="Técnico III",35,IF(C2296="Técnico II",28,IF(C2296="Técnico I",23,IF(C2296="JR",20,IF(C2296="Estágio",10,0))))),IF(C2296="Técnico III",SUMIFS($D:$D,$A:$A,$A2296,$B:$B,"&lt;&gt;Patrícia Karla de Sousa Araújo",$B:$B,"&lt;&gt;Lorena Dias de Araujo",$B:$B,"&lt;&gt;Lucas Luiz Romero")*(35/1083),IF(C2296="Técnico II",SUMIFS($D:$D,$A:$A,$A2296,$B:$B,"&lt;&gt;Patrícia Karla de Sousa Araújo",$B:$B,"&lt;&gt;Lorena Dias de Araujo",$B:$B,"&lt;&gt;Lucas Luiz Romero")*(28/1083),IF(C2296="Técnico I",SUMIFS($D:$D,$A:$A,$A2296,$B:$B,"&lt;&gt;Patrícia Karla de Sousa Araújo",$B:$B,"&lt;&gt;Lorena Dias de Araujo",$B:$B,"&lt;&gt;Lucas Luiz Romero")*(23/1083),IF(C2296="JR",SUMIFS($D:$D,$A:$A,$A2296,$B:$B,"&lt;&gt;Patrícia Karla de Sousa Araújo",$B:$B,"&lt;&gt;Lorena Dias de Araujo",$B:$B,"&lt;&gt;Lucas Luiz Romero")*(20/1083),IF(C2296="Estágio",SUMIFS($D:$D,$A:$A,$A2296,$B:$B,"&lt;&gt;Patrícia Karla de Sousa Araújo",$B:$B,"&lt;&gt;Lorena Dias de Araujo",$B:$B,"&lt;&gt;Lucas Luiz Romero")*(10/1083),0)))))),0)</f>
        <v/>
      </c>
      <c r="K2296" s="3">
        <f>I2296-J2296</f>
        <v/>
      </c>
      <c r="L2296" s="3">
        <f>IF(K2296&lt;-5,"CRÍTICO",IF(K2296&lt;0,"ATENÇÃO",IF(K2296&lt;=5,"BOM","EXCELENTE")))</f>
        <v/>
      </c>
      <c r="M2296" t="n">
        <v>21</v>
      </c>
      <c r="N2296" t="n">
        <v>99.26000000000001</v>
      </c>
      <c r="O2296" t="n">
        <v>30.84832904884319</v>
      </c>
    </row>
    <row r="2297" hidden="1">
      <c r="A2297" s="11" t="n">
        <v>46072</v>
      </c>
      <c r="B2297" t="inlineStr">
        <is>
          <t>Lizandra Gomes Duarte</t>
        </is>
      </c>
      <c r="C2297" t="inlineStr">
        <is>
          <t>Técnico II</t>
        </is>
      </c>
      <c r="D2297" t="n">
        <v>26</v>
      </c>
      <c r="E2297" t="n">
        <v>25</v>
      </c>
      <c r="F2297" t="n">
        <v>28.45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M2297" t="n">
        <v>20</v>
      </c>
      <c r="N2297" t="n">
        <v>97.48</v>
      </c>
      <c r="O2297" t="n">
        <v>27.76470588235294</v>
      </c>
    </row>
    <row r="2298" hidden="1">
      <c r="A2298" s="11" t="n">
        <v>46072</v>
      </c>
      <c r="B2298" t="inlineStr">
        <is>
          <t>Lorena Dias de Araujo</t>
        </is>
      </c>
      <c r="C2298" t="inlineStr">
        <is>
          <t>Técnico II</t>
        </is>
      </c>
      <c r="D2298" t="n">
        <v>23</v>
      </c>
      <c r="E2298" t="n">
        <v>23</v>
      </c>
      <c r="F2298" t="n">
        <v>20.56</v>
      </c>
      <c r="G2298" t="n">
        <v>0</v>
      </c>
      <c r="H2298" t="n">
        <v>0</v>
      </c>
      <c r="I2298" s="3" t="n">
        <v>0</v>
      </c>
      <c r="J2298" s="3" t="n">
        <v>0</v>
      </c>
      <c r="K2298" s="3" t="n">
        <v>0</v>
      </c>
      <c r="L2298" s="3">
        <f>IF(K2298&lt;-5,"CRÍTICO",IF(K2298&lt;0,"ATENÇÃO",IF(K2298&lt;=5,"BOM","EXCELENTE")))</f>
        <v/>
      </c>
      <c r="M2298" t="n">
        <v>19</v>
      </c>
      <c r="N2298" t="n">
        <v>99.34</v>
      </c>
      <c r="O2298" t="n">
        <v>30.04291845493562</v>
      </c>
    </row>
    <row r="2299" hidden="1">
      <c r="A2299" s="11" t="n">
        <v>46072</v>
      </c>
      <c r="B2299" t="inlineStr">
        <is>
          <t>Lucas Luiz Romero</t>
        </is>
      </c>
      <c r="C2299" t="inlineStr">
        <is>
          <t>Técnico III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M2299" t="n">
        <v>0</v>
      </c>
      <c r="N2299" t="n">
        <v>96.3</v>
      </c>
      <c r="O2299" t="n">
        <v>24.29378531073446</v>
      </c>
    </row>
    <row r="2300" hidden="1">
      <c r="A2300" s="11" t="n">
        <v>46072</v>
      </c>
      <c r="B2300" t="inlineStr">
        <is>
          <t>Luiz Fernando de Carvalho Junior</t>
        </is>
      </c>
      <c r="C2300" t="inlineStr">
        <is>
          <t>Técnico I</t>
        </is>
      </c>
      <c r="D2300" t="n">
        <v>17</v>
      </c>
      <c r="E2300" t="n">
        <v>15</v>
      </c>
      <c r="F2300" t="n">
        <v>25.21</v>
      </c>
      <c r="G2300" t="n">
        <v>0</v>
      </c>
      <c r="H2300" t="n">
        <v>0</v>
      </c>
      <c r="I2300" s="3">
        <f>E2300+G2300+H2300</f>
        <v/>
      </c>
      <c r="J2300" s="3">
        <f>ROUND(MIN(IF(C2300="Técnico III",35,IF(C2300="Técnico II",28,IF(C2300="Técnico I",23,IF(C2300="JR",20,IF(C2300="Estágio",10,0))))),IF(C2300="Técnico III",SUMIFS($D:$D,$A:$A,$A2300,$B:$B,"&lt;&gt;Patrícia Karla de Sousa Araújo",$B:$B,"&lt;&gt;Lorena Dias de Araujo",$B:$B,"&lt;&gt;Lucas Luiz Romero")*(35/1083),IF(C2300="Técnico II",SUMIFS($D:$D,$A:$A,$A2300,$B:$B,"&lt;&gt;Patrícia Karla de Sousa Araújo",$B:$B,"&lt;&gt;Lorena Dias de Araujo",$B:$B,"&lt;&gt;Lucas Luiz Romero")*(28/1083),IF(C2300="Técnico I",SUMIFS($D:$D,$A:$A,$A2300,$B:$B,"&lt;&gt;Patrícia Karla de Sousa Araújo",$B:$B,"&lt;&gt;Lorena Dias de Araujo",$B:$B,"&lt;&gt;Lucas Luiz Romero")*(23/1083),IF(C2300="JR",SUMIFS($D:$D,$A:$A,$A2300,$B:$B,"&lt;&gt;Patrícia Karla de Sousa Araújo",$B:$B,"&lt;&gt;Lorena Dias de Araujo",$B:$B,"&lt;&gt;Lucas Luiz Romero")*(20/1083),IF(C2300="Estágio",SUMIFS($D:$D,$A:$A,$A2300,$B:$B,"&lt;&gt;Patrícia Karla de Sousa Araújo",$B:$B,"&lt;&gt;Lorena Dias de Araujo",$B:$B,"&lt;&gt;Lucas Luiz Romero")*(10/1083),0)))))),0)</f>
        <v/>
      </c>
      <c r="K2300" s="3">
        <f>I2300-J2300</f>
        <v/>
      </c>
      <c r="L2300" s="3">
        <f>IF(K2300&lt;-5,"CRÍTICO",IF(K2300&lt;0,"ATENÇÃO",IF(K2300&lt;=5,"BOM","EXCELENTE")))</f>
        <v/>
      </c>
      <c r="M2300" t="n">
        <v>15</v>
      </c>
      <c r="N2300" t="n">
        <v>100</v>
      </c>
      <c r="O2300" t="n">
        <v>26.54320987654321</v>
      </c>
    </row>
    <row r="2301" hidden="1">
      <c r="A2301" s="11" t="n">
        <v>46072</v>
      </c>
      <c r="B2301" t="inlineStr">
        <is>
          <t>Maria Eduarda Sousa Costa</t>
        </is>
      </c>
      <c r="C2301" t="inlineStr">
        <is>
          <t>Estágio</t>
        </is>
      </c>
      <c r="D2301" t="n">
        <v>8</v>
      </c>
      <c r="E2301" t="n">
        <v>8</v>
      </c>
      <c r="F2301" t="n">
        <v>42.28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M2301" t="n">
        <v>6</v>
      </c>
      <c r="N2301" t="n">
        <v>100</v>
      </c>
      <c r="O2301" t="n">
        <v>35.48387096774194</v>
      </c>
    </row>
    <row r="2302" hidden="1">
      <c r="A2302" s="11" t="n">
        <v>46072</v>
      </c>
      <c r="B2302" t="inlineStr">
        <is>
          <t>Matheus Farias De Souza</t>
        </is>
      </c>
      <c r="C2302" t="inlineStr">
        <is>
          <t>Técnico III</t>
        </is>
      </c>
      <c r="D2302" t="n">
        <v>36</v>
      </c>
      <c r="E2302" t="n">
        <v>35</v>
      </c>
      <c r="F2302" t="n">
        <v>18.56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M2302" t="n">
        <v>33</v>
      </c>
      <c r="N2302" t="n">
        <v>99.27</v>
      </c>
      <c r="O2302" t="n">
        <v>31.16370808678501</v>
      </c>
    </row>
    <row r="2303" hidden="1">
      <c r="A2303" s="11" t="n">
        <v>46072</v>
      </c>
      <c r="B2303" t="inlineStr">
        <is>
          <t>Maysa Victoria Dias Moura</t>
        </is>
      </c>
      <c r="C2303" t="inlineStr">
        <is>
          <t>Técnico III</t>
        </is>
      </c>
      <c r="D2303" t="n">
        <v>29</v>
      </c>
      <c r="E2303" t="n">
        <v>28</v>
      </c>
      <c r="F2303" t="n">
        <v>27.14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M2303" t="n">
        <v>25</v>
      </c>
      <c r="N2303" t="n">
        <v>94.16</v>
      </c>
      <c r="O2303" t="n">
        <v>27.03862660944206</v>
      </c>
    </row>
    <row r="2304" hidden="1">
      <c r="A2304" s="11" t="n">
        <v>46072</v>
      </c>
      <c r="B2304" t="inlineStr">
        <is>
          <t>Michelle G Santos</t>
        </is>
      </c>
      <c r="C2304" t="inlineStr">
        <is>
          <t>Estágio</t>
        </is>
      </c>
      <c r="D2304" t="n">
        <v>8</v>
      </c>
      <c r="E2304" t="n">
        <v>7</v>
      </c>
      <c r="F2304" t="n">
        <v>63.32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M2304" t="n">
        <v>1</v>
      </c>
      <c r="N2304" t="n">
        <v>93.75</v>
      </c>
      <c r="O2304" t="n">
        <v>19.31818181818182</v>
      </c>
    </row>
    <row r="2305" hidden="1">
      <c r="A2305" s="11" t="n">
        <v>46072</v>
      </c>
      <c r="B2305" t="inlineStr">
        <is>
          <t>Milena Sales</t>
        </is>
      </c>
      <c r="C2305" t="inlineStr">
        <is>
          <t>JR</t>
        </is>
      </c>
      <c r="D2305" t="n">
        <v>0</v>
      </c>
      <c r="E2305" t="n">
        <v>0</v>
      </c>
      <c r="F2305" t="n">
        <v>0</v>
      </c>
      <c r="G2305" t="n">
        <v>0</v>
      </c>
      <c r="H2305" t="n">
        <v>0</v>
      </c>
      <c r="I2305" s="3" t="n">
        <v>0</v>
      </c>
      <c r="J2305" s="3" t="n">
        <v>0</v>
      </c>
      <c r="K2305" s="3" t="n">
        <v>0</v>
      </c>
      <c r="L2305" s="3">
        <f>IF(K2305&lt;-5,"CRÍTICO",IF(K2305&lt;0,"ATENÇÃO",IF(K2305&lt;=5,"BOM","EXCELENTE")))</f>
        <v/>
      </c>
      <c r="M2305" t="n">
        <v>0</v>
      </c>
      <c r="N2305" t="n">
        <v>0</v>
      </c>
      <c r="O2305" t="n">
        <v>0</v>
      </c>
    </row>
    <row r="2306" hidden="1">
      <c r="A2306" s="11" t="n">
        <v>46072</v>
      </c>
      <c r="B2306" t="inlineStr">
        <is>
          <t>Patrícia Karla de Sousa Araújo</t>
        </is>
      </c>
      <c r="C2306" t="inlineStr">
        <is>
          <t>Técnico II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M2306" t="n">
        <v>0</v>
      </c>
      <c r="N2306" t="n">
        <v>97.92</v>
      </c>
      <c r="O2306" t="n">
        <v>32.87671232876712</v>
      </c>
    </row>
    <row r="2307" hidden="1">
      <c r="A2307" s="11" t="n">
        <v>46072</v>
      </c>
      <c r="B2307" t="inlineStr">
        <is>
          <t>Paulo Ricardo Santos</t>
        </is>
      </c>
      <c r="C2307" t="inlineStr">
        <is>
          <t>JR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M2307" t="n">
        <v>0</v>
      </c>
      <c r="N2307" t="n">
        <v>0</v>
      </c>
      <c r="O2307" t="n">
        <v>0</v>
      </c>
    </row>
    <row r="2308" hidden="1">
      <c r="A2308" s="11" t="n">
        <v>46072</v>
      </c>
      <c r="B2308" t="inlineStr">
        <is>
          <t>Pedro Luiz Mota Sousa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M2308" t="n">
        <v>0</v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Quirino Diogo Leite Torres</t>
        </is>
      </c>
      <c r="C2309" t="inlineStr">
        <is>
          <t>Estágio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M2309" t="n">
        <v>0</v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Raane Batista Matos</t>
        </is>
      </c>
      <c r="C2310" t="inlineStr">
        <is>
          <t>Técnico I</t>
        </is>
      </c>
      <c r="D2310" t="n">
        <v>21</v>
      </c>
      <c r="E2310" t="n">
        <v>21</v>
      </c>
      <c r="F2310" t="n">
        <v>28.24</v>
      </c>
      <c r="G2310" t="n">
        <v>0</v>
      </c>
      <c r="H2310" t="n">
        <v>0</v>
      </c>
      <c r="I2310" s="3">
        <f>E2310+G2310+H2310</f>
        <v/>
      </c>
      <c r="J2310" s="3">
        <f>ROUND(MIN(IF(C2310="Técnico III",35,IF(C2310="Técnico II",28,IF(C2310="Técnico I",23,IF(C2310="JR",20,IF(C2310="Estágio",10,0))))),IF(C2310="Técnico III",SUMIFS($D:$D,$A:$A,$A2310,$B:$B,"&lt;&gt;Patrícia Karla de Sousa Araújo",$B:$B,"&lt;&gt;Lorena Dias de Araujo",$B:$B,"&lt;&gt;Lucas Luiz Romero")*(35/1083),IF(C2310="Técnico II",SUMIFS($D:$D,$A:$A,$A2310,$B:$B,"&lt;&gt;Patrícia Karla de Sousa Araújo",$B:$B,"&lt;&gt;Lorena Dias de Araujo",$B:$B,"&lt;&gt;Lucas Luiz Romero")*(28/1083),IF(C2310="Técnico I",SUMIFS($D:$D,$A:$A,$A2310,$B:$B,"&lt;&gt;Patrícia Karla de Sousa Araújo",$B:$B,"&lt;&gt;Lorena Dias de Araujo",$B:$B,"&lt;&gt;Lucas Luiz Romero")*(23/1083),IF(C2310="JR",SUMIFS($D:$D,$A:$A,$A2310,$B:$B,"&lt;&gt;Patrícia Karla de Sousa Araújo",$B:$B,"&lt;&gt;Lorena Dias de Araujo",$B:$B,"&lt;&gt;Lucas Luiz Romero")*(20/1083),IF(C2310="Estágio",SUMIFS($D:$D,$A:$A,$A2310,$B:$B,"&lt;&gt;Patrícia Karla de Sousa Araújo",$B:$B,"&lt;&gt;Lorena Dias de Araujo",$B:$B,"&lt;&gt;Lucas Luiz Romero")*(10/1083),0)))))),0)</f>
        <v/>
      </c>
      <c r="K2310" s="3">
        <f>I2310-J2310</f>
        <v/>
      </c>
      <c r="L2310" s="3">
        <f>IF(K2310&lt;-5,"CRÍTICO",IF(K2310&lt;0,"ATENÇÃO",IF(K2310&lt;=5,"BOM","EXCELENTE")))</f>
        <v/>
      </c>
      <c r="M2310" t="n">
        <v>18</v>
      </c>
      <c r="N2310" t="n">
        <v>98.51000000000001</v>
      </c>
      <c r="O2310" t="n">
        <v>29.71014492753623</v>
      </c>
    </row>
    <row r="2311" hidden="1">
      <c r="A2311" s="11" t="n">
        <v>46072</v>
      </c>
      <c r="B2311" t="inlineStr">
        <is>
          <t>Rafael Gomes de Morais</t>
        </is>
      </c>
      <c r="C2311" t="inlineStr">
        <is>
          <t>Técnico III</t>
        </is>
      </c>
      <c r="D2311" t="n">
        <v>29</v>
      </c>
      <c r="E2311" t="n">
        <v>26</v>
      </c>
      <c r="F2311" t="n">
        <v>20.16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M2311" t="n">
        <v>27</v>
      </c>
      <c r="N2311" t="n">
        <v>98.81</v>
      </c>
      <c r="O2311" t="n">
        <v>30.71297989031079</v>
      </c>
    </row>
    <row r="2312" hidden="1">
      <c r="A2312" s="11" t="n">
        <v>46072</v>
      </c>
      <c r="B2312" t="inlineStr">
        <is>
          <t>Sara Maria Monteiro Lopes</t>
        </is>
      </c>
      <c r="C2312" t="inlineStr">
        <is>
          <t>Técnico I</t>
        </is>
      </c>
      <c r="D2312" t="n">
        <v>12</v>
      </c>
      <c r="E2312" t="n">
        <v>12</v>
      </c>
      <c r="F2312" t="n">
        <v>48.38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M2312" t="n">
        <v>11</v>
      </c>
      <c r="N2312" t="n">
        <v>98.48</v>
      </c>
      <c r="O2312" t="n">
        <v>29.35323383084577</v>
      </c>
    </row>
    <row r="2313" hidden="1">
      <c r="A2313" s="11" t="n">
        <v>46072</v>
      </c>
      <c r="B2313" t="inlineStr">
        <is>
          <t>Sarah Steffanie de Lima Borges</t>
        </is>
      </c>
      <c r="C2313" t="inlineStr">
        <is>
          <t>Técnico III</t>
        </is>
      </c>
      <c r="D2313" t="n">
        <v>36</v>
      </c>
      <c r="E2313" t="n">
        <v>33</v>
      </c>
      <c r="F2313" t="n">
        <v>17.29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M2313" t="n">
        <v>27</v>
      </c>
      <c r="N2313" t="n">
        <v>98.56</v>
      </c>
      <c r="O2313" t="n">
        <v>29.37365010799136</v>
      </c>
    </row>
    <row r="2314" hidden="1">
      <c r="A2314" s="11" t="n">
        <v>46073</v>
      </c>
      <c r="B2314" t="inlineStr">
        <is>
          <t>Alisson de Freitas Silva</t>
        </is>
      </c>
      <c r="C2314" t="inlineStr">
        <is>
          <t>Técnico II</t>
        </is>
      </c>
      <c r="D2314" t="n">
        <v>20</v>
      </c>
      <c r="E2314" t="n">
        <v>18</v>
      </c>
      <c r="F2314" t="n">
        <v>33.27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M2314" t="n">
        <v>18</v>
      </c>
      <c r="N2314" t="n">
        <v>98.31999999999999</v>
      </c>
      <c r="O2314" t="n">
        <v>30.3030303030303</v>
      </c>
    </row>
    <row r="2315" hidden="1">
      <c r="A2315" s="11" t="n">
        <v>46073</v>
      </c>
      <c r="B2315" t="inlineStr">
        <is>
          <t>Amanda Moura Ferreira</t>
        </is>
      </c>
      <c r="C2315" t="inlineStr">
        <is>
          <t>Técnico III</t>
        </is>
      </c>
      <c r="D2315" t="n">
        <v>0</v>
      </c>
      <c r="E2315" t="n">
        <v>0</v>
      </c>
      <c r="F2315" t="n">
        <v>0</v>
      </c>
      <c r="G2315" t="n">
        <v>0</v>
      </c>
      <c r="H2315" t="n">
        <v>0</v>
      </c>
      <c r="I2315" s="3" t="n">
        <v>0</v>
      </c>
      <c r="J2315" s="3" t="n">
        <v>0</v>
      </c>
      <c r="K2315" s="3" t="n">
        <v>0</v>
      </c>
      <c r="L2315" s="3">
        <f>IF(K2315&lt;-5,"CRÍTICO",IF(K2315&lt;0,"ATENÇÃO",IF(K2315&lt;=5,"BOM","EXCELENTE")))</f>
        <v/>
      </c>
      <c r="M2315" t="n">
        <v>25</v>
      </c>
      <c r="N2315" t="n">
        <v>98.68000000000001</v>
      </c>
      <c r="O2315" t="n">
        <v>26.21951219512195</v>
      </c>
    </row>
    <row r="2316" hidden="1">
      <c r="A2316" s="11" t="n">
        <v>46073</v>
      </c>
      <c r="B2316" t="inlineStr">
        <is>
          <t>Ana Karollyne Souza Faria</t>
        </is>
      </c>
      <c r="C2316" t="inlineStr">
        <is>
          <t>Técnico I</t>
        </is>
      </c>
      <c r="D2316" t="n">
        <v>20</v>
      </c>
      <c r="E2316" t="n">
        <v>19</v>
      </c>
      <c r="F2316" t="n">
        <v>28.28</v>
      </c>
      <c r="G2316" t="n">
        <v>0</v>
      </c>
      <c r="H2316" t="n">
        <v>0</v>
      </c>
      <c r="I2316" s="3">
        <f>E2316+G2316+H2316</f>
        <v/>
      </c>
      <c r="J2316" s="3">
        <f>ROUND(MIN(IF(C2316="Técnico III",35,IF(C2316="Técnico II",28,IF(C2316="Técnico I",23,IF(C2316="JR",20,IF(C2316="Estágio",10,0))))),IF(C2316="Técnico III",SUMIFS($D:$D,$A:$A,$A2316,$B:$B,"&lt;&gt;Patrícia Karla de Sousa Araújo",$B:$B,"&lt;&gt;Lorena Dias de Araujo",$B:$B,"&lt;&gt;Lucas Luiz Romero")*(35/1083),IF(C2316="Técnico II",SUMIFS($D:$D,$A:$A,$A2316,$B:$B,"&lt;&gt;Patrícia Karla de Sousa Araújo",$B:$B,"&lt;&gt;Lorena Dias de Araujo",$B:$B,"&lt;&gt;Lucas Luiz Romero")*(28/1083),IF(C2316="Técnico I",SUMIFS($D:$D,$A:$A,$A2316,$B:$B,"&lt;&gt;Patrícia Karla de Sousa Araújo",$B:$B,"&lt;&gt;Lorena Dias de Araujo",$B:$B,"&lt;&gt;Lucas Luiz Romero")*(23/1083),IF(C2316="JR",SUMIFS($D:$D,$A:$A,$A2316,$B:$B,"&lt;&gt;Patrícia Karla de Sousa Araújo",$B:$B,"&lt;&gt;Lorena Dias de Araujo",$B:$B,"&lt;&gt;Lucas Luiz Romero")*(20/1083),IF(C2316="Estágio",SUMIFS($D:$D,$A:$A,$A2316,$B:$B,"&lt;&gt;Patrícia Karla de Sousa Araújo",$B:$B,"&lt;&gt;Lorena Dias de Araujo",$B:$B,"&lt;&gt;Lucas Luiz Romero")*(10/1083),0)))))),0)</f>
        <v/>
      </c>
      <c r="K2316" s="3">
        <f>I2316-J2316</f>
        <v/>
      </c>
      <c r="L2316" s="3">
        <f>IF(K2316&lt;-5,"CRÍTICO",IF(K2316&lt;0,"ATENÇÃO",IF(K2316&lt;=5,"BOM","EXCELENTE")))</f>
        <v/>
      </c>
      <c r="M2316" t="n">
        <v>18</v>
      </c>
      <c r="N2316" t="n">
        <v>100</v>
      </c>
      <c r="O2316" t="n">
        <v>31.74224343675418</v>
      </c>
    </row>
    <row r="2317" hidden="1">
      <c r="A2317" s="11" t="n">
        <v>46073</v>
      </c>
      <c r="B2317" t="inlineStr">
        <is>
          <t>Ana Paula Da Luz Silva Aleixo</t>
        </is>
      </c>
      <c r="C2317" t="inlineStr">
        <is>
          <t>Técnico III</t>
        </is>
      </c>
      <c r="D2317" t="n">
        <v>33</v>
      </c>
      <c r="E2317" t="n">
        <v>31</v>
      </c>
      <c r="F2317" t="n">
        <v>25.14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M2317" t="n">
        <v>28</v>
      </c>
      <c r="N2317" t="n">
        <v>98.25</v>
      </c>
      <c r="O2317" t="n">
        <v>25.83518930957684</v>
      </c>
    </row>
    <row r="2318" hidden="1">
      <c r="A2318" s="11" t="n">
        <v>46073</v>
      </c>
      <c r="B2318" t="inlineStr">
        <is>
          <t>Anna Luiza Rezende Tavares</t>
        </is>
      </c>
      <c r="C2318" t="inlineStr">
        <is>
          <t>Estágio</t>
        </is>
      </c>
      <c r="D2318" t="n">
        <v>11</v>
      </c>
      <c r="E2318" t="n">
        <v>11</v>
      </c>
      <c r="F2318" t="n">
        <v>28.53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M2318" t="n">
        <v>9</v>
      </c>
      <c r="N2318" t="n">
        <v>97.5</v>
      </c>
      <c r="O2318" t="n">
        <v>30.07518796992481</v>
      </c>
    </row>
    <row r="2319" hidden="1">
      <c r="A2319" s="11" t="n">
        <v>46073</v>
      </c>
      <c r="B2319" t="inlineStr">
        <is>
          <t>Brenda de Menezes Silva</t>
        </is>
      </c>
      <c r="C2319" t="inlineStr">
        <is>
          <t>Técnico II</t>
        </is>
      </c>
      <c r="D2319" t="n">
        <v>34</v>
      </c>
      <c r="E2319" t="n">
        <v>29</v>
      </c>
      <c r="F2319" t="n">
        <v>15.39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M2319" t="n">
        <v>29</v>
      </c>
      <c r="N2319" t="n">
        <v>100</v>
      </c>
      <c r="O2319" t="n">
        <v>29.71311475409836</v>
      </c>
    </row>
    <row r="2320" hidden="1">
      <c r="A2320" s="11" t="n">
        <v>46073</v>
      </c>
      <c r="B2320" t="inlineStr">
        <is>
          <t>Carlos Mateus Cassimiro Nunes</t>
        </is>
      </c>
      <c r="C2320" t="inlineStr">
        <is>
          <t>Técnico II</t>
        </is>
      </c>
      <c r="D2320" t="n">
        <v>17</v>
      </c>
      <c r="E2320" t="n">
        <v>16</v>
      </c>
      <c r="F2320" t="n">
        <v>37.27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M2320" t="n">
        <v>19</v>
      </c>
      <c r="N2320" t="n">
        <v>99.22</v>
      </c>
      <c r="O2320" t="n">
        <v>35.25641025641026</v>
      </c>
    </row>
    <row r="2321" hidden="1">
      <c r="A2321" s="11" t="n">
        <v>46073</v>
      </c>
      <c r="B2321" t="inlineStr">
        <is>
          <t>Claudio de Sousa Velasco Filho</t>
        </is>
      </c>
      <c r="C2321" t="inlineStr">
        <is>
          <t>Estágio</t>
        </is>
      </c>
      <c r="D2321" t="n">
        <v>0</v>
      </c>
      <c r="E2321" t="n">
        <v>0</v>
      </c>
      <c r="F2321" t="n">
        <v>0</v>
      </c>
      <c r="G2321" t="n">
        <v>0</v>
      </c>
      <c r="H2321" t="n">
        <v>0</v>
      </c>
      <c r="I2321" s="3" t="n">
        <v>0</v>
      </c>
      <c r="J2321" s="3" t="n">
        <v>0</v>
      </c>
      <c r="K2321" s="3" t="n">
        <v>0</v>
      </c>
      <c r="L2321" s="3">
        <f>IF(K2321&lt;-5,"CRÍTICO",IF(K2321&lt;0,"ATENÇÃO",IF(K2321&lt;=5,"BOM","EXCELENTE")))</f>
        <v/>
      </c>
      <c r="M2321" t="n">
        <v>0</v>
      </c>
      <c r="N2321" t="n">
        <v>0</v>
      </c>
      <c r="O2321" t="n">
        <v>0</v>
      </c>
    </row>
    <row r="2322" hidden="1">
      <c r="A2322" s="11" t="n">
        <v>46073</v>
      </c>
      <c r="B2322" t="inlineStr">
        <is>
          <t>Clessiane Pereira dos Santos</t>
        </is>
      </c>
      <c r="C2322" t="inlineStr">
        <is>
          <t>Técnico I</t>
        </is>
      </c>
      <c r="D2322" t="n">
        <v>18</v>
      </c>
      <c r="E2322" t="n">
        <v>18</v>
      </c>
      <c r="F2322" t="n">
        <v>38.42</v>
      </c>
      <c r="G2322" t="n">
        <v>0</v>
      </c>
      <c r="H2322" t="n">
        <v>0</v>
      </c>
      <c r="I2322" s="3">
        <f>E2322+G2322+H2322</f>
        <v/>
      </c>
      <c r="J2322" s="3">
        <f>ROUND(MIN(IF(C2322="Técnico III",35,IF(C2322="Técnico II",28,IF(C2322="Técnico I",23,IF(C2322="JR",20,IF(C2322="Estágio",10,0))))),IF(C2322="Técnico III",SUMIFS($D:$D,$A:$A,$A2322,$B:$B,"&lt;&gt;Patrícia Karla de Sousa Araújo",$B:$B,"&lt;&gt;Lorena Dias de Araujo",$B:$B,"&lt;&gt;Lucas Luiz Romero")*(35/1083),IF(C2322="Técnico II",SUMIFS($D:$D,$A:$A,$A2322,$B:$B,"&lt;&gt;Patrícia Karla de Sousa Araújo",$B:$B,"&lt;&gt;Lorena Dias de Araujo",$B:$B,"&lt;&gt;Lucas Luiz Romero")*(28/1083),IF(C2322="Técnico I",SUMIFS($D:$D,$A:$A,$A2322,$B:$B,"&lt;&gt;Patrícia Karla de Sousa Araújo",$B:$B,"&lt;&gt;Lorena Dias de Araujo",$B:$B,"&lt;&gt;Lucas Luiz Romero")*(23/1083),IF(C2322="JR",SUMIFS($D:$D,$A:$A,$A2322,$B:$B,"&lt;&gt;Patrícia Karla de Sousa Araújo",$B:$B,"&lt;&gt;Lorena Dias de Araujo",$B:$B,"&lt;&gt;Lucas Luiz Romero")*(20/1083),IF(C2322="Estágio",SUMIFS($D:$D,$A:$A,$A2322,$B:$B,"&lt;&gt;Patrícia Karla de Sousa Araújo",$B:$B,"&lt;&gt;Lorena Dias de Araujo",$B:$B,"&lt;&gt;Lucas Luiz Romero")*(10/1083),0)))))),0)</f>
        <v/>
      </c>
      <c r="K2322" s="3">
        <f>I2322-J2322</f>
        <v/>
      </c>
      <c r="L2322" s="3">
        <f>IF(K2322&lt;-5,"CRÍTICO",IF(K2322&lt;0,"ATENÇÃO",IF(K2322&lt;=5,"BOM","EXCELENTE")))</f>
        <v/>
      </c>
      <c r="M2322" t="n">
        <v>18</v>
      </c>
      <c r="N2322" t="n">
        <v>98.75</v>
      </c>
      <c r="O2322" t="n">
        <v>24.32432432432433</v>
      </c>
    </row>
    <row r="2323" hidden="1">
      <c r="A2323" s="11" t="n">
        <v>46073</v>
      </c>
      <c r="B2323" t="inlineStr">
        <is>
          <t>Cristiane Ramos da Silva Rocha</t>
        </is>
      </c>
      <c r="C2323" t="inlineStr">
        <is>
          <t>Técnico III</t>
        </is>
      </c>
      <c r="D2323" t="n">
        <v>39</v>
      </c>
      <c r="E2323" t="n">
        <v>34</v>
      </c>
      <c r="F2323" t="n">
        <v>15.08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M2323" t="n">
        <v>30</v>
      </c>
      <c r="N2323" t="n">
        <v>93.48</v>
      </c>
      <c r="O2323" t="n">
        <v>31.52804642166344</v>
      </c>
    </row>
    <row r="2324" hidden="1">
      <c r="A2324" s="11" t="n">
        <v>46073</v>
      </c>
      <c r="B2324" t="inlineStr">
        <is>
          <t>Damyllis Lorraine de Oliveira Gonçalves</t>
        </is>
      </c>
      <c r="C2324" t="inlineStr">
        <is>
          <t>Técnico II</t>
        </is>
      </c>
      <c r="D2324" t="n">
        <v>30</v>
      </c>
      <c r="E2324" t="n">
        <v>26</v>
      </c>
      <c r="F2324" t="n">
        <v>21.54</v>
      </c>
      <c r="G2324" t="n">
        <v>0</v>
      </c>
      <c r="H2324" t="n">
        <v>0</v>
      </c>
      <c r="I2324" s="3" t="n">
        <v>0</v>
      </c>
      <c r="J2324" s="3" t="n">
        <v>0</v>
      </c>
      <c r="K2324" s="3" t="n">
        <v>0</v>
      </c>
      <c r="L2324" s="3">
        <f>IF(K2324&lt;-5,"CRÍTICO",IF(K2324&lt;0,"ATENÇÃO",IF(K2324&lt;=5,"BOM","EXCELENTE")))</f>
        <v/>
      </c>
      <c r="M2324" t="n">
        <v>24</v>
      </c>
      <c r="N2324" t="n">
        <v>99.16</v>
      </c>
      <c r="O2324" t="n">
        <v>26.13908872901678</v>
      </c>
    </row>
    <row r="2325" hidden="1">
      <c r="A2325" s="11" t="n">
        <v>46073</v>
      </c>
      <c r="B2325" t="inlineStr">
        <is>
          <t>Daniel Gomes da Silva</t>
        </is>
      </c>
      <c r="C2325" t="inlineStr">
        <is>
          <t>Técnico I</t>
        </is>
      </c>
      <c r="D2325" t="n">
        <v>21</v>
      </c>
      <c r="E2325" t="n">
        <v>21</v>
      </c>
      <c r="F2325" t="n">
        <v>27.19</v>
      </c>
      <c r="G2325" t="n">
        <v>0</v>
      </c>
      <c r="H2325" t="n">
        <v>0</v>
      </c>
      <c r="I2325" s="3">
        <f>E2325+G2325+H2325</f>
        <v/>
      </c>
      <c r="J2325" s="3">
        <f>ROUND(MIN(IF(C2325="Técnico III",35,IF(C2325="Técnico II",28,IF(C2325="Técnico I",23,IF(C2325="JR",20,IF(C2325="Estágio",10,0))))),IF(C2325="Técnico III",SUMIFS($D:$D,$A:$A,$A2325,$B:$B,"&lt;&gt;Patrícia Karla de Sousa Araújo",$B:$B,"&lt;&gt;Lorena Dias de Araujo",$B:$B,"&lt;&gt;Lucas Luiz Romero")*(35/1083),IF(C2325="Técnico II",SUMIFS($D:$D,$A:$A,$A2325,$B:$B,"&lt;&gt;Patrícia Karla de Sousa Araújo",$B:$B,"&lt;&gt;Lorena Dias de Araujo",$B:$B,"&lt;&gt;Lucas Luiz Romero")*(28/1083),IF(C2325="Técnico I",SUMIFS($D:$D,$A:$A,$A2325,$B:$B,"&lt;&gt;Patrícia Karla de Sousa Araújo",$B:$B,"&lt;&gt;Lorena Dias de Araujo",$B:$B,"&lt;&gt;Lucas Luiz Romero")*(23/1083),IF(C2325="JR",SUMIFS($D:$D,$A:$A,$A2325,$B:$B,"&lt;&gt;Patrícia Karla de Sousa Araújo",$B:$B,"&lt;&gt;Lorena Dias de Araujo",$B:$B,"&lt;&gt;Lucas Luiz Romero")*(20/1083),IF(C2325="Estágio",SUMIFS($D:$D,$A:$A,$A2325,$B:$B,"&lt;&gt;Patrícia Karla de Sousa Araújo",$B:$B,"&lt;&gt;Lorena Dias de Araujo",$B:$B,"&lt;&gt;Lucas Luiz Romero")*(10/1083),0)))))),0)</f>
        <v/>
      </c>
      <c r="K2325" s="3">
        <f>I2325-J2325</f>
        <v/>
      </c>
      <c r="L2325" s="3">
        <f>IF(K2325&lt;-5,"CRÍTICO",IF(K2325&lt;0,"ATENÇÃO",IF(K2325&lt;=5,"BOM","EXCELENTE")))</f>
        <v/>
      </c>
      <c r="M2325" t="n">
        <v>12</v>
      </c>
      <c r="N2325" t="n">
        <v>100</v>
      </c>
      <c r="O2325" t="n">
        <v>31.08974358974359</v>
      </c>
    </row>
    <row r="2326" hidden="1">
      <c r="A2326" s="11" t="n">
        <v>46073</v>
      </c>
      <c r="B2326" t="inlineStr">
        <is>
          <t>Davylla Rodrigues Freitas Silva</t>
        </is>
      </c>
      <c r="C2326" t="inlineStr">
        <is>
          <t>Técnico III</t>
        </is>
      </c>
      <c r="D2326" t="n">
        <v>16</v>
      </c>
      <c r="E2326" t="n">
        <v>16</v>
      </c>
      <c r="F2326" t="n">
        <v>45.29</v>
      </c>
      <c r="G2326" t="n">
        <v>0</v>
      </c>
      <c r="H2326" t="n">
        <v>0</v>
      </c>
      <c r="I2326" s="3" t="n">
        <v>0</v>
      </c>
      <c r="J2326" s="3" t="n">
        <v>0</v>
      </c>
      <c r="K2326" s="3" t="n">
        <v>0</v>
      </c>
      <c r="L2326" s="3">
        <f>IF(K2326&lt;-5,"CRÍTICO",IF(K2326&lt;0,"ATENÇÃO",IF(K2326&lt;=5,"BOM","EXCELENTE")))</f>
        <v/>
      </c>
      <c r="M2326" t="n">
        <v>16</v>
      </c>
      <c r="N2326" t="n">
        <v>98.11</v>
      </c>
      <c r="O2326" t="n">
        <v>33.03370786516854</v>
      </c>
    </row>
    <row r="2327" hidden="1">
      <c r="A2327" s="11" t="n">
        <v>46073</v>
      </c>
      <c r="B2327" t="inlineStr">
        <is>
          <t>Emilly Caylane Costa</t>
        </is>
      </c>
      <c r="C2327" t="inlineStr">
        <is>
          <t>Estágio</t>
        </is>
      </c>
      <c r="D2327" t="n">
        <v>7</v>
      </c>
      <c r="E2327" t="n">
        <v>7</v>
      </c>
      <c r="F2327" t="n">
        <v>47.2</v>
      </c>
      <c r="G2327" t="n">
        <v>0</v>
      </c>
      <c r="H2327" t="n">
        <v>0</v>
      </c>
      <c r="I2327" s="3">
        <f>E2327+G2327+H2327</f>
        <v/>
      </c>
      <c r="J2327" s="3">
        <f>ROUND(MIN(IF(C2327="Técnico III",35,IF(C2327="Técnico II",28,IF(C2327="Técnico I",23,IF(C2327="JR",20,IF(C2327="Estágio",10,0))))),IF(C2327="Técnico III",SUMIFS($D:$D,$A:$A,$A2327,$B:$B,"&lt;&gt;Patrícia Karla de Sousa Araújo",$B:$B,"&lt;&gt;Lorena Dias de Araujo",$B:$B,"&lt;&gt;Lucas Luiz Romero")*(35/1083),IF(C2327="Técnico II",SUMIFS($D:$D,$A:$A,$A2327,$B:$B,"&lt;&gt;Patrícia Karla de Sousa Araújo",$B:$B,"&lt;&gt;Lorena Dias de Araujo",$B:$B,"&lt;&gt;Lucas Luiz Romero")*(28/1083),IF(C2327="Técnico I",SUMIFS($D:$D,$A:$A,$A2327,$B:$B,"&lt;&gt;Patrícia Karla de Sousa Araújo",$B:$B,"&lt;&gt;Lorena Dias de Araujo",$B:$B,"&lt;&gt;Lucas Luiz Romero")*(23/1083),IF(C2327="JR",SUMIFS($D:$D,$A:$A,$A2327,$B:$B,"&lt;&gt;Patrícia Karla de Sousa Araújo",$B:$B,"&lt;&gt;Lorena Dias de Araujo",$B:$B,"&lt;&gt;Lucas Luiz Romero")*(20/1083),IF(C2327="Estágio",SUMIFS($D:$D,$A:$A,$A2327,$B:$B,"&lt;&gt;Patrícia Karla de Sousa Araújo",$B:$B,"&lt;&gt;Lorena Dias de Araujo",$B:$B,"&lt;&gt;Lucas Luiz Romero")*(10/1083),0)))))),0)</f>
        <v/>
      </c>
      <c r="K2327" s="3">
        <f>I2327-J2327</f>
        <v/>
      </c>
      <c r="L2327" s="3">
        <f>IF(K2327&lt;-5,"CRÍTICO",IF(K2327&lt;0,"ATENÇÃO",IF(K2327&lt;=5,"BOM","EXCELENTE")))</f>
        <v/>
      </c>
      <c r="M2327" t="n">
        <v>0</v>
      </c>
      <c r="N2327" t="n">
        <v>78.95</v>
      </c>
      <c r="O2327" t="n">
        <v>38.98305084745763</v>
      </c>
    </row>
    <row r="2328" hidden="1">
      <c r="A2328" s="11" t="n">
        <v>46073</v>
      </c>
      <c r="B2328" t="inlineStr">
        <is>
          <t>Emilly Kamilly Medeiros Miranda</t>
        </is>
      </c>
      <c r="C2328" t="inlineStr">
        <is>
          <t>Técnico II</t>
        </is>
      </c>
      <c r="D2328" t="n">
        <v>20</v>
      </c>
      <c r="E2328" t="n">
        <v>19</v>
      </c>
      <c r="F2328" t="n">
        <v>32.34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M2328" t="n">
        <v>17</v>
      </c>
      <c r="N2328" t="n">
        <v>98.45</v>
      </c>
      <c r="O2328" t="n">
        <v>29.2817679558011</v>
      </c>
    </row>
    <row r="2329" hidden="1">
      <c r="A2329" s="11" t="n">
        <v>46073</v>
      </c>
      <c r="B2329" t="inlineStr">
        <is>
          <t>Francielson de Oliveira</t>
        </is>
      </c>
      <c r="C2329" t="inlineStr">
        <is>
          <t>Técnico III</t>
        </is>
      </c>
      <c r="D2329" t="n">
        <v>22</v>
      </c>
      <c r="E2329" t="n">
        <v>22</v>
      </c>
      <c r="F2329" t="n">
        <v>29.11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M2329" t="n">
        <v>22</v>
      </c>
      <c r="N2329" t="n">
        <v>97.84</v>
      </c>
      <c r="O2329" t="n">
        <v>26.28205128205128</v>
      </c>
    </row>
    <row r="2330" hidden="1">
      <c r="A2330" s="11" t="n">
        <v>46073</v>
      </c>
      <c r="B2330" t="inlineStr">
        <is>
          <t>Francilene Ferreira de Jesus</t>
        </is>
      </c>
      <c r="C2330" t="inlineStr">
        <is>
          <t>Técnico II</t>
        </is>
      </c>
      <c r="D2330" t="n">
        <v>31</v>
      </c>
      <c r="E2330" t="n">
        <v>29</v>
      </c>
      <c r="F2330" t="n">
        <v>16.56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M2330" t="n">
        <v>29</v>
      </c>
      <c r="N2330" t="n">
        <v>98.5</v>
      </c>
      <c r="O2330" t="n">
        <v>23.97769516728625</v>
      </c>
    </row>
    <row r="2331" hidden="1">
      <c r="A2331" s="11" t="n">
        <v>46107</v>
      </c>
      <c r="B2331" t="inlineStr">
        <is>
          <t>Gabriel Gomes de Andrade</t>
        </is>
      </c>
      <c r="C2331" t="inlineStr">
        <is>
          <t>Técnico I</t>
        </is>
      </c>
      <c r="D2331" t="n">
        <v>29</v>
      </c>
      <c r="E2331" t="n">
        <v>27</v>
      </c>
      <c r="F2331" t="n">
        <v>22.14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M2331" t="n">
        <v>25</v>
      </c>
      <c r="N2331" t="n">
        <v>99.05</v>
      </c>
      <c r="O2331" t="n">
        <v>26.62192393736018</v>
      </c>
    </row>
    <row r="2332" hidden="1">
      <c r="A2332" s="11" t="n">
        <v>46073</v>
      </c>
      <c r="B2332" t="inlineStr">
        <is>
          <t>Isabella Borges de Oliveira</t>
        </is>
      </c>
      <c r="C2332" t="inlineStr">
        <is>
          <t>Técnico II</t>
        </is>
      </c>
      <c r="D2332" t="n">
        <v>29</v>
      </c>
      <c r="E2332" t="n">
        <v>28</v>
      </c>
      <c r="F2332" t="n">
        <v>25.19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M2332" t="n">
        <v>22</v>
      </c>
      <c r="N2332" t="n">
        <v>98.53</v>
      </c>
      <c r="O2332" t="n">
        <v>31.57894736842105</v>
      </c>
    </row>
    <row r="2333" hidden="1">
      <c r="A2333" s="11" t="n">
        <v>46073</v>
      </c>
      <c r="B2333" t="inlineStr">
        <is>
          <t>Janaina Lima dos Reis Urany</t>
        </is>
      </c>
      <c r="C2333" t="inlineStr">
        <is>
          <t>Técnico III</t>
        </is>
      </c>
      <c r="D2333" t="n">
        <v>31</v>
      </c>
      <c r="E2333" t="n">
        <v>30</v>
      </c>
      <c r="F2333" t="n">
        <v>25.38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M2333" t="n">
        <v>30</v>
      </c>
      <c r="N2333" t="n">
        <v>100</v>
      </c>
      <c r="O2333" t="n">
        <v>25.72214580467676</v>
      </c>
    </row>
    <row r="2334" hidden="1">
      <c r="A2334" s="11" t="n">
        <v>46073</v>
      </c>
      <c r="B2334" t="inlineStr">
        <is>
          <t>Jaqueline Evangelista da Silva Martins</t>
        </is>
      </c>
      <c r="C2334" t="inlineStr">
        <is>
          <t>Técnico III</t>
        </is>
      </c>
      <c r="D2334" t="n">
        <v>26</v>
      </c>
      <c r="E2334" t="n">
        <v>24</v>
      </c>
      <c r="F2334" t="n">
        <v>17.12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M2334" t="n">
        <v>23</v>
      </c>
      <c r="N2334" t="n">
        <v>94.64</v>
      </c>
      <c r="O2334" t="n">
        <v>27.52941176470588</v>
      </c>
    </row>
    <row r="2335" hidden="1">
      <c r="A2335" s="11" t="n">
        <v>46073</v>
      </c>
      <c r="B2335" t="inlineStr">
        <is>
          <t>Jessica Faria da Silveira</t>
        </is>
      </c>
      <c r="C2335" t="inlineStr">
        <is>
          <t>Técnico II</t>
        </is>
      </c>
      <c r="D2335" t="n">
        <v>29</v>
      </c>
      <c r="E2335" t="n">
        <v>20</v>
      </c>
      <c r="F2335" t="n">
        <v>21.56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M2335" t="n">
        <v>15</v>
      </c>
      <c r="N2335" t="n">
        <v>99.06999999999999</v>
      </c>
      <c r="O2335" t="n">
        <v>26.3768115942029</v>
      </c>
    </row>
    <row r="2336" hidden="1">
      <c r="A2336" s="11" t="n">
        <v>46073</v>
      </c>
      <c r="B2336" t="inlineStr">
        <is>
          <t>Jéssica Fé Moura</t>
        </is>
      </c>
      <c r="C2336" t="inlineStr">
        <is>
          <t>Técnico III</t>
        </is>
      </c>
      <c r="D2336" t="n">
        <v>0</v>
      </c>
      <c r="E2336" t="n">
        <v>0</v>
      </c>
      <c r="F2336" t="n">
        <v>0</v>
      </c>
      <c r="G2336" t="n">
        <v>0</v>
      </c>
      <c r="H2336" t="n">
        <v>0</v>
      </c>
      <c r="I2336" s="3" t="n">
        <v>0</v>
      </c>
      <c r="J2336" s="3" t="n">
        <v>0</v>
      </c>
      <c r="K2336" s="3" t="n">
        <v>0</v>
      </c>
      <c r="L2336" s="3">
        <f>IF(K2336&lt;-5,"CRÍTICO",IF(K2336&lt;0,"ATENÇÃO",IF(K2336&lt;=5,"BOM","EXCELENTE")))</f>
        <v/>
      </c>
      <c r="M2336" t="n">
        <v>0</v>
      </c>
      <c r="N2336" t="n">
        <v>100</v>
      </c>
      <c r="O2336" t="n">
        <v>0</v>
      </c>
    </row>
    <row r="2337" hidden="1">
      <c r="A2337" s="11" t="n">
        <v>46073</v>
      </c>
      <c r="B2337" t="inlineStr">
        <is>
          <t>Karina Gonçalves Martins</t>
        </is>
      </c>
      <c r="C2337" t="inlineStr">
        <is>
          <t>JR</t>
        </is>
      </c>
      <c r="D2337" t="n">
        <v>19</v>
      </c>
      <c r="E2337" t="n">
        <v>18</v>
      </c>
      <c r="F2337" t="n">
        <v>28.27</v>
      </c>
      <c r="G2337" t="n">
        <v>0</v>
      </c>
      <c r="H2337" t="n">
        <v>0</v>
      </c>
      <c r="I2337" s="3">
        <f>E2337+G2337+H2337</f>
        <v/>
      </c>
      <c r="J2337" s="3">
        <f>ROUND(MIN(IF(C2337="Técnico III",35,IF(C2337="Técnico II",28,IF(C2337="Técnico I",23,IF(C2337="JR",20,IF(C2337="Estágio",10,0))))),IF(C2337="Técnico III",SUMIFS($D:$D,$A:$A,$A2337,$B:$B,"&lt;&gt;Patrícia Karla de Sousa Araújo",$B:$B,"&lt;&gt;Lorena Dias de Araujo",$B:$B,"&lt;&gt;Lucas Luiz Romero")*(35/1083),IF(C2337="Técnico II",SUMIFS($D:$D,$A:$A,$A2337,$B:$B,"&lt;&gt;Patrícia Karla de Sousa Araújo",$B:$B,"&lt;&gt;Lorena Dias de Araujo",$B:$B,"&lt;&gt;Lucas Luiz Romero")*(28/1083),IF(C2337="Técnico I",SUMIFS($D:$D,$A:$A,$A2337,$B:$B,"&lt;&gt;Patrícia Karla de Sousa Araújo",$B:$B,"&lt;&gt;Lorena Dias de Araujo",$B:$B,"&lt;&gt;Lucas Luiz Romero")*(23/1083),IF(C2337="JR",SUMIFS($D:$D,$A:$A,$A2337,$B:$B,"&lt;&gt;Patrícia Karla de Sousa Araújo",$B:$B,"&lt;&gt;Lorena Dias de Araujo",$B:$B,"&lt;&gt;Lucas Luiz Romero")*(20/1083),IF(C2337="Estágio",SUMIFS($D:$D,$A:$A,$A2337,$B:$B,"&lt;&gt;Patrícia Karla de Sousa Araújo",$B:$B,"&lt;&gt;Lorena Dias de Araujo",$B:$B,"&lt;&gt;Lucas Luiz Romero")*(10/1083),0)))))),0)</f>
        <v/>
      </c>
      <c r="K2337" s="3">
        <f>I2337-J2337</f>
        <v/>
      </c>
      <c r="L2337" s="3">
        <f>IF(K2337&lt;-5,"CRÍTICO",IF(K2337&lt;0,"ATENÇÃO",IF(K2337&lt;=5,"BOM","EXCELENTE")))</f>
        <v/>
      </c>
      <c r="M2337" t="n">
        <v>17</v>
      </c>
      <c r="N2337" t="n">
        <v>98.48</v>
      </c>
      <c r="O2337" t="n">
        <v>27.85388127853881</v>
      </c>
    </row>
    <row r="2338" hidden="1">
      <c r="A2338" s="11" t="n">
        <v>46073</v>
      </c>
      <c r="B2338" t="inlineStr">
        <is>
          <t>Kerollen Cristielly de Jesus Siqueira</t>
        </is>
      </c>
      <c r="C2338" t="inlineStr">
        <is>
          <t>Técnico III</t>
        </is>
      </c>
      <c r="D2338" t="n">
        <v>20</v>
      </c>
      <c r="E2338" t="n">
        <v>19</v>
      </c>
      <c r="F2338" t="n">
        <v>25.12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M2338" t="n">
        <v>18</v>
      </c>
      <c r="N2338" t="n">
        <v>95.15000000000001</v>
      </c>
      <c r="O2338" t="n">
        <v>34.13173652694611</v>
      </c>
    </row>
    <row r="2339" hidden="1">
      <c r="A2339" s="11" t="n">
        <v>46073</v>
      </c>
      <c r="B2339" t="inlineStr">
        <is>
          <t>Leandro de Souza Silva</t>
        </is>
      </c>
      <c r="C2339" t="inlineStr">
        <is>
          <t>JR</t>
        </is>
      </c>
      <c r="D2339" t="n">
        <v>0</v>
      </c>
      <c r="E2339" t="n">
        <v>0</v>
      </c>
      <c r="F2339" t="n">
        <v>0</v>
      </c>
      <c r="G2339" t="n">
        <v>0</v>
      </c>
      <c r="H2339" t="n">
        <v>0</v>
      </c>
      <c r="I2339" s="3" t="n">
        <v>0</v>
      </c>
      <c r="J2339" s="3" t="n">
        <v>0</v>
      </c>
      <c r="K2339" s="3" t="n">
        <v>0</v>
      </c>
      <c r="L2339" s="3">
        <f>IF(K2339&lt;-5,"CRÍTICO",IF(K2339&lt;0,"ATENÇÃO",IF(K2339&lt;=5,"BOM","EXCELENTE")))</f>
        <v/>
      </c>
      <c r="M2339" t="n">
        <v>0</v>
      </c>
      <c r="N2339" t="n">
        <v>0</v>
      </c>
      <c r="O2339" t="n">
        <v>0</v>
      </c>
    </row>
    <row r="2340" hidden="1">
      <c r="A2340" s="11" t="n">
        <v>46073</v>
      </c>
      <c r="B2340" t="inlineStr">
        <is>
          <t>Leandro Oliveira de Sousa</t>
        </is>
      </c>
      <c r="C2340" t="inlineStr">
        <is>
          <t>Técnico III</t>
        </is>
      </c>
      <c r="D2340" t="n">
        <v>29</v>
      </c>
      <c r="E2340" t="n">
        <v>28</v>
      </c>
      <c r="F2340" t="n">
        <v>21.56</v>
      </c>
      <c r="G2340" t="n">
        <v>0</v>
      </c>
      <c r="H2340" t="n">
        <v>0</v>
      </c>
      <c r="I2340" s="3">
        <f>E2340+G2340+H2340</f>
        <v/>
      </c>
      <c r="J2340" s="3">
        <f>ROUND(MIN(IF(C2340="Técnico III",35,IF(C2340="Técnico II",28,IF(C2340="Técnico I",23,IF(C2340="JR",20,IF(C2340="Estágio",10,0))))),IF(C2340="Técnico III",SUMIFS($D:$D,$A:$A,$A2340,$B:$B,"&lt;&gt;Patrícia Karla de Sousa Araújo",$B:$B,"&lt;&gt;Lorena Dias de Araujo",$B:$B,"&lt;&gt;Lucas Luiz Romero")*(35/1083),IF(C2340="Técnico II",SUMIFS($D:$D,$A:$A,$A2340,$B:$B,"&lt;&gt;Patrícia Karla de Sousa Araújo",$B:$B,"&lt;&gt;Lorena Dias de Araujo",$B:$B,"&lt;&gt;Lucas Luiz Romero")*(28/1083),IF(C2340="Técnico I",SUMIFS($D:$D,$A:$A,$A2340,$B:$B,"&lt;&gt;Patrícia Karla de Sousa Araújo",$B:$B,"&lt;&gt;Lorena Dias de Araujo",$B:$B,"&lt;&gt;Lucas Luiz Romero")*(23/1083),IF(C2340="JR",SUMIFS($D:$D,$A:$A,$A2340,$B:$B,"&lt;&gt;Patrícia Karla de Sousa Araújo",$B:$B,"&lt;&gt;Lorena Dias de Araujo",$B:$B,"&lt;&gt;Lucas Luiz Romero")*(20/1083),IF(C2340="Estágio",SUMIFS($D:$D,$A:$A,$A2340,$B:$B,"&lt;&gt;Patrícia Karla de Sousa Araújo",$B:$B,"&lt;&gt;Lorena Dias de Araujo",$B:$B,"&lt;&gt;Lucas Luiz Romero")*(10/1083),0)))))),0)</f>
        <v/>
      </c>
      <c r="K2340" s="3">
        <f>I2340-J2340</f>
        <v/>
      </c>
      <c r="L2340" s="3">
        <f>IF(K2340&lt;-5,"CRÍTICO",IF(K2340&lt;0,"ATENÇÃO",IF(K2340&lt;=5,"BOM","EXCELENTE")))</f>
        <v/>
      </c>
      <c r="M2340" t="n">
        <v>28</v>
      </c>
      <c r="N2340" t="n">
        <v>99.26000000000001</v>
      </c>
      <c r="O2340" t="n">
        <v>30.84832904884319</v>
      </c>
    </row>
    <row r="2341" hidden="1">
      <c r="A2341" s="11" t="n">
        <v>46073</v>
      </c>
      <c r="B2341" t="inlineStr">
        <is>
          <t>Lizandra Gomes Duarte</t>
        </is>
      </c>
      <c r="C2341" t="inlineStr">
        <is>
          <t>Técnico II</t>
        </is>
      </c>
      <c r="D2341" t="n">
        <v>31</v>
      </c>
      <c r="E2341" t="n">
        <v>27</v>
      </c>
      <c r="F2341" t="n">
        <v>24.05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M2341" t="n">
        <v>20</v>
      </c>
      <c r="N2341" t="n">
        <v>97.48</v>
      </c>
      <c r="O2341" t="n">
        <v>27.76470588235294</v>
      </c>
    </row>
    <row r="2342" hidden="1">
      <c r="A2342" s="11" t="n">
        <v>46073</v>
      </c>
      <c r="B2342" t="inlineStr">
        <is>
          <t>Lorena Dias de Araujo</t>
        </is>
      </c>
      <c r="C2342" t="inlineStr">
        <is>
          <t>Técnico II</t>
        </is>
      </c>
      <c r="D2342" t="n">
        <v>29</v>
      </c>
      <c r="E2342" t="n">
        <v>26</v>
      </c>
      <c r="F2342" t="n">
        <v>22.26</v>
      </c>
      <c r="G2342" t="n">
        <v>0</v>
      </c>
      <c r="H2342" t="n">
        <v>0</v>
      </c>
      <c r="I2342" s="3" t="n">
        <v>0</v>
      </c>
      <c r="J2342" s="3" t="n">
        <v>0</v>
      </c>
      <c r="K2342" s="3" t="n">
        <v>0</v>
      </c>
      <c r="L2342" s="3">
        <f>IF(K2342&lt;-5,"CRÍTICO",IF(K2342&lt;0,"ATENÇÃO",IF(K2342&lt;=5,"BOM","EXCELENTE")))</f>
        <v/>
      </c>
      <c r="M2342" t="n">
        <v>25</v>
      </c>
      <c r="N2342" t="n">
        <v>99.34</v>
      </c>
      <c r="O2342" t="n">
        <v>30.04291845493562</v>
      </c>
    </row>
    <row r="2343" hidden="1">
      <c r="A2343" s="11" t="n">
        <v>46073</v>
      </c>
      <c r="B2343" t="inlineStr">
        <is>
          <t>Lucas Luiz Romero</t>
        </is>
      </c>
      <c r="C2343" t="inlineStr">
        <is>
          <t>Técnico III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M2343" t="n">
        <v>0</v>
      </c>
      <c r="N2343" t="n">
        <v>96.3</v>
      </c>
      <c r="O2343" t="n">
        <v>24.29378531073446</v>
      </c>
    </row>
    <row r="2344" hidden="1">
      <c r="A2344" s="11" t="n">
        <v>46073</v>
      </c>
      <c r="B2344" t="inlineStr">
        <is>
          <t>Luiz Fernando de Carvalho Junior</t>
        </is>
      </c>
      <c r="C2344" t="inlineStr">
        <is>
          <t>Técnico I</t>
        </is>
      </c>
      <c r="D2344" t="n">
        <v>10</v>
      </c>
      <c r="E2344" t="n">
        <v>9</v>
      </c>
      <c r="F2344" t="n">
        <v>38.54</v>
      </c>
      <c r="G2344" t="n">
        <v>0</v>
      </c>
      <c r="H2344" t="n">
        <v>0</v>
      </c>
      <c r="I2344" s="3">
        <f>E2344+G2344+H2344</f>
        <v/>
      </c>
      <c r="J2344" s="3">
        <f>ROUND(MIN(IF(C2344="Técnico III",35,IF(C2344="Técnico II",28,IF(C2344="Técnico I",23,IF(C2344="JR",20,IF(C2344="Estágio",10,0))))),IF(C2344="Técnico III",SUMIFS($D:$D,$A:$A,$A2344,$B:$B,"&lt;&gt;Patrícia Karla de Sousa Araújo",$B:$B,"&lt;&gt;Lorena Dias de Araujo",$B:$B,"&lt;&gt;Lucas Luiz Romero")*(35/1083),IF(C2344="Técnico II",SUMIFS($D:$D,$A:$A,$A2344,$B:$B,"&lt;&gt;Patrícia Karla de Sousa Araújo",$B:$B,"&lt;&gt;Lorena Dias de Araujo",$B:$B,"&lt;&gt;Lucas Luiz Romero")*(28/1083),IF(C2344="Técnico I",SUMIFS($D:$D,$A:$A,$A2344,$B:$B,"&lt;&gt;Patrícia Karla de Sousa Araújo",$B:$B,"&lt;&gt;Lorena Dias de Araujo",$B:$B,"&lt;&gt;Lucas Luiz Romero")*(23/1083),IF(C2344="JR",SUMIFS($D:$D,$A:$A,$A2344,$B:$B,"&lt;&gt;Patrícia Karla de Sousa Araújo",$B:$B,"&lt;&gt;Lorena Dias de Araujo",$B:$B,"&lt;&gt;Lucas Luiz Romero")*(20/1083),IF(C2344="Estágio",SUMIFS($D:$D,$A:$A,$A2344,$B:$B,"&lt;&gt;Patrícia Karla de Sousa Araújo",$B:$B,"&lt;&gt;Lorena Dias de Araujo",$B:$B,"&lt;&gt;Lucas Luiz Romero")*(10/1083),0)))))),0)</f>
        <v/>
      </c>
      <c r="K2344" s="3">
        <f>I2344-J2344</f>
        <v/>
      </c>
      <c r="L2344" s="3">
        <f>IF(K2344&lt;-5,"CRÍTICO",IF(K2344&lt;0,"ATENÇÃO",IF(K2344&lt;=5,"BOM","EXCELENTE")))</f>
        <v/>
      </c>
      <c r="M2344" t="n">
        <v>8</v>
      </c>
      <c r="N2344" t="n">
        <v>100</v>
      </c>
      <c r="O2344" t="n">
        <v>26.54320987654321</v>
      </c>
    </row>
    <row r="2345" hidden="1">
      <c r="A2345" s="11" t="n">
        <v>46073</v>
      </c>
      <c r="B2345" t="inlineStr">
        <is>
          <t>Maria Eduarda Sousa Costa</t>
        </is>
      </c>
      <c r="C2345" t="inlineStr">
        <is>
          <t>Estágio</t>
        </is>
      </c>
      <c r="D2345" t="n">
        <v>4</v>
      </c>
      <c r="E2345" t="n">
        <v>4</v>
      </c>
      <c r="F2345" t="n">
        <v>99.13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M2345" t="n">
        <v>5</v>
      </c>
      <c r="N2345" t="n">
        <v>100</v>
      </c>
      <c r="O2345" t="n">
        <v>35.48387096774194</v>
      </c>
    </row>
    <row r="2346" hidden="1">
      <c r="A2346" s="11" t="n">
        <v>46073</v>
      </c>
      <c r="B2346" t="inlineStr">
        <is>
          <t>Matheus Farias De Souza</t>
        </is>
      </c>
      <c r="C2346" t="inlineStr">
        <is>
          <t>Técnico III</t>
        </is>
      </c>
      <c r="D2346" t="n">
        <v>23</v>
      </c>
      <c r="E2346" t="n">
        <v>22</v>
      </c>
      <c r="F2346" t="n">
        <v>32.11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M2346" t="n">
        <v>21</v>
      </c>
      <c r="N2346" t="n">
        <v>99.27</v>
      </c>
      <c r="O2346" t="n">
        <v>31.16370808678501</v>
      </c>
    </row>
    <row r="2347" hidden="1">
      <c r="A2347" s="11" t="n">
        <v>46073</v>
      </c>
      <c r="B2347" t="inlineStr">
        <is>
          <t>Maysa Victoria Dias Moura</t>
        </is>
      </c>
      <c r="C2347" t="inlineStr">
        <is>
          <t>Técnico III</t>
        </is>
      </c>
      <c r="D2347" t="n">
        <v>24</v>
      </c>
      <c r="E2347" t="n">
        <v>23</v>
      </c>
      <c r="F2347" t="n">
        <v>23.25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M2347" t="n">
        <v>21</v>
      </c>
      <c r="N2347" t="n">
        <v>94.16</v>
      </c>
      <c r="O2347" t="n">
        <v>27.03862660944206</v>
      </c>
    </row>
    <row r="2348" hidden="1">
      <c r="A2348" s="11" t="n">
        <v>46073</v>
      </c>
      <c r="B2348" t="inlineStr">
        <is>
          <t>Michelle G Santos</t>
        </is>
      </c>
      <c r="C2348" t="inlineStr">
        <is>
          <t>Estágio</t>
        </is>
      </c>
      <c r="D2348" t="n">
        <v>8</v>
      </c>
      <c r="E2348" t="n">
        <v>7</v>
      </c>
      <c r="F2348" t="n">
        <v>40.15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M2348" t="n">
        <v>6</v>
      </c>
      <c r="N2348" t="n">
        <v>93.75</v>
      </c>
      <c r="O2348" t="n">
        <v>19.31818181818182</v>
      </c>
    </row>
    <row r="2349" hidden="1">
      <c r="A2349" s="11" t="n">
        <v>46073</v>
      </c>
      <c r="B2349" t="inlineStr">
        <is>
          <t>Milena Sales</t>
        </is>
      </c>
      <c r="C2349" t="inlineStr">
        <is>
          <t>JR</t>
        </is>
      </c>
      <c r="D2349" t="n">
        <v>0</v>
      </c>
      <c r="E2349" t="n">
        <v>0</v>
      </c>
      <c r="F2349" t="n">
        <v>0</v>
      </c>
      <c r="G2349" t="n">
        <v>0</v>
      </c>
      <c r="H2349" t="n">
        <v>0</v>
      </c>
      <c r="I2349" s="3" t="n">
        <v>0</v>
      </c>
      <c r="J2349" s="3" t="n">
        <v>0</v>
      </c>
      <c r="K2349" s="3" t="n">
        <v>0</v>
      </c>
      <c r="L2349" s="3">
        <f>IF(K2349&lt;-5,"CRÍTICO",IF(K2349&lt;0,"ATENÇÃO",IF(K2349&lt;=5,"BOM","EXCELENTE")))</f>
        <v/>
      </c>
      <c r="M2349" t="n">
        <v>0</v>
      </c>
      <c r="N2349" t="n">
        <v>0</v>
      </c>
      <c r="O2349" t="n">
        <v>0</v>
      </c>
    </row>
    <row r="2350" hidden="1">
      <c r="A2350" s="11" t="n">
        <v>46073</v>
      </c>
      <c r="B2350" t="inlineStr">
        <is>
          <t>Patrícia Karla de Sousa Araújo</t>
        </is>
      </c>
      <c r="C2350" t="inlineStr">
        <is>
          <t>Técnico II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M2350" t="n">
        <v>0</v>
      </c>
      <c r="N2350" t="n">
        <v>97.92</v>
      </c>
      <c r="O2350" t="n">
        <v>32.87671232876712</v>
      </c>
    </row>
    <row r="2351" hidden="1">
      <c r="A2351" s="11" t="n">
        <v>46073</v>
      </c>
      <c r="B2351" t="inlineStr">
        <is>
          <t>Paulo Ricardo Santos</t>
        </is>
      </c>
      <c r="C2351" t="inlineStr">
        <is>
          <t>JR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M2351" t="n">
        <v>0</v>
      </c>
      <c r="N2351" t="n">
        <v>0</v>
      </c>
      <c r="O2351" t="n">
        <v>0</v>
      </c>
    </row>
    <row r="2352" hidden="1">
      <c r="A2352" s="11" t="n">
        <v>46073</v>
      </c>
      <c r="B2352" t="inlineStr">
        <is>
          <t>Pedro Luiz Mota Sousa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M2352" t="n">
        <v>0</v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Quirino Diogo Leite Torres</t>
        </is>
      </c>
      <c r="C2353" t="inlineStr">
        <is>
          <t>Estágio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M2353" t="n">
        <v>0</v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Raane Batista Matos</t>
        </is>
      </c>
      <c r="C2354" t="inlineStr">
        <is>
          <t>Técnico I</t>
        </is>
      </c>
      <c r="D2354" t="n">
        <v>22</v>
      </c>
      <c r="E2354" t="n">
        <v>19</v>
      </c>
      <c r="F2354" t="n">
        <v>28.38</v>
      </c>
      <c r="G2354" t="n">
        <v>0</v>
      </c>
      <c r="H2354" t="n">
        <v>0</v>
      </c>
      <c r="I2354" s="3">
        <f>E2354+G2354+H2354</f>
        <v/>
      </c>
      <c r="J2354" s="3">
        <f>ROUND(MIN(IF(C2354="Técnico III",35,IF(C2354="Técnico II",28,IF(C2354="Técnico I",23,IF(C2354="JR",20,IF(C2354="Estágio",10,0))))),IF(C2354="Técnico III",SUMIFS($D:$D,$A:$A,$A2354,$B:$B,"&lt;&gt;Patrícia Karla de Sousa Araújo",$B:$B,"&lt;&gt;Lorena Dias de Araujo",$B:$B,"&lt;&gt;Lucas Luiz Romero")*(35/1083),IF(C2354="Técnico II",SUMIFS($D:$D,$A:$A,$A2354,$B:$B,"&lt;&gt;Patrícia Karla de Sousa Araújo",$B:$B,"&lt;&gt;Lorena Dias de Araujo",$B:$B,"&lt;&gt;Lucas Luiz Romero")*(28/1083),IF(C2354="Técnico I",SUMIFS($D:$D,$A:$A,$A2354,$B:$B,"&lt;&gt;Patrícia Karla de Sousa Araújo",$B:$B,"&lt;&gt;Lorena Dias de Araujo",$B:$B,"&lt;&gt;Lucas Luiz Romero")*(23/1083),IF(C2354="JR",SUMIFS($D:$D,$A:$A,$A2354,$B:$B,"&lt;&gt;Patrícia Karla de Sousa Araújo",$B:$B,"&lt;&gt;Lorena Dias de Araujo",$B:$B,"&lt;&gt;Lucas Luiz Romero")*(20/1083),IF(C2354="Estágio",SUMIFS($D:$D,$A:$A,$A2354,$B:$B,"&lt;&gt;Patrícia Karla de Sousa Araújo",$B:$B,"&lt;&gt;Lorena Dias de Araujo",$B:$B,"&lt;&gt;Lucas Luiz Romero")*(10/1083),0)))))),0)</f>
        <v/>
      </c>
      <c r="K2354" s="3">
        <f>I2354-J2354</f>
        <v/>
      </c>
      <c r="L2354" s="3">
        <f>IF(K2354&lt;-5,"CRÍTICO",IF(K2354&lt;0,"ATENÇÃO",IF(K2354&lt;=5,"BOM","EXCELENTE")))</f>
        <v/>
      </c>
      <c r="M2354" t="n">
        <v>17</v>
      </c>
      <c r="N2354" t="n">
        <v>98.51000000000001</v>
      </c>
      <c r="O2354" t="n">
        <v>29.71014492753623</v>
      </c>
    </row>
    <row r="2355" hidden="1">
      <c r="A2355" s="11" t="n">
        <v>46073</v>
      </c>
      <c r="B2355" t="inlineStr">
        <is>
          <t>Rafael Gomes de Morais</t>
        </is>
      </c>
      <c r="C2355" t="inlineStr">
        <is>
          <t>Técnico III</t>
        </is>
      </c>
      <c r="D2355" t="n">
        <v>34</v>
      </c>
      <c r="E2355" t="n">
        <v>32</v>
      </c>
      <c r="F2355" t="n">
        <v>20.12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M2355" t="n">
        <v>28</v>
      </c>
      <c r="N2355" t="n">
        <v>98.81</v>
      </c>
      <c r="O2355" t="n">
        <v>30.71297989031079</v>
      </c>
    </row>
    <row r="2356" hidden="1">
      <c r="A2356" s="11" t="n">
        <v>46073</v>
      </c>
      <c r="B2356" t="inlineStr">
        <is>
          <t>Sara Maria Monteiro Lopes</t>
        </is>
      </c>
      <c r="C2356" t="inlineStr">
        <is>
          <t>Técnico I</t>
        </is>
      </c>
      <c r="D2356" t="n">
        <v>11</v>
      </c>
      <c r="E2356" t="n">
        <v>11</v>
      </c>
      <c r="F2356" t="n">
        <v>50.56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M2356" t="n">
        <v>8</v>
      </c>
      <c r="N2356" t="n">
        <v>98.48</v>
      </c>
      <c r="O2356" t="n">
        <v>29.35323383084577</v>
      </c>
    </row>
    <row r="2357" hidden="1">
      <c r="A2357" s="11" t="n">
        <v>46073</v>
      </c>
      <c r="B2357" t="inlineStr">
        <is>
          <t>Sarah Steffanie de Lima Borges</t>
        </is>
      </c>
      <c r="C2357" t="inlineStr">
        <is>
          <t>Técnico III</t>
        </is>
      </c>
      <c r="D2357" t="n">
        <v>20</v>
      </c>
      <c r="E2357" t="n">
        <v>16</v>
      </c>
      <c r="F2357" t="n">
        <v>29.02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M2357" t="n">
        <v>12</v>
      </c>
      <c r="N2357" t="n">
        <v>98.56</v>
      </c>
      <c r="O2357" t="n">
        <v>29.37365010799136</v>
      </c>
    </row>
    <row r="2358" hidden="1">
      <c r="A2358" s="11" t="n">
        <v>46076</v>
      </c>
      <c r="B2358" t="inlineStr">
        <is>
          <t>Alisson de Freitas Silva</t>
        </is>
      </c>
      <c r="C2358" t="inlineStr">
        <is>
          <t>Técnico II</t>
        </is>
      </c>
      <c r="D2358" t="n">
        <v>33</v>
      </c>
      <c r="E2358" t="n">
        <v>32</v>
      </c>
      <c r="F2358" t="n">
        <v>20.31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M2358" t="n">
        <v>29</v>
      </c>
      <c r="N2358" t="n">
        <v>98.31999999999999</v>
      </c>
      <c r="O2358" t="n">
        <v>30.3030303030303</v>
      </c>
    </row>
    <row r="2359" hidden="1">
      <c r="A2359" s="11" t="n">
        <v>46076</v>
      </c>
      <c r="B2359" t="inlineStr">
        <is>
          <t>Amanda Moura Ferreira</t>
        </is>
      </c>
      <c r="C2359" t="inlineStr">
        <is>
          <t>Técnico III</t>
        </is>
      </c>
      <c r="D2359" t="n">
        <v>0</v>
      </c>
      <c r="E2359" t="n">
        <v>0</v>
      </c>
      <c r="F2359" t="n">
        <v>0</v>
      </c>
      <c r="G2359" t="n">
        <v>0</v>
      </c>
      <c r="H2359" t="n">
        <v>0</v>
      </c>
      <c r="I2359" s="3" t="n">
        <v>0</v>
      </c>
      <c r="J2359" s="3" t="n">
        <v>0</v>
      </c>
      <c r="K2359" s="3" t="n">
        <v>0</v>
      </c>
      <c r="L2359" s="3">
        <f>IF(K2359&lt;-5,"CRÍTICO",IF(K2359&lt;0,"ATENÇÃO",IF(K2359&lt;=5,"BOM","EXCELENTE")))</f>
        <v/>
      </c>
      <c r="M2359" t="n">
        <v>28</v>
      </c>
      <c r="N2359" t="n">
        <v>98.68000000000001</v>
      </c>
      <c r="O2359" t="n">
        <v>26.21951219512195</v>
      </c>
    </row>
    <row r="2360" hidden="1">
      <c r="A2360" s="11" t="n">
        <v>46076</v>
      </c>
      <c r="B2360" t="inlineStr">
        <is>
          <t>Ana Karollyne Souza Faria</t>
        </is>
      </c>
      <c r="C2360" t="inlineStr">
        <is>
          <t>Técnico I</t>
        </is>
      </c>
      <c r="D2360" t="n">
        <v>27</v>
      </c>
      <c r="E2360" t="n">
        <v>27</v>
      </c>
      <c r="F2360" t="n">
        <v>18.46</v>
      </c>
      <c r="G2360" t="n">
        <v>0</v>
      </c>
      <c r="H2360" t="n">
        <v>0</v>
      </c>
      <c r="I2360" s="3">
        <f>E2360+G2360+H2360</f>
        <v/>
      </c>
      <c r="J2360" s="3">
        <f>ROUND(MIN(IF(C2360="Técnico III",35,IF(C2360="Técnico II",28,IF(C2360="Técnico I",23,IF(C2360="JR",20,IF(C2360="Estágio",10,0))))),IF(C2360="Técnico III",SUMIFS($D:$D,$A:$A,$A2360,$B:$B,"&lt;&gt;Patrícia Karla de Sousa Araújo",$B:$B,"&lt;&gt;Lorena Dias de Araujo",$B:$B,"&lt;&gt;Lucas Luiz Romero")*(35/1083),IF(C2360="Técnico II",SUMIFS($D:$D,$A:$A,$A2360,$B:$B,"&lt;&gt;Patrícia Karla de Sousa Araújo",$B:$B,"&lt;&gt;Lorena Dias de Araujo",$B:$B,"&lt;&gt;Lucas Luiz Romero")*(28/1083),IF(C2360="Técnico I",SUMIFS($D:$D,$A:$A,$A2360,$B:$B,"&lt;&gt;Patrícia Karla de Sousa Araújo",$B:$B,"&lt;&gt;Lorena Dias de Araujo",$B:$B,"&lt;&gt;Lucas Luiz Romero")*(23/1083),IF(C2360="JR",SUMIFS($D:$D,$A:$A,$A2360,$B:$B,"&lt;&gt;Patrícia Karla de Sousa Araújo",$B:$B,"&lt;&gt;Lorena Dias de Araujo",$B:$B,"&lt;&gt;Lucas Luiz Romero")*(20/1083),IF(C2360="Estágio",SUMIFS($D:$D,$A:$A,$A2360,$B:$B,"&lt;&gt;Patrícia Karla de Sousa Araújo",$B:$B,"&lt;&gt;Lorena Dias de Araujo",$B:$B,"&lt;&gt;Lucas Luiz Romero")*(10/1083),0)))))),0)</f>
        <v/>
      </c>
      <c r="K2360" s="3">
        <f>I2360-J2360</f>
        <v/>
      </c>
      <c r="L2360" s="3">
        <f>IF(K2360&lt;-5,"CRÍTICO",IF(K2360&lt;0,"ATENÇÃO",IF(K2360&lt;=5,"BOM","EXCELENTE")))</f>
        <v/>
      </c>
      <c r="M2360" t="n">
        <v>23</v>
      </c>
      <c r="N2360" t="n">
        <v>100</v>
      </c>
      <c r="O2360" t="n">
        <v>31.74224343675418</v>
      </c>
    </row>
    <row r="2361" hidden="1">
      <c r="A2361" s="11" t="n">
        <v>46076</v>
      </c>
      <c r="B2361" t="inlineStr">
        <is>
          <t>Ana Paula Da Luz Silva Aleixo</t>
        </is>
      </c>
      <c r="C2361" t="inlineStr">
        <is>
          <t>Técnico III</t>
        </is>
      </c>
      <c r="D2361" t="n">
        <v>25</v>
      </c>
      <c r="E2361" t="n">
        <v>22</v>
      </c>
      <c r="F2361" t="n">
        <v>32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M2361" t="n">
        <v>17</v>
      </c>
      <c r="N2361" t="n">
        <v>98.25</v>
      </c>
      <c r="O2361" t="n">
        <v>25.83518930957684</v>
      </c>
    </row>
    <row r="2362" hidden="1">
      <c r="A2362" s="11" t="n">
        <v>46076</v>
      </c>
      <c r="B2362" t="inlineStr">
        <is>
          <t>Anna Luiza Rezende Tavares</t>
        </is>
      </c>
      <c r="C2362" t="inlineStr">
        <is>
          <t>Estágio</t>
        </is>
      </c>
      <c r="D2362" t="n">
        <v>10</v>
      </c>
      <c r="E2362" t="n">
        <v>8</v>
      </c>
      <c r="F2362" t="n">
        <v>32.14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M2362" t="n">
        <v>7</v>
      </c>
      <c r="N2362" t="n">
        <v>97.5</v>
      </c>
      <c r="O2362" t="n">
        <v>30.07518796992481</v>
      </c>
    </row>
    <row r="2363" hidden="1">
      <c r="A2363" s="11" t="n">
        <v>46076</v>
      </c>
      <c r="B2363" t="inlineStr">
        <is>
          <t>Brenda de Menezes Silva</t>
        </is>
      </c>
      <c r="C2363" t="inlineStr">
        <is>
          <t>Técnico II</t>
        </is>
      </c>
      <c r="D2363" t="n">
        <v>32</v>
      </c>
      <c r="E2363" t="n">
        <v>27</v>
      </c>
      <c r="F2363" t="n">
        <v>20.1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M2363" t="n">
        <v>27</v>
      </c>
      <c r="N2363" t="n">
        <v>100</v>
      </c>
      <c r="O2363" t="n">
        <v>29.71311475409836</v>
      </c>
    </row>
    <row r="2364" hidden="1">
      <c r="A2364" s="11" t="n">
        <v>46076</v>
      </c>
      <c r="B2364" t="inlineStr">
        <is>
          <t>Carlos Mateus Cassimiro Nunes</t>
        </is>
      </c>
      <c r="C2364" t="inlineStr">
        <is>
          <t>Técnico II</t>
        </is>
      </c>
      <c r="D2364" t="n">
        <v>14</v>
      </c>
      <c r="E2364" t="n">
        <v>14</v>
      </c>
      <c r="F2364" t="n">
        <v>52.33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M2364" t="n">
        <v>18</v>
      </c>
      <c r="N2364" t="n">
        <v>99.22</v>
      </c>
      <c r="O2364" t="n">
        <v>35.25641025641026</v>
      </c>
    </row>
    <row r="2365" hidden="1">
      <c r="A2365" s="11" t="n">
        <v>46076</v>
      </c>
      <c r="B2365" t="inlineStr">
        <is>
          <t>Claudio de Sousa Velasco Filho</t>
        </is>
      </c>
      <c r="C2365" t="inlineStr">
        <is>
          <t>Estágio</t>
        </is>
      </c>
      <c r="D2365" t="n">
        <v>0</v>
      </c>
      <c r="E2365" t="n">
        <v>0</v>
      </c>
      <c r="F2365" t="n">
        <v>0</v>
      </c>
      <c r="G2365" t="n">
        <v>0</v>
      </c>
      <c r="H2365" t="n">
        <v>0</v>
      </c>
      <c r="I2365" s="3" t="n">
        <v>0</v>
      </c>
      <c r="J2365" s="3" t="n">
        <v>0</v>
      </c>
      <c r="K2365" s="3" t="n">
        <v>0</v>
      </c>
      <c r="L2365" s="3">
        <f>IF(K2365&lt;-5,"CRÍTICO",IF(K2365&lt;0,"ATENÇÃO",IF(K2365&lt;=5,"BOM","EXCELENTE")))</f>
        <v/>
      </c>
      <c r="M2365" t="n">
        <v>0</v>
      </c>
      <c r="N2365" t="n">
        <v>0</v>
      </c>
      <c r="O2365" t="n">
        <v>0</v>
      </c>
    </row>
    <row r="2366" hidden="1">
      <c r="A2366" s="11" t="n">
        <v>46076</v>
      </c>
      <c r="B2366" t="inlineStr">
        <is>
          <t>Clessiane Pereira dos Santos</t>
        </is>
      </c>
      <c r="C2366" t="inlineStr">
        <is>
          <t>Técnico I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M2366" t="n">
        <v>0</v>
      </c>
      <c r="N2366" t="n">
        <v>98.75</v>
      </c>
      <c r="O2366" t="n">
        <v>24.32432432432433</v>
      </c>
    </row>
    <row r="2367" hidden="1">
      <c r="A2367" s="11" t="n">
        <v>46076</v>
      </c>
      <c r="B2367" t="inlineStr">
        <is>
          <t>Cristiane Ramos da Silva Rocha</t>
        </is>
      </c>
      <c r="C2367" t="inlineStr">
        <is>
          <t>Técnico III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M2367" t="n">
        <v>0</v>
      </c>
      <c r="N2367" t="n">
        <v>93.48</v>
      </c>
      <c r="O2367" t="n">
        <v>31.52804642166344</v>
      </c>
    </row>
    <row r="2368" hidden="1">
      <c r="A2368" s="11" t="n">
        <v>46076</v>
      </c>
      <c r="B2368" t="inlineStr">
        <is>
          <t>Damyllis Lorraine de Oliveira Gonçalves</t>
        </is>
      </c>
      <c r="C2368" t="inlineStr">
        <is>
          <t>Técnico II</t>
        </is>
      </c>
      <c r="D2368" t="n">
        <v>31</v>
      </c>
      <c r="E2368" t="n">
        <v>26</v>
      </c>
      <c r="F2368" t="n">
        <v>26.55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M2368" t="n">
        <v>19</v>
      </c>
      <c r="N2368" t="n">
        <v>99.16</v>
      </c>
      <c r="O2368" t="n">
        <v>26.13908872901678</v>
      </c>
    </row>
    <row r="2369" hidden="1">
      <c r="A2369" s="11" t="n">
        <v>46076</v>
      </c>
      <c r="B2369" t="inlineStr">
        <is>
          <t>Daniel Gomes da Silva</t>
        </is>
      </c>
      <c r="C2369" t="inlineStr">
        <is>
          <t>Técnico I</t>
        </is>
      </c>
      <c r="D2369" t="n">
        <v>22</v>
      </c>
      <c r="E2369" t="n">
        <v>19</v>
      </c>
      <c r="F2369" t="n">
        <v>24.17</v>
      </c>
      <c r="G2369" t="n">
        <v>0</v>
      </c>
      <c r="H2369" t="n">
        <v>0</v>
      </c>
      <c r="I2369" s="3">
        <f>E2369+G2369+H2369</f>
        <v/>
      </c>
      <c r="J2369" s="3">
        <f>ROUND(MIN(IF(C2369="Técnico III",35,IF(C2369="Técnico II",28,IF(C2369="Técnico I",23,IF(C2369="JR",20,IF(C2369="Estágio",10,0))))),IF(C2369="Técnico III",SUMIFS($D:$D,$A:$A,$A2369,$B:$B,"&lt;&gt;Patrícia Karla de Sousa Araújo",$B:$B,"&lt;&gt;Lorena Dias de Araujo",$B:$B,"&lt;&gt;Lucas Luiz Romero")*(35/1083),IF(C2369="Técnico II",SUMIFS($D:$D,$A:$A,$A2369,$B:$B,"&lt;&gt;Patrícia Karla de Sousa Araújo",$B:$B,"&lt;&gt;Lorena Dias de Araujo",$B:$B,"&lt;&gt;Lucas Luiz Romero")*(28/1083),IF(C2369="Técnico I",SUMIFS($D:$D,$A:$A,$A2369,$B:$B,"&lt;&gt;Patrícia Karla de Sousa Araújo",$B:$B,"&lt;&gt;Lorena Dias de Araujo",$B:$B,"&lt;&gt;Lucas Luiz Romero")*(23/1083),IF(C2369="JR",SUMIFS($D:$D,$A:$A,$A2369,$B:$B,"&lt;&gt;Patrícia Karla de Sousa Araújo",$B:$B,"&lt;&gt;Lorena Dias de Araujo",$B:$B,"&lt;&gt;Lucas Luiz Romero")*(20/1083),IF(C2369="Estágio",SUMIFS($D:$D,$A:$A,$A2369,$B:$B,"&lt;&gt;Patrícia Karla de Sousa Araújo",$B:$B,"&lt;&gt;Lorena Dias de Araujo",$B:$B,"&lt;&gt;Lucas Luiz Romero")*(10/1083),0)))))),0)</f>
        <v/>
      </c>
      <c r="K2369" s="3">
        <f>I2369-J2369</f>
        <v/>
      </c>
      <c r="L2369" s="3">
        <f>IF(K2369&lt;-5,"CRÍTICO",IF(K2369&lt;0,"ATENÇÃO",IF(K2369&lt;=5,"BOM","EXCELENTE")))</f>
        <v/>
      </c>
      <c r="M2369" t="n">
        <v>9</v>
      </c>
      <c r="N2369" t="n">
        <v>100</v>
      </c>
      <c r="O2369" t="n">
        <v>31.08974358974359</v>
      </c>
    </row>
    <row r="2370" hidden="1">
      <c r="A2370" s="11" t="n">
        <v>46076</v>
      </c>
      <c r="B2370" t="inlineStr">
        <is>
          <t>Davylla Rodrigues Freitas Silva</t>
        </is>
      </c>
      <c r="C2370" t="inlineStr">
        <is>
          <t>Técnico III</t>
        </is>
      </c>
      <c r="D2370" t="n">
        <v>20</v>
      </c>
      <c r="E2370" t="n">
        <v>19</v>
      </c>
      <c r="F2370" t="n">
        <v>37.39</v>
      </c>
      <c r="G2370" t="n">
        <v>0</v>
      </c>
      <c r="H2370" t="n">
        <v>0</v>
      </c>
      <c r="I2370" s="3" t="n">
        <v>0</v>
      </c>
      <c r="J2370" s="3" t="n">
        <v>0</v>
      </c>
      <c r="K2370" s="3" t="n">
        <v>0</v>
      </c>
      <c r="L2370" s="3">
        <f>IF(K2370&lt;-5,"CRÍTICO",IF(K2370&lt;0,"ATENÇÃO",IF(K2370&lt;=5,"BOM","EXCELENTE")))</f>
        <v/>
      </c>
      <c r="M2370" t="n">
        <v>18</v>
      </c>
      <c r="N2370" t="n">
        <v>98.11</v>
      </c>
      <c r="O2370" t="n">
        <v>33.03370786516854</v>
      </c>
    </row>
    <row r="2371" hidden="1">
      <c r="A2371" s="11" t="n">
        <v>46076</v>
      </c>
      <c r="B2371" t="inlineStr">
        <is>
          <t>Emilly Caylane Costa</t>
        </is>
      </c>
      <c r="C2371" t="inlineStr">
        <is>
          <t>Estágio</t>
        </is>
      </c>
      <c r="D2371" t="n">
        <v>9</v>
      </c>
      <c r="E2371" t="n">
        <v>8</v>
      </c>
      <c r="F2371" t="n">
        <v>36.51</v>
      </c>
      <c r="G2371" t="n">
        <v>0</v>
      </c>
      <c r="H2371" t="n">
        <v>0</v>
      </c>
      <c r="I2371" s="3">
        <f>E2371+G2371+H2371</f>
        <v/>
      </c>
      <c r="J2371" s="3">
        <f>ROUND(MIN(IF(C2371="Técnico III",35,IF(C2371="Técnico II",28,IF(C2371="Técnico I",23,IF(C2371="JR",20,IF(C2371="Estágio",10,0))))),IF(C2371="Técnico III",SUMIFS($D:$D,$A:$A,$A2371,$B:$B,"&lt;&gt;Patrícia Karla de Sousa Araújo",$B:$B,"&lt;&gt;Lorena Dias de Araujo",$B:$B,"&lt;&gt;Lucas Luiz Romero")*(35/1083),IF(C2371="Técnico II",SUMIFS($D:$D,$A:$A,$A2371,$B:$B,"&lt;&gt;Patrícia Karla de Sousa Araújo",$B:$B,"&lt;&gt;Lorena Dias de Araujo",$B:$B,"&lt;&gt;Lucas Luiz Romero")*(28/1083),IF(C2371="Técnico I",SUMIFS($D:$D,$A:$A,$A2371,$B:$B,"&lt;&gt;Patrícia Karla de Sousa Araújo",$B:$B,"&lt;&gt;Lorena Dias de Araujo",$B:$B,"&lt;&gt;Lucas Luiz Romero")*(23/1083),IF(C2371="JR",SUMIFS($D:$D,$A:$A,$A2371,$B:$B,"&lt;&gt;Patrícia Karla de Sousa Araújo",$B:$B,"&lt;&gt;Lorena Dias de Araujo",$B:$B,"&lt;&gt;Lucas Luiz Romero")*(20/1083),IF(C2371="Estágio",SUMIFS($D:$D,$A:$A,$A2371,$B:$B,"&lt;&gt;Patrícia Karla de Sousa Araújo",$B:$B,"&lt;&gt;Lorena Dias de Araujo",$B:$B,"&lt;&gt;Lucas Luiz Romero")*(10/1083),0)))))),0)</f>
        <v/>
      </c>
      <c r="K2371" s="3">
        <f>I2371-J2371</f>
        <v/>
      </c>
      <c r="L2371" s="3">
        <f>IF(K2371&lt;-5,"CRÍTICO",IF(K2371&lt;0,"ATENÇÃO",IF(K2371&lt;=5,"BOM","EXCELENTE")))</f>
        <v/>
      </c>
      <c r="M2371" t="n">
        <v>5</v>
      </c>
      <c r="N2371" t="n">
        <v>78.95</v>
      </c>
      <c r="O2371" t="n">
        <v>38.98305084745763</v>
      </c>
    </row>
    <row r="2372" hidden="1">
      <c r="A2372" s="11" t="n">
        <v>46076</v>
      </c>
      <c r="B2372" t="inlineStr">
        <is>
          <t>Emilly Kamilly Medeiros Miranda</t>
        </is>
      </c>
      <c r="C2372" t="inlineStr">
        <is>
          <t>Técnico II</t>
        </is>
      </c>
      <c r="D2372" t="n">
        <v>22</v>
      </c>
      <c r="E2372" t="n">
        <v>20</v>
      </c>
      <c r="F2372" t="n">
        <v>27.02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M2372" t="n">
        <v>16</v>
      </c>
      <c r="N2372" t="n">
        <v>98.45</v>
      </c>
      <c r="O2372" t="n">
        <v>29.2817679558011</v>
      </c>
    </row>
    <row r="2373" hidden="1">
      <c r="A2373" s="11" t="n">
        <v>46076</v>
      </c>
      <c r="B2373" t="inlineStr">
        <is>
          <t>Francielson de Oliveira</t>
        </is>
      </c>
      <c r="C2373" t="inlineStr">
        <is>
          <t>Técnico III</t>
        </is>
      </c>
      <c r="D2373" t="n">
        <v>30</v>
      </c>
      <c r="E2373" t="n">
        <v>30</v>
      </c>
      <c r="F2373" t="n">
        <v>25.07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M2373" t="n">
        <v>29</v>
      </c>
      <c r="N2373" t="n">
        <v>97.84</v>
      </c>
      <c r="O2373" t="n">
        <v>26.28205128205128</v>
      </c>
    </row>
    <row r="2374" hidden="1">
      <c r="A2374" s="11" t="n">
        <v>46076</v>
      </c>
      <c r="B2374" t="inlineStr">
        <is>
          <t>Francilene Ferreira de Jesus</t>
        </is>
      </c>
      <c r="C2374" t="inlineStr">
        <is>
          <t>Técnico II</t>
        </is>
      </c>
      <c r="D2374" t="n">
        <v>27</v>
      </c>
      <c r="E2374" t="n">
        <v>25</v>
      </c>
      <c r="F2374" t="n">
        <v>30.31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M2374" t="n">
        <v>18</v>
      </c>
      <c r="N2374" t="n">
        <v>98.5</v>
      </c>
      <c r="O2374" t="n">
        <v>23.97769516728625</v>
      </c>
    </row>
    <row r="2375" hidden="1">
      <c r="A2375" s="11" t="n">
        <v>46108</v>
      </c>
      <c r="B2375" t="inlineStr">
        <is>
          <t>Gabriel Gomes de Andrade</t>
        </is>
      </c>
      <c r="C2375" t="inlineStr">
        <is>
          <t>Técnico I</t>
        </is>
      </c>
      <c r="D2375" t="n">
        <v>32</v>
      </c>
      <c r="E2375" t="n">
        <v>28</v>
      </c>
      <c r="F2375" t="n">
        <v>19.07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M2375" t="n">
        <v>28</v>
      </c>
      <c r="N2375" t="n">
        <v>99.05</v>
      </c>
      <c r="O2375" t="n">
        <v>26.62192393736018</v>
      </c>
    </row>
    <row r="2376" hidden="1">
      <c r="A2376" s="11" t="n">
        <v>46076</v>
      </c>
      <c r="B2376" t="inlineStr">
        <is>
          <t>Isabella Borges de Oliveira</t>
        </is>
      </c>
      <c r="C2376" t="inlineStr">
        <is>
          <t>Técnico II</t>
        </is>
      </c>
      <c r="D2376" t="n">
        <v>34</v>
      </c>
      <c r="E2376" t="n">
        <v>33</v>
      </c>
      <c r="F2376" t="n">
        <v>22.17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M2376" t="n">
        <v>28</v>
      </c>
      <c r="N2376" t="n">
        <v>98.53</v>
      </c>
      <c r="O2376" t="n">
        <v>31.57894736842105</v>
      </c>
    </row>
    <row r="2377" hidden="1">
      <c r="A2377" s="11" t="n">
        <v>46076</v>
      </c>
      <c r="B2377" t="inlineStr">
        <is>
          <t>Janaina Lima dos Reis Urany</t>
        </is>
      </c>
      <c r="C2377" t="inlineStr">
        <is>
          <t>Técnico III</t>
        </is>
      </c>
      <c r="D2377" t="n">
        <v>38</v>
      </c>
      <c r="E2377" t="n">
        <v>36</v>
      </c>
      <c r="F2377" t="n">
        <v>17.22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M2377" t="n">
        <v>33</v>
      </c>
      <c r="N2377" t="n">
        <v>100</v>
      </c>
      <c r="O2377" t="n">
        <v>25.72214580467676</v>
      </c>
    </row>
    <row r="2378" hidden="1">
      <c r="A2378" s="11" t="n">
        <v>46076</v>
      </c>
      <c r="B2378" t="inlineStr">
        <is>
          <t>Jaqueline Evangelista da Silva Martins</t>
        </is>
      </c>
      <c r="C2378" t="inlineStr">
        <is>
          <t>Técnico III</t>
        </is>
      </c>
      <c r="D2378" t="n">
        <v>24</v>
      </c>
      <c r="E2378" t="n">
        <v>20</v>
      </c>
      <c r="F2378" t="n">
        <v>10.12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M2378" t="n">
        <v>16</v>
      </c>
      <c r="N2378" t="n">
        <v>94.64</v>
      </c>
      <c r="O2378" t="n">
        <v>27.52941176470588</v>
      </c>
    </row>
    <row r="2379" hidden="1">
      <c r="A2379" s="11" t="n">
        <v>46076</v>
      </c>
      <c r="B2379" t="inlineStr">
        <is>
          <t>Jessica Faria da Silveira</t>
        </is>
      </c>
      <c r="C2379" t="inlineStr">
        <is>
          <t>Técnico II</t>
        </is>
      </c>
      <c r="D2379" t="n">
        <v>37</v>
      </c>
      <c r="E2379" t="n">
        <v>28</v>
      </c>
      <c r="F2379" t="n">
        <v>15.5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M2379" t="n">
        <v>23</v>
      </c>
      <c r="N2379" t="n">
        <v>99.06999999999999</v>
      </c>
      <c r="O2379" t="n">
        <v>26.3768115942029</v>
      </c>
    </row>
    <row r="2380" hidden="1">
      <c r="A2380" s="11" t="n">
        <v>46076</v>
      </c>
      <c r="B2380" t="inlineStr">
        <is>
          <t>Jéssica Fé Moura</t>
        </is>
      </c>
      <c r="C2380" t="inlineStr">
        <is>
          <t>Técnico III</t>
        </is>
      </c>
      <c r="D2380" t="n">
        <v>0</v>
      </c>
      <c r="E2380" t="n">
        <v>0</v>
      </c>
      <c r="F2380" t="n">
        <v>0</v>
      </c>
      <c r="G2380" t="n">
        <v>0</v>
      </c>
      <c r="H2380" t="n">
        <v>0</v>
      </c>
      <c r="I2380" s="3" t="n">
        <v>0</v>
      </c>
      <c r="J2380" s="3" t="n">
        <v>0</v>
      </c>
      <c r="K2380" s="3" t="n">
        <v>0</v>
      </c>
      <c r="L2380" s="3">
        <f>IF(K2380&lt;-5,"CRÍTICO",IF(K2380&lt;0,"ATENÇÃO",IF(K2380&lt;=5,"BOM","EXCELENTE")))</f>
        <v/>
      </c>
      <c r="M2380" t="n">
        <v>0</v>
      </c>
      <c r="N2380" t="n">
        <v>100</v>
      </c>
      <c r="O2380" t="n">
        <v>0</v>
      </c>
    </row>
    <row r="2381" hidden="1">
      <c r="A2381" s="11" t="n">
        <v>46076</v>
      </c>
      <c r="B2381" t="inlineStr">
        <is>
          <t>Karina Gonçalves Martins</t>
        </is>
      </c>
      <c r="C2381" t="inlineStr">
        <is>
          <t>JR</t>
        </is>
      </c>
      <c r="D2381" t="n">
        <v>11</v>
      </c>
      <c r="E2381" t="n">
        <v>11</v>
      </c>
      <c r="F2381" t="n">
        <v>30.23</v>
      </c>
      <c r="G2381" t="n">
        <v>0</v>
      </c>
      <c r="H2381" t="n">
        <v>0</v>
      </c>
      <c r="I2381" s="3">
        <f>E2381+G2381+H2381</f>
        <v/>
      </c>
      <c r="J2381" s="3">
        <f>ROUND(MIN(IF(C2381="Técnico III",35,IF(C2381="Técnico II",28,IF(C2381="Técnico I",23,IF(C2381="JR",20,IF(C2381="Estágio",10,0))))),IF(C2381="Técnico III",SUMIFS($D:$D,$A:$A,$A2381,$B:$B,"&lt;&gt;Patrícia Karla de Sousa Araújo",$B:$B,"&lt;&gt;Lorena Dias de Araujo",$B:$B,"&lt;&gt;Lucas Luiz Romero")*(35/1083),IF(C2381="Técnico II",SUMIFS($D:$D,$A:$A,$A2381,$B:$B,"&lt;&gt;Patrícia Karla de Sousa Araújo",$B:$B,"&lt;&gt;Lorena Dias de Araujo",$B:$B,"&lt;&gt;Lucas Luiz Romero")*(28/1083),IF(C2381="Técnico I",SUMIFS($D:$D,$A:$A,$A2381,$B:$B,"&lt;&gt;Patrícia Karla de Sousa Araújo",$B:$B,"&lt;&gt;Lorena Dias de Araujo",$B:$B,"&lt;&gt;Lucas Luiz Romero")*(23/1083),IF(C2381="JR",SUMIFS($D:$D,$A:$A,$A2381,$B:$B,"&lt;&gt;Patrícia Karla de Sousa Araújo",$B:$B,"&lt;&gt;Lorena Dias de Araujo",$B:$B,"&lt;&gt;Lucas Luiz Romero")*(20/1083),IF(C2381="Estágio",SUMIFS($D:$D,$A:$A,$A2381,$B:$B,"&lt;&gt;Patrícia Karla de Sousa Araújo",$B:$B,"&lt;&gt;Lorena Dias de Araujo",$B:$B,"&lt;&gt;Lucas Luiz Romero")*(10/1083),0)))))),0)</f>
        <v/>
      </c>
      <c r="K2381" s="3">
        <f>I2381-J2381</f>
        <v/>
      </c>
      <c r="L2381" s="3">
        <f>IF(K2381&lt;-5,"CRÍTICO",IF(K2381&lt;0,"ATENÇÃO",IF(K2381&lt;=5,"BOM","EXCELENTE")))</f>
        <v/>
      </c>
      <c r="M2381" t="n">
        <v>9</v>
      </c>
      <c r="N2381" t="n">
        <v>98.48</v>
      </c>
      <c r="O2381" t="n">
        <v>27.85388127853881</v>
      </c>
    </row>
    <row r="2382" hidden="1">
      <c r="A2382" s="11" t="n">
        <v>46076</v>
      </c>
      <c r="B2382" t="inlineStr">
        <is>
          <t>Kerollen Cristielly de Jesus Siqueira</t>
        </is>
      </c>
      <c r="C2382" t="inlineStr">
        <is>
          <t>Técnico III</t>
        </is>
      </c>
      <c r="D2382" t="n">
        <v>21</v>
      </c>
      <c r="E2382" t="n">
        <v>18</v>
      </c>
      <c r="F2382" t="n">
        <v>29.15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M2382" t="n">
        <v>18</v>
      </c>
      <c r="N2382" t="n">
        <v>95.15000000000001</v>
      </c>
      <c r="O2382" t="n">
        <v>34.13173652694611</v>
      </c>
    </row>
    <row r="2383" hidden="1">
      <c r="A2383" s="11" t="n">
        <v>46076</v>
      </c>
      <c r="B2383" t="inlineStr">
        <is>
          <t>Leandro de Souza Silva</t>
        </is>
      </c>
      <c r="C2383" t="inlineStr">
        <is>
          <t>JR</t>
        </is>
      </c>
      <c r="D2383" t="n">
        <v>0</v>
      </c>
      <c r="E2383" t="n">
        <v>0</v>
      </c>
      <c r="F2383" t="n">
        <v>0</v>
      </c>
      <c r="G2383" t="n">
        <v>0</v>
      </c>
      <c r="H2383" t="n">
        <v>0</v>
      </c>
      <c r="I2383" s="3" t="n">
        <v>0</v>
      </c>
      <c r="J2383" s="3" t="n">
        <v>0</v>
      </c>
      <c r="K2383" s="3" t="n">
        <v>0</v>
      </c>
      <c r="L2383" s="3">
        <f>IF(K2383&lt;-5,"CRÍTICO",IF(K2383&lt;0,"ATENÇÃO",IF(K2383&lt;=5,"BOM","EXCELENTE")))</f>
        <v/>
      </c>
      <c r="M2383" t="n">
        <v>0</v>
      </c>
      <c r="N2383" t="n">
        <v>0</v>
      </c>
      <c r="O2383" t="n">
        <v>0</v>
      </c>
    </row>
    <row r="2384" hidden="1">
      <c r="A2384" s="11" t="n">
        <v>46076</v>
      </c>
      <c r="B2384" t="inlineStr">
        <is>
          <t>Leandro Oliveira de Sousa</t>
        </is>
      </c>
      <c r="C2384" t="inlineStr">
        <is>
          <t>Técnico III</t>
        </is>
      </c>
      <c r="D2384" t="n">
        <v>21</v>
      </c>
      <c r="E2384" t="n">
        <v>19</v>
      </c>
      <c r="F2384" t="n">
        <v>24.03</v>
      </c>
      <c r="G2384" t="n">
        <v>0</v>
      </c>
      <c r="H2384" t="n">
        <v>0</v>
      </c>
      <c r="I2384" s="3">
        <f>E2384+G2384+H2384</f>
        <v/>
      </c>
      <c r="J2384" s="3">
        <f>ROUND(MIN(IF(C2384="Técnico III",35,IF(C2384="Técnico II",28,IF(C2384="Técnico I",23,IF(C2384="JR",20,IF(C2384="Estágio",10,0))))),IF(C2384="Técnico III",SUMIFS($D:$D,$A:$A,$A2384,$B:$B,"&lt;&gt;Patrícia Karla de Sousa Araújo",$B:$B,"&lt;&gt;Lorena Dias de Araujo",$B:$B,"&lt;&gt;Lucas Luiz Romero")*(35/1083),IF(C2384="Técnico II",SUMIFS($D:$D,$A:$A,$A2384,$B:$B,"&lt;&gt;Patrícia Karla de Sousa Araújo",$B:$B,"&lt;&gt;Lorena Dias de Araujo",$B:$B,"&lt;&gt;Lucas Luiz Romero")*(28/1083),IF(C2384="Técnico I",SUMIFS($D:$D,$A:$A,$A2384,$B:$B,"&lt;&gt;Patrícia Karla de Sousa Araújo",$B:$B,"&lt;&gt;Lorena Dias de Araujo",$B:$B,"&lt;&gt;Lucas Luiz Romero")*(23/1083),IF(C2384="JR",SUMIFS($D:$D,$A:$A,$A2384,$B:$B,"&lt;&gt;Patrícia Karla de Sousa Araújo",$B:$B,"&lt;&gt;Lorena Dias de Araujo",$B:$B,"&lt;&gt;Lucas Luiz Romero")*(20/1083),IF(C2384="Estágio",SUMIFS($D:$D,$A:$A,$A2384,$B:$B,"&lt;&gt;Patrícia Karla de Sousa Araújo",$B:$B,"&lt;&gt;Lorena Dias de Araujo",$B:$B,"&lt;&gt;Lucas Luiz Romero")*(10/1083),0)))))),0)</f>
        <v/>
      </c>
      <c r="K2384" s="3">
        <f>I2384-J2384</f>
        <v/>
      </c>
      <c r="L2384" s="3">
        <f>IF(K2384&lt;-5,"CRÍTICO",IF(K2384&lt;0,"ATENÇÃO",IF(K2384&lt;=5,"BOM","EXCELENTE")))</f>
        <v/>
      </c>
      <c r="M2384" t="n">
        <v>17</v>
      </c>
      <c r="N2384" t="n">
        <v>99.26000000000001</v>
      </c>
      <c r="O2384" t="n">
        <v>30.84832904884319</v>
      </c>
    </row>
    <row r="2385" hidden="1">
      <c r="A2385" s="11" t="n">
        <v>46076</v>
      </c>
      <c r="B2385" t="inlineStr">
        <is>
          <t>Lizandra Gomes Duarte</t>
        </is>
      </c>
      <c r="C2385" t="inlineStr">
        <is>
          <t>Técnico II</t>
        </is>
      </c>
      <c r="D2385" t="n">
        <v>28</v>
      </c>
      <c r="E2385" t="n">
        <v>27</v>
      </c>
      <c r="F2385" t="n">
        <v>25.38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M2385" t="n">
        <v>30</v>
      </c>
      <c r="N2385" t="n">
        <v>97.48</v>
      </c>
      <c r="O2385" t="n">
        <v>27.76470588235294</v>
      </c>
    </row>
    <row r="2386" hidden="1">
      <c r="A2386" s="11" t="n">
        <v>46076</v>
      </c>
      <c r="B2386" t="inlineStr">
        <is>
          <t>Lorena Dias de Araujo</t>
        </is>
      </c>
      <c r="C2386" t="inlineStr">
        <is>
          <t>Técnico II</t>
        </is>
      </c>
      <c r="D2386" t="n">
        <v>26</v>
      </c>
      <c r="E2386" t="n">
        <v>25</v>
      </c>
      <c r="F2386" t="n">
        <v>25.15</v>
      </c>
      <c r="G2386" t="n">
        <v>0</v>
      </c>
      <c r="H2386" t="n">
        <v>0</v>
      </c>
      <c r="I2386" s="3" t="n">
        <v>0</v>
      </c>
      <c r="J2386" s="3" t="n">
        <v>0</v>
      </c>
      <c r="K2386" s="3" t="n">
        <v>0</v>
      </c>
      <c r="L2386" s="3">
        <f>IF(K2386&lt;-5,"CRÍTICO",IF(K2386&lt;0,"ATENÇÃO",IF(K2386&lt;=5,"BOM","EXCELENTE")))</f>
        <v/>
      </c>
      <c r="M2386" t="n">
        <v>13</v>
      </c>
      <c r="N2386" t="n">
        <v>99.34</v>
      </c>
      <c r="O2386" t="n">
        <v>30.04291845493562</v>
      </c>
    </row>
    <row r="2387" hidden="1">
      <c r="A2387" s="11" t="n">
        <v>46076</v>
      </c>
      <c r="B2387" t="inlineStr">
        <is>
          <t>Lucas Luiz Romero</t>
        </is>
      </c>
      <c r="C2387" t="inlineStr">
        <is>
          <t>Técnico III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M2387" t="n">
        <v>0</v>
      </c>
      <c r="N2387" t="n">
        <v>96.3</v>
      </c>
      <c r="O2387" t="n">
        <v>24.29378531073446</v>
      </c>
    </row>
    <row r="2388" hidden="1">
      <c r="A2388" s="11" t="n">
        <v>46076</v>
      </c>
      <c r="B2388" t="inlineStr">
        <is>
          <t>Luiz Fernando de Carvalho Junior</t>
        </is>
      </c>
      <c r="C2388" t="inlineStr">
        <is>
          <t>Técnico I</t>
        </is>
      </c>
      <c r="D2388" t="n">
        <v>9</v>
      </c>
      <c r="E2388" t="n">
        <v>9</v>
      </c>
      <c r="F2388" t="n">
        <v>47.28</v>
      </c>
      <c r="G2388" t="n">
        <v>0</v>
      </c>
      <c r="H2388" t="n">
        <v>0</v>
      </c>
      <c r="I2388" s="3">
        <f>E2388+G2388+H2388</f>
        <v/>
      </c>
      <c r="J2388" s="3">
        <f>ROUND(MIN(IF(C2388="Técnico III",35,IF(C2388="Técnico II",28,IF(C2388="Técnico I",23,IF(C2388="JR",20,IF(C2388="Estágio",10,0))))),IF(C2388="Técnico III",SUMIFS($D:$D,$A:$A,$A2388,$B:$B,"&lt;&gt;Patrícia Karla de Sousa Araújo",$B:$B,"&lt;&gt;Lorena Dias de Araujo",$B:$B,"&lt;&gt;Lucas Luiz Romero")*(35/1083),IF(C2388="Técnico II",SUMIFS($D:$D,$A:$A,$A2388,$B:$B,"&lt;&gt;Patrícia Karla de Sousa Araújo",$B:$B,"&lt;&gt;Lorena Dias de Araujo",$B:$B,"&lt;&gt;Lucas Luiz Romero")*(28/1083),IF(C2388="Técnico I",SUMIFS($D:$D,$A:$A,$A2388,$B:$B,"&lt;&gt;Patrícia Karla de Sousa Araújo",$B:$B,"&lt;&gt;Lorena Dias de Araujo",$B:$B,"&lt;&gt;Lucas Luiz Romero")*(23/1083),IF(C2388="JR",SUMIFS($D:$D,$A:$A,$A2388,$B:$B,"&lt;&gt;Patrícia Karla de Sousa Araújo",$B:$B,"&lt;&gt;Lorena Dias de Araujo",$B:$B,"&lt;&gt;Lucas Luiz Romero")*(20/1083),IF(C2388="Estágio",SUMIFS($D:$D,$A:$A,$A2388,$B:$B,"&lt;&gt;Patrícia Karla de Sousa Araújo",$B:$B,"&lt;&gt;Lorena Dias de Araujo",$B:$B,"&lt;&gt;Lucas Luiz Romero")*(10/1083),0)))))),0)</f>
        <v/>
      </c>
      <c r="K2388" s="3">
        <f>I2388-J2388</f>
        <v/>
      </c>
      <c r="L2388" s="3">
        <f>IF(K2388&lt;-5,"CRÍTICO",IF(K2388&lt;0,"ATENÇÃO",IF(K2388&lt;=5,"BOM","EXCELENTE")))</f>
        <v/>
      </c>
      <c r="M2388" t="n">
        <v>10</v>
      </c>
      <c r="N2388" t="n">
        <v>100</v>
      </c>
      <c r="O2388" t="n">
        <v>26.54320987654321</v>
      </c>
    </row>
    <row r="2389" hidden="1">
      <c r="A2389" s="11" t="n">
        <v>46076</v>
      </c>
      <c r="B2389" t="inlineStr">
        <is>
          <t>Maria Eduarda Sousa Costa</t>
        </is>
      </c>
      <c r="C2389" t="inlineStr">
        <is>
          <t>Estágio</t>
        </is>
      </c>
      <c r="D2389" t="n">
        <v>10</v>
      </c>
      <c r="E2389" t="n">
        <v>10</v>
      </c>
      <c r="F2389" t="n">
        <v>59.09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M2389" t="n">
        <v>6</v>
      </c>
      <c r="N2389" t="n">
        <v>100</v>
      </c>
      <c r="O2389" t="n">
        <v>35.48387096774194</v>
      </c>
    </row>
    <row r="2390" hidden="1">
      <c r="A2390" s="11" t="n">
        <v>46076</v>
      </c>
      <c r="B2390" t="inlineStr">
        <is>
          <t>Matheus Farias De Souza</t>
        </is>
      </c>
      <c r="C2390" t="inlineStr">
        <is>
          <t>Técnico III</t>
        </is>
      </c>
      <c r="D2390" t="n">
        <v>26</v>
      </c>
      <c r="E2390" t="n">
        <v>23</v>
      </c>
      <c r="F2390" t="n">
        <v>22.35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M2390" t="n">
        <v>22</v>
      </c>
      <c r="N2390" t="n">
        <v>99.27</v>
      </c>
      <c r="O2390" t="n">
        <v>31.16370808678501</v>
      </c>
    </row>
    <row r="2391" hidden="1">
      <c r="A2391" s="11" t="n">
        <v>46076</v>
      </c>
      <c r="B2391" t="inlineStr">
        <is>
          <t>Maysa Victoria Dias Moura</t>
        </is>
      </c>
      <c r="C2391" t="inlineStr">
        <is>
          <t>Técnico III</t>
        </is>
      </c>
      <c r="D2391" t="n">
        <v>30</v>
      </c>
      <c r="E2391" t="n">
        <v>29</v>
      </c>
      <c r="F2391" t="n">
        <v>17.01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M2391" t="n">
        <v>26</v>
      </c>
      <c r="N2391" t="n">
        <v>94.16</v>
      </c>
      <c r="O2391" t="n">
        <v>27.03862660944206</v>
      </c>
    </row>
    <row r="2392" hidden="1">
      <c r="A2392" s="11" t="n">
        <v>46076</v>
      </c>
      <c r="B2392" t="inlineStr">
        <is>
          <t>Michelle G Santos</t>
        </is>
      </c>
      <c r="C2392" t="inlineStr">
        <is>
          <t>Estágio</t>
        </is>
      </c>
      <c r="D2392" t="n">
        <v>9</v>
      </c>
      <c r="E2392" t="n">
        <v>9</v>
      </c>
      <c r="F2392" t="n">
        <v>55.2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M2392" t="n">
        <v>4</v>
      </c>
      <c r="N2392" t="n">
        <v>93.75</v>
      </c>
      <c r="O2392" t="n">
        <v>19.31818181818182</v>
      </c>
    </row>
    <row r="2393" hidden="1">
      <c r="A2393" s="11" t="n">
        <v>46076</v>
      </c>
      <c r="B2393" t="inlineStr">
        <is>
          <t>Milena Sales</t>
        </is>
      </c>
      <c r="C2393" t="inlineStr">
        <is>
          <t>JR</t>
        </is>
      </c>
      <c r="D2393" t="n">
        <v>0</v>
      </c>
      <c r="E2393" t="n">
        <v>0</v>
      </c>
      <c r="F2393" t="n">
        <v>0</v>
      </c>
      <c r="G2393" t="n">
        <v>0</v>
      </c>
      <c r="H2393" t="n">
        <v>0</v>
      </c>
      <c r="I2393" s="3" t="n">
        <v>0</v>
      </c>
      <c r="J2393" s="3" t="n">
        <v>0</v>
      </c>
      <c r="K2393" s="3" t="n">
        <v>0</v>
      </c>
      <c r="L2393" s="3">
        <f>IF(K2393&lt;-5,"CRÍTICO",IF(K2393&lt;0,"ATENÇÃO",IF(K2393&lt;=5,"BOM","EXCELENTE")))</f>
        <v/>
      </c>
      <c r="M2393" t="n">
        <v>0</v>
      </c>
      <c r="N2393" t="n">
        <v>0</v>
      </c>
      <c r="O2393" t="n">
        <v>0</v>
      </c>
    </row>
    <row r="2394" hidden="1">
      <c r="A2394" s="11" t="n">
        <v>46076</v>
      </c>
      <c r="B2394" t="inlineStr">
        <is>
          <t>Patrícia Karla de Sousa Araújo</t>
        </is>
      </c>
      <c r="C2394" t="inlineStr">
        <is>
          <t>Técnico II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M2394" t="n">
        <v>0</v>
      </c>
      <c r="N2394" t="n">
        <v>97.92</v>
      </c>
      <c r="O2394" t="n">
        <v>32.87671232876712</v>
      </c>
    </row>
    <row r="2395" hidden="1">
      <c r="A2395" s="11" t="n">
        <v>46076</v>
      </c>
      <c r="B2395" t="inlineStr">
        <is>
          <t>Paulo Ricardo Santos</t>
        </is>
      </c>
      <c r="C2395" t="inlineStr">
        <is>
          <t>JR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M2395" t="n">
        <v>0</v>
      </c>
      <c r="N2395" t="n">
        <v>0</v>
      </c>
      <c r="O2395" t="n">
        <v>0</v>
      </c>
    </row>
    <row r="2396" hidden="1">
      <c r="A2396" s="11" t="n">
        <v>46076</v>
      </c>
      <c r="B2396" t="inlineStr">
        <is>
          <t>Pedro Luiz Mota Sousa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M2396" t="n">
        <v>0</v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Quirino Diogo Leite Torres</t>
        </is>
      </c>
      <c r="C2397" t="inlineStr">
        <is>
          <t>Estágio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M2397" t="n">
        <v>0</v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Raane Batista Matos</t>
        </is>
      </c>
      <c r="C2398" t="inlineStr">
        <is>
          <t>Técnico I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M2398" t="n">
        <v>0</v>
      </c>
      <c r="N2398" t="n">
        <v>98.51000000000001</v>
      </c>
      <c r="O2398" t="n">
        <v>29.71014492753623</v>
      </c>
    </row>
    <row r="2399" hidden="1">
      <c r="A2399" s="11" t="n">
        <v>46076</v>
      </c>
      <c r="B2399" t="inlineStr">
        <is>
          <t>Rafael Gomes de Morais</t>
        </is>
      </c>
      <c r="C2399" t="inlineStr">
        <is>
          <t>Técnico III</t>
        </is>
      </c>
      <c r="D2399" t="n">
        <v>32</v>
      </c>
      <c r="E2399" t="n">
        <v>28</v>
      </c>
      <c r="F2399" t="n">
        <v>18.55</v>
      </c>
      <c r="G2399" t="n">
        <v>0</v>
      </c>
      <c r="H2399" t="n">
        <v>0</v>
      </c>
      <c r="I2399" s="3">
        <f>E2399+G2399+H2399</f>
        <v/>
      </c>
      <c r="J2399" s="3">
        <f>ROUND(MIN(IF(C2399="Técnico III",35,IF(C2399="Técnico II",28,IF(C2399="Técnico I",23,IF(C2399="JR",20,IF(C2399="Estágio",10,0))))),IF(C2399="Técnico III",SUMIFS($D:$D,$A:$A,$A2399,$B:$B,"&lt;&gt;Patrícia Karla de Sousa Araújo",$B:$B,"&lt;&gt;Lorena Dias de Araujo",$B:$B,"&lt;&gt;Lucas Luiz Romero")*(35/1083),IF(C2399="Técnico II",SUMIFS($D:$D,$A:$A,$A2399,$B:$B,"&lt;&gt;Patrícia Karla de Sousa Araújo",$B:$B,"&lt;&gt;Lorena Dias de Araujo",$B:$B,"&lt;&gt;Lucas Luiz Romero")*(28/1083),IF(C2399="Técnico I",SUMIFS($D:$D,$A:$A,$A2399,$B:$B,"&lt;&gt;Patrícia Karla de Sousa Araújo",$B:$B,"&lt;&gt;Lorena Dias de Araujo",$B:$B,"&lt;&gt;Lucas Luiz Romero")*(23/1083),IF(C2399="JR",SUMIFS($D:$D,$A:$A,$A2399,$B:$B,"&lt;&gt;Patrícia Karla de Sousa Araújo",$B:$B,"&lt;&gt;Lorena Dias de Araujo",$B:$B,"&lt;&gt;Lucas Luiz Romero")*(20/1083),IF(C2399="Estágio",SUMIFS($D:$D,$A:$A,$A2399,$B:$B,"&lt;&gt;Patrícia Karla de Sousa Araújo",$B:$B,"&lt;&gt;Lorena Dias de Araujo",$B:$B,"&lt;&gt;Lucas Luiz Romero")*(10/1083),0)))))),0)</f>
        <v/>
      </c>
      <c r="K2399" s="3">
        <f>I2399-J2399</f>
        <v/>
      </c>
      <c r="L2399" s="3">
        <f>IF(K2399&lt;-5,"CRÍTICO",IF(K2399&lt;0,"ATENÇÃO",IF(K2399&lt;=5,"BOM","EXCELENTE")))</f>
        <v/>
      </c>
      <c r="M2399" t="n">
        <v>22</v>
      </c>
      <c r="N2399" t="n">
        <v>98.81</v>
      </c>
      <c r="O2399" t="n">
        <v>30.71297989031079</v>
      </c>
    </row>
    <row r="2400" hidden="1">
      <c r="A2400" s="11" t="n">
        <v>46076</v>
      </c>
      <c r="B2400" t="inlineStr">
        <is>
          <t>Sara Maria Monteiro Lopes</t>
        </is>
      </c>
      <c r="C2400" t="inlineStr">
        <is>
          <t>Técnico I</t>
        </is>
      </c>
      <c r="D2400" t="n">
        <v>12</v>
      </c>
      <c r="E2400" t="n">
        <v>11</v>
      </c>
      <c r="F2400" t="n">
        <v>36.4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M2400" t="n">
        <v>8</v>
      </c>
      <c r="N2400" t="n">
        <v>98.48</v>
      </c>
      <c r="O2400" t="n">
        <v>29.35323383084577</v>
      </c>
    </row>
    <row r="2401" hidden="1">
      <c r="A2401" s="11" t="n">
        <v>46076</v>
      </c>
      <c r="B2401" t="inlineStr">
        <is>
          <t>Sarah Steffanie de Lima Borges</t>
        </is>
      </c>
      <c r="C2401" t="inlineStr">
        <is>
          <t>Técnico III</t>
        </is>
      </c>
      <c r="D2401" t="n">
        <v>28</v>
      </c>
      <c r="E2401" t="n">
        <v>28</v>
      </c>
      <c r="F2401" t="n">
        <v>22.24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M2401" t="n">
        <v>25</v>
      </c>
      <c r="N2401" t="n">
        <v>98.56</v>
      </c>
      <c r="O2401" t="n">
        <v>29.37365010799136</v>
      </c>
    </row>
    <row r="2402" hidden="1">
      <c r="A2402" s="11" t="n">
        <v>46077</v>
      </c>
      <c r="B2402" t="inlineStr">
        <is>
          <t>Alisson de Freitas Silva</t>
        </is>
      </c>
      <c r="C2402" t="inlineStr">
        <is>
          <t>Técnico II</t>
        </is>
      </c>
      <c r="D2402" t="n">
        <v>21</v>
      </c>
      <c r="E2402" t="n">
        <v>19</v>
      </c>
      <c r="F2402" t="n">
        <v>27.09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M2402" t="n">
        <v>12</v>
      </c>
      <c r="N2402" t="n">
        <v>98.31999999999999</v>
      </c>
      <c r="O2402" t="n">
        <v>30.3030303030303</v>
      </c>
    </row>
    <row r="2403" hidden="1">
      <c r="A2403" s="11" t="n">
        <v>46077</v>
      </c>
      <c r="B2403" t="inlineStr">
        <is>
          <t>Amanda Moura Ferreira</t>
        </is>
      </c>
      <c r="C2403" t="inlineStr">
        <is>
          <t>Técnico III</t>
        </is>
      </c>
      <c r="D2403" t="n">
        <v>0</v>
      </c>
      <c r="E2403" t="n">
        <v>0</v>
      </c>
      <c r="F2403" t="n">
        <v>0</v>
      </c>
      <c r="G2403" t="n">
        <v>0</v>
      </c>
      <c r="H2403" t="n">
        <v>0</v>
      </c>
      <c r="I2403" s="3" t="n">
        <v>0</v>
      </c>
      <c r="J2403" s="3" t="n">
        <v>0</v>
      </c>
      <c r="K2403" s="3" t="n">
        <v>0</v>
      </c>
      <c r="L2403" s="3">
        <f>IF(K2403&lt;-5,"CRÍTICO",IF(K2403&lt;0,"ATENÇÃO",IF(K2403&lt;=5,"BOM","EXCELENTE")))</f>
        <v/>
      </c>
      <c r="M2403" t="n">
        <v>25</v>
      </c>
      <c r="N2403" t="n">
        <v>98.68000000000001</v>
      </c>
      <c r="O2403" t="n">
        <v>26.21951219512195</v>
      </c>
    </row>
    <row r="2404" hidden="1">
      <c r="A2404" s="11" t="n">
        <v>46077</v>
      </c>
      <c r="B2404" t="inlineStr">
        <is>
          <t>Ana Karollyne Souza Faria</t>
        </is>
      </c>
      <c r="C2404" t="inlineStr">
        <is>
          <t>Técnico I</t>
        </is>
      </c>
      <c r="D2404" t="n">
        <v>18</v>
      </c>
      <c r="E2404" t="n">
        <v>17</v>
      </c>
      <c r="F2404" t="n">
        <v>35.18</v>
      </c>
      <c r="G2404" t="n">
        <v>0</v>
      </c>
      <c r="H2404" t="n">
        <v>0</v>
      </c>
      <c r="I2404" s="3">
        <f>E2404+G2404+H2404</f>
        <v/>
      </c>
      <c r="J2404" s="3">
        <f>ROUND(MIN(IF(C2404="Técnico III",35,IF(C2404="Técnico II",28,IF(C2404="Técnico I",23,IF(C2404="JR",20,IF(C2404="Estágio",10,0))))),IF(C2404="Técnico III",SUMIFS($D:$D,$A:$A,$A2404,$B:$B,"&lt;&gt;Patrícia Karla de Sousa Araújo",$B:$B,"&lt;&gt;Lorena Dias de Araujo",$B:$B,"&lt;&gt;Lucas Luiz Romero")*(35/1083),IF(C2404="Técnico II",SUMIFS($D:$D,$A:$A,$A2404,$B:$B,"&lt;&gt;Patrícia Karla de Sousa Araújo",$B:$B,"&lt;&gt;Lorena Dias de Araujo",$B:$B,"&lt;&gt;Lucas Luiz Romero")*(28/1083),IF(C2404="Técnico I",SUMIFS($D:$D,$A:$A,$A2404,$B:$B,"&lt;&gt;Patrícia Karla de Sousa Araújo",$B:$B,"&lt;&gt;Lorena Dias de Araujo",$B:$B,"&lt;&gt;Lucas Luiz Romero")*(23/1083),IF(C2404="JR",SUMIFS($D:$D,$A:$A,$A2404,$B:$B,"&lt;&gt;Patrícia Karla de Sousa Araújo",$B:$B,"&lt;&gt;Lorena Dias de Araujo",$B:$B,"&lt;&gt;Lucas Luiz Romero")*(20/1083),IF(C2404="Estágio",SUMIFS($D:$D,$A:$A,$A2404,$B:$B,"&lt;&gt;Patrícia Karla de Sousa Araújo",$B:$B,"&lt;&gt;Lorena Dias de Araujo",$B:$B,"&lt;&gt;Lucas Luiz Romero")*(10/1083),0)))))),0)</f>
        <v/>
      </c>
      <c r="K2404" s="3">
        <f>I2404-J2404</f>
        <v/>
      </c>
      <c r="L2404" s="3">
        <f>IF(K2404&lt;-5,"CRÍTICO",IF(K2404&lt;0,"ATENÇÃO",IF(K2404&lt;=5,"BOM","EXCELENTE")))</f>
        <v/>
      </c>
      <c r="M2404" t="n">
        <v>17</v>
      </c>
      <c r="N2404" t="n">
        <v>100</v>
      </c>
      <c r="O2404" t="n">
        <v>31.74224343675418</v>
      </c>
    </row>
    <row r="2405" hidden="1">
      <c r="A2405" s="11" t="n">
        <v>46077</v>
      </c>
      <c r="B2405" t="inlineStr">
        <is>
          <t>Ana Paula Da Luz Silva Aleixo</t>
        </is>
      </c>
      <c r="C2405" t="inlineStr">
        <is>
          <t>Técnico III</t>
        </is>
      </c>
      <c r="D2405" t="n">
        <v>18</v>
      </c>
      <c r="E2405" t="n">
        <v>17</v>
      </c>
      <c r="F2405" t="n">
        <v>38.44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M2405" t="n">
        <v>16</v>
      </c>
      <c r="N2405" t="n">
        <v>98.25</v>
      </c>
      <c r="O2405" t="n">
        <v>25.83518930957684</v>
      </c>
    </row>
    <row r="2406" hidden="1">
      <c r="A2406" s="11" t="n">
        <v>46077</v>
      </c>
      <c r="B2406" t="inlineStr">
        <is>
          <t>Anna Luiza Rezende Tavares</t>
        </is>
      </c>
      <c r="C2406" t="inlineStr">
        <is>
          <t>Estágio</t>
        </is>
      </c>
      <c r="D2406" t="n">
        <v>16</v>
      </c>
      <c r="E2406" t="n">
        <v>15</v>
      </c>
      <c r="F2406" t="n">
        <v>38.48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M2406" t="n">
        <v>13</v>
      </c>
      <c r="N2406" t="n">
        <v>97.5</v>
      </c>
      <c r="O2406" t="n">
        <v>30.07518796992481</v>
      </c>
    </row>
    <row r="2407" hidden="1">
      <c r="A2407" s="11" t="n">
        <v>46077</v>
      </c>
      <c r="B2407" t="inlineStr">
        <is>
          <t>Brenda de Menezes Silva</t>
        </is>
      </c>
      <c r="C2407" t="inlineStr">
        <is>
          <t>Técnico II</t>
        </is>
      </c>
      <c r="D2407" t="n">
        <v>19</v>
      </c>
      <c r="E2407" t="n">
        <v>17</v>
      </c>
      <c r="F2407" t="n">
        <v>21.57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M2407" t="n">
        <v>16</v>
      </c>
      <c r="N2407" t="n">
        <v>100</v>
      </c>
      <c r="O2407" t="n">
        <v>29.71311475409836</v>
      </c>
    </row>
    <row r="2408" hidden="1">
      <c r="A2408" s="11" t="n">
        <v>46077</v>
      </c>
      <c r="B2408" t="inlineStr">
        <is>
          <t>Carlos Mateus Cassimiro Nunes</t>
        </is>
      </c>
      <c r="C2408" t="inlineStr">
        <is>
          <t>Técnico II</t>
        </is>
      </c>
      <c r="D2408" t="n">
        <v>5</v>
      </c>
      <c r="E2408" t="n">
        <v>5</v>
      </c>
      <c r="F2408" t="n">
        <v>39.09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M2408" t="n">
        <v>5</v>
      </c>
      <c r="N2408" t="n">
        <v>99.22</v>
      </c>
      <c r="O2408" t="n">
        <v>35.25641025641026</v>
      </c>
    </row>
    <row r="2409" hidden="1">
      <c r="A2409" s="11" t="n">
        <v>46077</v>
      </c>
      <c r="B2409" t="inlineStr">
        <is>
          <t>Claudio de Sousa Velasco Filho</t>
        </is>
      </c>
      <c r="C2409" t="inlineStr">
        <is>
          <t>Estágio</t>
        </is>
      </c>
      <c r="D2409" t="n">
        <v>0</v>
      </c>
      <c r="E2409" t="n">
        <v>0</v>
      </c>
      <c r="F2409" t="n">
        <v>0</v>
      </c>
      <c r="G2409" t="n">
        <v>0</v>
      </c>
      <c r="H2409" t="n">
        <v>0</v>
      </c>
      <c r="I2409" s="3" t="n">
        <v>0</v>
      </c>
      <c r="J2409" s="3" t="n">
        <v>0</v>
      </c>
      <c r="K2409" s="3" t="n">
        <v>0</v>
      </c>
      <c r="L2409" s="3">
        <f>IF(K2409&lt;-5,"CRÍTICO",IF(K2409&lt;0,"ATENÇÃO",IF(K2409&lt;=5,"BOM","EXCELENTE")))</f>
        <v/>
      </c>
      <c r="M2409" t="n">
        <v>0</v>
      </c>
      <c r="N2409" t="n">
        <v>0</v>
      </c>
      <c r="O2409" t="n">
        <v>0</v>
      </c>
    </row>
    <row r="2410" hidden="1">
      <c r="A2410" s="11" t="n">
        <v>46077</v>
      </c>
      <c r="B2410" t="inlineStr">
        <is>
          <t>Clessiane Pereira dos Santos</t>
        </is>
      </c>
      <c r="C2410" t="inlineStr">
        <is>
          <t>Técnico I</t>
        </is>
      </c>
      <c r="D2410" t="n">
        <v>27</v>
      </c>
      <c r="E2410" t="n">
        <v>23</v>
      </c>
      <c r="F2410" t="n">
        <v>22.39</v>
      </c>
      <c r="G2410" t="n">
        <v>0</v>
      </c>
      <c r="H2410" t="n">
        <v>0</v>
      </c>
      <c r="I2410" s="3">
        <f>E2410+G2410+H2410</f>
        <v/>
      </c>
      <c r="J2410" s="3">
        <f>ROUND(MIN(IF(C2410="Técnico III",35,IF(C2410="Técnico II",28,IF(C2410="Técnico I",23,IF(C2410="JR",20,IF(C2410="Estágio",10,0))))),IF(C2410="Técnico III",SUMIFS($D:$D,$A:$A,$A2410,$B:$B,"&lt;&gt;Patrícia Karla de Sousa Araújo",$B:$B,"&lt;&gt;Lorena Dias de Araujo",$B:$B,"&lt;&gt;Lucas Luiz Romero")*(35/1083),IF(C2410="Técnico II",SUMIFS($D:$D,$A:$A,$A2410,$B:$B,"&lt;&gt;Patrícia Karla de Sousa Araújo",$B:$B,"&lt;&gt;Lorena Dias de Araujo",$B:$B,"&lt;&gt;Lucas Luiz Romero")*(28/1083),IF(C2410="Técnico I",SUMIFS($D:$D,$A:$A,$A2410,$B:$B,"&lt;&gt;Patrícia Karla de Sousa Araújo",$B:$B,"&lt;&gt;Lorena Dias de Araujo",$B:$B,"&lt;&gt;Lucas Luiz Romero")*(23/1083),IF(C2410="JR",SUMIFS($D:$D,$A:$A,$A2410,$B:$B,"&lt;&gt;Patrícia Karla de Sousa Araújo",$B:$B,"&lt;&gt;Lorena Dias de Araujo",$B:$B,"&lt;&gt;Lucas Luiz Romero")*(20/1083),IF(C2410="Estágio",SUMIFS($D:$D,$A:$A,$A2410,$B:$B,"&lt;&gt;Patrícia Karla de Sousa Araújo",$B:$B,"&lt;&gt;Lorena Dias de Araujo",$B:$B,"&lt;&gt;Lucas Luiz Romero")*(10/1083),0)))))),0)</f>
        <v/>
      </c>
      <c r="K2410" s="3">
        <f>I2410-J2410</f>
        <v/>
      </c>
      <c r="L2410" s="3">
        <f>IF(K2410&lt;-5,"CRÍTICO",IF(K2410&lt;0,"ATENÇÃO",IF(K2410&lt;=5,"BOM","EXCELENTE")))</f>
        <v/>
      </c>
      <c r="M2410" t="n">
        <v>23</v>
      </c>
      <c r="N2410" t="n">
        <v>98.75</v>
      </c>
      <c r="O2410" t="n">
        <v>24.32432432432433</v>
      </c>
    </row>
    <row r="2411" hidden="1">
      <c r="A2411" s="11" t="n">
        <v>46077</v>
      </c>
      <c r="B2411" t="inlineStr">
        <is>
          <t>Cristiane Ramos da Silva Rocha</t>
        </is>
      </c>
      <c r="C2411" t="inlineStr">
        <is>
          <t>Técnico III</t>
        </is>
      </c>
      <c r="D2411" t="n">
        <v>0</v>
      </c>
      <c r="E2411" t="n">
        <v>0</v>
      </c>
      <c r="F2411" t="n">
        <v>0</v>
      </c>
      <c r="G2411" t="n">
        <v>0</v>
      </c>
      <c r="H2411" t="n">
        <v>0</v>
      </c>
      <c r="I2411" s="3" t="n">
        <v>0</v>
      </c>
      <c r="J2411" s="3" t="n">
        <v>0</v>
      </c>
      <c r="K2411" s="3" t="n">
        <v>0</v>
      </c>
      <c r="L2411" s="3">
        <f>IF(K2411&lt;-5,"CRÍTICO",IF(K2411&lt;0,"ATENÇÃO",IF(K2411&lt;=5,"BOM","EXCELENTE")))</f>
        <v/>
      </c>
      <c r="M2411" t="n">
        <v>0</v>
      </c>
      <c r="N2411" t="n">
        <v>93.48</v>
      </c>
      <c r="O2411" t="n">
        <v>31.52804642166344</v>
      </c>
    </row>
    <row r="2412" hidden="1">
      <c r="A2412" s="11" t="n">
        <v>46077</v>
      </c>
      <c r="B2412" t="inlineStr">
        <is>
          <t>Damyllis Lorraine de Oliveira Gonçalves</t>
        </is>
      </c>
      <c r="C2412" t="inlineStr">
        <is>
          <t>Técnico II</t>
        </is>
      </c>
      <c r="D2412" t="n">
        <v>35</v>
      </c>
      <c r="E2412" t="n">
        <v>30</v>
      </c>
      <c r="F2412" t="n">
        <v>20.47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M2412" t="n">
        <v>25</v>
      </c>
      <c r="N2412" t="n">
        <v>99.16</v>
      </c>
      <c r="O2412" t="n">
        <v>26.13908872901678</v>
      </c>
    </row>
    <row r="2413" hidden="1">
      <c r="A2413" s="11" t="n">
        <v>46077</v>
      </c>
      <c r="B2413" t="inlineStr">
        <is>
          <t>Daniel Gomes da Silva</t>
        </is>
      </c>
      <c r="C2413" t="inlineStr">
        <is>
          <t>Técnico I</t>
        </is>
      </c>
      <c r="D2413" t="n">
        <v>18</v>
      </c>
      <c r="E2413" t="n">
        <v>17</v>
      </c>
      <c r="F2413" t="n">
        <v>38.31</v>
      </c>
      <c r="G2413" t="n">
        <v>0</v>
      </c>
      <c r="H2413" t="n">
        <v>0</v>
      </c>
      <c r="I2413" s="3">
        <f>E2413+G2413+H2413</f>
        <v/>
      </c>
      <c r="J2413" s="3">
        <f>ROUND(MIN(IF(C2413="Técnico III",35,IF(C2413="Técnico II",28,IF(C2413="Técnico I",23,IF(C2413="JR",20,IF(C2413="Estágio",10,0))))),IF(C2413="Técnico III",SUMIFS($D:$D,$A:$A,$A2413,$B:$B,"&lt;&gt;Patrícia Karla de Sousa Araújo",$B:$B,"&lt;&gt;Lorena Dias de Araujo",$B:$B,"&lt;&gt;Lucas Luiz Romero")*(35/1083),IF(C2413="Técnico II",SUMIFS($D:$D,$A:$A,$A2413,$B:$B,"&lt;&gt;Patrícia Karla de Sousa Araújo",$B:$B,"&lt;&gt;Lorena Dias de Araujo",$B:$B,"&lt;&gt;Lucas Luiz Romero")*(28/1083),IF(C2413="Técnico I",SUMIFS($D:$D,$A:$A,$A2413,$B:$B,"&lt;&gt;Patrícia Karla de Sousa Araújo",$B:$B,"&lt;&gt;Lorena Dias de Araujo",$B:$B,"&lt;&gt;Lucas Luiz Romero")*(23/1083),IF(C2413="JR",SUMIFS($D:$D,$A:$A,$A2413,$B:$B,"&lt;&gt;Patrícia Karla de Sousa Araújo",$B:$B,"&lt;&gt;Lorena Dias de Araujo",$B:$B,"&lt;&gt;Lucas Luiz Romero")*(20/1083),IF(C2413="Estágio",SUMIFS($D:$D,$A:$A,$A2413,$B:$B,"&lt;&gt;Patrícia Karla de Sousa Araújo",$B:$B,"&lt;&gt;Lorena Dias de Araujo",$B:$B,"&lt;&gt;Lucas Luiz Romero")*(10/1083),0)))))),0)</f>
        <v/>
      </c>
      <c r="K2413" s="3">
        <f>I2413-J2413</f>
        <v/>
      </c>
      <c r="L2413" s="3">
        <f>IF(K2413&lt;-5,"CRÍTICO",IF(K2413&lt;0,"ATENÇÃO",IF(K2413&lt;=5,"BOM","EXCELENTE")))</f>
        <v/>
      </c>
      <c r="M2413" t="n">
        <v>11</v>
      </c>
      <c r="N2413" t="n">
        <v>100</v>
      </c>
      <c r="O2413" t="n">
        <v>31.08974358974359</v>
      </c>
    </row>
    <row r="2414" hidden="1">
      <c r="A2414" s="11" t="n">
        <v>46077</v>
      </c>
      <c r="B2414" t="inlineStr">
        <is>
          <t>Davylla Rodrigues Freitas Silva</t>
        </is>
      </c>
      <c r="C2414" t="inlineStr">
        <is>
          <t>Técnico III</t>
        </is>
      </c>
      <c r="D2414" t="n">
        <v>16</v>
      </c>
      <c r="E2414" t="n">
        <v>16</v>
      </c>
      <c r="F2414" t="n">
        <v>50.52</v>
      </c>
      <c r="G2414" t="n">
        <v>0</v>
      </c>
      <c r="H2414" t="n">
        <v>0</v>
      </c>
      <c r="I2414" s="3" t="n">
        <v>0</v>
      </c>
      <c r="J2414" s="3" t="n">
        <v>0</v>
      </c>
      <c r="K2414" s="3" t="n">
        <v>0</v>
      </c>
      <c r="L2414" s="3">
        <f>IF(K2414&lt;-5,"CRÍTICO",IF(K2414&lt;0,"ATENÇÃO",IF(K2414&lt;=5,"BOM","EXCELENTE")))</f>
        <v/>
      </c>
      <c r="M2414" t="n">
        <v>14</v>
      </c>
      <c r="N2414" t="n">
        <v>98.11</v>
      </c>
      <c r="O2414" t="n">
        <v>33.03370786516854</v>
      </c>
    </row>
    <row r="2415" hidden="1">
      <c r="A2415" s="11" t="n">
        <v>46077</v>
      </c>
      <c r="B2415" t="inlineStr">
        <is>
          <t>Emilly Caylane Costa</t>
        </is>
      </c>
      <c r="C2415" t="inlineStr">
        <is>
          <t>Estágio</t>
        </is>
      </c>
      <c r="D2415" t="n">
        <v>8</v>
      </c>
      <c r="E2415" t="n">
        <v>8</v>
      </c>
      <c r="F2415" t="n">
        <v>55.14</v>
      </c>
      <c r="G2415" t="n">
        <v>0</v>
      </c>
      <c r="H2415" t="n">
        <v>0</v>
      </c>
      <c r="I2415" s="3">
        <f>E2415+G2415+H2415</f>
        <v/>
      </c>
      <c r="J2415" s="3">
        <f>ROUND(MIN(IF(C2415="Técnico III",35,IF(C2415="Técnico II",28,IF(C2415="Técnico I",23,IF(C2415="JR",20,IF(C2415="Estágio",10,0))))),IF(C2415="Técnico III",SUMIFS($D:$D,$A:$A,$A2415,$B:$B,"&lt;&gt;Patrícia Karla de Sousa Araújo",$B:$B,"&lt;&gt;Lorena Dias de Araujo",$B:$B,"&lt;&gt;Lucas Luiz Romero")*(35/1083),IF(C2415="Técnico II",SUMIFS($D:$D,$A:$A,$A2415,$B:$B,"&lt;&gt;Patrícia Karla de Sousa Araújo",$B:$B,"&lt;&gt;Lorena Dias de Araujo",$B:$B,"&lt;&gt;Lucas Luiz Romero")*(28/1083),IF(C2415="Técnico I",SUMIFS($D:$D,$A:$A,$A2415,$B:$B,"&lt;&gt;Patrícia Karla de Sousa Araújo",$B:$B,"&lt;&gt;Lorena Dias de Araujo",$B:$B,"&lt;&gt;Lucas Luiz Romero")*(23/1083),IF(C2415="JR",SUMIFS($D:$D,$A:$A,$A2415,$B:$B,"&lt;&gt;Patrícia Karla de Sousa Araújo",$B:$B,"&lt;&gt;Lorena Dias de Araujo",$B:$B,"&lt;&gt;Lucas Luiz Romero")*(20/1083),IF(C2415="Estágio",SUMIFS($D:$D,$A:$A,$A2415,$B:$B,"&lt;&gt;Patrícia Karla de Sousa Araújo",$B:$B,"&lt;&gt;Lorena Dias de Araujo",$B:$B,"&lt;&gt;Lucas Luiz Romero")*(10/1083),0)))))),0)</f>
        <v/>
      </c>
      <c r="K2415" s="3">
        <f>I2415-J2415</f>
        <v/>
      </c>
      <c r="L2415" s="3">
        <f>IF(K2415&lt;-5,"CRÍTICO",IF(K2415&lt;0,"ATENÇÃO",IF(K2415&lt;=5,"BOM","EXCELENTE")))</f>
        <v/>
      </c>
      <c r="M2415" t="n">
        <v>5</v>
      </c>
      <c r="N2415" t="n">
        <v>78.95</v>
      </c>
      <c r="O2415" t="n">
        <v>38.98305084745763</v>
      </c>
    </row>
    <row r="2416" hidden="1">
      <c r="A2416" s="11" t="n">
        <v>46077</v>
      </c>
      <c r="B2416" t="inlineStr">
        <is>
          <t>Emilly Kamilly Medeiros Miranda</t>
        </is>
      </c>
      <c r="C2416" t="inlineStr">
        <is>
          <t>Técnico II</t>
        </is>
      </c>
      <c r="D2416" t="n">
        <v>13</v>
      </c>
      <c r="E2416" t="n">
        <v>12</v>
      </c>
      <c r="F2416" t="n">
        <v>43.46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M2416" t="n">
        <v>13</v>
      </c>
      <c r="N2416" t="n">
        <v>98.45</v>
      </c>
      <c r="O2416" t="n">
        <v>29.2817679558011</v>
      </c>
    </row>
    <row r="2417" hidden="1">
      <c r="A2417" s="11" t="n">
        <v>46077</v>
      </c>
      <c r="B2417" t="inlineStr">
        <is>
          <t>Francielson de Oliveira</t>
        </is>
      </c>
      <c r="C2417" t="inlineStr">
        <is>
          <t>Técnico III</t>
        </is>
      </c>
      <c r="D2417" t="n">
        <v>27</v>
      </c>
      <c r="E2417" t="n">
        <v>26</v>
      </c>
      <c r="F2417" t="n">
        <v>22.26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M2417" t="n">
        <v>26</v>
      </c>
      <c r="N2417" t="n">
        <v>97.84</v>
      </c>
      <c r="O2417" t="n">
        <v>26.28205128205128</v>
      </c>
    </row>
    <row r="2418" hidden="1">
      <c r="A2418" s="11" t="n">
        <v>46077</v>
      </c>
      <c r="B2418" t="inlineStr">
        <is>
          <t>Francilene Ferreira de Jesus</t>
        </is>
      </c>
      <c r="C2418" t="inlineStr">
        <is>
          <t>Técnico II</t>
        </is>
      </c>
      <c r="D2418" t="n">
        <v>34</v>
      </c>
      <c r="E2418" t="n">
        <v>30</v>
      </c>
      <c r="F2418" t="n">
        <v>18.58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M2418" t="n">
        <v>30</v>
      </c>
      <c r="N2418" t="n">
        <v>98.5</v>
      </c>
      <c r="O2418" t="n">
        <v>23.97769516728625</v>
      </c>
    </row>
    <row r="2419" hidden="1">
      <c r="A2419" s="11" t="n">
        <v>46111</v>
      </c>
      <c r="B2419" t="inlineStr">
        <is>
          <t>Gabriel Gomes de Andrade</t>
        </is>
      </c>
      <c r="C2419" t="inlineStr">
        <is>
          <t>Técnico I</t>
        </is>
      </c>
      <c r="D2419" t="n">
        <v>26</v>
      </c>
      <c r="E2419" t="n">
        <v>25</v>
      </c>
      <c r="F2419" t="n">
        <v>22.36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M2419" t="n">
        <v>23</v>
      </c>
      <c r="N2419" t="n">
        <v>99.05</v>
      </c>
      <c r="O2419" t="n">
        <v>26.62192393736018</v>
      </c>
    </row>
    <row r="2420" hidden="1">
      <c r="A2420" s="11" t="n">
        <v>46077</v>
      </c>
      <c r="B2420" t="inlineStr">
        <is>
          <t>Isabella Borges de Oliveira</t>
        </is>
      </c>
      <c r="C2420" t="inlineStr">
        <is>
          <t>Técnico II</t>
        </is>
      </c>
      <c r="D2420" t="n">
        <v>20</v>
      </c>
      <c r="E2420" t="n">
        <v>19</v>
      </c>
      <c r="F2420" t="n">
        <v>24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M2420" t="n">
        <v>18</v>
      </c>
      <c r="N2420" t="n">
        <v>98.53</v>
      </c>
      <c r="O2420" t="n">
        <v>31.57894736842105</v>
      </c>
    </row>
    <row r="2421" hidden="1">
      <c r="A2421" s="11" t="n">
        <v>46077</v>
      </c>
      <c r="B2421" t="inlineStr">
        <is>
          <t>Janaina Lima dos Reis Urany</t>
        </is>
      </c>
      <c r="C2421" t="inlineStr">
        <is>
          <t>Técnico III</t>
        </is>
      </c>
      <c r="D2421" t="n">
        <v>40</v>
      </c>
      <c r="E2421" t="n">
        <v>35</v>
      </c>
      <c r="F2421" t="n">
        <v>17.33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M2421" t="n">
        <v>35</v>
      </c>
      <c r="N2421" t="n">
        <v>100</v>
      </c>
      <c r="O2421" t="n">
        <v>25.72214580467676</v>
      </c>
    </row>
    <row r="2422" hidden="1">
      <c r="A2422" s="11" t="n">
        <v>46077</v>
      </c>
      <c r="B2422" t="inlineStr">
        <is>
          <t>Jaqueline Evangelista da Silva Martins</t>
        </is>
      </c>
      <c r="C2422" t="inlineStr">
        <is>
          <t>Técnico III</t>
        </is>
      </c>
      <c r="D2422" t="n">
        <v>26</v>
      </c>
      <c r="E2422" t="n">
        <v>24</v>
      </c>
      <c r="F2422" t="n">
        <v>14.08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M2422" t="n">
        <v>23</v>
      </c>
      <c r="N2422" t="n">
        <v>94.64</v>
      </c>
      <c r="O2422" t="n">
        <v>27.52941176470588</v>
      </c>
    </row>
    <row r="2423" hidden="1">
      <c r="A2423" s="11" t="n">
        <v>46077</v>
      </c>
      <c r="B2423" t="inlineStr">
        <is>
          <t>Jessica Faria da Silveira</t>
        </is>
      </c>
      <c r="C2423" t="inlineStr">
        <is>
          <t>Técnico II</t>
        </is>
      </c>
      <c r="D2423" t="n">
        <v>17</v>
      </c>
      <c r="E2423" t="n">
        <v>8</v>
      </c>
      <c r="F2423" t="n">
        <v>11.53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M2423" t="n">
        <v>3</v>
      </c>
      <c r="N2423" t="n">
        <v>99.06999999999999</v>
      </c>
      <c r="O2423" t="n">
        <v>26.3768115942029</v>
      </c>
    </row>
    <row r="2424" hidden="1">
      <c r="A2424" s="11" t="n">
        <v>46077</v>
      </c>
      <c r="B2424" t="inlineStr">
        <is>
          <t>Jéssica Fé Moura</t>
        </is>
      </c>
      <c r="C2424" t="inlineStr">
        <is>
          <t>Técnico III</t>
        </is>
      </c>
      <c r="D2424" t="n">
        <v>0</v>
      </c>
      <c r="E2424" t="n">
        <v>0</v>
      </c>
      <c r="F2424" t="n">
        <v>0</v>
      </c>
      <c r="G2424" t="n">
        <v>0</v>
      </c>
      <c r="H2424" t="n">
        <v>0</v>
      </c>
      <c r="I2424" s="3" t="n">
        <v>0</v>
      </c>
      <c r="J2424" s="3" t="n">
        <v>0</v>
      </c>
      <c r="K2424" s="3" t="n">
        <v>0</v>
      </c>
      <c r="L2424" s="3">
        <f>IF(K2424&lt;-5,"CRÍTICO",IF(K2424&lt;0,"ATENÇÃO",IF(K2424&lt;=5,"BOM","EXCELENTE")))</f>
        <v/>
      </c>
      <c r="M2424" t="n">
        <v>0</v>
      </c>
      <c r="N2424" t="n">
        <v>100</v>
      </c>
      <c r="O2424" t="n">
        <v>0</v>
      </c>
    </row>
    <row r="2425" hidden="1">
      <c r="A2425" s="11" t="n">
        <v>46077</v>
      </c>
      <c r="B2425" t="inlineStr">
        <is>
          <t>Karina Gonçalves Martins</t>
        </is>
      </c>
      <c r="C2425" t="inlineStr">
        <is>
          <t>JR</t>
        </is>
      </c>
      <c r="D2425" t="n">
        <v>15</v>
      </c>
      <c r="E2425" t="n">
        <v>15</v>
      </c>
      <c r="F2425" t="n">
        <v>25.08</v>
      </c>
      <c r="G2425" t="n">
        <v>0</v>
      </c>
      <c r="H2425" t="n">
        <v>0</v>
      </c>
      <c r="I2425" s="3">
        <f>E2425+G2425+H2425</f>
        <v/>
      </c>
      <c r="J2425" s="3">
        <f>ROUND(MIN(IF(C2425="Técnico III",35,IF(C2425="Técnico II",28,IF(C2425="Técnico I",23,IF(C2425="JR",20,IF(C2425="Estágio",10,0))))),IF(C2425="Técnico III",SUMIFS($D:$D,$A:$A,$A2425,$B:$B,"&lt;&gt;Patrícia Karla de Sousa Araújo",$B:$B,"&lt;&gt;Lorena Dias de Araujo",$B:$B,"&lt;&gt;Lucas Luiz Romero")*(35/1083),IF(C2425="Técnico II",SUMIFS($D:$D,$A:$A,$A2425,$B:$B,"&lt;&gt;Patrícia Karla de Sousa Araújo",$B:$B,"&lt;&gt;Lorena Dias de Araujo",$B:$B,"&lt;&gt;Lucas Luiz Romero")*(28/1083),IF(C2425="Técnico I",SUMIFS($D:$D,$A:$A,$A2425,$B:$B,"&lt;&gt;Patrícia Karla de Sousa Araújo",$B:$B,"&lt;&gt;Lorena Dias de Araujo",$B:$B,"&lt;&gt;Lucas Luiz Romero")*(23/1083),IF(C2425="JR",SUMIFS($D:$D,$A:$A,$A2425,$B:$B,"&lt;&gt;Patrícia Karla de Sousa Araújo",$B:$B,"&lt;&gt;Lorena Dias de Araujo",$B:$B,"&lt;&gt;Lucas Luiz Romero")*(20/1083),IF(C2425="Estágio",SUMIFS($D:$D,$A:$A,$A2425,$B:$B,"&lt;&gt;Patrícia Karla de Sousa Araújo",$B:$B,"&lt;&gt;Lorena Dias de Araujo",$B:$B,"&lt;&gt;Lucas Luiz Romero")*(10/1083),0)))))),0)</f>
        <v/>
      </c>
      <c r="K2425" s="3">
        <f>I2425-J2425</f>
        <v/>
      </c>
      <c r="L2425" s="3">
        <f>IF(K2425&lt;-5,"CRÍTICO",IF(K2425&lt;0,"ATENÇÃO",IF(K2425&lt;=5,"BOM","EXCELENTE")))</f>
        <v/>
      </c>
      <c r="M2425" t="n">
        <v>14</v>
      </c>
      <c r="N2425" t="n">
        <v>98.48</v>
      </c>
      <c r="O2425" t="n">
        <v>27.85388127853881</v>
      </c>
    </row>
    <row r="2426" hidden="1">
      <c r="A2426" s="11" t="n">
        <v>46077</v>
      </c>
      <c r="B2426" t="inlineStr">
        <is>
          <t>Kerollen Cristielly de Jesus Siqueira</t>
        </is>
      </c>
      <c r="C2426" t="inlineStr">
        <is>
          <t>Técnico III</t>
        </is>
      </c>
      <c r="D2426" t="n">
        <v>3</v>
      </c>
      <c r="E2426" t="n">
        <v>3</v>
      </c>
      <c r="F2426" t="n">
        <v>47.26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M2426" t="n">
        <v>52</v>
      </c>
      <c r="N2426" t="n">
        <v>95.15000000000001</v>
      </c>
      <c r="O2426" t="n">
        <v>34.13173652694611</v>
      </c>
    </row>
    <row r="2427" hidden="1">
      <c r="A2427" s="11" t="n">
        <v>46077</v>
      </c>
      <c r="B2427" t="inlineStr">
        <is>
          <t>Leandro de Souza Silva</t>
        </is>
      </c>
      <c r="C2427" t="inlineStr">
        <is>
          <t>JR</t>
        </is>
      </c>
      <c r="D2427" t="n">
        <v>0</v>
      </c>
      <c r="E2427" t="n">
        <v>0</v>
      </c>
      <c r="F2427" t="n">
        <v>0</v>
      </c>
      <c r="G2427" t="n">
        <v>0</v>
      </c>
      <c r="H2427" t="n">
        <v>0</v>
      </c>
      <c r="I2427" s="3" t="n">
        <v>0</v>
      </c>
      <c r="J2427" s="3" t="n">
        <v>0</v>
      </c>
      <c r="K2427" s="3" t="n">
        <v>0</v>
      </c>
      <c r="L2427" s="3">
        <f>IF(K2427&lt;-5,"CRÍTICO",IF(K2427&lt;0,"ATENÇÃO",IF(K2427&lt;=5,"BOM","EXCELENTE")))</f>
        <v/>
      </c>
      <c r="M2427" t="n">
        <v>0</v>
      </c>
      <c r="N2427" t="n">
        <v>0</v>
      </c>
      <c r="O2427" t="n">
        <v>0</v>
      </c>
    </row>
    <row r="2428" hidden="1">
      <c r="A2428" s="11" t="n">
        <v>46077</v>
      </c>
      <c r="B2428" t="inlineStr">
        <is>
          <t>Leandro Oliveira de Sousa</t>
        </is>
      </c>
      <c r="C2428" t="inlineStr">
        <is>
          <t>Técnico III</t>
        </is>
      </c>
      <c r="D2428" t="n">
        <v>21</v>
      </c>
      <c r="E2428" t="n">
        <v>20</v>
      </c>
      <c r="F2428" t="n">
        <v>23.43</v>
      </c>
      <c r="G2428" t="n">
        <v>0</v>
      </c>
      <c r="H2428" t="n">
        <v>0</v>
      </c>
      <c r="I2428" s="3">
        <f>E2428+G2428+H2428</f>
        <v/>
      </c>
      <c r="J2428" s="3">
        <f>ROUND(MIN(IF(C2428="Técnico III",35,IF(C2428="Técnico II",28,IF(C2428="Técnico I",23,IF(C2428="JR",20,IF(C2428="Estágio",10,0))))),IF(C2428="Técnico III",SUMIFS($D:$D,$A:$A,$A2428,$B:$B,"&lt;&gt;Patrícia Karla de Sousa Araújo",$B:$B,"&lt;&gt;Lorena Dias de Araujo",$B:$B,"&lt;&gt;Lucas Luiz Romero")*(35/1083),IF(C2428="Técnico II",SUMIFS($D:$D,$A:$A,$A2428,$B:$B,"&lt;&gt;Patrícia Karla de Sousa Araújo",$B:$B,"&lt;&gt;Lorena Dias de Araujo",$B:$B,"&lt;&gt;Lucas Luiz Romero")*(28/1083),IF(C2428="Técnico I",SUMIFS($D:$D,$A:$A,$A2428,$B:$B,"&lt;&gt;Patrícia Karla de Sousa Araújo",$B:$B,"&lt;&gt;Lorena Dias de Araujo",$B:$B,"&lt;&gt;Lucas Luiz Romero")*(23/1083),IF(C2428="JR",SUMIFS($D:$D,$A:$A,$A2428,$B:$B,"&lt;&gt;Patrícia Karla de Sousa Araújo",$B:$B,"&lt;&gt;Lorena Dias de Araujo",$B:$B,"&lt;&gt;Lucas Luiz Romero")*(20/1083),IF(C2428="Estágio",SUMIFS($D:$D,$A:$A,$A2428,$B:$B,"&lt;&gt;Patrícia Karla de Sousa Araújo",$B:$B,"&lt;&gt;Lorena Dias de Araujo",$B:$B,"&lt;&gt;Lucas Luiz Romero")*(10/1083),0)))))),0)</f>
        <v/>
      </c>
      <c r="K2428" s="3">
        <f>I2428-J2428</f>
        <v/>
      </c>
      <c r="L2428" s="3">
        <f>IF(K2428&lt;-5,"CRÍTICO",IF(K2428&lt;0,"ATENÇÃO",IF(K2428&lt;=5,"BOM","EXCELENTE")))</f>
        <v/>
      </c>
      <c r="M2428" t="n">
        <v>15</v>
      </c>
      <c r="N2428" t="n">
        <v>99.26000000000001</v>
      </c>
      <c r="O2428" t="n">
        <v>30.84832904884319</v>
      </c>
    </row>
    <row r="2429" hidden="1">
      <c r="A2429" s="11" t="n">
        <v>46077</v>
      </c>
      <c r="B2429" t="inlineStr">
        <is>
          <t>Lizandra Gomes Duarte</t>
        </is>
      </c>
      <c r="C2429" t="inlineStr">
        <is>
          <t>Técnico II</t>
        </is>
      </c>
      <c r="D2429" t="n">
        <v>27</v>
      </c>
      <c r="E2429" t="n">
        <v>27</v>
      </c>
      <c r="F2429" t="n">
        <v>29.12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M2429" t="n">
        <v>13</v>
      </c>
      <c r="N2429" t="n">
        <v>97.48</v>
      </c>
      <c r="O2429" t="n">
        <v>27.76470588235294</v>
      </c>
    </row>
    <row r="2430" hidden="1">
      <c r="A2430" s="11" t="n">
        <v>46077</v>
      </c>
      <c r="B2430" t="inlineStr">
        <is>
          <t>Lorena Dias de Araujo</t>
        </is>
      </c>
      <c r="C2430" t="inlineStr">
        <is>
          <t>Técnico II</t>
        </is>
      </c>
      <c r="D2430" t="n">
        <v>19</v>
      </c>
      <c r="E2430" t="n">
        <v>19</v>
      </c>
      <c r="F2430" t="n">
        <v>38.59</v>
      </c>
      <c r="G2430" t="n">
        <v>0</v>
      </c>
      <c r="H2430" t="n">
        <v>0</v>
      </c>
      <c r="I2430" s="3" t="n">
        <v>0</v>
      </c>
      <c r="J2430" s="3" t="n">
        <v>0</v>
      </c>
      <c r="K2430" s="3" t="n">
        <v>0</v>
      </c>
      <c r="L2430" s="3">
        <f>IF(K2430&lt;-5,"CRÍTICO",IF(K2430&lt;0,"ATENÇÃO",IF(K2430&lt;=5,"BOM","EXCELENTE")))</f>
        <v/>
      </c>
      <c r="M2430" t="n">
        <v>18</v>
      </c>
      <c r="N2430" t="n">
        <v>99.34</v>
      </c>
      <c r="O2430" t="n">
        <v>30.04291845493562</v>
      </c>
    </row>
    <row r="2431" hidden="1">
      <c r="A2431" s="11" t="n">
        <v>46077</v>
      </c>
      <c r="B2431" t="inlineStr">
        <is>
          <t>Lucas Luiz Romero</t>
        </is>
      </c>
      <c r="C2431" t="inlineStr">
        <is>
          <t>Técnico III</t>
        </is>
      </c>
      <c r="D2431" t="n">
        <v>43</v>
      </c>
      <c r="E2431" t="n">
        <v>37</v>
      </c>
      <c r="F2431" t="n">
        <v>18.49</v>
      </c>
      <c r="G2431" t="n">
        <v>0</v>
      </c>
      <c r="H2431" t="n">
        <v>0</v>
      </c>
      <c r="I2431" s="3">
        <f>E2431+G2431+H2431</f>
        <v/>
      </c>
      <c r="J2431" s="3">
        <f>ROUND(MIN(IF(C2431="Técnico III",35,IF(C2431="Técnico II",28,IF(C2431="Técnico I",23,IF(C2431="JR",20,IF(C2431="Estágio",10,0))))),IF(C2431="Técnico III",SUMIFS($D:$D,$A:$A,$A2431,$B:$B,"&lt;&gt;Patrícia Karla de Sousa Araújo",$B:$B,"&lt;&gt;Lorena Dias de Araujo",$B:$B,"&lt;&gt;Lucas Luiz Romero")*(35/1083),IF(C2431="Técnico II",SUMIFS($D:$D,$A:$A,$A2431,$B:$B,"&lt;&gt;Patrícia Karla de Sousa Araújo",$B:$B,"&lt;&gt;Lorena Dias de Araujo",$B:$B,"&lt;&gt;Lucas Luiz Romero")*(28/1083),IF(C2431="Técnico I",SUMIFS($D:$D,$A:$A,$A2431,$B:$B,"&lt;&gt;Patrícia Karla de Sousa Araújo",$B:$B,"&lt;&gt;Lorena Dias de Araujo",$B:$B,"&lt;&gt;Lucas Luiz Romero")*(23/1083),IF(C2431="JR",SUMIFS($D:$D,$A:$A,$A2431,$B:$B,"&lt;&gt;Patrícia Karla de Sousa Araújo",$B:$B,"&lt;&gt;Lorena Dias de Araujo",$B:$B,"&lt;&gt;Lucas Luiz Romero")*(20/1083),IF(C2431="Estágio",SUMIFS($D:$D,$A:$A,$A2431,$B:$B,"&lt;&gt;Patrícia Karla de Sousa Araújo",$B:$B,"&lt;&gt;Lorena Dias de Araujo",$B:$B,"&lt;&gt;Lucas Luiz Romero")*(10/1083),0)))))),0)</f>
        <v/>
      </c>
      <c r="K2431" s="3">
        <f>I2431-J2431</f>
        <v/>
      </c>
      <c r="L2431" s="3">
        <f>IF(K2431&lt;-5,"CRÍTICO",IF(K2431&lt;0,"ATENÇÃO",IF(K2431&lt;=5,"BOM","EXCELENTE")))</f>
        <v/>
      </c>
      <c r="M2431" t="n">
        <v>24</v>
      </c>
      <c r="N2431" t="n">
        <v>96.3</v>
      </c>
      <c r="O2431" t="n">
        <v>24.29378531073446</v>
      </c>
    </row>
    <row r="2432" hidden="1">
      <c r="A2432" s="11" t="n">
        <v>46077</v>
      </c>
      <c r="B2432" t="inlineStr">
        <is>
          <t>Luiz Fernando de Carvalho Junior</t>
        </is>
      </c>
      <c r="C2432" t="inlineStr">
        <is>
          <t>Técnico I</t>
        </is>
      </c>
      <c r="D2432" t="n">
        <v>16</v>
      </c>
      <c r="E2432" t="n">
        <v>15</v>
      </c>
      <c r="F2432" t="n">
        <v>30.59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M2432" t="n">
        <v>13</v>
      </c>
      <c r="N2432" t="n">
        <v>100</v>
      </c>
      <c r="O2432" t="n">
        <v>26.54320987654321</v>
      </c>
    </row>
    <row r="2433" hidden="1">
      <c r="A2433" s="11" t="n">
        <v>46077</v>
      </c>
      <c r="B2433" t="inlineStr">
        <is>
          <t>Maria Eduarda Sousa Costa</t>
        </is>
      </c>
      <c r="C2433" t="inlineStr">
        <is>
          <t>Estágio</t>
        </is>
      </c>
      <c r="D2433" t="n">
        <v>5</v>
      </c>
      <c r="E2433" t="n">
        <v>5</v>
      </c>
      <c r="F2433" t="n">
        <v>72.11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M2433" t="n">
        <v>3</v>
      </c>
      <c r="N2433" t="n">
        <v>100</v>
      </c>
      <c r="O2433" t="n">
        <v>35.48387096774194</v>
      </c>
    </row>
    <row r="2434" hidden="1">
      <c r="A2434" s="11" t="n">
        <v>46077</v>
      </c>
      <c r="B2434" t="inlineStr">
        <is>
          <t>Matheus Farias De Souza</t>
        </is>
      </c>
      <c r="C2434" t="inlineStr">
        <is>
          <t>Técnico III</t>
        </is>
      </c>
      <c r="D2434" t="n">
        <v>24</v>
      </c>
      <c r="E2434" t="n">
        <v>22</v>
      </c>
      <c r="F2434" t="n">
        <v>23.22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M2434" t="n">
        <v>24</v>
      </c>
      <c r="N2434" t="n">
        <v>99.27</v>
      </c>
      <c r="O2434" t="n">
        <v>31.16370808678501</v>
      </c>
    </row>
    <row r="2435" hidden="1">
      <c r="A2435" s="11" t="n">
        <v>46077</v>
      </c>
      <c r="B2435" t="inlineStr">
        <is>
          <t>Maysa Victoria Dias Moura</t>
        </is>
      </c>
      <c r="C2435" t="inlineStr">
        <is>
          <t>Técnico III</t>
        </is>
      </c>
      <c r="D2435" t="n">
        <v>33</v>
      </c>
      <c r="E2435" t="n">
        <v>33</v>
      </c>
      <c r="F2435" t="n">
        <v>16.58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M2435" t="n">
        <v>28</v>
      </c>
      <c r="N2435" t="n">
        <v>94.16</v>
      </c>
      <c r="O2435" t="n">
        <v>27.03862660944206</v>
      </c>
    </row>
    <row r="2436" hidden="1">
      <c r="A2436" s="11" t="n">
        <v>46077</v>
      </c>
      <c r="B2436" t="inlineStr">
        <is>
          <t>Michelle G Santos</t>
        </is>
      </c>
      <c r="C2436" t="inlineStr">
        <is>
          <t>Estágio</t>
        </is>
      </c>
      <c r="D2436" t="n">
        <v>15</v>
      </c>
      <c r="E2436" t="n">
        <v>14</v>
      </c>
      <c r="F2436" t="n">
        <v>40.57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M2436" t="n">
        <v>5</v>
      </c>
      <c r="N2436" t="n">
        <v>93.75</v>
      </c>
      <c r="O2436" t="n">
        <v>19.31818181818182</v>
      </c>
    </row>
    <row r="2437" hidden="1">
      <c r="A2437" s="11" t="n">
        <v>46077</v>
      </c>
      <c r="B2437" t="inlineStr">
        <is>
          <t>Milena Sales</t>
        </is>
      </c>
      <c r="C2437" t="inlineStr">
        <is>
          <t>JR</t>
        </is>
      </c>
      <c r="D2437" t="n">
        <v>0</v>
      </c>
      <c r="E2437" t="n">
        <v>0</v>
      </c>
      <c r="F2437" t="n">
        <v>0</v>
      </c>
      <c r="G2437" t="n">
        <v>0</v>
      </c>
      <c r="H2437" t="n">
        <v>0</v>
      </c>
      <c r="I2437" s="3" t="n">
        <v>0</v>
      </c>
      <c r="J2437" s="3" t="n">
        <v>0</v>
      </c>
      <c r="K2437" s="3" t="n">
        <v>0</v>
      </c>
      <c r="L2437" s="3">
        <f>IF(K2437&lt;-5,"CRÍTICO",IF(K2437&lt;0,"ATENÇÃO",IF(K2437&lt;=5,"BOM","EXCELENTE")))</f>
        <v/>
      </c>
      <c r="M2437" t="n">
        <v>0</v>
      </c>
      <c r="N2437" t="n">
        <v>0</v>
      </c>
      <c r="O2437" t="n">
        <v>0</v>
      </c>
    </row>
    <row r="2438" hidden="1">
      <c r="A2438" s="11" t="n">
        <v>46077</v>
      </c>
      <c r="B2438" t="inlineStr">
        <is>
          <t>Patrícia Karla de Sousa Araújo</t>
        </is>
      </c>
      <c r="C2438" t="inlineStr">
        <is>
          <t>Técnico II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M2438" t="n">
        <v>0</v>
      </c>
      <c r="N2438" t="n">
        <v>97.92</v>
      </c>
      <c r="O2438" t="n">
        <v>32.87671232876712</v>
      </c>
    </row>
    <row r="2439" hidden="1">
      <c r="A2439" s="11" t="n">
        <v>46077</v>
      </c>
      <c r="B2439" t="inlineStr">
        <is>
          <t>Paulo Ricardo Santos</t>
        </is>
      </c>
      <c r="C2439" t="inlineStr">
        <is>
          <t>JR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M2439" t="n">
        <v>0</v>
      </c>
      <c r="N2439" t="n">
        <v>0</v>
      </c>
      <c r="O2439" t="n">
        <v>0</v>
      </c>
    </row>
    <row r="2440" hidden="1">
      <c r="A2440" s="11" t="n">
        <v>46077</v>
      </c>
      <c r="B2440" t="inlineStr">
        <is>
          <t>Pedro Luiz Mota Sousa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M2440" t="n">
        <v>0</v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Quirino Diogo Leite Torres</t>
        </is>
      </c>
      <c r="C2441" t="inlineStr">
        <is>
          <t>Estágio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M2441" t="n">
        <v>0</v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Raane Batista Matos</t>
        </is>
      </c>
      <c r="C2442" t="inlineStr">
        <is>
          <t>Técnico I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M2442" t="n">
        <v>0</v>
      </c>
      <c r="N2442" t="n">
        <v>98.51000000000001</v>
      </c>
      <c r="O2442" t="n">
        <v>29.71014492753623</v>
      </c>
    </row>
    <row r="2443" hidden="1">
      <c r="A2443" s="11" t="n">
        <v>46077</v>
      </c>
      <c r="B2443" t="inlineStr">
        <is>
          <t>Rafael Gomes de Morais</t>
        </is>
      </c>
      <c r="C2443" t="inlineStr">
        <is>
          <t>Técnico III</t>
        </is>
      </c>
      <c r="D2443" t="n">
        <v>38</v>
      </c>
      <c r="E2443" t="n">
        <v>32</v>
      </c>
      <c r="F2443" t="n">
        <v>15.07</v>
      </c>
      <c r="G2443" t="n">
        <v>0</v>
      </c>
      <c r="H2443" t="n">
        <v>0</v>
      </c>
      <c r="I2443" s="3">
        <f>E2443+G2443+H2443</f>
        <v/>
      </c>
      <c r="J2443" s="3">
        <f>ROUND(MIN(IF(C2443="Técnico III",35,IF(C2443="Técnico II",28,IF(C2443="Técnico I",23,IF(C2443="JR",20,IF(C2443="Estágio",10,0))))),IF(C2443="Técnico III",SUMIFS($D:$D,$A:$A,$A2443,$B:$B,"&lt;&gt;Patrícia Karla de Sousa Araújo",$B:$B,"&lt;&gt;Lorena Dias de Araujo",$B:$B,"&lt;&gt;Lucas Luiz Romero")*(35/1083),IF(C2443="Técnico II",SUMIFS($D:$D,$A:$A,$A2443,$B:$B,"&lt;&gt;Patrícia Karla de Sousa Araújo",$B:$B,"&lt;&gt;Lorena Dias de Araujo",$B:$B,"&lt;&gt;Lucas Luiz Romero")*(28/1083),IF(C2443="Técnico I",SUMIFS($D:$D,$A:$A,$A2443,$B:$B,"&lt;&gt;Patrícia Karla de Sousa Araújo",$B:$B,"&lt;&gt;Lorena Dias de Araujo",$B:$B,"&lt;&gt;Lucas Luiz Romero")*(23/1083),IF(C2443="JR",SUMIFS($D:$D,$A:$A,$A2443,$B:$B,"&lt;&gt;Patrícia Karla de Sousa Araújo",$B:$B,"&lt;&gt;Lorena Dias de Araujo",$B:$B,"&lt;&gt;Lucas Luiz Romero")*(20/1083),IF(C2443="Estágio",SUMIFS($D:$D,$A:$A,$A2443,$B:$B,"&lt;&gt;Patrícia Karla de Sousa Araújo",$B:$B,"&lt;&gt;Lorena Dias de Araujo",$B:$B,"&lt;&gt;Lucas Luiz Romero")*(10/1083),0)))))),0)</f>
        <v/>
      </c>
      <c r="K2443" s="3">
        <f>I2443-J2443</f>
        <v/>
      </c>
      <c r="L2443" s="3">
        <f>IF(K2443&lt;-5,"CRÍTICO",IF(K2443&lt;0,"ATENÇÃO",IF(K2443&lt;=5,"BOM","EXCELENTE")))</f>
        <v/>
      </c>
      <c r="M2443" t="n">
        <v>27</v>
      </c>
      <c r="N2443" t="n">
        <v>98.81</v>
      </c>
      <c r="O2443" t="n">
        <v>30.71297989031079</v>
      </c>
    </row>
    <row r="2444" hidden="1">
      <c r="A2444" s="11" t="n">
        <v>46077</v>
      </c>
      <c r="B2444" t="inlineStr">
        <is>
          <t>Sara Maria Monteiro Lopes</t>
        </is>
      </c>
      <c r="C2444" t="inlineStr">
        <is>
          <t>Técnico I</t>
        </is>
      </c>
      <c r="D2444" t="n">
        <v>8</v>
      </c>
      <c r="E2444" t="n">
        <v>7</v>
      </c>
      <c r="F2444" t="n">
        <v>47.18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M2444" t="n">
        <v>7</v>
      </c>
      <c r="N2444" t="n">
        <v>98.48</v>
      </c>
      <c r="O2444" t="n">
        <v>29.35323383084577</v>
      </c>
    </row>
    <row r="2445" hidden="1">
      <c r="A2445" s="11" t="n">
        <v>46077</v>
      </c>
      <c r="B2445" t="inlineStr">
        <is>
          <t>Sarah Steffanie de Lima Borges</t>
        </is>
      </c>
      <c r="C2445" t="inlineStr">
        <is>
          <t>Técnico III</t>
        </is>
      </c>
      <c r="D2445" t="n">
        <v>21</v>
      </c>
      <c r="E2445" t="n">
        <v>20</v>
      </c>
      <c r="F2445" t="n">
        <v>28.58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M2445" t="n">
        <v>19</v>
      </c>
      <c r="N2445" t="n">
        <v>98.56</v>
      </c>
      <c r="O2445" t="n">
        <v>29.37365010799136</v>
      </c>
    </row>
    <row r="2446" hidden="1">
      <c r="A2446" s="11" t="n">
        <v>46078</v>
      </c>
      <c r="B2446" t="inlineStr">
        <is>
          <t>Alisson de Freitas Silva</t>
        </is>
      </c>
      <c r="C2446" t="inlineStr">
        <is>
          <t>Técnico II</t>
        </is>
      </c>
      <c r="D2446" t="n">
        <v>6</v>
      </c>
      <c r="E2446" t="n">
        <v>6</v>
      </c>
      <c r="F2446" t="n">
        <v>71.47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M2446" t="n">
        <v>6</v>
      </c>
      <c r="N2446" t="n">
        <v>98.31999999999999</v>
      </c>
      <c r="O2446" t="n">
        <v>30.3030303030303</v>
      </c>
    </row>
    <row r="2447" hidden="1">
      <c r="A2447" s="11" t="n">
        <v>46078</v>
      </c>
      <c r="B2447" t="inlineStr">
        <is>
          <t>Amanda Moura Ferreira</t>
        </is>
      </c>
      <c r="C2447" t="inlineStr">
        <is>
          <t>Técnico III</t>
        </is>
      </c>
      <c r="D2447" t="n">
        <v>0</v>
      </c>
      <c r="E2447" t="n">
        <v>0</v>
      </c>
      <c r="F2447" t="n">
        <v>0</v>
      </c>
      <c r="G2447" t="n">
        <v>0</v>
      </c>
      <c r="H2447" t="n">
        <v>0</v>
      </c>
      <c r="I2447" s="3" t="n">
        <v>0</v>
      </c>
      <c r="J2447" s="3" t="n">
        <v>0</v>
      </c>
      <c r="K2447" s="3" t="n">
        <v>0</v>
      </c>
      <c r="L2447" s="3">
        <f>IF(K2447&lt;-5,"CRÍTICO",IF(K2447&lt;0,"ATENÇÃO",IF(K2447&lt;=5,"BOM","EXCELENTE")))</f>
        <v/>
      </c>
      <c r="M2447" t="n">
        <v>24</v>
      </c>
      <c r="N2447" t="n">
        <v>98.68000000000001</v>
      </c>
      <c r="O2447" t="n">
        <v>26.21951219512195</v>
      </c>
    </row>
    <row r="2448" hidden="1">
      <c r="A2448" s="11" t="n">
        <v>46078</v>
      </c>
      <c r="B2448" t="inlineStr">
        <is>
          <t>Ana Karollyne Souza Faria</t>
        </is>
      </c>
      <c r="C2448" t="inlineStr">
        <is>
          <t>Técnico I</t>
        </is>
      </c>
      <c r="D2448" t="n">
        <v>29</v>
      </c>
      <c r="E2448" t="n">
        <v>27</v>
      </c>
      <c r="F2448" t="n">
        <v>27.03</v>
      </c>
      <c r="G2448" t="n">
        <v>0</v>
      </c>
      <c r="H2448" t="n">
        <v>0</v>
      </c>
      <c r="I2448" s="3">
        <f>E2448+G2448+H2448</f>
        <v/>
      </c>
      <c r="J2448" s="3">
        <f>ROUND(MIN(IF(C2448="Técnico III",35,IF(C2448="Técnico II",28,IF(C2448="Técnico I",23,IF(C2448="JR",20,IF(C2448="Estágio",10,0))))),IF(C2448="Técnico III",SUMIFS($D:$D,$A:$A,$A2448,$B:$B,"&lt;&gt;Patrícia Karla de Sousa Araújo",$B:$B,"&lt;&gt;Lorena Dias de Araujo",$B:$B,"&lt;&gt;Lucas Luiz Romero")*(35/1083),IF(C2448="Técnico II",SUMIFS($D:$D,$A:$A,$A2448,$B:$B,"&lt;&gt;Patrícia Karla de Sousa Araújo",$B:$B,"&lt;&gt;Lorena Dias de Araujo",$B:$B,"&lt;&gt;Lucas Luiz Romero")*(28/1083),IF(C2448="Técnico I",SUMIFS($D:$D,$A:$A,$A2448,$B:$B,"&lt;&gt;Patrícia Karla de Sousa Araújo",$B:$B,"&lt;&gt;Lorena Dias de Araujo",$B:$B,"&lt;&gt;Lucas Luiz Romero")*(23/1083),IF(C2448="JR",SUMIFS($D:$D,$A:$A,$A2448,$B:$B,"&lt;&gt;Patrícia Karla de Sousa Araújo",$B:$B,"&lt;&gt;Lorena Dias de Araujo",$B:$B,"&lt;&gt;Lucas Luiz Romero")*(20/1083),IF(C2448="Estágio",SUMIFS($D:$D,$A:$A,$A2448,$B:$B,"&lt;&gt;Patrícia Karla de Sousa Araújo",$B:$B,"&lt;&gt;Lorena Dias de Araujo",$B:$B,"&lt;&gt;Lucas Luiz Romero")*(10/1083),0)))))),0)</f>
        <v/>
      </c>
      <c r="K2448" s="3">
        <f>I2448-J2448</f>
        <v/>
      </c>
      <c r="L2448" s="3">
        <f>IF(K2448&lt;-5,"CRÍTICO",IF(K2448&lt;0,"ATENÇÃO",IF(K2448&lt;=5,"BOM","EXCELENTE")))</f>
        <v/>
      </c>
      <c r="M2448" t="n">
        <v>25</v>
      </c>
      <c r="N2448" t="n">
        <v>100</v>
      </c>
      <c r="O2448" t="n">
        <v>31.74224343675418</v>
      </c>
    </row>
    <row r="2449" hidden="1">
      <c r="A2449" s="11" t="n">
        <v>46078</v>
      </c>
      <c r="B2449" t="inlineStr">
        <is>
          <t>Ana Paula Da Luz Silva Aleixo</t>
        </is>
      </c>
      <c r="C2449" t="inlineStr">
        <is>
          <t>Técnico III</t>
        </is>
      </c>
      <c r="D2449" t="n">
        <v>18</v>
      </c>
      <c r="E2449" t="n">
        <v>17</v>
      </c>
      <c r="F2449" t="n">
        <v>40.31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M2449" t="n">
        <v>13</v>
      </c>
      <c r="N2449" t="n">
        <v>98.25</v>
      </c>
      <c r="O2449" t="n">
        <v>25.83518930957684</v>
      </c>
    </row>
    <row r="2450" hidden="1">
      <c r="A2450" s="11" t="n">
        <v>46078</v>
      </c>
      <c r="B2450" t="inlineStr">
        <is>
          <t>Anna Luiza Rezende Tavares</t>
        </is>
      </c>
      <c r="C2450" t="inlineStr">
        <is>
          <t>Estágio</t>
        </is>
      </c>
      <c r="D2450" t="n">
        <v>13</v>
      </c>
      <c r="E2450" t="n">
        <v>12</v>
      </c>
      <c r="F2450" t="n">
        <v>43.59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M2450" t="n">
        <v>11</v>
      </c>
      <c r="N2450" t="n">
        <v>97.5</v>
      </c>
      <c r="O2450" t="n">
        <v>30.07518796992481</v>
      </c>
    </row>
    <row r="2451" hidden="1">
      <c r="A2451" s="11" t="n">
        <v>46078</v>
      </c>
      <c r="B2451" t="inlineStr">
        <is>
          <t>Brenda de Menezes Silva</t>
        </is>
      </c>
      <c r="C2451" t="inlineStr">
        <is>
          <t>Técnico II</t>
        </is>
      </c>
      <c r="D2451" t="n">
        <v>34</v>
      </c>
      <c r="E2451" t="n">
        <v>29</v>
      </c>
      <c r="F2451" t="n">
        <v>19.19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M2451" t="n">
        <v>29</v>
      </c>
      <c r="N2451" t="n">
        <v>100</v>
      </c>
      <c r="O2451" t="n">
        <v>29.71311475409836</v>
      </c>
    </row>
    <row r="2452" hidden="1">
      <c r="A2452" s="11" t="n">
        <v>46078</v>
      </c>
      <c r="B2452" t="inlineStr">
        <is>
          <t>Carlos Mateus Cassimiro Nunes</t>
        </is>
      </c>
      <c r="C2452" t="inlineStr">
        <is>
          <t>Técnico II</t>
        </is>
      </c>
      <c r="D2452" t="n">
        <v>10</v>
      </c>
      <c r="E2452" t="n">
        <v>10</v>
      </c>
      <c r="F2452" t="n">
        <v>70.08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M2452" t="n">
        <v>9</v>
      </c>
      <c r="N2452" t="n">
        <v>99.22</v>
      </c>
      <c r="O2452" t="n">
        <v>35.25641025641026</v>
      </c>
    </row>
    <row r="2453" hidden="1">
      <c r="A2453" s="11" t="n">
        <v>46078</v>
      </c>
      <c r="B2453" t="inlineStr">
        <is>
          <t>Claudio de Sousa Velasco Filho</t>
        </is>
      </c>
      <c r="C2453" t="inlineStr">
        <is>
          <t>Estágio</t>
        </is>
      </c>
      <c r="D2453" t="n">
        <v>0</v>
      </c>
      <c r="E2453" t="n">
        <v>0</v>
      </c>
      <c r="F2453" t="n">
        <v>0</v>
      </c>
      <c r="G2453" t="n">
        <v>0</v>
      </c>
      <c r="H2453" t="n">
        <v>0</v>
      </c>
      <c r="I2453" s="3" t="n">
        <v>0</v>
      </c>
      <c r="J2453" s="3" t="n">
        <v>0</v>
      </c>
      <c r="K2453" s="3" t="n">
        <v>0</v>
      </c>
      <c r="L2453" s="3">
        <f>IF(K2453&lt;-5,"CRÍTICO",IF(K2453&lt;0,"ATENÇÃO",IF(K2453&lt;=5,"BOM","EXCELENTE")))</f>
        <v/>
      </c>
      <c r="M2453" t="n">
        <v>0</v>
      </c>
      <c r="N2453" t="n">
        <v>0</v>
      </c>
      <c r="O2453" t="n">
        <v>0</v>
      </c>
    </row>
    <row r="2454" hidden="1">
      <c r="A2454" s="11" t="n">
        <v>46078</v>
      </c>
      <c r="B2454" t="inlineStr">
        <is>
          <t>Clessiane Pereira dos Santos</t>
        </is>
      </c>
      <c r="C2454" t="inlineStr">
        <is>
          <t>Técnico I</t>
        </is>
      </c>
      <c r="D2454" t="n">
        <v>16</v>
      </c>
      <c r="E2454" t="n">
        <v>14</v>
      </c>
      <c r="F2454" t="n">
        <v>29.15</v>
      </c>
      <c r="G2454" t="n">
        <v>0</v>
      </c>
      <c r="H2454" t="n">
        <v>0</v>
      </c>
      <c r="I2454" s="3">
        <f>E2454+G2454+H2454</f>
        <v/>
      </c>
      <c r="J2454" s="3">
        <f>ROUND(MIN(IF(C2454="Técnico III",35,IF(C2454="Técnico II",28,IF(C2454="Técnico I",23,IF(C2454="JR",20,IF(C2454="Estágio",10,0))))),IF(C2454="Técnico III",SUMIFS($D:$D,$A:$A,$A2454,$B:$B,"&lt;&gt;Patrícia Karla de Sousa Araújo",$B:$B,"&lt;&gt;Lorena Dias de Araujo",$B:$B,"&lt;&gt;Lucas Luiz Romero")*(35/1083),IF(C2454="Técnico II",SUMIFS($D:$D,$A:$A,$A2454,$B:$B,"&lt;&gt;Patrícia Karla de Sousa Araújo",$B:$B,"&lt;&gt;Lorena Dias de Araujo",$B:$B,"&lt;&gt;Lucas Luiz Romero")*(28/1083),IF(C2454="Técnico I",SUMIFS($D:$D,$A:$A,$A2454,$B:$B,"&lt;&gt;Patrícia Karla de Sousa Araújo",$B:$B,"&lt;&gt;Lorena Dias de Araujo",$B:$B,"&lt;&gt;Lucas Luiz Romero")*(23/1083),IF(C2454="JR",SUMIFS($D:$D,$A:$A,$A2454,$B:$B,"&lt;&gt;Patrícia Karla de Sousa Araújo",$B:$B,"&lt;&gt;Lorena Dias de Araujo",$B:$B,"&lt;&gt;Lucas Luiz Romero")*(20/1083),IF(C2454="Estágio",SUMIFS($D:$D,$A:$A,$A2454,$B:$B,"&lt;&gt;Patrícia Karla de Sousa Araújo",$B:$B,"&lt;&gt;Lorena Dias de Araujo",$B:$B,"&lt;&gt;Lucas Luiz Romero")*(10/1083),0)))))),0)</f>
        <v/>
      </c>
      <c r="K2454" s="3">
        <f>I2454-J2454</f>
        <v/>
      </c>
      <c r="L2454" s="3">
        <f>IF(K2454&lt;-5,"CRÍTICO",IF(K2454&lt;0,"ATENÇÃO",IF(K2454&lt;=5,"BOM","EXCELENTE")))</f>
        <v/>
      </c>
      <c r="M2454" t="n">
        <v>14</v>
      </c>
      <c r="N2454" t="n">
        <v>98.75</v>
      </c>
      <c r="O2454" t="n">
        <v>24.32432432432433</v>
      </c>
    </row>
    <row r="2455" hidden="1">
      <c r="A2455" s="11" t="n">
        <v>46078</v>
      </c>
      <c r="B2455" t="inlineStr">
        <is>
          <t>Cristiane Ramos da Silva Rocha</t>
        </is>
      </c>
      <c r="C2455" t="inlineStr">
        <is>
          <t>Técnico III</t>
        </is>
      </c>
      <c r="D2455" t="n">
        <v>23</v>
      </c>
      <c r="E2455" t="n">
        <v>21</v>
      </c>
      <c r="F2455" t="n">
        <v>26.51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M2455" t="n">
        <v>21</v>
      </c>
      <c r="N2455" t="n">
        <v>93.48</v>
      </c>
      <c r="O2455" t="n">
        <v>31.52804642166344</v>
      </c>
    </row>
    <row r="2456" hidden="1">
      <c r="A2456" s="11" t="n">
        <v>46078</v>
      </c>
      <c r="B2456" t="inlineStr">
        <is>
          <t>Damyllis Lorraine de Oliveira Gonçalves</t>
        </is>
      </c>
      <c r="C2456" t="inlineStr">
        <is>
          <t>Técnico II</t>
        </is>
      </c>
      <c r="D2456" t="n">
        <v>22</v>
      </c>
      <c r="E2456" t="n">
        <v>20</v>
      </c>
      <c r="F2456" t="n">
        <v>35.27</v>
      </c>
      <c r="G2456" t="n">
        <v>0</v>
      </c>
      <c r="H2456" t="n">
        <v>0</v>
      </c>
      <c r="I2456" s="3" t="n">
        <v>0</v>
      </c>
      <c r="J2456" s="3" t="n">
        <v>0</v>
      </c>
      <c r="K2456" s="3" t="n">
        <v>0</v>
      </c>
      <c r="L2456" s="3">
        <f>IF(K2456&lt;-5,"CRÍTICO",IF(K2456&lt;0,"ATENÇÃO",IF(K2456&lt;=5,"BOM","EXCELENTE")))</f>
        <v/>
      </c>
      <c r="M2456" t="n">
        <v>13</v>
      </c>
      <c r="N2456" t="n">
        <v>99.16</v>
      </c>
      <c r="O2456" t="n">
        <v>26.13908872901678</v>
      </c>
    </row>
    <row r="2457" hidden="1">
      <c r="A2457" s="11" t="n">
        <v>46078</v>
      </c>
      <c r="B2457" t="inlineStr">
        <is>
          <t>Daniel Gomes da Silva</t>
        </is>
      </c>
      <c r="C2457" t="inlineStr">
        <is>
          <t>Técnico I</t>
        </is>
      </c>
      <c r="D2457" t="n">
        <v>14</v>
      </c>
      <c r="E2457" t="n">
        <v>14</v>
      </c>
      <c r="F2457" t="n">
        <v>47.07</v>
      </c>
      <c r="G2457" t="n">
        <v>0</v>
      </c>
      <c r="H2457" t="n">
        <v>0</v>
      </c>
      <c r="I2457" s="3">
        <f>E2457+G2457+H2457</f>
        <v/>
      </c>
      <c r="J2457" s="3">
        <f>ROUND(MIN(IF(C2457="Técnico III",35,IF(C2457="Técnico II",28,IF(C2457="Técnico I",23,IF(C2457="JR",20,IF(C2457="Estágio",10,0))))),IF(C2457="Técnico III",SUMIFS($D:$D,$A:$A,$A2457,$B:$B,"&lt;&gt;Patrícia Karla de Sousa Araújo",$B:$B,"&lt;&gt;Lorena Dias de Araujo",$B:$B,"&lt;&gt;Lucas Luiz Romero")*(35/1083),IF(C2457="Técnico II",SUMIFS($D:$D,$A:$A,$A2457,$B:$B,"&lt;&gt;Patrícia Karla de Sousa Araújo",$B:$B,"&lt;&gt;Lorena Dias de Araujo",$B:$B,"&lt;&gt;Lucas Luiz Romero")*(28/1083),IF(C2457="Técnico I",SUMIFS($D:$D,$A:$A,$A2457,$B:$B,"&lt;&gt;Patrícia Karla de Sousa Araújo",$B:$B,"&lt;&gt;Lorena Dias de Araujo",$B:$B,"&lt;&gt;Lucas Luiz Romero")*(23/1083),IF(C2457="JR",SUMIFS($D:$D,$A:$A,$A2457,$B:$B,"&lt;&gt;Patrícia Karla de Sousa Araújo",$B:$B,"&lt;&gt;Lorena Dias de Araujo",$B:$B,"&lt;&gt;Lucas Luiz Romero")*(20/1083),IF(C2457="Estágio",SUMIFS($D:$D,$A:$A,$A2457,$B:$B,"&lt;&gt;Patrícia Karla de Sousa Araújo",$B:$B,"&lt;&gt;Lorena Dias de Araujo",$B:$B,"&lt;&gt;Lucas Luiz Romero")*(10/1083),0)))))),0)</f>
        <v/>
      </c>
      <c r="K2457" s="3">
        <f>I2457-J2457</f>
        <v/>
      </c>
      <c r="L2457" s="3">
        <f>IF(K2457&lt;-5,"CRÍTICO",IF(K2457&lt;0,"ATENÇÃO",IF(K2457&lt;=5,"BOM","EXCELENTE")))</f>
        <v/>
      </c>
      <c r="M2457" t="n">
        <v>11</v>
      </c>
      <c r="N2457" t="n">
        <v>100</v>
      </c>
      <c r="O2457" t="n">
        <v>31.08974358974359</v>
      </c>
    </row>
    <row r="2458" hidden="1">
      <c r="A2458" s="11" t="n">
        <v>46078</v>
      </c>
      <c r="B2458" t="inlineStr">
        <is>
          <t>Davylla Rodrigues Freitas Silva</t>
        </is>
      </c>
      <c r="C2458" t="inlineStr">
        <is>
          <t>Técnico III</t>
        </is>
      </c>
      <c r="D2458" t="n">
        <v>15</v>
      </c>
      <c r="E2458" t="n">
        <v>15</v>
      </c>
      <c r="F2458" t="n">
        <v>54.14</v>
      </c>
      <c r="G2458" t="n">
        <v>0</v>
      </c>
      <c r="H2458" t="n">
        <v>0</v>
      </c>
      <c r="I2458" s="3" t="n">
        <v>0</v>
      </c>
      <c r="J2458" s="3" t="n">
        <v>0</v>
      </c>
      <c r="K2458" s="3" t="n">
        <v>0</v>
      </c>
      <c r="L2458" s="3">
        <f>IF(K2458&lt;-5,"CRÍTICO",IF(K2458&lt;0,"ATENÇÃO",IF(K2458&lt;=5,"BOM","EXCELENTE")))</f>
        <v/>
      </c>
      <c r="M2458" t="n">
        <v>15</v>
      </c>
      <c r="N2458" t="n">
        <v>98.11</v>
      </c>
      <c r="O2458" t="n">
        <v>33.03370786516854</v>
      </c>
    </row>
    <row r="2459" hidden="1">
      <c r="A2459" s="11" t="n">
        <v>46078</v>
      </c>
      <c r="B2459" t="inlineStr">
        <is>
          <t>Emilly Caylane Costa</t>
        </is>
      </c>
      <c r="C2459" t="inlineStr">
        <is>
          <t>Estágio</t>
        </is>
      </c>
      <c r="D2459" t="n">
        <v>11</v>
      </c>
      <c r="E2459" t="n">
        <v>10</v>
      </c>
      <c r="F2459" t="n">
        <v>35.19</v>
      </c>
      <c r="G2459" t="n">
        <v>0</v>
      </c>
      <c r="H2459" t="n">
        <v>0</v>
      </c>
      <c r="I2459" s="3">
        <f>E2459+G2459+H2459</f>
        <v/>
      </c>
      <c r="J2459" s="3">
        <f>ROUND(MIN(IF(C2459="Técnico III",35,IF(C2459="Técnico II",28,IF(C2459="Técnico I",23,IF(C2459="JR",20,IF(C2459="Estágio",10,0))))),IF(C2459="Técnico III",SUMIFS($D:$D,$A:$A,$A2459,$B:$B,"&lt;&gt;Patrícia Karla de Sousa Araújo",$B:$B,"&lt;&gt;Lorena Dias de Araujo",$B:$B,"&lt;&gt;Lucas Luiz Romero")*(35/1083),IF(C2459="Técnico II",SUMIFS($D:$D,$A:$A,$A2459,$B:$B,"&lt;&gt;Patrícia Karla de Sousa Araújo",$B:$B,"&lt;&gt;Lorena Dias de Araujo",$B:$B,"&lt;&gt;Lucas Luiz Romero")*(28/1083),IF(C2459="Técnico I",SUMIFS($D:$D,$A:$A,$A2459,$B:$B,"&lt;&gt;Patrícia Karla de Sousa Araújo",$B:$B,"&lt;&gt;Lorena Dias de Araujo",$B:$B,"&lt;&gt;Lucas Luiz Romero")*(23/1083),IF(C2459="JR",SUMIFS($D:$D,$A:$A,$A2459,$B:$B,"&lt;&gt;Patrícia Karla de Sousa Araújo",$B:$B,"&lt;&gt;Lorena Dias de Araujo",$B:$B,"&lt;&gt;Lucas Luiz Romero")*(20/1083),IF(C2459="Estágio",SUMIFS($D:$D,$A:$A,$A2459,$B:$B,"&lt;&gt;Patrícia Karla de Sousa Araújo",$B:$B,"&lt;&gt;Lorena Dias de Araujo",$B:$B,"&lt;&gt;Lucas Luiz Romero")*(10/1083),0)))))),0)</f>
        <v/>
      </c>
      <c r="K2459" s="3">
        <f>I2459-J2459</f>
        <v/>
      </c>
      <c r="L2459" s="3">
        <f>IF(K2459&lt;-5,"CRÍTICO",IF(K2459&lt;0,"ATENÇÃO",IF(K2459&lt;=5,"BOM","EXCELENTE")))</f>
        <v/>
      </c>
      <c r="M2459" t="n">
        <v>5</v>
      </c>
      <c r="N2459" t="n">
        <v>78.95</v>
      </c>
      <c r="O2459" t="n">
        <v>38.98305084745763</v>
      </c>
    </row>
    <row r="2460" hidden="1">
      <c r="A2460" s="11" t="n">
        <v>46078</v>
      </c>
      <c r="B2460" t="inlineStr">
        <is>
          <t>Emilly Kamilly Medeiros Miranda</t>
        </is>
      </c>
      <c r="C2460" t="inlineStr">
        <is>
          <t>Técnico II</t>
        </is>
      </c>
      <c r="D2460" t="n">
        <v>18</v>
      </c>
      <c r="E2460" t="n">
        <v>17</v>
      </c>
      <c r="F2460" t="n">
        <v>20.52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M2460" t="n">
        <v>16</v>
      </c>
      <c r="N2460" t="n">
        <v>98.45</v>
      </c>
      <c r="O2460" t="n">
        <v>29.2817679558011</v>
      </c>
    </row>
    <row r="2461" hidden="1">
      <c r="A2461" s="11" t="n">
        <v>46078</v>
      </c>
      <c r="B2461" t="inlineStr">
        <is>
          <t>Francielson de Oliveira</t>
        </is>
      </c>
      <c r="C2461" t="inlineStr">
        <is>
          <t>Técnico III</t>
        </is>
      </c>
      <c r="D2461" t="n">
        <v>19</v>
      </c>
      <c r="E2461" t="n">
        <v>18</v>
      </c>
      <c r="F2461" t="n">
        <v>30.19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M2461" t="n">
        <v>19</v>
      </c>
      <c r="N2461" t="n">
        <v>97.84</v>
      </c>
      <c r="O2461" t="n">
        <v>26.28205128205128</v>
      </c>
    </row>
    <row r="2462" hidden="1">
      <c r="A2462" s="11" t="n">
        <v>46078</v>
      </c>
      <c r="B2462" t="inlineStr">
        <is>
          <t>Francilene Ferreira de Jesus</t>
        </is>
      </c>
      <c r="C2462" t="inlineStr">
        <is>
          <t>Técnico II</t>
        </is>
      </c>
      <c r="D2462" t="n">
        <v>25</v>
      </c>
      <c r="E2462" t="n">
        <v>21</v>
      </c>
      <c r="F2462" t="n">
        <v>32.38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M2462" t="n">
        <v>20</v>
      </c>
      <c r="N2462" t="n">
        <v>98.5</v>
      </c>
      <c r="O2462" t="n">
        <v>23.97769516728625</v>
      </c>
    </row>
    <row r="2463" hidden="1">
      <c r="A2463" s="11" t="n">
        <v>46112</v>
      </c>
      <c r="B2463" t="inlineStr">
        <is>
          <t>Gabriel Gomes de Andrade</t>
        </is>
      </c>
      <c r="C2463" t="inlineStr">
        <is>
          <t>Técnico I</t>
        </is>
      </c>
      <c r="D2463" t="n">
        <v>29</v>
      </c>
      <c r="E2463" t="n">
        <v>27</v>
      </c>
      <c r="F2463" t="n">
        <v>18.33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M2463" t="n">
        <v>22</v>
      </c>
      <c r="N2463" t="n">
        <v>99.05</v>
      </c>
      <c r="O2463" t="n">
        <v>26.62192393736018</v>
      </c>
    </row>
    <row r="2464" hidden="1">
      <c r="A2464" s="11" t="n">
        <v>46078</v>
      </c>
      <c r="B2464" t="inlineStr">
        <is>
          <t>Isabella Borges de Oliveira</t>
        </is>
      </c>
      <c r="C2464" t="inlineStr">
        <is>
          <t>Técnico II</t>
        </is>
      </c>
      <c r="D2464" t="n">
        <v>24</v>
      </c>
      <c r="E2464" t="n">
        <v>19</v>
      </c>
      <c r="F2464" t="n">
        <v>32.36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M2464" t="n">
        <v>18</v>
      </c>
      <c r="N2464" t="n">
        <v>98.53</v>
      </c>
      <c r="O2464" t="n">
        <v>31.57894736842105</v>
      </c>
    </row>
    <row r="2465" hidden="1">
      <c r="A2465" s="11" t="n">
        <v>46078</v>
      </c>
      <c r="B2465" t="inlineStr">
        <is>
          <t>Janaina Lima dos Reis Urany</t>
        </is>
      </c>
      <c r="C2465" t="inlineStr">
        <is>
          <t>Técnico III</t>
        </is>
      </c>
      <c r="D2465" t="n">
        <v>36</v>
      </c>
      <c r="E2465" t="n">
        <v>35</v>
      </c>
      <c r="F2465" t="n">
        <v>17.28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M2465" t="n">
        <v>32</v>
      </c>
      <c r="N2465" t="n">
        <v>100</v>
      </c>
      <c r="O2465" t="n">
        <v>25.72214580467676</v>
      </c>
    </row>
    <row r="2466" hidden="1">
      <c r="A2466" s="11" t="n">
        <v>46078</v>
      </c>
      <c r="B2466" t="inlineStr">
        <is>
          <t>Jaqueline Evangelista da Silva Martins</t>
        </is>
      </c>
      <c r="C2466" t="inlineStr">
        <is>
          <t>Técnico III</t>
        </is>
      </c>
      <c r="D2466" t="n">
        <v>21</v>
      </c>
      <c r="E2466" t="n">
        <v>17</v>
      </c>
      <c r="F2466" t="n">
        <v>19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M2466" t="n">
        <v>14</v>
      </c>
      <c r="N2466" t="n">
        <v>94.64</v>
      </c>
      <c r="O2466" t="n">
        <v>27.52941176470588</v>
      </c>
    </row>
    <row r="2467" hidden="1">
      <c r="A2467" s="11" t="n">
        <v>46078</v>
      </c>
      <c r="B2467" t="inlineStr">
        <is>
          <t>Jessica Faria da Silveira</t>
        </is>
      </c>
      <c r="C2467" t="inlineStr">
        <is>
          <t>Técnico II</t>
        </is>
      </c>
      <c r="D2467" t="n">
        <v>0</v>
      </c>
      <c r="E2467" t="n">
        <v>0</v>
      </c>
      <c r="F2467" t="n">
        <v>0</v>
      </c>
      <c r="G2467" t="n">
        <v>0</v>
      </c>
      <c r="H2467" t="n">
        <v>0</v>
      </c>
      <c r="I2467" s="3" t="n">
        <v>0</v>
      </c>
      <c r="J2467" s="3" t="n">
        <v>0</v>
      </c>
      <c r="K2467" s="3" t="n">
        <v>0</v>
      </c>
      <c r="L2467" s="3">
        <f>IF(K2467&lt;-5,"CRÍTICO",IF(K2467&lt;0,"ATENÇÃO",IF(K2467&lt;=5,"BOM","EXCELENTE")))</f>
        <v/>
      </c>
      <c r="M2467" t="n">
        <v>0</v>
      </c>
      <c r="N2467" t="n">
        <v>99.06999999999999</v>
      </c>
      <c r="O2467" t="n">
        <v>26.3768115942029</v>
      </c>
    </row>
    <row r="2468" hidden="1">
      <c r="A2468" s="11" t="n">
        <v>46078</v>
      </c>
      <c r="B2468" t="inlineStr">
        <is>
          <t>Jéssica Fé Moura</t>
        </is>
      </c>
      <c r="C2468" t="inlineStr">
        <is>
          <t>Técnico III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M2468" t="n">
        <v>0</v>
      </c>
      <c r="N2468" t="n">
        <v>100</v>
      </c>
      <c r="O2468" t="n">
        <v>0</v>
      </c>
    </row>
    <row r="2469" hidden="1">
      <c r="A2469" s="11" t="n">
        <v>46078</v>
      </c>
      <c r="B2469" t="inlineStr">
        <is>
          <t>Karina Gonçalves Martins</t>
        </is>
      </c>
      <c r="C2469" t="inlineStr">
        <is>
          <t>JR</t>
        </is>
      </c>
      <c r="D2469" t="n">
        <v>13</v>
      </c>
      <c r="E2469" t="n">
        <v>10</v>
      </c>
      <c r="F2469" t="n">
        <v>35.19</v>
      </c>
      <c r="G2469" t="n">
        <v>0</v>
      </c>
      <c r="H2469" t="n">
        <v>0</v>
      </c>
      <c r="I2469" s="3">
        <f>E2469+G2469+H2469</f>
        <v/>
      </c>
      <c r="J2469" s="3">
        <f>ROUND(MIN(IF(C2469="Técnico III",35,IF(C2469="Técnico II",28,IF(C2469="Técnico I",23,IF(C2469="JR",20,IF(C2469="Estágio",10,0))))),IF(C2469="Técnico III",SUMIFS($D:$D,$A:$A,$A2469,$B:$B,"&lt;&gt;Patrícia Karla de Sousa Araújo",$B:$B,"&lt;&gt;Lorena Dias de Araujo",$B:$B,"&lt;&gt;Lucas Luiz Romero")*(35/1083),IF(C2469="Técnico II",SUMIFS($D:$D,$A:$A,$A2469,$B:$B,"&lt;&gt;Patrícia Karla de Sousa Araújo",$B:$B,"&lt;&gt;Lorena Dias de Araujo",$B:$B,"&lt;&gt;Lucas Luiz Romero")*(28/1083),IF(C2469="Técnico I",SUMIFS($D:$D,$A:$A,$A2469,$B:$B,"&lt;&gt;Patrícia Karla de Sousa Araújo",$B:$B,"&lt;&gt;Lorena Dias de Araujo",$B:$B,"&lt;&gt;Lucas Luiz Romero")*(23/1083),IF(C2469="JR",SUMIFS($D:$D,$A:$A,$A2469,$B:$B,"&lt;&gt;Patrícia Karla de Sousa Araújo",$B:$B,"&lt;&gt;Lorena Dias de Araujo",$B:$B,"&lt;&gt;Lucas Luiz Romero")*(20/1083),IF(C2469="Estágio",SUMIFS($D:$D,$A:$A,$A2469,$B:$B,"&lt;&gt;Patrícia Karla de Sousa Araújo",$B:$B,"&lt;&gt;Lorena Dias de Araujo",$B:$B,"&lt;&gt;Lucas Luiz Romero")*(10/1083),0)))))),0)</f>
        <v/>
      </c>
      <c r="K2469" s="3">
        <f>I2469-J2469</f>
        <v/>
      </c>
      <c r="L2469" s="3">
        <f>IF(K2469&lt;-5,"CRÍTICO",IF(K2469&lt;0,"ATENÇÃO",IF(K2469&lt;=5,"BOM","EXCELENTE")))</f>
        <v/>
      </c>
      <c r="M2469" t="n">
        <v>8</v>
      </c>
      <c r="N2469" t="n">
        <v>98.48</v>
      </c>
      <c r="O2469" t="n">
        <v>27.85388127853881</v>
      </c>
    </row>
    <row r="2470" hidden="1">
      <c r="A2470" s="11" t="n">
        <v>46078</v>
      </c>
      <c r="B2470" t="inlineStr">
        <is>
          <t>Kerollen Cristielly de Jesus Siqueira</t>
        </is>
      </c>
      <c r="C2470" t="inlineStr">
        <is>
          <t>Técnico III</t>
        </is>
      </c>
      <c r="D2470" t="n">
        <v>0</v>
      </c>
      <c r="E2470" t="n">
        <v>0</v>
      </c>
      <c r="F2470" t="n">
        <v>0</v>
      </c>
      <c r="G2470" t="n">
        <v>0</v>
      </c>
      <c r="H2470" t="n">
        <v>0</v>
      </c>
      <c r="I2470" s="3" t="n">
        <v>0</v>
      </c>
      <c r="J2470" s="3" t="n">
        <v>0</v>
      </c>
      <c r="K2470" s="3" t="n">
        <v>0</v>
      </c>
      <c r="L2470" s="3">
        <f>IF(K2470&lt;-5,"CRÍTICO",IF(K2470&lt;0,"ATENÇÃO",IF(K2470&lt;=5,"BOM","EXCELENTE")))</f>
        <v/>
      </c>
      <c r="M2470" t="n">
        <v>30</v>
      </c>
      <c r="N2470" t="n">
        <v>95.15000000000001</v>
      </c>
      <c r="O2470" t="n">
        <v>34.13173652694611</v>
      </c>
    </row>
    <row r="2471" hidden="1">
      <c r="A2471" s="11" t="n">
        <v>46078</v>
      </c>
      <c r="B2471" t="inlineStr">
        <is>
          <t>Leandro de Souza Silva</t>
        </is>
      </c>
      <c r="C2471" t="inlineStr">
        <is>
          <t>JR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M2471" t="n">
        <v>0</v>
      </c>
      <c r="N2471" t="n">
        <v>0</v>
      </c>
      <c r="O2471" t="n">
        <v>0</v>
      </c>
    </row>
    <row r="2472" hidden="1">
      <c r="A2472" s="11" t="n">
        <v>46078</v>
      </c>
      <c r="B2472" t="inlineStr">
        <is>
          <t>Leandro Oliveira de Sousa</t>
        </is>
      </c>
      <c r="C2472" t="inlineStr">
        <is>
          <t>Técnico III</t>
        </is>
      </c>
      <c r="D2472" t="n">
        <v>18</v>
      </c>
      <c r="E2472" t="n">
        <v>17</v>
      </c>
      <c r="F2472" t="n">
        <v>25.28</v>
      </c>
      <c r="G2472" t="n">
        <v>0</v>
      </c>
      <c r="H2472" t="n">
        <v>0</v>
      </c>
      <c r="I2472" s="3">
        <f>E2472+G2472+H2472</f>
        <v/>
      </c>
      <c r="J2472" s="3">
        <f>ROUND(MIN(IF(C2472="Técnico III",35,IF(C2472="Técnico II",28,IF(C2472="Técnico I",23,IF(C2472="JR",20,IF(C2472="Estágio",10,0))))),IF(C2472="Técnico III",SUMIFS($D:$D,$A:$A,$A2472,$B:$B,"&lt;&gt;Patrícia Karla de Sousa Araújo",$B:$B,"&lt;&gt;Lorena Dias de Araujo",$B:$B,"&lt;&gt;Lucas Luiz Romero")*(35/1083),IF(C2472="Técnico II",SUMIFS($D:$D,$A:$A,$A2472,$B:$B,"&lt;&gt;Patrícia Karla de Sousa Araújo",$B:$B,"&lt;&gt;Lorena Dias de Araujo",$B:$B,"&lt;&gt;Lucas Luiz Romero")*(28/1083),IF(C2472="Técnico I",SUMIFS($D:$D,$A:$A,$A2472,$B:$B,"&lt;&gt;Patrícia Karla de Sousa Araújo",$B:$B,"&lt;&gt;Lorena Dias de Araujo",$B:$B,"&lt;&gt;Lucas Luiz Romero")*(23/1083),IF(C2472="JR",SUMIFS($D:$D,$A:$A,$A2472,$B:$B,"&lt;&gt;Patrícia Karla de Sousa Araújo",$B:$B,"&lt;&gt;Lorena Dias de Araujo",$B:$B,"&lt;&gt;Lucas Luiz Romero")*(20/1083),IF(C2472="Estágio",SUMIFS($D:$D,$A:$A,$A2472,$B:$B,"&lt;&gt;Patrícia Karla de Sousa Araújo",$B:$B,"&lt;&gt;Lorena Dias de Araujo",$B:$B,"&lt;&gt;Lucas Luiz Romero")*(10/1083),0)))))),0)</f>
        <v/>
      </c>
      <c r="K2472" s="3">
        <f>I2472-J2472</f>
        <v/>
      </c>
      <c r="L2472" s="3">
        <f>IF(K2472&lt;-5,"CRÍTICO",IF(K2472&lt;0,"ATENÇÃO",IF(K2472&lt;=5,"BOM","EXCELENTE")))</f>
        <v/>
      </c>
      <c r="M2472" t="n">
        <v>16</v>
      </c>
      <c r="N2472" t="n">
        <v>99.26000000000001</v>
      </c>
      <c r="O2472" t="n">
        <v>30.84832904884319</v>
      </c>
    </row>
    <row r="2473" hidden="1">
      <c r="A2473" s="11" t="n">
        <v>46078</v>
      </c>
      <c r="B2473" t="inlineStr">
        <is>
          <t>Lizandra Gomes Duarte</t>
        </is>
      </c>
      <c r="C2473" t="inlineStr">
        <is>
          <t>Técnico II</t>
        </is>
      </c>
      <c r="D2473" t="n">
        <v>31</v>
      </c>
      <c r="E2473" t="n">
        <v>27</v>
      </c>
      <c r="F2473" t="n">
        <v>25.11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M2473" t="n">
        <v>26</v>
      </c>
      <c r="N2473" t="n">
        <v>97.48</v>
      </c>
      <c r="O2473" t="n">
        <v>27.76470588235294</v>
      </c>
    </row>
    <row r="2474" hidden="1">
      <c r="A2474" s="11" t="n">
        <v>46078</v>
      </c>
      <c r="B2474" t="inlineStr">
        <is>
          <t>Lorena Dias de Araujo</t>
        </is>
      </c>
      <c r="C2474" t="inlineStr">
        <is>
          <t>Técnico II</t>
        </is>
      </c>
      <c r="D2474" t="n">
        <v>16</v>
      </c>
      <c r="E2474" t="n">
        <v>16</v>
      </c>
      <c r="F2474" t="n">
        <v>43.46</v>
      </c>
      <c r="G2474" t="n">
        <v>0</v>
      </c>
      <c r="H2474" t="n">
        <v>0</v>
      </c>
      <c r="I2474" s="3" t="n">
        <v>0</v>
      </c>
      <c r="J2474" s="3" t="n">
        <v>0</v>
      </c>
      <c r="K2474" s="3" t="n">
        <v>0</v>
      </c>
      <c r="L2474" s="3">
        <f>IF(K2474&lt;-5,"CRÍTICO",IF(K2474&lt;0,"ATENÇÃO",IF(K2474&lt;=5,"BOM","EXCELENTE")))</f>
        <v/>
      </c>
      <c r="M2474" t="n">
        <v>15</v>
      </c>
      <c r="N2474" t="n">
        <v>99.34</v>
      </c>
      <c r="O2474" t="n">
        <v>30.04291845493562</v>
      </c>
    </row>
    <row r="2475" hidden="1">
      <c r="A2475" s="11" t="n">
        <v>46078</v>
      </c>
      <c r="B2475" t="inlineStr">
        <is>
          <t>Lucas Luiz Romero</t>
        </is>
      </c>
      <c r="C2475" t="inlineStr">
        <is>
          <t>Técnico III</t>
        </is>
      </c>
      <c r="D2475" t="n">
        <v>50</v>
      </c>
      <c r="E2475" t="n">
        <v>44</v>
      </c>
      <c r="F2475" t="n">
        <v>13.46</v>
      </c>
      <c r="G2475" t="n">
        <v>0</v>
      </c>
      <c r="H2475" t="n">
        <v>0</v>
      </c>
      <c r="I2475" s="3">
        <f>E2475+G2475+H2475</f>
        <v/>
      </c>
      <c r="J2475" s="3">
        <f>ROUND(MIN(IF(C2475="Técnico III",35,IF(C2475="Técnico II",28,IF(C2475="Técnico I",23,IF(C2475="JR",20,IF(C2475="Estágio",10,0))))),IF(C2475="Técnico III",SUMIFS($D:$D,$A:$A,$A2475,$B:$B,"&lt;&gt;Patrícia Karla de Sousa Araújo",$B:$B,"&lt;&gt;Lorena Dias de Araujo",$B:$B,"&lt;&gt;Lucas Luiz Romero")*(35/1083),IF(C2475="Técnico II",SUMIFS($D:$D,$A:$A,$A2475,$B:$B,"&lt;&gt;Patrícia Karla de Sousa Araújo",$B:$B,"&lt;&gt;Lorena Dias de Araujo",$B:$B,"&lt;&gt;Lucas Luiz Romero")*(28/1083),IF(C2475="Técnico I",SUMIFS($D:$D,$A:$A,$A2475,$B:$B,"&lt;&gt;Patrícia Karla de Sousa Araújo",$B:$B,"&lt;&gt;Lorena Dias de Araujo",$B:$B,"&lt;&gt;Lucas Luiz Romero")*(23/1083),IF(C2475="JR",SUMIFS($D:$D,$A:$A,$A2475,$B:$B,"&lt;&gt;Patrícia Karla de Sousa Araújo",$B:$B,"&lt;&gt;Lorena Dias de Araujo",$B:$B,"&lt;&gt;Lucas Luiz Romero")*(20/1083),IF(C2475="Estágio",SUMIFS($D:$D,$A:$A,$A2475,$B:$B,"&lt;&gt;Patrícia Karla de Sousa Araújo",$B:$B,"&lt;&gt;Lorena Dias de Araujo",$B:$B,"&lt;&gt;Lucas Luiz Romero")*(10/1083),0)))))),0)</f>
        <v/>
      </c>
      <c r="K2475" s="3">
        <f>I2475-J2475</f>
        <v/>
      </c>
      <c r="L2475" s="3">
        <f>IF(K2475&lt;-5,"CRÍTICO",IF(K2475&lt;0,"ATENÇÃO",IF(K2475&lt;=5,"BOM","EXCELENTE")))</f>
        <v/>
      </c>
      <c r="M2475" t="n">
        <v>25</v>
      </c>
      <c r="N2475" t="n">
        <v>96.3</v>
      </c>
      <c r="O2475" t="n">
        <v>24.29378531073446</v>
      </c>
    </row>
    <row r="2476" hidden="1">
      <c r="A2476" s="11" t="n">
        <v>46078</v>
      </c>
      <c r="B2476" t="inlineStr">
        <is>
          <t>Luiz Fernando de Carvalho Junior</t>
        </is>
      </c>
      <c r="C2476" t="inlineStr">
        <is>
          <t>Técnico I</t>
        </is>
      </c>
      <c r="D2476" t="n">
        <v>15</v>
      </c>
      <c r="E2476" t="n">
        <v>15</v>
      </c>
      <c r="F2476" t="n">
        <v>33.35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M2476" t="n">
        <v>16</v>
      </c>
      <c r="N2476" t="n">
        <v>100</v>
      </c>
      <c r="O2476" t="n">
        <v>26.54320987654321</v>
      </c>
    </row>
    <row r="2477" hidden="1">
      <c r="A2477" s="11" t="n">
        <v>46078</v>
      </c>
      <c r="B2477" t="inlineStr">
        <is>
          <t>Maria Eduarda Sousa Costa</t>
        </is>
      </c>
      <c r="C2477" t="inlineStr">
        <is>
          <t>Estágio</t>
        </is>
      </c>
      <c r="D2477" t="n">
        <v>7</v>
      </c>
      <c r="E2477" t="n">
        <v>7</v>
      </c>
      <c r="F2477" t="n">
        <v>58.35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M2477" t="n">
        <v>6</v>
      </c>
      <c r="N2477" t="n">
        <v>100</v>
      </c>
      <c r="O2477" t="n">
        <v>35.48387096774194</v>
      </c>
    </row>
    <row r="2478" hidden="1">
      <c r="A2478" s="11" t="n">
        <v>46078</v>
      </c>
      <c r="B2478" t="inlineStr">
        <is>
          <t>Matheus Farias De Souza</t>
        </is>
      </c>
      <c r="C2478" t="inlineStr">
        <is>
          <t>Técnico III</t>
        </is>
      </c>
      <c r="D2478" t="n">
        <v>25</v>
      </c>
      <c r="E2478" t="n">
        <v>23</v>
      </c>
      <c r="F2478" t="n">
        <v>25.21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M2478" t="n">
        <v>22</v>
      </c>
      <c r="N2478" t="n">
        <v>99.27</v>
      </c>
      <c r="O2478" t="n">
        <v>31.16370808678501</v>
      </c>
    </row>
    <row r="2479" hidden="1">
      <c r="A2479" s="11" t="n">
        <v>46078</v>
      </c>
      <c r="B2479" t="inlineStr">
        <is>
          <t>Maysa Victoria Dias Moura</t>
        </is>
      </c>
      <c r="C2479" t="inlineStr">
        <is>
          <t>Técnico III</t>
        </is>
      </c>
      <c r="D2479" t="n">
        <v>19</v>
      </c>
      <c r="E2479" t="n">
        <v>18</v>
      </c>
      <c r="F2479" t="n">
        <v>29.04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M2479" t="n">
        <v>15</v>
      </c>
      <c r="N2479" t="n">
        <v>94.16</v>
      </c>
      <c r="O2479" t="n">
        <v>27.03862660944206</v>
      </c>
    </row>
    <row r="2480" hidden="1">
      <c r="A2480" s="11" t="n">
        <v>46078</v>
      </c>
      <c r="B2480" t="inlineStr">
        <is>
          <t>Michelle G Santos</t>
        </is>
      </c>
      <c r="C2480" t="inlineStr">
        <is>
          <t>Estágio</t>
        </is>
      </c>
      <c r="D2480" t="n">
        <v>13</v>
      </c>
      <c r="E2480" t="n">
        <v>13</v>
      </c>
      <c r="F2480" t="n">
        <v>37.2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M2480" t="n">
        <v>4</v>
      </c>
      <c r="N2480" t="n">
        <v>93.75</v>
      </c>
      <c r="O2480" t="n">
        <v>19.31818181818182</v>
      </c>
    </row>
    <row r="2481" hidden="1">
      <c r="A2481" s="11" t="n">
        <v>46078</v>
      </c>
      <c r="B2481" t="inlineStr">
        <is>
          <t>Milena Sales</t>
        </is>
      </c>
      <c r="C2481" t="inlineStr">
        <is>
          <t>JR</t>
        </is>
      </c>
      <c r="D2481" t="n">
        <v>0</v>
      </c>
      <c r="E2481" t="n">
        <v>0</v>
      </c>
      <c r="F2481" t="n">
        <v>0</v>
      </c>
      <c r="G2481" t="n">
        <v>0</v>
      </c>
      <c r="H2481" t="n">
        <v>0</v>
      </c>
      <c r="I2481" s="3" t="n">
        <v>0</v>
      </c>
      <c r="J2481" s="3" t="n">
        <v>0</v>
      </c>
      <c r="K2481" s="3" t="n">
        <v>0</v>
      </c>
      <c r="L2481" s="3">
        <f>IF(K2481&lt;-5,"CRÍTICO",IF(K2481&lt;0,"ATENÇÃO",IF(K2481&lt;=5,"BOM","EXCELENTE")))</f>
        <v/>
      </c>
      <c r="M2481" t="n">
        <v>0</v>
      </c>
      <c r="N2481" t="n">
        <v>0</v>
      </c>
      <c r="O2481" t="n">
        <v>0</v>
      </c>
    </row>
    <row r="2482" hidden="1">
      <c r="A2482" s="11" t="n">
        <v>46078</v>
      </c>
      <c r="B2482" t="inlineStr">
        <is>
          <t>Patrícia Karla de Sousa Araújo</t>
        </is>
      </c>
      <c r="C2482" t="inlineStr">
        <is>
          <t>Técnico II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M2482" t="n">
        <v>0</v>
      </c>
      <c r="N2482" t="n">
        <v>97.92</v>
      </c>
      <c r="O2482" t="n">
        <v>32.87671232876712</v>
      </c>
    </row>
    <row r="2483" hidden="1">
      <c r="A2483" s="11" t="n">
        <v>46078</v>
      </c>
      <c r="B2483" t="inlineStr">
        <is>
          <t>Paulo Ricardo Santos</t>
        </is>
      </c>
      <c r="C2483" t="inlineStr">
        <is>
          <t>JR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M2483" t="n">
        <v>0</v>
      </c>
      <c r="N2483" t="n">
        <v>0</v>
      </c>
      <c r="O2483" t="n">
        <v>0</v>
      </c>
    </row>
    <row r="2484" hidden="1">
      <c r="A2484" s="11" t="n">
        <v>46078</v>
      </c>
      <c r="B2484" t="inlineStr">
        <is>
          <t>Pedro Luiz Mota Sousa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M2484" t="n">
        <v>0</v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Quirino Diogo Leite Torres</t>
        </is>
      </c>
      <c r="C2485" t="inlineStr">
        <is>
          <t>Estágio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M2485" t="n">
        <v>0</v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Raane Batista Matos</t>
        </is>
      </c>
      <c r="C2486" t="inlineStr">
        <is>
          <t>Técnico I</t>
        </is>
      </c>
      <c r="D2486" t="n">
        <v>22</v>
      </c>
      <c r="E2486" t="n">
        <v>21</v>
      </c>
      <c r="F2486" t="n">
        <v>23.49</v>
      </c>
      <c r="G2486" t="n">
        <v>0</v>
      </c>
      <c r="H2486" t="n">
        <v>0</v>
      </c>
      <c r="I2486" s="3">
        <f>E2486+G2486+H2486</f>
        <v/>
      </c>
      <c r="J2486" s="3">
        <f>ROUND(MIN(IF(C2486="Técnico III",35,IF(C2486="Técnico II",28,IF(C2486="Técnico I",23,IF(C2486="JR",20,IF(C2486="Estágio",10,0))))),IF(C2486="Técnico III",SUMIFS($D:$D,$A:$A,$A2486,$B:$B,"&lt;&gt;Patrícia Karla de Sousa Araújo",$B:$B,"&lt;&gt;Lorena Dias de Araujo",$B:$B,"&lt;&gt;Lucas Luiz Romero")*(35/1083),IF(C2486="Técnico II",SUMIFS($D:$D,$A:$A,$A2486,$B:$B,"&lt;&gt;Patrícia Karla de Sousa Araújo",$B:$B,"&lt;&gt;Lorena Dias de Araujo",$B:$B,"&lt;&gt;Lucas Luiz Romero")*(28/1083),IF(C2486="Técnico I",SUMIFS($D:$D,$A:$A,$A2486,$B:$B,"&lt;&gt;Patrícia Karla de Sousa Araújo",$B:$B,"&lt;&gt;Lorena Dias de Araujo",$B:$B,"&lt;&gt;Lucas Luiz Romero")*(23/1083),IF(C2486="JR",SUMIFS($D:$D,$A:$A,$A2486,$B:$B,"&lt;&gt;Patrícia Karla de Sousa Araújo",$B:$B,"&lt;&gt;Lorena Dias de Araujo",$B:$B,"&lt;&gt;Lucas Luiz Romero")*(20/1083),IF(C2486="Estágio",SUMIFS($D:$D,$A:$A,$A2486,$B:$B,"&lt;&gt;Patrícia Karla de Sousa Araújo",$B:$B,"&lt;&gt;Lorena Dias de Araujo",$B:$B,"&lt;&gt;Lucas Luiz Romero")*(10/1083),0)))))),0)</f>
        <v/>
      </c>
      <c r="K2486" s="3">
        <f>I2486-J2486</f>
        <v/>
      </c>
      <c r="L2486" s="3">
        <f>IF(K2486&lt;-5,"CRÍTICO",IF(K2486&lt;0,"ATENÇÃO",IF(K2486&lt;=5,"BOM","EXCELENTE")))</f>
        <v/>
      </c>
      <c r="M2486" t="n">
        <v>17</v>
      </c>
      <c r="N2486" t="n">
        <v>98.51000000000001</v>
      </c>
      <c r="O2486" t="n">
        <v>29.71014492753623</v>
      </c>
    </row>
    <row r="2487" hidden="1">
      <c r="A2487" s="11" t="n">
        <v>46078</v>
      </c>
      <c r="B2487" t="inlineStr">
        <is>
          <t>Rafael Gomes de Morais</t>
        </is>
      </c>
      <c r="C2487" t="inlineStr">
        <is>
          <t>Técnico III</t>
        </is>
      </c>
      <c r="D2487" t="n">
        <v>36</v>
      </c>
      <c r="E2487" t="n">
        <v>33</v>
      </c>
      <c r="F2487" t="n">
        <v>20.29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M2487" t="n">
        <v>25</v>
      </c>
      <c r="N2487" t="n">
        <v>98.81</v>
      </c>
      <c r="O2487" t="n">
        <v>30.71297989031079</v>
      </c>
    </row>
    <row r="2488" hidden="1">
      <c r="A2488" s="11" t="n">
        <v>46078</v>
      </c>
      <c r="B2488" t="inlineStr">
        <is>
          <t>Sara Maria Monteiro Lopes</t>
        </is>
      </c>
      <c r="C2488" t="inlineStr">
        <is>
          <t>Técnico I</t>
        </is>
      </c>
      <c r="D2488" t="n">
        <v>12</v>
      </c>
      <c r="E2488" t="n">
        <v>5</v>
      </c>
      <c r="F2488" t="n">
        <v>15.23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M2488" t="n">
        <v>10</v>
      </c>
      <c r="N2488" t="n">
        <v>98.48</v>
      </c>
      <c r="O2488" t="n">
        <v>29.35323383084577</v>
      </c>
    </row>
    <row r="2489" hidden="1">
      <c r="A2489" s="11" t="n">
        <v>46078</v>
      </c>
      <c r="B2489" t="inlineStr">
        <is>
          <t>Sarah Steffanie de Lima Borges</t>
        </is>
      </c>
      <c r="C2489" t="inlineStr">
        <is>
          <t>Técnico III</t>
        </is>
      </c>
      <c r="D2489" t="n">
        <v>27</v>
      </c>
      <c r="E2489" t="n">
        <v>26</v>
      </c>
      <c r="F2489" t="n">
        <v>25.24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M2489" t="n">
        <v>21</v>
      </c>
      <c r="N2489" t="n">
        <v>98.56</v>
      </c>
      <c r="O2489" t="n">
        <v>29.37365010799136</v>
      </c>
    </row>
    <row r="2490" hidden="1">
      <c r="A2490" s="11" t="n">
        <v>46079</v>
      </c>
      <c r="B2490" t="inlineStr">
        <is>
          <t>Alisson de Freitas Silva</t>
        </is>
      </c>
      <c r="C2490" t="inlineStr">
        <is>
          <t>Técnico II</t>
        </is>
      </c>
      <c r="D2490" t="n">
        <v>20</v>
      </c>
      <c r="E2490" t="n">
        <v>19</v>
      </c>
      <c r="F2490" t="n">
        <v>26.4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M2490" t="n">
        <v>18</v>
      </c>
      <c r="N2490" t="n">
        <v>98.31999999999999</v>
      </c>
      <c r="O2490" t="n">
        <v>30.3030303030303</v>
      </c>
    </row>
    <row r="2491" hidden="1">
      <c r="A2491" s="11" t="n">
        <v>46079</v>
      </c>
      <c r="B2491" t="inlineStr">
        <is>
          <t>Amanda Moura Ferreira</t>
        </is>
      </c>
      <c r="C2491" t="inlineStr">
        <is>
          <t>Técnico III</t>
        </is>
      </c>
      <c r="D2491" t="n">
        <v>0</v>
      </c>
      <c r="E2491" t="n">
        <v>0</v>
      </c>
      <c r="F2491" t="n">
        <v>0</v>
      </c>
      <c r="G2491" t="n">
        <v>0</v>
      </c>
      <c r="H2491" t="n">
        <v>0</v>
      </c>
      <c r="I2491" s="3" t="n">
        <v>0</v>
      </c>
      <c r="J2491" s="3" t="n">
        <v>0</v>
      </c>
      <c r="K2491" s="3" t="n">
        <v>0</v>
      </c>
      <c r="L2491" s="3">
        <f>IF(K2491&lt;-5,"CRÍTICO",IF(K2491&lt;0,"ATENÇÃO",IF(K2491&lt;=5,"BOM","EXCELENTE")))</f>
        <v/>
      </c>
      <c r="M2491" t="n">
        <v>22</v>
      </c>
      <c r="N2491" t="n">
        <v>98.68000000000001</v>
      </c>
      <c r="O2491" t="n">
        <v>26.21951219512195</v>
      </c>
    </row>
    <row r="2492" hidden="1">
      <c r="A2492" s="11" t="n">
        <v>46079</v>
      </c>
      <c r="B2492" t="inlineStr">
        <is>
          <t>Ana Karollyne Souza Faria</t>
        </is>
      </c>
      <c r="C2492" t="inlineStr">
        <is>
          <t>Técnico I</t>
        </is>
      </c>
      <c r="D2492" t="n">
        <v>25</v>
      </c>
      <c r="E2492" t="n">
        <v>24</v>
      </c>
      <c r="F2492" t="n">
        <v>27.07</v>
      </c>
      <c r="G2492" t="n">
        <v>0</v>
      </c>
      <c r="H2492" t="n">
        <v>0</v>
      </c>
      <c r="I2492" s="3">
        <f>E2492+G2492+H2492</f>
        <v/>
      </c>
      <c r="J2492" s="3">
        <f>ROUND(MIN(IF(C2492="Técnico III",35,IF(C2492="Técnico II",28,IF(C2492="Técnico I",23,IF(C2492="JR",20,IF(C2492="Estágio",10,0))))),IF(C2492="Técnico III",SUMIFS($D:$D,$A:$A,$A2492,$B:$B,"&lt;&gt;Patrícia Karla de Sousa Araújo",$B:$B,"&lt;&gt;Lorena Dias de Araujo",$B:$B,"&lt;&gt;Lucas Luiz Romero")*(35/1083),IF(C2492="Técnico II",SUMIFS($D:$D,$A:$A,$A2492,$B:$B,"&lt;&gt;Patrícia Karla de Sousa Araújo",$B:$B,"&lt;&gt;Lorena Dias de Araujo",$B:$B,"&lt;&gt;Lucas Luiz Romero")*(28/1083),IF(C2492="Técnico I",SUMIFS($D:$D,$A:$A,$A2492,$B:$B,"&lt;&gt;Patrícia Karla de Sousa Araújo",$B:$B,"&lt;&gt;Lorena Dias de Araujo",$B:$B,"&lt;&gt;Lucas Luiz Romero")*(23/1083),IF(C2492="JR",SUMIFS($D:$D,$A:$A,$A2492,$B:$B,"&lt;&gt;Patrícia Karla de Sousa Araújo",$B:$B,"&lt;&gt;Lorena Dias de Araujo",$B:$B,"&lt;&gt;Lucas Luiz Romero")*(20/1083),IF(C2492="Estágio",SUMIFS($D:$D,$A:$A,$A2492,$B:$B,"&lt;&gt;Patrícia Karla de Sousa Araújo",$B:$B,"&lt;&gt;Lorena Dias de Araujo",$B:$B,"&lt;&gt;Lucas Luiz Romero")*(10/1083),0)))))),0)</f>
        <v/>
      </c>
      <c r="K2492" s="3">
        <f>I2492-J2492</f>
        <v/>
      </c>
      <c r="L2492" s="3">
        <f>IF(K2492&lt;-5,"CRÍTICO",IF(K2492&lt;0,"ATENÇÃO",IF(K2492&lt;=5,"BOM","EXCELENTE")))</f>
        <v/>
      </c>
      <c r="M2492" t="n">
        <v>25</v>
      </c>
      <c r="N2492" t="n">
        <v>100</v>
      </c>
      <c r="O2492" t="n">
        <v>31.74224343675418</v>
      </c>
    </row>
    <row r="2493" hidden="1">
      <c r="A2493" s="11" t="n">
        <v>46079</v>
      </c>
      <c r="B2493" t="inlineStr">
        <is>
          <t>Ana Paula Da Luz Silva Aleixo</t>
        </is>
      </c>
      <c r="C2493" t="inlineStr">
        <is>
          <t>Técnico III</t>
        </is>
      </c>
      <c r="D2493" t="n">
        <v>21</v>
      </c>
      <c r="E2493" t="n">
        <v>20</v>
      </c>
      <c r="F2493" t="n">
        <v>31.56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M2493" t="n">
        <v>22</v>
      </c>
      <c r="N2493" t="n">
        <v>98.25</v>
      </c>
      <c r="O2493" t="n">
        <v>25.83518930957684</v>
      </c>
    </row>
    <row r="2494" hidden="1">
      <c r="A2494" s="11" t="n">
        <v>46079</v>
      </c>
      <c r="B2494" t="inlineStr">
        <is>
          <t>Anna Luiza Rezende Tavares</t>
        </is>
      </c>
      <c r="C2494" t="inlineStr">
        <is>
          <t>Estágio</t>
        </is>
      </c>
      <c r="D2494" t="n">
        <v>11</v>
      </c>
      <c r="E2494" t="n">
        <v>9</v>
      </c>
      <c r="F2494" t="n">
        <v>32.06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M2494" t="n">
        <v>11</v>
      </c>
      <c r="N2494" t="n">
        <v>97.5</v>
      </c>
      <c r="O2494" t="n">
        <v>30.07518796992481</v>
      </c>
    </row>
    <row r="2495" hidden="1">
      <c r="A2495" s="11" t="n">
        <v>46079</v>
      </c>
      <c r="B2495" t="inlineStr">
        <is>
          <t>Brenda de Menezes Silva</t>
        </is>
      </c>
      <c r="C2495" t="inlineStr">
        <is>
          <t>Técnico II</t>
        </is>
      </c>
      <c r="D2495" t="n">
        <v>27</v>
      </c>
      <c r="E2495" t="n">
        <v>26</v>
      </c>
      <c r="F2495" t="n">
        <v>20.26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M2495" t="n">
        <v>23</v>
      </c>
      <c r="N2495" t="n">
        <v>100</v>
      </c>
      <c r="O2495" t="n">
        <v>29.71311475409836</v>
      </c>
    </row>
    <row r="2496" hidden="1">
      <c r="A2496" s="11" t="n">
        <v>46079</v>
      </c>
      <c r="B2496" t="inlineStr">
        <is>
          <t>Carlos Mateus Cassimiro Nunes</t>
        </is>
      </c>
      <c r="C2496" t="inlineStr">
        <is>
          <t>Técnico II</t>
        </is>
      </c>
      <c r="D2496" t="n">
        <v>11</v>
      </c>
      <c r="E2496" t="n">
        <v>11</v>
      </c>
      <c r="F2496" t="n">
        <v>60.37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M2496" t="n">
        <v>10</v>
      </c>
      <c r="N2496" t="n">
        <v>99.22</v>
      </c>
      <c r="O2496" t="n">
        <v>35.25641025641026</v>
      </c>
    </row>
    <row r="2497" hidden="1">
      <c r="A2497" s="11" t="n">
        <v>46079</v>
      </c>
      <c r="B2497" t="inlineStr">
        <is>
          <t>Claudio de Sousa Velasco Filho</t>
        </is>
      </c>
      <c r="C2497" t="inlineStr">
        <is>
          <t>Estágio</t>
        </is>
      </c>
      <c r="D2497" t="n">
        <v>0</v>
      </c>
      <c r="E2497" t="n">
        <v>0</v>
      </c>
      <c r="F2497" t="n">
        <v>0</v>
      </c>
      <c r="G2497" t="n">
        <v>0</v>
      </c>
      <c r="H2497" t="n">
        <v>0</v>
      </c>
      <c r="I2497" s="3" t="n">
        <v>0</v>
      </c>
      <c r="J2497" s="3" t="n">
        <v>0</v>
      </c>
      <c r="K2497" s="3" t="n">
        <v>0</v>
      </c>
      <c r="L2497" s="3">
        <f>IF(K2497&lt;-5,"CRÍTICO",IF(K2497&lt;0,"ATENÇÃO",IF(K2497&lt;=5,"BOM","EXCELENTE")))</f>
        <v/>
      </c>
      <c r="M2497" t="n">
        <v>0</v>
      </c>
      <c r="N2497" t="n">
        <v>0</v>
      </c>
      <c r="O2497" t="n">
        <v>0</v>
      </c>
    </row>
    <row r="2498" hidden="1">
      <c r="A2498" s="11" t="n">
        <v>46079</v>
      </c>
      <c r="B2498" t="inlineStr">
        <is>
          <t>Clessiane Pereira dos Santos</t>
        </is>
      </c>
      <c r="C2498" t="inlineStr">
        <is>
          <t>Técnico I</t>
        </is>
      </c>
      <c r="D2498" t="n">
        <v>16</v>
      </c>
      <c r="E2498" t="n">
        <v>15</v>
      </c>
      <c r="F2498" t="n">
        <v>40.14</v>
      </c>
      <c r="G2498" t="n">
        <v>0</v>
      </c>
      <c r="H2498" t="n">
        <v>0</v>
      </c>
      <c r="I2498" s="3">
        <f>E2498+G2498+H2498</f>
        <v/>
      </c>
      <c r="J2498" s="3">
        <f>ROUND(MIN(IF(C2498="Técnico III",35,IF(C2498="Técnico II",28,IF(C2498="Técnico I",23,IF(C2498="JR",20,IF(C2498="Estágio",10,0))))),IF(C2498="Técnico III",SUMIFS($D:$D,$A:$A,$A2498,$B:$B,"&lt;&gt;Patrícia Karla de Sousa Araújo",$B:$B,"&lt;&gt;Lorena Dias de Araujo",$B:$B,"&lt;&gt;Lucas Luiz Romero")*(35/1083),IF(C2498="Técnico II",SUMIFS($D:$D,$A:$A,$A2498,$B:$B,"&lt;&gt;Patrícia Karla de Sousa Araújo",$B:$B,"&lt;&gt;Lorena Dias de Araujo",$B:$B,"&lt;&gt;Lucas Luiz Romero")*(28/1083),IF(C2498="Técnico I",SUMIFS($D:$D,$A:$A,$A2498,$B:$B,"&lt;&gt;Patrícia Karla de Sousa Araújo",$B:$B,"&lt;&gt;Lorena Dias de Araujo",$B:$B,"&lt;&gt;Lucas Luiz Romero")*(23/1083),IF(C2498="JR",SUMIFS($D:$D,$A:$A,$A2498,$B:$B,"&lt;&gt;Patrícia Karla de Sousa Araújo",$B:$B,"&lt;&gt;Lorena Dias de Araujo",$B:$B,"&lt;&gt;Lucas Luiz Romero")*(20/1083),IF(C2498="Estágio",SUMIFS($D:$D,$A:$A,$A2498,$B:$B,"&lt;&gt;Patrícia Karla de Sousa Araújo",$B:$B,"&lt;&gt;Lorena Dias de Araujo",$B:$B,"&lt;&gt;Lucas Luiz Romero")*(10/1083),0)))))),0)</f>
        <v/>
      </c>
      <c r="K2498" s="3">
        <f>I2498-J2498</f>
        <v/>
      </c>
      <c r="L2498" s="3">
        <f>IF(K2498&lt;-5,"CRÍTICO",IF(K2498&lt;0,"ATENÇÃO",IF(K2498&lt;=5,"BOM","EXCELENTE")))</f>
        <v/>
      </c>
      <c r="M2498" t="n">
        <v>13</v>
      </c>
      <c r="N2498" t="n">
        <v>98.75</v>
      </c>
      <c r="O2498" t="n">
        <v>24.32432432432433</v>
      </c>
    </row>
    <row r="2499" hidden="1">
      <c r="A2499" s="11" t="n">
        <v>46079</v>
      </c>
      <c r="B2499" t="inlineStr">
        <is>
          <t>Cristiane Ramos da Silva Rocha</t>
        </is>
      </c>
      <c r="C2499" t="inlineStr">
        <is>
          <t>Técnico III</t>
        </is>
      </c>
      <c r="D2499" t="n">
        <v>21</v>
      </c>
      <c r="E2499" t="n">
        <v>21</v>
      </c>
      <c r="F2499" t="n">
        <v>33.28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M2499" t="n">
        <v>20</v>
      </c>
      <c r="N2499" t="n">
        <v>93.48</v>
      </c>
      <c r="O2499" t="n">
        <v>31.52804642166344</v>
      </c>
    </row>
    <row r="2500" hidden="1">
      <c r="A2500" s="11" t="n">
        <v>46079</v>
      </c>
      <c r="B2500" t="inlineStr">
        <is>
          <t>Damyllis Lorraine de Oliveira Gonçalves</t>
        </is>
      </c>
      <c r="C2500" t="inlineStr">
        <is>
          <t>Técnico II</t>
        </is>
      </c>
      <c r="D2500" t="n">
        <v>19</v>
      </c>
      <c r="E2500" t="n">
        <v>17</v>
      </c>
      <c r="F2500" t="n">
        <v>33.27</v>
      </c>
      <c r="G2500" t="n">
        <v>0</v>
      </c>
      <c r="H2500" t="n">
        <v>0</v>
      </c>
      <c r="I2500" s="3" t="n">
        <v>0</v>
      </c>
      <c r="J2500" s="3" t="n">
        <v>0</v>
      </c>
      <c r="K2500" s="3" t="n">
        <v>0</v>
      </c>
      <c r="L2500" s="3">
        <f>IF(K2500&lt;-5,"CRÍTICO",IF(K2500&lt;0,"ATENÇÃO",IF(K2500&lt;=5,"BOM","EXCELENTE")))</f>
        <v/>
      </c>
      <c r="M2500" t="n">
        <v>14</v>
      </c>
      <c r="N2500" t="n">
        <v>99.16</v>
      </c>
      <c r="O2500" t="n">
        <v>26.13908872901678</v>
      </c>
    </row>
    <row r="2501" hidden="1">
      <c r="A2501" s="11" t="n">
        <v>46079</v>
      </c>
      <c r="B2501" t="inlineStr">
        <is>
          <t>Daniel Gomes da Silva</t>
        </is>
      </c>
      <c r="C2501" t="inlineStr">
        <is>
          <t>Técnico I</t>
        </is>
      </c>
      <c r="D2501" t="n">
        <v>13</v>
      </c>
      <c r="E2501" t="n">
        <v>13</v>
      </c>
      <c r="F2501" t="n">
        <v>51.46</v>
      </c>
      <c r="G2501" t="n">
        <v>0</v>
      </c>
      <c r="H2501" t="n">
        <v>0</v>
      </c>
      <c r="I2501" s="3">
        <f>E2501+G2501+H2501</f>
        <v/>
      </c>
      <c r="J2501" s="3">
        <f>ROUND(MIN(IF(C2501="Técnico III",35,IF(C2501="Técnico II",28,IF(C2501="Técnico I",23,IF(C2501="JR",20,IF(C2501="Estágio",10,0))))),IF(C2501="Técnico III",SUMIFS($D:$D,$A:$A,$A2501,$B:$B,"&lt;&gt;Patrícia Karla de Sousa Araújo",$B:$B,"&lt;&gt;Lorena Dias de Araujo",$B:$B,"&lt;&gt;Lucas Luiz Romero")*(35/1083),IF(C2501="Técnico II",SUMIFS($D:$D,$A:$A,$A2501,$B:$B,"&lt;&gt;Patrícia Karla de Sousa Araújo",$B:$B,"&lt;&gt;Lorena Dias de Araujo",$B:$B,"&lt;&gt;Lucas Luiz Romero")*(28/1083),IF(C2501="Técnico I",SUMIFS($D:$D,$A:$A,$A2501,$B:$B,"&lt;&gt;Patrícia Karla de Sousa Araújo",$B:$B,"&lt;&gt;Lorena Dias de Araujo",$B:$B,"&lt;&gt;Lucas Luiz Romero")*(23/1083),IF(C2501="JR",SUMIFS($D:$D,$A:$A,$A2501,$B:$B,"&lt;&gt;Patrícia Karla de Sousa Araújo",$B:$B,"&lt;&gt;Lorena Dias de Araujo",$B:$B,"&lt;&gt;Lucas Luiz Romero")*(20/1083),IF(C2501="Estágio",SUMIFS($D:$D,$A:$A,$A2501,$B:$B,"&lt;&gt;Patrícia Karla de Sousa Araújo",$B:$B,"&lt;&gt;Lorena Dias de Araujo",$B:$B,"&lt;&gt;Lucas Luiz Romero")*(10/1083),0)))))),0)</f>
        <v/>
      </c>
      <c r="K2501" s="3">
        <f>I2501-J2501</f>
        <v/>
      </c>
      <c r="L2501" s="3">
        <f>IF(K2501&lt;-5,"CRÍTICO",IF(K2501&lt;0,"ATENÇÃO",IF(K2501&lt;=5,"BOM","EXCELENTE")))</f>
        <v/>
      </c>
      <c r="M2501" t="n">
        <v>8</v>
      </c>
      <c r="N2501" t="n">
        <v>100</v>
      </c>
      <c r="O2501" t="n">
        <v>31.08974358974359</v>
      </c>
    </row>
    <row r="2502" hidden="1">
      <c r="A2502" s="11" t="n">
        <v>46079</v>
      </c>
      <c r="B2502" t="inlineStr">
        <is>
          <t>Davylla Rodrigues Freitas Silva</t>
        </is>
      </c>
      <c r="C2502" t="inlineStr">
        <is>
          <t>Técnico III</t>
        </is>
      </c>
      <c r="D2502" t="n">
        <v>18</v>
      </c>
      <c r="E2502" t="n">
        <v>17</v>
      </c>
      <c r="F2502" t="n">
        <v>40.32</v>
      </c>
      <c r="G2502" t="n">
        <v>0</v>
      </c>
      <c r="H2502" t="n">
        <v>0</v>
      </c>
      <c r="I2502" s="3" t="n">
        <v>0</v>
      </c>
      <c r="J2502" s="3" t="n">
        <v>0</v>
      </c>
      <c r="K2502" s="3" t="n">
        <v>0</v>
      </c>
      <c r="L2502" s="3">
        <f>IF(K2502&lt;-5,"CRÍTICO",IF(K2502&lt;0,"ATENÇÃO",IF(K2502&lt;=5,"BOM","EXCELENTE")))</f>
        <v/>
      </c>
      <c r="M2502" t="n">
        <v>18</v>
      </c>
      <c r="N2502" t="n">
        <v>98.11</v>
      </c>
      <c r="O2502" t="n">
        <v>33.03370786516854</v>
      </c>
    </row>
    <row r="2503" hidden="1">
      <c r="A2503" s="11" t="n">
        <v>46079</v>
      </c>
      <c r="B2503" t="inlineStr">
        <is>
          <t>Emilly Caylane Costa</t>
        </is>
      </c>
      <c r="C2503" t="inlineStr">
        <is>
          <t>Estágio</t>
        </is>
      </c>
      <c r="D2503" t="n">
        <v>8</v>
      </c>
      <c r="E2503" t="n">
        <v>8</v>
      </c>
      <c r="F2503" t="n">
        <v>45.06</v>
      </c>
      <c r="G2503" t="n">
        <v>0</v>
      </c>
      <c r="H2503" t="n">
        <v>0</v>
      </c>
      <c r="I2503" s="3">
        <f>E2503+G2503+H2503</f>
        <v/>
      </c>
      <c r="J2503" s="3">
        <f>ROUND(MIN(IF(C2503="Técnico III",35,IF(C2503="Técnico II",28,IF(C2503="Técnico I",23,IF(C2503="JR",20,IF(C2503="Estágio",10,0))))),IF(C2503="Técnico III",SUMIFS($D:$D,$A:$A,$A2503,$B:$B,"&lt;&gt;Patrícia Karla de Sousa Araújo",$B:$B,"&lt;&gt;Lorena Dias de Araujo",$B:$B,"&lt;&gt;Lucas Luiz Romero")*(35/1083),IF(C2503="Técnico II",SUMIFS($D:$D,$A:$A,$A2503,$B:$B,"&lt;&gt;Patrícia Karla de Sousa Araújo",$B:$B,"&lt;&gt;Lorena Dias de Araujo",$B:$B,"&lt;&gt;Lucas Luiz Romero")*(28/1083),IF(C2503="Técnico I",SUMIFS($D:$D,$A:$A,$A2503,$B:$B,"&lt;&gt;Patrícia Karla de Sousa Araújo",$B:$B,"&lt;&gt;Lorena Dias de Araujo",$B:$B,"&lt;&gt;Lucas Luiz Romero")*(23/1083),IF(C2503="JR",SUMIFS($D:$D,$A:$A,$A2503,$B:$B,"&lt;&gt;Patrícia Karla de Sousa Araújo",$B:$B,"&lt;&gt;Lorena Dias de Araujo",$B:$B,"&lt;&gt;Lucas Luiz Romero")*(20/1083),IF(C2503="Estágio",SUMIFS($D:$D,$A:$A,$A2503,$B:$B,"&lt;&gt;Patrícia Karla de Sousa Araújo",$B:$B,"&lt;&gt;Lorena Dias de Araujo",$B:$B,"&lt;&gt;Lucas Luiz Romero")*(10/1083),0)))))),0)</f>
        <v/>
      </c>
      <c r="K2503" s="3">
        <f>I2503-J2503</f>
        <v/>
      </c>
      <c r="L2503" s="3">
        <f>IF(K2503&lt;-5,"CRÍTICO",IF(K2503&lt;0,"ATENÇÃO",IF(K2503&lt;=5,"BOM","EXCELENTE")))</f>
        <v/>
      </c>
      <c r="M2503" t="n">
        <v>4</v>
      </c>
      <c r="N2503" t="n">
        <v>78.95</v>
      </c>
      <c r="O2503" t="n">
        <v>38.98305084745763</v>
      </c>
    </row>
    <row r="2504" hidden="1">
      <c r="A2504" s="11" t="n">
        <v>46079</v>
      </c>
      <c r="B2504" t="inlineStr">
        <is>
          <t>Emilly Kamilly Medeiros Miranda</t>
        </is>
      </c>
      <c r="C2504" t="inlineStr">
        <is>
          <t>Técnico II</t>
        </is>
      </c>
      <c r="D2504" t="n">
        <v>23</v>
      </c>
      <c r="E2504" t="n">
        <v>22</v>
      </c>
      <c r="F2504" t="n">
        <v>29.14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M2504" t="n">
        <v>20</v>
      </c>
      <c r="N2504" t="n">
        <v>98.45</v>
      </c>
      <c r="O2504" t="n">
        <v>29.2817679558011</v>
      </c>
    </row>
    <row r="2505" hidden="1">
      <c r="A2505" s="11" t="n">
        <v>46079</v>
      </c>
      <c r="B2505" t="inlineStr">
        <is>
          <t>Francielson de Oliveira</t>
        </is>
      </c>
      <c r="C2505" t="inlineStr">
        <is>
          <t>Técnico III</t>
        </is>
      </c>
      <c r="D2505" t="n">
        <v>22</v>
      </c>
      <c r="E2505" t="n">
        <v>21</v>
      </c>
      <c r="F2505" t="n">
        <v>28.42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M2505" t="n">
        <v>20</v>
      </c>
      <c r="N2505" t="n">
        <v>97.84</v>
      </c>
      <c r="O2505" t="n">
        <v>26.28205128205128</v>
      </c>
    </row>
    <row r="2506" hidden="1">
      <c r="A2506" s="11" t="n">
        <v>46079</v>
      </c>
      <c r="B2506" t="inlineStr">
        <is>
          <t>Francilene Ferreira de Jesus</t>
        </is>
      </c>
      <c r="C2506" t="inlineStr">
        <is>
          <t>Técnico II</t>
        </is>
      </c>
      <c r="D2506" t="n">
        <v>23</v>
      </c>
      <c r="E2506" t="n">
        <v>22</v>
      </c>
      <c r="F2506" t="n">
        <v>30.31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M2506" t="n">
        <v>19</v>
      </c>
      <c r="N2506" t="n">
        <v>98.5</v>
      </c>
      <c r="O2506" t="n">
        <v>23.97769516728625</v>
      </c>
    </row>
    <row r="2507" hidden="1">
      <c r="A2507" s="11" t="n">
        <v>46113</v>
      </c>
      <c r="B2507" t="inlineStr">
        <is>
          <t>Gabriel Gomes de Andrade</t>
        </is>
      </c>
      <c r="C2507" t="inlineStr">
        <is>
          <t>Técnico I</t>
        </is>
      </c>
      <c r="D2507" t="n">
        <v>25</v>
      </c>
      <c r="E2507" t="n">
        <v>25</v>
      </c>
      <c r="F2507" t="n">
        <v>20.4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IF(K2507&lt;-5,"CRÍTICO",IF(K2507&lt;0,"ATENÇÃO",IF(K2507&lt;=5,"OPORTUNO","MUITO BOM")))</f>
        <v/>
      </c>
      <c r="M2507" t="n">
        <v>23</v>
      </c>
      <c r="N2507" t="n">
        <v>99.28</v>
      </c>
      <c r="O2507" t="n">
        <v>27.68924302788844</v>
      </c>
    </row>
    <row r="2508" hidden="1">
      <c r="A2508" s="11" t="n">
        <v>46079</v>
      </c>
      <c r="B2508" t="inlineStr">
        <is>
          <t>Isabella Borges de Oliveira</t>
        </is>
      </c>
      <c r="C2508" t="inlineStr">
        <is>
          <t>Técnico II</t>
        </is>
      </c>
      <c r="D2508" t="n">
        <v>29</v>
      </c>
      <c r="E2508" t="n">
        <v>26</v>
      </c>
      <c r="F2508" t="n">
        <v>23.29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IF(K2508&lt;-5,"CRÍTICO",IF(K2508&lt;0,"ATENÇÃO",IF(K2508&lt;=5,"BOM","EXCELENTE")))</f>
        <v/>
      </c>
      <c r="M2508" t="n">
        <v>23</v>
      </c>
      <c r="N2508" t="n">
        <v>98.53</v>
      </c>
      <c r="O2508" t="n">
        <v>31.57894736842105</v>
      </c>
    </row>
    <row r="2509" hidden="1">
      <c r="A2509" s="11" t="n">
        <v>46079</v>
      </c>
      <c r="B2509" t="inlineStr">
        <is>
          <t>Janaina Lima dos Reis Urany</t>
        </is>
      </c>
      <c r="C2509" t="inlineStr">
        <is>
          <t>Técnico III</t>
        </is>
      </c>
      <c r="D2509" t="n">
        <v>45</v>
      </c>
      <c r="E2509" t="n">
        <v>43</v>
      </c>
      <c r="F2509" t="n">
        <v>17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M2509" t="n">
        <v>44</v>
      </c>
      <c r="N2509" t="n">
        <v>100</v>
      </c>
      <c r="O2509" t="n">
        <v>25.72214580467676</v>
      </c>
    </row>
    <row r="2510" hidden="1">
      <c r="A2510" s="11" t="n">
        <v>46079</v>
      </c>
      <c r="B2510" t="inlineStr">
        <is>
          <t>Jaqueline Evangelista da Silva Martins</t>
        </is>
      </c>
      <c r="C2510" t="inlineStr">
        <is>
          <t>Técnico III</t>
        </is>
      </c>
      <c r="D2510" t="n">
        <v>20</v>
      </c>
      <c r="E2510" t="n">
        <v>18</v>
      </c>
      <c r="F2510" t="n">
        <v>17.25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M2510" t="n">
        <v>15</v>
      </c>
      <c r="N2510" t="n">
        <v>94.64</v>
      </c>
      <c r="O2510" t="n">
        <v>27.52941176470588</v>
      </c>
    </row>
    <row r="2511" hidden="1">
      <c r="A2511" s="11" t="n">
        <v>46079</v>
      </c>
      <c r="B2511" t="inlineStr">
        <is>
          <t>Jessica Faria da Silveira</t>
        </is>
      </c>
      <c r="C2511" t="inlineStr">
        <is>
          <t>Técnico II</t>
        </is>
      </c>
      <c r="D2511" t="n">
        <v>12</v>
      </c>
      <c r="E2511" t="n">
        <v>12</v>
      </c>
      <c r="F2511" t="n">
        <v>43.28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M2511" t="n">
        <v>11</v>
      </c>
      <c r="N2511" t="n">
        <v>99.06999999999999</v>
      </c>
      <c r="O2511" t="n">
        <v>26.3768115942029</v>
      </c>
    </row>
    <row r="2512" hidden="1">
      <c r="A2512" s="11" t="n">
        <v>46079</v>
      </c>
      <c r="B2512" t="inlineStr">
        <is>
          <t>Jéssica Fé Moura</t>
        </is>
      </c>
      <c r="C2512" t="inlineStr">
        <is>
          <t>Técnico III</t>
        </is>
      </c>
      <c r="D2512" t="n">
        <v>0</v>
      </c>
      <c r="E2512" t="n">
        <v>0</v>
      </c>
      <c r="F2512" t="n">
        <v>0</v>
      </c>
      <c r="G2512" t="n">
        <v>0</v>
      </c>
      <c r="H2512" t="n">
        <v>0</v>
      </c>
      <c r="I2512" s="3" t="n">
        <v>0</v>
      </c>
      <c r="J2512" s="3" t="n">
        <v>0</v>
      </c>
      <c r="K2512" s="3" t="n">
        <v>0</v>
      </c>
      <c r="L2512" s="3">
        <f>IF(K2512&lt;-5,"CRÍTICO",IF(K2512&lt;0,"ATENÇÃO",IF(K2512&lt;=5,"BOM","EXCELENTE")))</f>
        <v/>
      </c>
      <c r="M2512" t="n">
        <v>0</v>
      </c>
      <c r="N2512" t="n">
        <v>100</v>
      </c>
      <c r="O2512" t="n">
        <v>0</v>
      </c>
    </row>
    <row r="2513" hidden="1">
      <c r="A2513" s="11" t="n">
        <v>46079</v>
      </c>
      <c r="B2513" t="inlineStr">
        <is>
          <t>Karina Gonçalves Martins</t>
        </is>
      </c>
      <c r="C2513" t="inlineStr">
        <is>
          <t>JR</t>
        </is>
      </c>
      <c r="D2513" t="n">
        <v>19</v>
      </c>
      <c r="E2513" t="n">
        <v>17</v>
      </c>
      <c r="F2513" t="n">
        <v>25.03</v>
      </c>
      <c r="G2513" t="n">
        <v>0</v>
      </c>
      <c r="H2513" t="n">
        <v>0</v>
      </c>
      <c r="I2513" s="3">
        <f>E2513+G2513+H2513</f>
        <v/>
      </c>
      <c r="J2513" s="3">
        <f>ROUND(MIN(IF(C2513="Técnico III",35,IF(C2513="Técnico II",28,IF(C2513="Técnico I",23,IF(C2513="JR",20,IF(C2513="Estágio",10,0))))),IF(C2513="Técnico III",SUMIFS($D:$D,$A:$A,$A2513,$B:$B,"&lt;&gt;Patrícia Karla de Sousa Araújo",$B:$B,"&lt;&gt;Lorena Dias de Araujo",$B:$B,"&lt;&gt;Lucas Luiz Romero")*(35/1083),IF(C2513="Técnico II",SUMIFS($D:$D,$A:$A,$A2513,$B:$B,"&lt;&gt;Patrícia Karla de Sousa Araújo",$B:$B,"&lt;&gt;Lorena Dias de Araujo",$B:$B,"&lt;&gt;Lucas Luiz Romero")*(28/1083),IF(C2513="Técnico I",SUMIFS($D:$D,$A:$A,$A2513,$B:$B,"&lt;&gt;Patrícia Karla de Sousa Araújo",$B:$B,"&lt;&gt;Lorena Dias de Araujo",$B:$B,"&lt;&gt;Lucas Luiz Romero")*(23/1083),IF(C2513="JR",SUMIFS($D:$D,$A:$A,$A2513,$B:$B,"&lt;&gt;Patrícia Karla de Sousa Araújo",$B:$B,"&lt;&gt;Lorena Dias de Araujo",$B:$B,"&lt;&gt;Lucas Luiz Romero")*(20/1083),IF(C2513="Estágio",SUMIFS($D:$D,$A:$A,$A2513,$B:$B,"&lt;&gt;Patrícia Karla de Sousa Araújo",$B:$B,"&lt;&gt;Lorena Dias de Araujo",$B:$B,"&lt;&gt;Lucas Luiz Romero")*(10/1083),0)))))),0)</f>
        <v/>
      </c>
      <c r="K2513" s="3">
        <f>I2513-J2513</f>
        <v/>
      </c>
      <c r="L2513" s="3">
        <f>IF(K2513&lt;-5,"CRÍTICO",IF(K2513&lt;0,"ATENÇÃO",IF(K2513&lt;=5,"BOM","EXCELENTE")))</f>
        <v/>
      </c>
      <c r="M2513" t="n">
        <v>19</v>
      </c>
      <c r="N2513" t="n">
        <v>98.48</v>
      </c>
      <c r="O2513" t="n">
        <v>27.85388127853881</v>
      </c>
    </row>
    <row r="2514" hidden="1">
      <c r="A2514" s="11" t="n">
        <v>46079</v>
      </c>
      <c r="B2514" t="inlineStr">
        <is>
          <t>Kerollen Cristielly de Jesus Siqueira</t>
        </is>
      </c>
      <c r="C2514" t="inlineStr">
        <is>
          <t>Técnico III</t>
        </is>
      </c>
      <c r="D2514" t="n">
        <v>0</v>
      </c>
      <c r="E2514" t="n">
        <v>0</v>
      </c>
      <c r="F2514" t="n">
        <v>0</v>
      </c>
      <c r="G2514" t="n">
        <v>0</v>
      </c>
      <c r="H2514" t="n">
        <v>0</v>
      </c>
      <c r="I2514" s="3" t="n">
        <v>0</v>
      </c>
      <c r="J2514" s="3" t="n">
        <v>0</v>
      </c>
      <c r="K2514" s="3" t="n">
        <v>0</v>
      </c>
      <c r="L2514" s="3">
        <f>IF(K2514&lt;-5,"CRÍTICO",IF(K2514&lt;0,"ATENÇÃO",IF(K2514&lt;=5,"BOM","EXCELENTE")))</f>
        <v/>
      </c>
      <c r="M2514" t="n">
        <v>6</v>
      </c>
      <c r="N2514" t="n">
        <v>95.15000000000001</v>
      </c>
      <c r="O2514" t="n">
        <v>34.13173652694611</v>
      </c>
    </row>
    <row r="2515" hidden="1">
      <c r="A2515" s="11" t="n">
        <v>46079</v>
      </c>
      <c r="B2515" t="inlineStr">
        <is>
          <t>Leandro de Souza Silva</t>
        </is>
      </c>
      <c r="C2515" t="inlineStr">
        <is>
          <t>JR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M2515" t="n">
        <v>0</v>
      </c>
      <c r="N2515" t="n">
        <v>0</v>
      </c>
      <c r="O2515" t="n">
        <v>0</v>
      </c>
    </row>
    <row r="2516" hidden="1">
      <c r="A2516" s="11" t="n">
        <v>46079</v>
      </c>
      <c r="B2516" t="inlineStr">
        <is>
          <t>Leandro Oliveira de Sousa</t>
        </is>
      </c>
      <c r="C2516" t="inlineStr">
        <is>
          <t>Técnico III</t>
        </is>
      </c>
      <c r="D2516" t="n">
        <v>24</v>
      </c>
      <c r="E2516" t="n">
        <v>24</v>
      </c>
      <c r="F2516" t="n">
        <v>24.02</v>
      </c>
      <c r="G2516" t="n">
        <v>0</v>
      </c>
      <c r="H2516" t="n">
        <v>0</v>
      </c>
      <c r="I2516" s="3">
        <f>E2516+G2516+H2516</f>
        <v/>
      </c>
      <c r="J2516" s="3">
        <f>ROUND(MIN(IF(C2516="Técnico III",35,IF(C2516="Técnico II",28,IF(C2516="Técnico I",23,IF(C2516="JR",20,IF(C2516="Estágio",10,0))))),IF(C2516="Técnico III",SUMIFS($D:$D,$A:$A,$A2516,$B:$B,"&lt;&gt;Patrícia Karla de Sousa Araújo",$B:$B,"&lt;&gt;Lorena Dias de Araujo",$B:$B,"&lt;&gt;Lucas Luiz Romero")*(35/1083),IF(C2516="Técnico II",SUMIFS($D:$D,$A:$A,$A2516,$B:$B,"&lt;&gt;Patrícia Karla de Sousa Araújo",$B:$B,"&lt;&gt;Lorena Dias de Araujo",$B:$B,"&lt;&gt;Lucas Luiz Romero")*(28/1083),IF(C2516="Técnico I",SUMIFS($D:$D,$A:$A,$A2516,$B:$B,"&lt;&gt;Patrícia Karla de Sousa Araújo",$B:$B,"&lt;&gt;Lorena Dias de Araujo",$B:$B,"&lt;&gt;Lucas Luiz Romero")*(23/1083),IF(C2516="JR",SUMIFS($D:$D,$A:$A,$A2516,$B:$B,"&lt;&gt;Patrícia Karla de Sousa Araújo",$B:$B,"&lt;&gt;Lorena Dias de Araujo",$B:$B,"&lt;&gt;Lucas Luiz Romero")*(20/1083),IF(C2516="Estágio",SUMIFS($D:$D,$A:$A,$A2516,$B:$B,"&lt;&gt;Patrícia Karla de Sousa Araújo",$B:$B,"&lt;&gt;Lorena Dias de Araujo",$B:$B,"&lt;&gt;Lucas Luiz Romero")*(10/1083),0)))))),0)</f>
        <v/>
      </c>
      <c r="K2516" s="3">
        <f>I2516-J2516</f>
        <v/>
      </c>
      <c r="L2516" s="3">
        <f>IF(K2516&lt;-5,"CRÍTICO",IF(K2516&lt;0,"ATENÇÃO",IF(K2516&lt;=5,"BOM","EXCELENTE")))</f>
        <v/>
      </c>
      <c r="M2516" t="n">
        <v>23</v>
      </c>
      <c r="N2516" t="n">
        <v>99.26000000000001</v>
      </c>
      <c r="O2516" t="n">
        <v>30.84832904884319</v>
      </c>
    </row>
    <row r="2517" hidden="1">
      <c r="A2517" s="11" t="n">
        <v>46079</v>
      </c>
      <c r="B2517" t="inlineStr">
        <is>
          <t>Lizandra Gomes Duarte</t>
        </is>
      </c>
      <c r="C2517" t="inlineStr">
        <is>
          <t>Técnico II</t>
        </is>
      </c>
      <c r="D2517" t="n">
        <v>25</v>
      </c>
      <c r="E2517" t="n">
        <v>22</v>
      </c>
      <c r="F2517" t="n">
        <v>30.15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M2517" t="n">
        <v>19</v>
      </c>
      <c r="N2517" t="n">
        <v>97.48</v>
      </c>
      <c r="O2517" t="n">
        <v>27.76470588235294</v>
      </c>
    </row>
    <row r="2518" hidden="1">
      <c r="A2518" s="11" t="n">
        <v>46079</v>
      </c>
      <c r="B2518" t="inlineStr">
        <is>
          <t>Lorena Dias de Araujo</t>
        </is>
      </c>
      <c r="C2518" t="inlineStr">
        <is>
          <t>Técnico II</t>
        </is>
      </c>
      <c r="D2518" t="n">
        <v>20</v>
      </c>
      <c r="E2518" t="n">
        <v>19</v>
      </c>
      <c r="F2518" t="n">
        <v>30.22</v>
      </c>
      <c r="G2518" t="n">
        <v>0</v>
      </c>
      <c r="H2518" t="n">
        <v>0</v>
      </c>
      <c r="I2518" s="3" t="n">
        <v>0</v>
      </c>
      <c r="J2518" s="3" t="n">
        <v>0</v>
      </c>
      <c r="K2518" s="3" t="n">
        <v>0</v>
      </c>
      <c r="L2518" s="3">
        <f>IF(K2518&lt;-5,"CRÍTICO",IF(K2518&lt;0,"ATENÇÃO",IF(K2518&lt;=5,"BOM","EXCELENTE")))</f>
        <v/>
      </c>
      <c r="M2518" t="n">
        <v>22</v>
      </c>
      <c r="N2518" t="n">
        <v>99.34</v>
      </c>
      <c r="O2518" t="n">
        <v>30.04291845493562</v>
      </c>
    </row>
    <row r="2519" hidden="1">
      <c r="A2519" s="11" t="n">
        <v>46079</v>
      </c>
      <c r="B2519" t="inlineStr">
        <is>
          <t>Lucas Luiz Romero</t>
        </is>
      </c>
      <c r="C2519" t="inlineStr">
        <is>
          <t>Técnico III</t>
        </is>
      </c>
      <c r="D2519" t="n">
        <v>42</v>
      </c>
      <c r="E2519" t="n">
        <v>35</v>
      </c>
      <c r="F2519" t="n">
        <v>16.45</v>
      </c>
      <c r="G2519" t="n">
        <v>0</v>
      </c>
      <c r="H2519" t="n">
        <v>0</v>
      </c>
      <c r="I2519" s="3">
        <f>E2519+G2519+H2519</f>
        <v/>
      </c>
      <c r="J2519" s="3">
        <f>ROUND(MIN(IF(C2519="Técnico III",35,IF(C2519="Técnico II",28,IF(C2519="Técnico I",23,IF(C2519="JR",20,IF(C2519="Estágio",10,0))))),IF(C2519="Técnico III",SUMIFS($D:$D,$A:$A,$A2519,$B:$B,"&lt;&gt;Patrícia Karla de Sousa Araújo",$B:$B,"&lt;&gt;Lorena Dias de Araujo",$B:$B,"&lt;&gt;Lucas Luiz Romero")*(35/1083),IF(C2519="Técnico II",SUMIFS($D:$D,$A:$A,$A2519,$B:$B,"&lt;&gt;Patrícia Karla de Sousa Araújo",$B:$B,"&lt;&gt;Lorena Dias de Araujo",$B:$B,"&lt;&gt;Lucas Luiz Romero")*(28/1083),IF(C2519="Técnico I",SUMIFS($D:$D,$A:$A,$A2519,$B:$B,"&lt;&gt;Patrícia Karla de Sousa Araújo",$B:$B,"&lt;&gt;Lorena Dias de Araujo",$B:$B,"&lt;&gt;Lucas Luiz Romero")*(23/1083),IF(C2519="JR",SUMIFS($D:$D,$A:$A,$A2519,$B:$B,"&lt;&gt;Patrícia Karla de Sousa Araújo",$B:$B,"&lt;&gt;Lorena Dias de Araujo",$B:$B,"&lt;&gt;Lucas Luiz Romero")*(20/1083),IF(C2519="Estágio",SUMIFS($D:$D,$A:$A,$A2519,$B:$B,"&lt;&gt;Patrícia Karla de Sousa Araújo",$B:$B,"&lt;&gt;Lorena Dias de Araujo",$B:$B,"&lt;&gt;Lucas Luiz Romero")*(10/1083),0)))))),0)</f>
        <v/>
      </c>
      <c r="K2519" s="3">
        <f>I2519-J2519</f>
        <v/>
      </c>
      <c r="L2519" s="3">
        <f>IF(K2519&lt;-5,"CRÍTICO",IF(K2519&lt;0,"ATENÇÃO",IF(K2519&lt;=5,"BOM","EXCELENTE")))</f>
        <v/>
      </c>
      <c r="M2519" t="n">
        <v>18</v>
      </c>
      <c r="N2519" t="n">
        <v>96.3</v>
      </c>
      <c r="O2519" t="n">
        <v>24.29378531073446</v>
      </c>
    </row>
    <row r="2520" hidden="1">
      <c r="A2520" s="11" t="n">
        <v>46079</v>
      </c>
      <c r="B2520" t="inlineStr">
        <is>
          <t>Luiz Fernando de Carvalho Junior</t>
        </is>
      </c>
      <c r="C2520" t="inlineStr">
        <is>
          <t>Técnico I</t>
        </is>
      </c>
      <c r="D2520" t="n">
        <v>14</v>
      </c>
      <c r="E2520" t="n">
        <v>14</v>
      </c>
      <c r="F2520" t="n">
        <v>38.36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M2520" t="n">
        <v>12</v>
      </c>
      <c r="N2520" t="n">
        <v>100</v>
      </c>
      <c r="O2520" t="n">
        <v>26.54320987654321</v>
      </c>
    </row>
    <row r="2521" hidden="1">
      <c r="A2521" s="11" t="n">
        <v>46079</v>
      </c>
      <c r="B2521" t="inlineStr">
        <is>
          <t>Maria Eduarda Sousa Costa</t>
        </is>
      </c>
      <c r="C2521" t="inlineStr">
        <is>
          <t>Estágio</t>
        </is>
      </c>
      <c r="D2521" t="n">
        <v>2</v>
      </c>
      <c r="E2521" t="n">
        <v>2</v>
      </c>
      <c r="F2521" t="n">
        <v>64.09999999999999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M2521" t="n">
        <v>2</v>
      </c>
      <c r="N2521" t="n">
        <v>100</v>
      </c>
      <c r="O2521" t="n">
        <v>35.48387096774194</v>
      </c>
    </row>
    <row r="2522" hidden="1">
      <c r="A2522" s="11" t="n">
        <v>46079</v>
      </c>
      <c r="B2522" t="inlineStr">
        <is>
          <t>Matheus Farias De Souza</t>
        </is>
      </c>
      <c r="C2522" t="inlineStr">
        <is>
          <t>Técnico III</t>
        </is>
      </c>
      <c r="D2522" t="n">
        <v>26</v>
      </c>
      <c r="E2522" t="n">
        <v>26</v>
      </c>
      <c r="F2522" t="n">
        <v>30.05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M2522" t="n">
        <v>25</v>
      </c>
      <c r="N2522" t="n">
        <v>99.27</v>
      </c>
      <c r="O2522" t="n">
        <v>31.16370808678501</v>
      </c>
    </row>
    <row r="2523" hidden="1">
      <c r="A2523" s="11" t="n">
        <v>46079</v>
      </c>
      <c r="B2523" t="inlineStr">
        <is>
          <t>Maysa Victoria Dias Moura</t>
        </is>
      </c>
      <c r="C2523" t="inlineStr">
        <is>
          <t>Técnico III</t>
        </is>
      </c>
      <c r="D2523" t="n">
        <v>31</v>
      </c>
      <c r="E2523" t="n">
        <v>28</v>
      </c>
      <c r="F2523" t="n">
        <v>20.56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M2523" t="n">
        <v>26</v>
      </c>
      <c r="N2523" t="n">
        <v>94.16</v>
      </c>
      <c r="O2523" t="n">
        <v>27.03862660944206</v>
      </c>
    </row>
    <row r="2524" hidden="1">
      <c r="A2524" s="11" t="n">
        <v>46079</v>
      </c>
      <c r="B2524" t="inlineStr">
        <is>
          <t>Michelle G Santos</t>
        </is>
      </c>
      <c r="C2524" t="inlineStr">
        <is>
          <t>Estágio</t>
        </is>
      </c>
      <c r="D2524" t="n">
        <v>8</v>
      </c>
      <c r="E2524" t="n">
        <v>7</v>
      </c>
      <c r="F2524" t="n">
        <v>80.13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M2524" t="n">
        <v>3</v>
      </c>
      <c r="N2524" t="n">
        <v>93.75</v>
      </c>
      <c r="O2524" t="n">
        <v>19.31818181818182</v>
      </c>
    </row>
    <row r="2525" hidden="1">
      <c r="A2525" s="11" t="n">
        <v>46079</v>
      </c>
      <c r="B2525" t="inlineStr">
        <is>
          <t>Milena Sales</t>
        </is>
      </c>
      <c r="C2525" t="inlineStr">
        <is>
          <t>JR</t>
        </is>
      </c>
      <c r="D2525" t="n">
        <v>0</v>
      </c>
      <c r="E2525" t="n">
        <v>0</v>
      </c>
      <c r="F2525" t="n">
        <v>0</v>
      </c>
      <c r="G2525" t="n">
        <v>0</v>
      </c>
      <c r="H2525" t="n">
        <v>0</v>
      </c>
      <c r="I2525" s="3" t="n">
        <v>0</v>
      </c>
      <c r="J2525" s="3" t="n">
        <v>0</v>
      </c>
      <c r="K2525" s="3" t="n">
        <v>0</v>
      </c>
      <c r="L2525" s="3">
        <f>IF(K2525&lt;-5,"CRÍTICO",IF(K2525&lt;0,"ATENÇÃO",IF(K2525&lt;=5,"BOM","EXCELENTE")))</f>
        <v/>
      </c>
      <c r="M2525" t="n">
        <v>0</v>
      </c>
      <c r="N2525" t="n">
        <v>0</v>
      </c>
      <c r="O2525" t="n">
        <v>0</v>
      </c>
    </row>
    <row r="2526" hidden="1">
      <c r="A2526" s="11" t="n">
        <v>46079</v>
      </c>
      <c r="B2526" t="inlineStr">
        <is>
          <t>Patrícia Karla de Sousa Araújo</t>
        </is>
      </c>
      <c r="C2526" t="inlineStr">
        <is>
          <t>Técnico II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M2526" t="n">
        <v>0</v>
      </c>
      <c r="N2526" t="n">
        <v>97.92</v>
      </c>
      <c r="O2526" t="n">
        <v>32.87671232876712</v>
      </c>
    </row>
    <row r="2527" hidden="1">
      <c r="A2527" s="11" t="n">
        <v>46079</v>
      </c>
      <c r="B2527" t="inlineStr">
        <is>
          <t>Paulo Ricardo Santos</t>
        </is>
      </c>
      <c r="C2527" t="inlineStr">
        <is>
          <t>JR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M2527" t="n">
        <v>0</v>
      </c>
      <c r="N2527" t="n">
        <v>0</v>
      </c>
      <c r="O2527" t="n">
        <v>0</v>
      </c>
    </row>
    <row r="2528" hidden="1">
      <c r="A2528" s="11" t="n">
        <v>46079</v>
      </c>
      <c r="B2528" t="inlineStr">
        <is>
          <t>Pedro Luiz Mota Sousa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M2528" t="n">
        <v>0</v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Quirino Diogo Leite Torres</t>
        </is>
      </c>
      <c r="C2529" t="inlineStr">
        <is>
          <t>Estágio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M2529" t="n">
        <v>0</v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Raane Batista Matos</t>
        </is>
      </c>
      <c r="C2530" t="inlineStr">
        <is>
          <t>Técnico I</t>
        </is>
      </c>
      <c r="D2530" t="n">
        <v>17</v>
      </c>
      <c r="E2530" t="n">
        <v>17</v>
      </c>
      <c r="F2530" t="n">
        <v>44.16</v>
      </c>
      <c r="G2530" t="n">
        <v>0</v>
      </c>
      <c r="H2530" t="n">
        <v>0</v>
      </c>
      <c r="I2530" s="3">
        <f>E2530+G2530+H2530</f>
        <v/>
      </c>
      <c r="J2530" s="3">
        <f>ROUND(MIN(IF(C2530="Técnico III",35,IF(C2530="Técnico II",28,IF(C2530="Técnico I",23,IF(C2530="JR",20,IF(C2530="Estágio",10,0))))),IF(C2530="Técnico III",SUMIFS($D:$D,$A:$A,$A2530,$B:$B,"&lt;&gt;Patrícia Karla de Sousa Araújo",$B:$B,"&lt;&gt;Lorena Dias de Araujo",$B:$B,"&lt;&gt;Lucas Luiz Romero")*(35/1083),IF(C2530="Técnico II",SUMIFS($D:$D,$A:$A,$A2530,$B:$B,"&lt;&gt;Patrícia Karla de Sousa Araújo",$B:$B,"&lt;&gt;Lorena Dias de Araujo",$B:$B,"&lt;&gt;Lucas Luiz Romero")*(28/1083),IF(C2530="Técnico I",SUMIFS($D:$D,$A:$A,$A2530,$B:$B,"&lt;&gt;Patrícia Karla de Sousa Araújo",$B:$B,"&lt;&gt;Lorena Dias de Araujo",$B:$B,"&lt;&gt;Lucas Luiz Romero")*(23/1083),IF(C2530="JR",SUMIFS($D:$D,$A:$A,$A2530,$B:$B,"&lt;&gt;Patrícia Karla de Sousa Araújo",$B:$B,"&lt;&gt;Lorena Dias de Araujo",$B:$B,"&lt;&gt;Lucas Luiz Romero")*(20/1083),IF(C2530="Estágio",SUMIFS($D:$D,$A:$A,$A2530,$B:$B,"&lt;&gt;Patrícia Karla de Sousa Araújo",$B:$B,"&lt;&gt;Lorena Dias de Araujo",$B:$B,"&lt;&gt;Lucas Luiz Romero")*(10/1083),0)))))),0)</f>
        <v/>
      </c>
      <c r="K2530" s="3">
        <f>I2530-J2530</f>
        <v/>
      </c>
      <c r="L2530" s="3">
        <f>IF(K2530&lt;-5,"CRÍTICO",IF(K2530&lt;0,"ATENÇÃO",IF(K2530&lt;=5,"BOM","EXCELENTE")))</f>
        <v/>
      </c>
      <c r="M2530" t="n">
        <v>15</v>
      </c>
      <c r="N2530" t="n">
        <v>98.51000000000001</v>
      </c>
      <c r="O2530" t="n">
        <v>29.71014492753623</v>
      </c>
    </row>
    <row r="2531" hidden="1">
      <c r="A2531" s="11" t="n">
        <v>46079</v>
      </c>
      <c r="B2531" t="inlineStr">
        <is>
          <t>Rafael Gomes de Morais</t>
        </is>
      </c>
      <c r="C2531" t="inlineStr">
        <is>
          <t>Técnico III</t>
        </is>
      </c>
      <c r="D2531" t="n">
        <v>32</v>
      </c>
      <c r="E2531" t="n">
        <v>29</v>
      </c>
      <c r="F2531" t="n">
        <v>17.34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M2531" t="n">
        <v>29</v>
      </c>
      <c r="N2531" t="n">
        <v>98.81</v>
      </c>
      <c r="O2531" t="n">
        <v>30.71297989031079</v>
      </c>
    </row>
    <row r="2532" hidden="1">
      <c r="A2532" s="11" t="n">
        <v>46079</v>
      </c>
      <c r="B2532" t="inlineStr">
        <is>
          <t>Sara Maria Monteiro Lopes</t>
        </is>
      </c>
      <c r="C2532" t="inlineStr">
        <is>
          <t>Técnico I</t>
        </is>
      </c>
      <c r="D2532" t="n">
        <v>11</v>
      </c>
      <c r="E2532" t="n">
        <v>11</v>
      </c>
      <c r="F2532" t="n">
        <v>30.3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M2532" t="n">
        <v>11</v>
      </c>
      <c r="N2532" t="n">
        <v>98.48</v>
      </c>
      <c r="O2532" t="n">
        <v>29.35323383084577</v>
      </c>
    </row>
    <row r="2533" hidden="1">
      <c r="A2533" s="11" t="n">
        <v>46079</v>
      </c>
      <c r="B2533" t="inlineStr">
        <is>
          <t>Sarah Steffanie de Lima Borges</t>
        </is>
      </c>
      <c r="C2533" t="inlineStr">
        <is>
          <t>Técnico III</t>
        </is>
      </c>
      <c r="D2533" t="n">
        <v>23</v>
      </c>
      <c r="E2533" t="n">
        <v>20</v>
      </c>
      <c r="F2533" t="n">
        <v>26.44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M2533" t="n">
        <v>16</v>
      </c>
      <c r="N2533" t="n">
        <v>98.56</v>
      </c>
      <c r="O2533" t="n">
        <v>29.37365010799136</v>
      </c>
    </row>
    <row r="2534" hidden="1">
      <c r="A2534" s="11" t="n">
        <v>46080</v>
      </c>
      <c r="B2534" t="inlineStr">
        <is>
          <t>Alisson de Freitas Silva</t>
        </is>
      </c>
      <c r="C2534" t="inlineStr">
        <is>
          <t>Técnico II</t>
        </is>
      </c>
      <c r="D2534" t="n">
        <v>28</v>
      </c>
      <c r="E2534" t="n">
        <v>26</v>
      </c>
      <c r="F2534" t="n">
        <v>18.4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M2534" t="n">
        <v>21</v>
      </c>
      <c r="N2534" t="n">
        <v>98.31999999999999</v>
      </c>
      <c r="O2534" t="n">
        <v>30.3030303030303</v>
      </c>
    </row>
    <row r="2535" hidden="1">
      <c r="A2535" s="11" t="n">
        <v>46080</v>
      </c>
      <c r="B2535" t="inlineStr">
        <is>
          <t>Amanda Moura Ferreira</t>
        </is>
      </c>
      <c r="C2535" t="inlineStr">
        <is>
          <t>Técnico III</t>
        </is>
      </c>
      <c r="D2535" t="n">
        <v>0</v>
      </c>
      <c r="E2535" t="n">
        <v>0</v>
      </c>
      <c r="F2535" t="n">
        <v>0</v>
      </c>
      <c r="G2535" t="n">
        <v>0</v>
      </c>
      <c r="H2535" t="n">
        <v>0</v>
      </c>
      <c r="I2535" s="3" t="n">
        <v>0</v>
      </c>
      <c r="J2535" s="3" t="n">
        <v>0</v>
      </c>
      <c r="K2535" s="3" t="n">
        <v>0</v>
      </c>
      <c r="L2535" s="3">
        <f>IF(K2535&lt;-5,"CRÍTICO",IF(K2535&lt;0,"ATENÇÃO",IF(K2535&lt;=5,"BOM","EXCELENTE")))</f>
        <v/>
      </c>
      <c r="M2535" t="n">
        <v>22</v>
      </c>
      <c r="N2535" t="n">
        <v>98.68000000000001</v>
      </c>
      <c r="O2535" t="n">
        <v>26.21951219512195</v>
      </c>
    </row>
    <row r="2536" hidden="1">
      <c r="A2536" s="11" t="n">
        <v>46080</v>
      </c>
      <c r="B2536" t="inlineStr">
        <is>
          <t>Ana Karollyne Souza Faria</t>
        </is>
      </c>
      <c r="C2536" t="inlineStr">
        <is>
          <t>Técnico I</t>
        </is>
      </c>
      <c r="D2536" t="n">
        <v>23</v>
      </c>
      <c r="E2536" t="n">
        <v>20</v>
      </c>
      <c r="F2536" t="n">
        <v>21.55</v>
      </c>
      <c r="G2536" t="n">
        <v>0</v>
      </c>
      <c r="H2536" t="n">
        <v>0</v>
      </c>
      <c r="I2536" s="3">
        <f>E2536+G2536+H2536</f>
        <v/>
      </c>
      <c r="J2536" s="3">
        <f>ROUND(MIN(IF(C2536="Técnico III",35,IF(C2536="Técnico II",28,IF(C2536="Técnico I",23,IF(C2536="JR",20,IF(C2536="Estágio",10,0))))),IF(C2536="Técnico III",SUMIFS($D:$D,$A:$A,$A2536,$B:$B,"&lt;&gt;Patrícia Karla de Sousa Araújo",$B:$B,"&lt;&gt;Lorena Dias de Araujo",$B:$B,"&lt;&gt;Lucas Luiz Romero")*(35/1083),IF(C2536="Técnico II",SUMIFS($D:$D,$A:$A,$A2536,$B:$B,"&lt;&gt;Patrícia Karla de Sousa Araújo",$B:$B,"&lt;&gt;Lorena Dias de Araujo",$B:$B,"&lt;&gt;Lucas Luiz Romero")*(28/1083),IF(C2536="Técnico I",SUMIFS($D:$D,$A:$A,$A2536,$B:$B,"&lt;&gt;Patrícia Karla de Sousa Araújo",$B:$B,"&lt;&gt;Lorena Dias de Araujo",$B:$B,"&lt;&gt;Lucas Luiz Romero")*(23/1083),IF(C2536="JR",SUMIFS($D:$D,$A:$A,$A2536,$B:$B,"&lt;&gt;Patrícia Karla de Sousa Araújo",$B:$B,"&lt;&gt;Lorena Dias de Araujo",$B:$B,"&lt;&gt;Lucas Luiz Romero")*(20/1083),IF(C2536="Estágio",SUMIFS($D:$D,$A:$A,$A2536,$B:$B,"&lt;&gt;Patrícia Karla de Sousa Araújo",$B:$B,"&lt;&gt;Lorena Dias de Araujo",$B:$B,"&lt;&gt;Lucas Luiz Romero")*(10/1083),0)))))),0)</f>
        <v/>
      </c>
      <c r="K2536" s="3">
        <f>I2536-J2536</f>
        <v/>
      </c>
      <c r="L2536" s="3">
        <f>IF(K2536&lt;-5,"CRÍTICO",IF(K2536&lt;0,"ATENÇÃO",IF(K2536&lt;=5,"BOM","EXCELENTE")))</f>
        <v/>
      </c>
      <c r="M2536" t="n">
        <v>21</v>
      </c>
      <c r="N2536" t="n">
        <v>100</v>
      </c>
      <c r="O2536" t="n">
        <v>31.74224343675418</v>
      </c>
    </row>
    <row r="2537" hidden="1">
      <c r="A2537" s="11" t="n">
        <v>46080</v>
      </c>
      <c r="B2537" t="inlineStr">
        <is>
          <t>Ana Paula Da Luz Silva Aleixo</t>
        </is>
      </c>
      <c r="C2537" t="inlineStr">
        <is>
          <t>Técnico III</t>
        </is>
      </c>
      <c r="D2537" t="n">
        <v>21</v>
      </c>
      <c r="E2537" t="n">
        <v>19</v>
      </c>
      <c r="F2537" t="n">
        <v>30.51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M2537" t="n">
        <v>15</v>
      </c>
      <c r="N2537" t="n">
        <v>98.25</v>
      </c>
      <c r="O2537" t="n">
        <v>25.83518930957684</v>
      </c>
    </row>
    <row r="2538" hidden="1">
      <c r="A2538" s="11" t="n">
        <v>46080</v>
      </c>
      <c r="B2538" t="inlineStr">
        <is>
          <t>Anna Luiza Rezende Tavares</t>
        </is>
      </c>
      <c r="C2538" t="inlineStr">
        <is>
          <t>Estágio</t>
        </is>
      </c>
      <c r="D2538" t="n">
        <v>12</v>
      </c>
      <c r="E2538" t="n">
        <v>11</v>
      </c>
      <c r="F2538" t="n">
        <v>40.06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M2538" t="n">
        <v>10</v>
      </c>
      <c r="N2538" t="n">
        <v>97.5</v>
      </c>
      <c r="O2538" t="n">
        <v>30.07518796992481</v>
      </c>
    </row>
    <row r="2539" hidden="1">
      <c r="A2539" s="11" t="n">
        <v>46080</v>
      </c>
      <c r="B2539" t="inlineStr">
        <is>
          <t>Brenda de Menezes Silva</t>
        </is>
      </c>
      <c r="C2539" t="inlineStr">
        <is>
          <t>Técnico II</t>
        </is>
      </c>
      <c r="D2539" t="n">
        <v>35</v>
      </c>
      <c r="E2539" t="n">
        <v>32</v>
      </c>
      <c r="F2539" t="n">
        <v>20.32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M2539" t="n">
        <v>28</v>
      </c>
      <c r="N2539" t="n">
        <v>100</v>
      </c>
      <c r="O2539" t="n">
        <v>29.71311475409836</v>
      </c>
    </row>
    <row r="2540" hidden="1">
      <c r="A2540" s="11" t="n">
        <v>46080</v>
      </c>
      <c r="B2540" t="inlineStr">
        <is>
          <t>Carlos Mateus Cassimiro Nunes</t>
        </is>
      </c>
      <c r="C2540" t="inlineStr">
        <is>
          <t>Técnico II</t>
        </is>
      </c>
      <c r="D2540" t="n">
        <v>7</v>
      </c>
      <c r="E2540" t="n">
        <v>7</v>
      </c>
      <c r="F2540" t="n">
        <v>55.26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M2540" t="n">
        <v>7</v>
      </c>
      <c r="N2540" t="n">
        <v>99.22</v>
      </c>
      <c r="O2540" t="n">
        <v>35.25641025641026</v>
      </c>
    </row>
    <row r="2541" hidden="1">
      <c r="A2541" s="11" t="n">
        <v>46080</v>
      </c>
      <c r="B2541" t="inlineStr">
        <is>
          <t>Claudio de Sousa Velasco Filho</t>
        </is>
      </c>
      <c r="C2541" t="inlineStr">
        <is>
          <t>Estágio</t>
        </is>
      </c>
      <c r="D2541" t="n">
        <v>0</v>
      </c>
      <c r="E2541" t="n">
        <v>0</v>
      </c>
      <c r="F2541" t="n">
        <v>0</v>
      </c>
      <c r="G2541" t="n">
        <v>0</v>
      </c>
      <c r="H2541" t="n">
        <v>0</v>
      </c>
      <c r="I2541" s="3" t="n">
        <v>0</v>
      </c>
      <c r="J2541" s="3" t="n">
        <v>0</v>
      </c>
      <c r="K2541" s="3" t="n">
        <v>0</v>
      </c>
      <c r="L2541" s="3">
        <f>IF(K2541&lt;-5,"CRÍTICO",IF(K2541&lt;0,"ATENÇÃO",IF(K2541&lt;=5,"BOM","EXCELENTE")))</f>
        <v/>
      </c>
      <c r="M2541" t="n">
        <v>0</v>
      </c>
      <c r="N2541" t="n">
        <v>0</v>
      </c>
      <c r="O2541" t="n">
        <v>0</v>
      </c>
    </row>
    <row r="2542" hidden="1">
      <c r="A2542" s="11" t="n">
        <v>46080</v>
      </c>
      <c r="B2542" t="inlineStr">
        <is>
          <t>Clessiane Pereira dos Santos</t>
        </is>
      </c>
      <c r="C2542" t="inlineStr">
        <is>
          <t>Técnico I</t>
        </is>
      </c>
      <c r="D2542" t="n">
        <v>15</v>
      </c>
      <c r="E2542" t="n">
        <v>13</v>
      </c>
      <c r="F2542" t="n">
        <v>40.32</v>
      </c>
      <c r="G2542" t="n">
        <v>0</v>
      </c>
      <c r="H2542" t="n">
        <v>0</v>
      </c>
      <c r="I2542" s="3">
        <f>E2542+G2542+H2542</f>
        <v/>
      </c>
      <c r="J2542" s="3">
        <f>ROUND(MIN(IF(C2542="Técnico III",35,IF(C2542="Técnico II",28,IF(C2542="Técnico I",23,IF(C2542="JR",20,IF(C2542="Estágio",10,0))))),IF(C2542="Técnico III",SUMIFS($D:$D,$A:$A,$A2542,$B:$B,"&lt;&gt;Patrícia Karla de Sousa Araújo",$B:$B,"&lt;&gt;Lorena Dias de Araujo",$B:$B,"&lt;&gt;Lucas Luiz Romero")*(35/1083),IF(C2542="Técnico II",SUMIFS($D:$D,$A:$A,$A2542,$B:$B,"&lt;&gt;Patrícia Karla de Sousa Araújo",$B:$B,"&lt;&gt;Lorena Dias de Araujo",$B:$B,"&lt;&gt;Lucas Luiz Romero")*(28/1083),IF(C2542="Técnico I",SUMIFS($D:$D,$A:$A,$A2542,$B:$B,"&lt;&gt;Patrícia Karla de Sousa Araújo",$B:$B,"&lt;&gt;Lorena Dias de Araujo",$B:$B,"&lt;&gt;Lucas Luiz Romero")*(23/1083),IF(C2542="JR",SUMIFS($D:$D,$A:$A,$A2542,$B:$B,"&lt;&gt;Patrícia Karla de Sousa Araújo",$B:$B,"&lt;&gt;Lorena Dias de Araujo",$B:$B,"&lt;&gt;Lucas Luiz Romero")*(20/1083),IF(C2542="Estágio",SUMIFS($D:$D,$A:$A,$A2542,$B:$B,"&lt;&gt;Patrícia Karla de Sousa Araújo",$B:$B,"&lt;&gt;Lorena Dias de Araujo",$B:$B,"&lt;&gt;Lucas Luiz Romero")*(10/1083),0)))))),0)</f>
        <v/>
      </c>
      <c r="K2542" s="3">
        <f>I2542-J2542</f>
        <v/>
      </c>
      <c r="L2542" s="3">
        <f>IF(K2542&lt;-5,"CRÍTICO",IF(K2542&lt;0,"ATENÇÃO",IF(K2542&lt;=5,"BOM","EXCELENTE")))</f>
        <v/>
      </c>
      <c r="M2542" t="n">
        <v>12</v>
      </c>
      <c r="N2542" t="n">
        <v>98.75</v>
      </c>
      <c r="O2542" t="n">
        <v>24.32432432432433</v>
      </c>
    </row>
    <row r="2543" hidden="1">
      <c r="A2543" s="11" t="n">
        <v>46080</v>
      </c>
      <c r="B2543" t="inlineStr">
        <is>
          <t>Cristiane Ramos da Silva Rocha</t>
        </is>
      </c>
      <c r="C2543" t="inlineStr">
        <is>
          <t>Técnico III</t>
        </is>
      </c>
      <c r="D2543" t="n">
        <v>27</v>
      </c>
      <c r="E2543" t="n">
        <v>27</v>
      </c>
      <c r="F2543" t="n">
        <v>28.56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M2543" t="n">
        <v>26</v>
      </c>
      <c r="N2543" t="n">
        <v>93.48</v>
      </c>
      <c r="O2543" t="n">
        <v>31.52804642166344</v>
      </c>
    </row>
    <row r="2544" hidden="1">
      <c r="A2544" s="11" t="n">
        <v>46080</v>
      </c>
      <c r="B2544" t="inlineStr">
        <is>
          <t>Damyllis Lorraine de Oliveira Gonçalves</t>
        </is>
      </c>
      <c r="C2544" t="inlineStr">
        <is>
          <t>Técnico II</t>
        </is>
      </c>
      <c r="D2544" t="n">
        <v>25</v>
      </c>
      <c r="E2544" t="n">
        <v>22</v>
      </c>
      <c r="F2544" t="n">
        <v>25.34</v>
      </c>
      <c r="G2544" t="n">
        <v>0</v>
      </c>
      <c r="H2544" t="n">
        <v>0</v>
      </c>
      <c r="I2544" s="3" t="n">
        <v>0</v>
      </c>
      <c r="J2544" s="3" t="n">
        <v>0</v>
      </c>
      <c r="K2544" s="3" t="n">
        <v>0</v>
      </c>
      <c r="L2544" s="3">
        <f>IF(K2544&lt;-5,"CRÍTICO",IF(K2544&lt;0,"ATENÇÃO",IF(K2544&lt;=5,"BOM","EXCELENTE")))</f>
        <v/>
      </c>
      <c r="M2544" t="n">
        <v>19</v>
      </c>
      <c r="N2544" t="n">
        <v>99.16</v>
      </c>
      <c r="O2544" t="n">
        <v>26.13908872901678</v>
      </c>
    </row>
    <row r="2545" hidden="1">
      <c r="A2545" s="11" t="n">
        <v>46080</v>
      </c>
      <c r="B2545" t="inlineStr">
        <is>
          <t>Daniel Gomes da Silva</t>
        </is>
      </c>
      <c r="C2545" t="inlineStr">
        <is>
          <t>Técnico I</t>
        </is>
      </c>
      <c r="D2545" t="n">
        <v>7</v>
      </c>
      <c r="E2545" t="n">
        <v>7</v>
      </c>
      <c r="F2545" t="n">
        <v>168.22</v>
      </c>
      <c r="G2545" t="n">
        <v>0</v>
      </c>
      <c r="H2545" t="n">
        <v>0</v>
      </c>
      <c r="I2545" s="3">
        <f>E2545+G2545+H2545</f>
        <v/>
      </c>
      <c r="J2545" s="3">
        <f>ROUND(MIN(IF(C2545="Técnico III",35,IF(C2545="Técnico II",28,IF(C2545="Técnico I",23,IF(C2545="JR",20,IF(C2545="Estágio",10,0))))),IF(C2545="Técnico III",SUMIFS($D:$D,$A:$A,$A2545,$B:$B,"&lt;&gt;Patrícia Karla de Sousa Araújo",$B:$B,"&lt;&gt;Lorena Dias de Araujo",$B:$B,"&lt;&gt;Lucas Luiz Romero")*(35/1083),IF(C2545="Técnico II",SUMIFS($D:$D,$A:$A,$A2545,$B:$B,"&lt;&gt;Patrícia Karla de Sousa Araújo",$B:$B,"&lt;&gt;Lorena Dias de Araujo",$B:$B,"&lt;&gt;Lucas Luiz Romero")*(28/1083),IF(C2545="Técnico I",SUMIFS($D:$D,$A:$A,$A2545,$B:$B,"&lt;&gt;Patrícia Karla de Sousa Araújo",$B:$B,"&lt;&gt;Lorena Dias de Araujo",$B:$B,"&lt;&gt;Lucas Luiz Romero")*(23/1083),IF(C2545="JR",SUMIFS($D:$D,$A:$A,$A2545,$B:$B,"&lt;&gt;Patrícia Karla de Sousa Araújo",$B:$B,"&lt;&gt;Lorena Dias de Araujo",$B:$B,"&lt;&gt;Lucas Luiz Romero")*(20/1083),IF(C2545="Estágio",SUMIFS($D:$D,$A:$A,$A2545,$B:$B,"&lt;&gt;Patrícia Karla de Sousa Araújo",$B:$B,"&lt;&gt;Lorena Dias de Araujo",$B:$B,"&lt;&gt;Lucas Luiz Romero")*(10/1083),0)))))),0)</f>
        <v/>
      </c>
      <c r="K2545" s="3">
        <f>I2545-J2545</f>
        <v/>
      </c>
      <c r="L2545" s="3">
        <f>IF(K2545&lt;-5,"CRÍTICO",IF(K2545&lt;0,"ATENÇÃO",IF(K2545&lt;=5,"BOM","EXCELENTE")))</f>
        <v/>
      </c>
      <c r="M2545" t="n">
        <v>3</v>
      </c>
      <c r="N2545" t="n">
        <v>100</v>
      </c>
      <c r="O2545" t="n">
        <v>31.08974358974359</v>
      </c>
    </row>
    <row r="2546" hidden="1">
      <c r="A2546" s="11" t="n">
        <v>46080</v>
      </c>
      <c r="B2546" t="inlineStr">
        <is>
          <t>Davylla Rodrigues Freitas Silva</t>
        </is>
      </c>
      <c r="C2546" t="inlineStr">
        <is>
          <t>Técnico III</t>
        </is>
      </c>
      <c r="D2546" t="n">
        <v>15</v>
      </c>
      <c r="E2546" t="n">
        <v>15</v>
      </c>
      <c r="F2546" t="n">
        <v>47.01</v>
      </c>
      <c r="G2546" t="n">
        <v>0</v>
      </c>
      <c r="H2546" t="n">
        <v>0</v>
      </c>
      <c r="I2546" s="3" t="n">
        <v>0</v>
      </c>
      <c r="J2546" s="3" t="n">
        <v>0</v>
      </c>
      <c r="K2546" s="3" t="n">
        <v>0</v>
      </c>
      <c r="L2546" s="3">
        <f>IF(K2546&lt;-5,"CRÍTICO",IF(K2546&lt;0,"ATENÇÃO",IF(K2546&lt;=5,"BOM","EXCELENTE")))</f>
        <v/>
      </c>
      <c r="M2546" t="n">
        <v>13</v>
      </c>
      <c r="N2546" t="n">
        <v>98.11</v>
      </c>
      <c r="O2546" t="n">
        <v>33.03370786516854</v>
      </c>
    </row>
    <row r="2547" hidden="1">
      <c r="A2547" s="11" t="n">
        <v>46080</v>
      </c>
      <c r="B2547" t="inlineStr">
        <is>
          <t>Emilly Caylane Costa</t>
        </is>
      </c>
      <c r="C2547" t="inlineStr">
        <is>
          <t>Estágio</t>
        </is>
      </c>
      <c r="D2547" t="n">
        <v>8</v>
      </c>
      <c r="E2547" t="n">
        <v>8</v>
      </c>
      <c r="F2547" t="n">
        <v>48.23</v>
      </c>
      <c r="G2547" t="n">
        <v>0</v>
      </c>
      <c r="H2547" t="n">
        <v>0</v>
      </c>
      <c r="I2547" s="3">
        <f>E2547+G2547+H2547</f>
        <v/>
      </c>
      <c r="J2547" s="3">
        <f>ROUND(MIN(IF(C2547="Técnico III",35,IF(C2547="Técnico II",28,IF(C2547="Técnico I",23,IF(C2547="JR",20,IF(C2547="Estágio",10,0))))),IF(C2547="Técnico III",SUMIFS($D:$D,$A:$A,$A2547,$B:$B,"&lt;&gt;Patrícia Karla de Sousa Araújo",$B:$B,"&lt;&gt;Lorena Dias de Araujo",$B:$B,"&lt;&gt;Lucas Luiz Romero")*(35/1083),IF(C2547="Técnico II",SUMIFS($D:$D,$A:$A,$A2547,$B:$B,"&lt;&gt;Patrícia Karla de Sousa Araújo",$B:$B,"&lt;&gt;Lorena Dias de Araujo",$B:$B,"&lt;&gt;Lucas Luiz Romero")*(28/1083),IF(C2547="Técnico I",SUMIFS($D:$D,$A:$A,$A2547,$B:$B,"&lt;&gt;Patrícia Karla de Sousa Araújo",$B:$B,"&lt;&gt;Lorena Dias de Araujo",$B:$B,"&lt;&gt;Lucas Luiz Romero")*(23/1083),IF(C2547="JR",SUMIFS($D:$D,$A:$A,$A2547,$B:$B,"&lt;&gt;Patrícia Karla de Sousa Araújo",$B:$B,"&lt;&gt;Lorena Dias de Araujo",$B:$B,"&lt;&gt;Lucas Luiz Romero")*(20/1083),IF(C2547="Estágio",SUMIFS($D:$D,$A:$A,$A2547,$B:$B,"&lt;&gt;Patrícia Karla de Sousa Araújo",$B:$B,"&lt;&gt;Lorena Dias de Araujo",$B:$B,"&lt;&gt;Lucas Luiz Romero")*(10/1083),0)))))),0)</f>
        <v/>
      </c>
      <c r="K2547" s="3">
        <f>I2547-J2547</f>
        <v/>
      </c>
      <c r="L2547" s="3">
        <f>IF(K2547&lt;-5,"CRÍTICO",IF(K2547&lt;0,"ATENÇÃO",IF(K2547&lt;=5,"BOM","EXCELENTE")))</f>
        <v/>
      </c>
      <c r="M2547" t="n">
        <v>5</v>
      </c>
      <c r="N2547" t="n">
        <v>78.95</v>
      </c>
      <c r="O2547" t="n">
        <v>38.98305084745763</v>
      </c>
    </row>
    <row r="2548" hidden="1">
      <c r="A2548" s="11" t="n">
        <v>46080</v>
      </c>
      <c r="B2548" t="inlineStr">
        <is>
          <t>Emilly Kamilly Medeiros Miranda</t>
        </is>
      </c>
      <c r="C2548" t="inlineStr">
        <is>
          <t>Técnico II</t>
        </is>
      </c>
      <c r="D2548" t="n">
        <v>14</v>
      </c>
      <c r="E2548" t="n">
        <v>13</v>
      </c>
      <c r="F2548" t="n">
        <v>48.35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M2548" t="n">
        <v>13</v>
      </c>
      <c r="N2548" t="n">
        <v>98.45</v>
      </c>
      <c r="O2548" t="n">
        <v>29.2817679558011</v>
      </c>
    </row>
    <row r="2549" hidden="1">
      <c r="A2549" s="11" t="n">
        <v>46080</v>
      </c>
      <c r="B2549" t="inlineStr">
        <is>
          <t>Francielson de Oliveira</t>
        </is>
      </c>
      <c r="C2549" t="inlineStr">
        <is>
          <t>Técnico III</t>
        </is>
      </c>
      <c r="D2549" t="n">
        <v>24</v>
      </c>
      <c r="E2549" t="n">
        <v>24</v>
      </c>
      <c r="F2549" t="n">
        <v>22.14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M2549" t="n">
        <v>24</v>
      </c>
      <c r="N2549" t="n">
        <v>97.84</v>
      </c>
      <c r="O2549" t="n">
        <v>26.28205128205128</v>
      </c>
    </row>
    <row r="2550" hidden="1">
      <c r="A2550" s="11" t="n">
        <v>46080</v>
      </c>
      <c r="B2550" t="inlineStr">
        <is>
          <t>Francilene Ferreira de Jesus</t>
        </is>
      </c>
      <c r="C2550" t="inlineStr">
        <is>
          <t>Técnico II</t>
        </is>
      </c>
      <c r="D2550" t="n">
        <v>22</v>
      </c>
      <c r="E2550" t="n">
        <v>19</v>
      </c>
      <c r="F2550" t="n">
        <v>35.34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M2550" t="n">
        <v>18</v>
      </c>
      <c r="N2550" t="n">
        <v>98.5</v>
      </c>
      <c r="O2550" t="n">
        <v>23.97769516728625</v>
      </c>
    </row>
    <row r="2551" hidden="1">
      <c r="A2551" s="11" t="n">
        <v>46114</v>
      </c>
      <c r="B2551" t="inlineStr">
        <is>
          <t>Gabriel Gomes de Andrade</t>
        </is>
      </c>
      <c r="C2551" t="inlineStr">
        <is>
          <t>Técnico I</t>
        </is>
      </c>
      <c r="D2551" t="n">
        <v>33</v>
      </c>
      <c r="E2551" t="n">
        <v>31</v>
      </c>
      <c r="F2551" t="n">
        <v>15.33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IF(K2551&lt;-5,"CRÍTICO",IF(K2551&lt;0,"ATENÇÃO",IF(K2551&lt;=5,"OPORTUNO","MUITO BOM")))</f>
        <v/>
      </c>
      <c r="M2551" t="n">
        <v>32</v>
      </c>
      <c r="N2551" t="n">
        <v>99.28</v>
      </c>
      <c r="O2551" t="n">
        <v>27.68924302788844</v>
      </c>
    </row>
    <row r="2552" hidden="1">
      <c r="A2552" s="11" t="n">
        <v>46080</v>
      </c>
      <c r="B2552" t="inlineStr">
        <is>
          <t>Isabella Borges de Oliveira</t>
        </is>
      </c>
      <c r="C2552" t="inlineStr">
        <is>
          <t>Técnico II</t>
        </is>
      </c>
      <c r="D2552" t="n">
        <v>21</v>
      </c>
      <c r="E2552" t="n">
        <v>21</v>
      </c>
      <c r="F2552" t="n">
        <v>28.56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IF(K2552&lt;-5,"CRÍTICO",IF(K2552&lt;0,"ATENÇÃO",IF(K2552&lt;=5,"BOM","EXCELENTE")))</f>
        <v/>
      </c>
      <c r="M2552" t="n">
        <v>19</v>
      </c>
      <c r="N2552" t="n">
        <v>98.53</v>
      </c>
      <c r="O2552" t="n">
        <v>31.57894736842105</v>
      </c>
    </row>
    <row r="2553" hidden="1">
      <c r="A2553" s="11" t="n">
        <v>46080</v>
      </c>
      <c r="B2553" t="inlineStr">
        <is>
          <t>Janaina Lima dos Reis Urany</t>
        </is>
      </c>
      <c r="C2553" t="inlineStr">
        <is>
          <t>Técnico III</t>
        </is>
      </c>
      <c r="D2553" t="n">
        <v>28</v>
      </c>
      <c r="E2553" t="n">
        <v>23</v>
      </c>
      <c r="F2553" t="n">
        <v>27.08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M2553" t="n">
        <v>24</v>
      </c>
      <c r="N2553" t="n">
        <v>100</v>
      </c>
      <c r="O2553" t="n">
        <v>25.72214580467676</v>
      </c>
    </row>
    <row r="2554" hidden="1">
      <c r="A2554" s="11" t="n">
        <v>46080</v>
      </c>
      <c r="B2554" t="inlineStr">
        <is>
          <t>Jaqueline Evangelista da Silva Martins</t>
        </is>
      </c>
      <c r="C2554" t="inlineStr">
        <is>
          <t>Técnico III</t>
        </is>
      </c>
      <c r="D2554" t="n">
        <v>3</v>
      </c>
      <c r="E2554" t="n">
        <v>3</v>
      </c>
      <c r="F2554" t="n">
        <v>67.34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M2554" t="n">
        <v>2</v>
      </c>
      <c r="N2554" t="n">
        <v>94.64</v>
      </c>
      <c r="O2554" t="n">
        <v>27.52941176470588</v>
      </c>
    </row>
    <row r="2555" hidden="1">
      <c r="A2555" s="11" t="n">
        <v>46080</v>
      </c>
      <c r="B2555" t="inlineStr">
        <is>
          <t>Jessica Faria da Silveira</t>
        </is>
      </c>
      <c r="C2555" t="inlineStr">
        <is>
          <t>Técnico II</t>
        </is>
      </c>
      <c r="D2555" t="n">
        <v>15</v>
      </c>
      <c r="E2555" t="n">
        <v>15</v>
      </c>
      <c r="F2555" t="n">
        <v>33.32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M2555" t="n">
        <v>14</v>
      </c>
      <c r="N2555" t="n">
        <v>99.06999999999999</v>
      </c>
      <c r="O2555" t="n">
        <v>26.3768115942029</v>
      </c>
    </row>
    <row r="2556" hidden="1">
      <c r="A2556" s="11" t="n">
        <v>46080</v>
      </c>
      <c r="B2556" t="inlineStr">
        <is>
          <t>Jéssica Fé Moura</t>
        </is>
      </c>
      <c r="C2556" t="inlineStr">
        <is>
          <t>Técnico III</t>
        </is>
      </c>
      <c r="D2556" t="n">
        <v>0</v>
      </c>
      <c r="E2556" t="n">
        <v>0</v>
      </c>
      <c r="F2556" t="n">
        <v>0</v>
      </c>
      <c r="G2556" t="n">
        <v>0</v>
      </c>
      <c r="H2556" t="n">
        <v>0</v>
      </c>
      <c r="I2556" s="3" t="n">
        <v>0</v>
      </c>
      <c r="J2556" s="3" t="n">
        <v>0</v>
      </c>
      <c r="K2556" s="3" t="n">
        <v>0</v>
      </c>
      <c r="L2556" s="3">
        <f>IF(K2556&lt;-5,"CRÍTICO",IF(K2556&lt;0,"ATENÇÃO",IF(K2556&lt;=5,"BOM","EXCELENTE")))</f>
        <v/>
      </c>
      <c r="M2556" t="n">
        <v>0</v>
      </c>
      <c r="N2556" t="n">
        <v>100</v>
      </c>
      <c r="O2556" t="n">
        <v>0</v>
      </c>
    </row>
    <row r="2557" hidden="1">
      <c r="A2557" s="11" t="n">
        <v>46080</v>
      </c>
      <c r="B2557" t="inlineStr">
        <is>
          <t>Karina Gonçalves Martins</t>
        </is>
      </c>
      <c r="C2557" t="inlineStr">
        <is>
          <t>JR</t>
        </is>
      </c>
      <c r="D2557" t="n">
        <v>9</v>
      </c>
      <c r="E2557" t="n">
        <v>8</v>
      </c>
      <c r="F2557" t="n">
        <v>38.58</v>
      </c>
      <c r="G2557" t="n">
        <v>0</v>
      </c>
      <c r="H2557" t="n">
        <v>0</v>
      </c>
      <c r="I2557" s="3">
        <f>E2557+G2557+H2557</f>
        <v/>
      </c>
      <c r="J2557" s="3">
        <f>ROUND(MIN(IF(C2557="Técnico III",35,IF(C2557="Técnico II",28,IF(C2557="Técnico I",23,IF(C2557="JR",20,IF(C2557="Estágio",10,0))))),IF(C2557="Técnico III",SUMIFS($D:$D,$A:$A,$A2557,$B:$B,"&lt;&gt;Patrícia Karla de Sousa Araújo",$B:$B,"&lt;&gt;Lorena Dias de Araujo",$B:$B,"&lt;&gt;Lucas Luiz Romero")*(35/1083),IF(C2557="Técnico II",SUMIFS($D:$D,$A:$A,$A2557,$B:$B,"&lt;&gt;Patrícia Karla de Sousa Araújo",$B:$B,"&lt;&gt;Lorena Dias de Araujo",$B:$B,"&lt;&gt;Lucas Luiz Romero")*(28/1083),IF(C2557="Técnico I",SUMIFS($D:$D,$A:$A,$A2557,$B:$B,"&lt;&gt;Patrícia Karla de Sousa Araújo",$B:$B,"&lt;&gt;Lorena Dias de Araujo",$B:$B,"&lt;&gt;Lucas Luiz Romero")*(23/1083),IF(C2557="JR",SUMIFS($D:$D,$A:$A,$A2557,$B:$B,"&lt;&gt;Patrícia Karla de Sousa Araújo",$B:$B,"&lt;&gt;Lorena Dias de Araujo",$B:$B,"&lt;&gt;Lucas Luiz Romero")*(20/1083),IF(C2557="Estágio",SUMIFS($D:$D,$A:$A,$A2557,$B:$B,"&lt;&gt;Patrícia Karla de Sousa Araújo",$B:$B,"&lt;&gt;Lorena Dias de Araujo",$B:$B,"&lt;&gt;Lucas Luiz Romero")*(10/1083),0)))))),0)</f>
        <v/>
      </c>
      <c r="K2557" s="3">
        <f>I2557-J2557</f>
        <v/>
      </c>
      <c r="L2557" s="3">
        <f>IF(K2557&lt;-5,"CRÍTICO",IF(K2557&lt;0,"ATENÇÃO",IF(K2557&lt;=5,"BOM","EXCELENTE")))</f>
        <v/>
      </c>
      <c r="M2557" t="n">
        <v>9</v>
      </c>
      <c r="N2557" t="n">
        <v>98.48</v>
      </c>
      <c r="O2557" t="n">
        <v>27.85388127853881</v>
      </c>
    </row>
    <row r="2558" hidden="1">
      <c r="A2558" s="11" t="n">
        <v>46080</v>
      </c>
      <c r="B2558" t="inlineStr">
        <is>
          <t>Kerollen Cristielly de Jesus Siqueira</t>
        </is>
      </c>
      <c r="C2558" t="inlineStr">
        <is>
          <t>Técnico III</t>
        </is>
      </c>
      <c r="D2558" t="n">
        <v>0</v>
      </c>
      <c r="E2558" t="n">
        <v>0</v>
      </c>
      <c r="F2558" t="n">
        <v>0</v>
      </c>
      <c r="G2558" t="n">
        <v>0</v>
      </c>
      <c r="H2558" t="n">
        <v>0</v>
      </c>
      <c r="I2558" s="3" t="n">
        <v>0</v>
      </c>
      <c r="J2558" s="3" t="n">
        <v>0</v>
      </c>
      <c r="K2558" s="3" t="n">
        <v>0</v>
      </c>
      <c r="L2558" s="3">
        <f>IF(K2558&lt;-5,"CRÍTICO",IF(K2558&lt;0,"ATENÇÃO",IF(K2558&lt;=5,"BOM","EXCELENTE")))</f>
        <v/>
      </c>
      <c r="M2558" t="n">
        <v>21</v>
      </c>
      <c r="N2558" t="n">
        <v>95.15000000000001</v>
      </c>
      <c r="O2558" t="n">
        <v>34.13173652694611</v>
      </c>
    </row>
    <row r="2559" hidden="1">
      <c r="A2559" s="11" t="n">
        <v>46080</v>
      </c>
      <c r="B2559" t="inlineStr">
        <is>
          <t>Leandro de Souza Silva</t>
        </is>
      </c>
      <c r="C2559" t="inlineStr">
        <is>
          <t>JR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M2559" t="n">
        <v>0</v>
      </c>
      <c r="N2559" t="n">
        <v>0</v>
      </c>
      <c r="O2559" t="n">
        <v>0</v>
      </c>
    </row>
    <row r="2560" hidden="1">
      <c r="A2560" s="11" t="n">
        <v>46080</v>
      </c>
      <c r="B2560" t="inlineStr">
        <is>
          <t>Leandro Oliveira de Sousa</t>
        </is>
      </c>
      <c r="C2560" t="inlineStr">
        <is>
          <t>Técnico III</t>
        </is>
      </c>
      <c r="D2560" t="n">
        <v>16</v>
      </c>
      <c r="E2560" t="n">
        <v>16</v>
      </c>
      <c r="F2560" t="n">
        <v>45.36</v>
      </c>
      <c r="G2560" t="n">
        <v>0</v>
      </c>
      <c r="H2560" t="n">
        <v>0</v>
      </c>
      <c r="I2560" s="3">
        <f>E2560+G2560+H2560</f>
        <v/>
      </c>
      <c r="J2560" s="3">
        <f>ROUND(MIN(IF(C2560="Técnico III",35,IF(C2560="Técnico II",28,IF(C2560="Técnico I",23,IF(C2560="JR",20,IF(C2560="Estágio",10,0))))),IF(C2560="Técnico III",SUMIFS($D:$D,$A:$A,$A2560,$B:$B,"&lt;&gt;Patrícia Karla de Sousa Araújo",$B:$B,"&lt;&gt;Lorena Dias de Araujo",$B:$B,"&lt;&gt;Lucas Luiz Romero")*(35/1083),IF(C2560="Técnico II",SUMIFS($D:$D,$A:$A,$A2560,$B:$B,"&lt;&gt;Patrícia Karla de Sousa Araújo",$B:$B,"&lt;&gt;Lorena Dias de Araujo",$B:$B,"&lt;&gt;Lucas Luiz Romero")*(28/1083),IF(C2560="Técnico I",SUMIFS($D:$D,$A:$A,$A2560,$B:$B,"&lt;&gt;Patrícia Karla de Sousa Araújo",$B:$B,"&lt;&gt;Lorena Dias de Araujo",$B:$B,"&lt;&gt;Lucas Luiz Romero")*(23/1083),IF(C2560="JR",SUMIFS($D:$D,$A:$A,$A2560,$B:$B,"&lt;&gt;Patrícia Karla de Sousa Araújo",$B:$B,"&lt;&gt;Lorena Dias de Araujo",$B:$B,"&lt;&gt;Lucas Luiz Romero")*(20/1083),IF(C2560="Estágio",SUMIFS($D:$D,$A:$A,$A2560,$B:$B,"&lt;&gt;Patrícia Karla de Sousa Araújo",$B:$B,"&lt;&gt;Lorena Dias de Araujo",$B:$B,"&lt;&gt;Lucas Luiz Romero")*(10/1083),0)))))),0)</f>
        <v/>
      </c>
      <c r="K2560" s="3">
        <f>I2560-J2560</f>
        <v/>
      </c>
      <c r="L2560" s="3">
        <f>IF(K2560&lt;-5,"CRÍTICO",IF(K2560&lt;0,"ATENÇÃO",IF(K2560&lt;=5,"BOM","EXCELENTE")))</f>
        <v/>
      </c>
      <c r="M2560" t="n">
        <v>13</v>
      </c>
      <c r="N2560" t="n">
        <v>99.26000000000001</v>
      </c>
      <c r="O2560" t="n">
        <v>30.84832904884319</v>
      </c>
    </row>
    <row r="2561" hidden="1">
      <c r="A2561" s="11" t="n">
        <v>46080</v>
      </c>
      <c r="B2561" t="inlineStr">
        <is>
          <t>Lizandra Gomes Duarte</t>
        </is>
      </c>
      <c r="C2561" t="inlineStr">
        <is>
          <t>Técnico II</t>
        </is>
      </c>
      <c r="D2561" t="n">
        <v>32</v>
      </c>
      <c r="E2561" t="n">
        <v>30</v>
      </c>
      <c r="F2561" t="n">
        <v>23.44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M2561" t="n">
        <v>20</v>
      </c>
      <c r="N2561" t="n">
        <v>97.48</v>
      </c>
      <c r="O2561" t="n">
        <v>27.76470588235294</v>
      </c>
    </row>
    <row r="2562" hidden="1">
      <c r="A2562" s="11" t="n">
        <v>46080</v>
      </c>
      <c r="B2562" t="inlineStr">
        <is>
          <t>Lorena Dias de Araujo</t>
        </is>
      </c>
      <c r="C2562" t="inlineStr">
        <is>
          <t>Técnico II</t>
        </is>
      </c>
      <c r="D2562" t="n">
        <v>28</v>
      </c>
      <c r="E2562" t="n">
        <v>24</v>
      </c>
      <c r="F2562" t="n">
        <v>25.3</v>
      </c>
      <c r="G2562" t="n">
        <v>0</v>
      </c>
      <c r="H2562" t="n">
        <v>0</v>
      </c>
      <c r="I2562" s="3" t="n">
        <v>0</v>
      </c>
      <c r="J2562" s="3" t="n">
        <v>0</v>
      </c>
      <c r="K2562" s="3" t="n">
        <v>0</v>
      </c>
      <c r="L2562" s="3">
        <f>IF(K2562&lt;-5,"CRÍTICO",IF(K2562&lt;0,"ATENÇÃO",IF(K2562&lt;=5,"BOM","EXCELENTE")))</f>
        <v/>
      </c>
      <c r="M2562" t="n">
        <v>21</v>
      </c>
      <c r="N2562" t="n">
        <v>99.34</v>
      </c>
      <c r="O2562" t="n">
        <v>30.04291845493562</v>
      </c>
    </row>
    <row r="2563" hidden="1">
      <c r="A2563" s="11" t="n">
        <v>46080</v>
      </c>
      <c r="B2563" t="inlineStr">
        <is>
          <t>Lucas Luiz Romero</t>
        </is>
      </c>
      <c r="C2563" t="inlineStr">
        <is>
          <t>Técnico III</t>
        </is>
      </c>
      <c r="D2563" t="n">
        <v>23</v>
      </c>
      <c r="E2563" t="n">
        <v>21</v>
      </c>
      <c r="F2563" t="n">
        <v>18.41</v>
      </c>
      <c r="G2563" t="n">
        <v>0</v>
      </c>
      <c r="H2563" t="n">
        <v>0</v>
      </c>
      <c r="I2563" s="3">
        <f>E2563+G2563+H2563</f>
        <v/>
      </c>
      <c r="J2563" s="3">
        <f>ROUND(MIN(IF(C2563="Técnico III",35,IF(C2563="Técnico II",28,IF(C2563="Técnico I",23,IF(C2563="JR",20,IF(C2563="Estágio",10,0))))),IF(C2563="Técnico III",SUMIFS($D:$D,$A:$A,$A2563,$B:$B,"&lt;&gt;Patrícia Karla de Sousa Araújo",$B:$B,"&lt;&gt;Lorena Dias de Araujo",$B:$B,"&lt;&gt;Lucas Luiz Romero")*(35/1083),IF(C2563="Técnico II",SUMIFS($D:$D,$A:$A,$A2563,$B:$B,"&lt;&gt;Patrícia Karla de Sousa Araújo",$B:$B,"&lt;&gt;Lorena Dias de Araujo",$B:$B,"&lt;&gt;Lucas Luiz Romero")*(28/1083),IF(C2563="Técnico I",SUMIFS($D:$D,$A:$A,$A2563,$B:$B,"&lt;&gt;Patrícia Karla de Sousa Araújo",$B:$B,"&lt;&gt;Lorena Dias de Araujo",$B:$B,"&lt;&gt;Lucas Luiz Romero")*(23/1083),IF(C2563="JR",SUMIFS($D:$D,$A:$A,$A2563,$B:$B,"&lt;&gt;Patrícia Karla de Sousa Araújo",$B:$B,"&lt;&gt;Lorena Dias de Araujo",$B:$B,"&lt;&gt;Lucas Luiz Romero")*(20/1083),IF(C2563="Estágio",SUMIFS($D:$D,$A:$A,$A2563,$B:$B,"&lt;&gt;Patrícia Karla de Sousa Araújo",$B:$B,"&lt;&gt;Lorena Dias de Araujo",$B:$B,"&lt;&gt;Lucas Luiz Romero")*(10/1083),0)))))),0)</f>
        <v/>
      </c>
      <c r="K2563" s="3">
        <f>I2563-J2563</f>
        <v/>
      </c>
      <c r="L2563" s="3">
        <f>IF(K2563&lt;-5,"CRÍTICO",IF(K2563&lt;0,"ATENÇÃO",IF(K2563&lt;=5,"BOM","EXCELENTE")))</f>
        <v/>
      </c>
      <c r="M2563" t="n">
        <v>12</v>
      </c>
      <c r="N2563" t="n">
        <v>96.3</v>
      </c>
      <c r="O2563" t="n">
        <v>24.29378531073446</v>
      </c>
    </row>
    <row r="2564" hidden="1">
      <c r="A2564" s="11" t="n">
        <v>46080</v>
      </c>
      <c r="B2564" t="inlineStr">
        <is>
          <t>Luiz Fernando de Carvalho Junior</t>
        </is>
      </c>
      <c r="C2564" t="inlineStr">
        <is>
          <t>Técnico I</t>
        </is>
      </c>
      <c r="D2564" t="n">
        <v>13</v>
      </c>
      <c r="E2564" t="n">
        <v>13</v>
      </c>
      <c r="F2564" t="n">
        <v>55.19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M2564" t="n">
        <v>12</v>
      </c>
      <c r="N2564" t="n">
        <v>100</v>
      </c>
      <c r="O2564" t="n">
        <v>26.54320987654321</v>
      </c>
    </row>
    <row r="2565" hidden="1">
      <c r="A2565" s="11" t="n">
        <v>46080</v>
      </c>
      <c r="B2565" t="inlineStr">
        <is>
          <t>Maria Eduarda Sousa Costa</t>
        </is>
      </c>
      <c r="C2565" t="inlineStr">
        <is>
          <t>Estágio</t>
        </is>
      </c>
      <c r="D2565" t="n">
        <v>14</v>
      </c>
      <c r="E2565" t="n">
        <v>14</v>
      </c>
      <c r="F2565" t="n">
        <v>53.33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M2565" t="n">
        <v>8</v>
      </c>
      <c r="N2565" t="n">
        <v>100</v>
      </c>
      <c r="O2565" t="n">
        <v>35.48387096774194</v>
      </c>
    </row>
    <row r="2566" hidden="1">
      <c r="A2566" s="11" t="n">
        <v>46080</v>
      </c>
      <c r="B2566" t="inlineStr">
        <is>
          <t>Matheus Farias De Souza</t>
        </is>
      </c>
      <c r="C2566" t="inlineStr">
        <is>
          <t>Técnico III</t>
        </is>
      </c>
      <c r="D2566" t="n">
        <v>20</v>
      </c>
      <c r="E2566" t="n">
        <v>20</v>
      </c>
      <c r="F2566" t="n">
        <v>35.56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M2566" t="n">
        <v>18</v>
      </c>
      <c r="N2566" t="n">
        <v>99.27</v>
      </c>
      <c r="O2566" t="n">
        <v>31.16370808678501</v>
      </c>
    </row>
    <row r="2567" hidden="1">
      <c r="A2567" s="11" t="n">
        <v>46080</v>
      </c>
      <c r="B2567" t="inlineStr">
        <is>
          <t>Maysa Victoria Dias Moura</t>
        </is>
      </c>
      <c r="C2567" t="inlineStr">
        <is>
          <t>Técnico III</t>
        </is>
      </c>
      <c r="D2567" t="n">
        <v>28</v>
      </c>
      <c r="E2567" t="n">
        <v>23</v>
      </c>
      <c r="F2567" t="n">
        <v>25.26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M2567" t="n">
        <v>21</v>
      </c>
      <c r="N2567" t="n">
        <v>94.16</v>
      </c>
      <c r="O2567" t="n">
        <v>27.03862660944206</v>
      </c>
    </row>
    <row r="2568" hidden="1">
      <c r="A2568" s="11" t="n">
        <v>46080</v>
      </c>
      <c r="B2568" t="inlineStr">
        <is>
          <t>Michelle G Santos</t>
        </is>
      </c>
      <c r="C2568" t="inlineStr">
        <is>
          <t>Estágio</t>
        </is>
      </c>
      <c r="D2568" t="n">
        <v>14</v>
      </c>
      <c r="E2568" t="n">
        <v>14</v>
      </c>
      <c r="F2568" t="n">
        <v>43.59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M2568" t="n">
        <v>7</v>
      </c>
      <c r="N2568" t="n">
        <v>93.75</v>
      </c>
      <c r="O2568" t="n">
        <v>19.31818181818182</v>
      </c>
    </row>
    <row r="2569" hidden="1">
      <c r="A2569" s="11" t="n">
        <v>46080</v>
      </c>
      <c r="B2569" t="inlineStr">
        <is>
          <t>Milena Sales</t>
        </is>
      </c>
      <c r="C2569" t="inlineStr">
        <is>
          <t>JR</t>
        </is>
      </c>
      <c r="D2569" t="n">
        <v>0</v>
      </c>
      <c r="E2569" t="n">
        <v>0</v>
      </c>
      <c r="F2569" t="n">
        <v>0</v>
      </c>
      <c r="G2569" t="n">
        <v>0</v>
      </c>
      <c r="H2569" t="n">
        <v>0</v>
      </c>
      <c r="I2569" s="3" t="n">
        <v>0</v>
      </c>
      <c r="J2569" s="3" t="n">
        <v>0</v>
      </c>
      <c r="K2569" s="3" t="n">
        <v>0</v>
      </c>
      <c r="L2569" s="3">
        <f>IF(K2569&lt;-5,"CRÍTICO",IF(K2569&lt;0,"ATENÇÃO",IF(K2569&lt;=5,"BOM","EXCELENTE")))</f>
        <v/>
      </c>
      <c r="M2569" t="n">
        <v>0</v>
      </c>
      <c r="N2569" t="n">
        <v>0</v>
      </c>
      <c r="O2569" t="n">
        <v>0</v>
      </c>
    </row>
    <row r="2570" hidden="1">
      <c r="A2570" s="11" t="n">
        <v>46080</v>
      </c>
      <c r="B2570" t="inlineStr">
        <is>
          <t>Patrícia Karla de Sousa Araújo</t>
        </is>
      </c>
      <c r="C2570" t="inlineStr">
        <is>
          <t>Técnico II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M2570" t="n">
        <v>0</v>
      </c>
      <c r="N2570" t="n">
        <v>97.92</v>
      </c>
      <c r="O2570" t="n">
        <v>32.87671232876712</v>
      </c>
    </row>
    <row r="2571" hidden="1">
      <c r="A2571" s="11" t="n">
        <v>46080</v>
      </c>
      <c r="B2571" t="inlineStr">
        <is>
          <t>Paulo Ricardo Santos</t>
        </is>
      </c>
      <c r="C2571" t="inlineStr">
        <is>
          <t>JR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M2571" t="n">
        <v>0</v>
      </c>
      <c r="N2571" t="n">
        <v>0</v>
      </c>
      <c r="O2571" t="n">
        <v>0</v>
      </c>
    </row>
    <row r="2572" hidden="1">
      <c r="A2572" s="11" t="n">
        <v>46080</v>
      </c>
      <c r="B2572" t="inlineStr">
        <is>
          <t>Pedro Luiz Mota Sousa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M2572" t="n">
        <v>0</v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Quirino Diogo Leite Torres</t>
        </is>
      </c>
      <c r="C2573" t="inlineStr">
        <is>
          <t>Estágio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M2573" t="n">
        <v>0</v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Raane Batista Matos</t>
        </is>
      </c>
      <c r="C2574" t="inlineStr">
        <is>
          <t>Técnico I</t>
        </is>
      </c>
      <c r="D2574" t="n">
        <v>22</v>
      </c>
      <c r="E2574" t="n">
        <v>22</v>
      </c>
      <c r="F2574" t="n">
        <v>33.55</v>
      </c>
      <c r="G2574" t="n">
        <v>0</v>
      </c>
      <c r="H2574" t="n">
        <v>0</v>
      </c>
      <c r="I2574" s="3">
        <f>E2574+G2574+H2574</f>
        <v/>
      </c>
      <c r="J2574" s="3">
        <f>ROUND(MIN(IF(C2574="Técnico III",35,IF(C2574="Técnico II",28,IF(C2574="Técnico I",23,IF(C2574="JR",20,IF(C2574="Estágio",10,0))))),IF(C2574="Técnico III",SUMIFS($D:$D,$A:$A,$A2574,$B:$B,"&lt;&gt;Patrícia Karla de Sousa Araújo",$B:$B,"&lt;&gt;Lorena Dias de Araujo",$B:$B,"&lt;&gt;Lucas Luiz Romero")*(35/1083),IF(C2574="Técnico II",SUMIFS($D:$D,$A:$A,$A2574,$B:$B,"&lt;&gt;Patrícia Karla de Sousa Araújo",$B:$B,"&lt;&gt;Lorena Dias de Araujo",$B:$B,"&lt;&gt;Lucas Luiz Romero")*(28/1083),IF(C2574="Técnico I",SUMIFS($D:$D,$A:$A,$A2574,$B:$B,"&lt;&gt;Patrícia Karla de Sousa Araújo",$B:$B,"&lt;&gt;Lorena Dias de Araujo",$B:$B,"&lt;&gt;Lucas Luiz Romero")*(23/1083),IF(C2574="JR",SUMIFS($D:$D,$A:$A,$A2574,$B:$B,"&lt;&gt;Patrícia Karla de Sousa Araújo",$B:$B,"&lt;&gt;Lorena Dias de Araujo",$B:$B,"&lt;&gt;Lucas Luiz Romero")*(20/1083),IF(C2574="Estágio",SUMIFS($D:$D,$A:$A,$A2574,$B:$B,"&lt;&gt;Patrícia Karla de Sousa Araújo",$B:$B,"&lt;&gt;Lorena Dias de Araujo",$B:$B,"&lt;&gt;Lucas Luiz Romero")*(10/1083),0)))))),0)</f>
        <v/>
      </c>
      <c r="K2574" s="3">
        <f>I2574-J2574</f>
        <v/>
      </c>
      <c r="L2574" s="3">
        <f>IF(K2574&lt;-5,"CRÍTICO",IF(K2574&lt;0,"ATENÇÃO",IF(K2574&lt;=5,"BOM","EXCELENTE")))</f>
        <v/>
      </c>
      <c r="M2574" t="n">
        <v>20</v>
      </c>
      <c r="N2574" t="n">
        <v>98.51000000000001</v>
      </c>
      <c r="O2574" t="n">
        <v>29.71014492753623</v>
      </c>
    </row>
    <row r="2575" hidden="1">
      <c r="A2575" s="11" t="n">
        <v>46080</v>
      </c>
      <c r="B2575" t="inlineStr">
        <is>
          <t>Rafael Gomes de Morais</t>
        </is>
      </c>
      <c r="C2575" t="inlineStr">
        <is>
          <t>Técnico III</t>
        </is>
      </c>
      <c r="D2575" t="n">
        <v>36</v>
      </c>
      <c r="E2575" t="n">
        <v>28</v>
      </c>
      <c r="F2575" t="n">
        <v>17.28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M2575" t="n">
        <v>23</v>
      </c>
      <c r="N2575" t="n">
        <v>98.81</v>
      </c>
      <c r="O2575" t="n">
        <v>30.71297989031079</v>
      </c>
    </row>
    <row r="2576" hidden="1">
      <c r="A2576" s="11" t="n">
        <v>46080</v>
      </c>
      <c r="B2576" t="inlineStr">
        <is>
          <t>Sara Maria Monteiro Lopes</t>
        </is>
      </c>
      <c r="C2576" t="inlineStr">
        <is>
          <t>Técnico I</t>
        </is>
      </c>
      <c r="D2576" t="n">
        <v>11</v>
      </c>
      <c r="E2576" t="n">
        <v>10</v>
      </c>
      <c r="F2576" t="n">
        <v>42.3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M2576" t="n">
        <v>9</v>
      </c>
      <c r="N2576" t="n">
        <v>98.48</v>
      </c>
      <c r="O2576" t="n">
        <v>29.35323383084577</v>
      </c>
    </row>
    <row r="2577" hidden="1">
      <c r="A2577" s="11" t="n">
        <v>46080</v>
      </c>
      <c r="B2577" t="inlineStr">
        <is>
          <t>Sarah Steffanie de Lima Borges</t>
        </is>
      </c>
      <c r="C2577" t="inlineStr">
        <is>
          <t>Técnico III</t>
        </is>
      </c>
      <c r="D2577" t="n">
        <v>21</v>
      </c>
      <c r="E2577" t="n">
        <v>17</v>
      </c>
      <c r="F2577" t="n">
        <v>22.13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M2577" t="n">
        <v>17</v>
      </c>
      <c r="N2577" t="n">
        <v>98.56</v>
      </c>
      <c r="O2577" t="n">
        <v>29.37365010799136</v>
      </c>
    </row>
    <row r="2578" hidden="1">
      <c r="A2578" s="11" t="n">
        <v>46083</v>
      </c>
      <c r="B2578" t="inlineStr">
        <is>
          <t>Alisson de Freitas Silva</t>
        </is>
      </c>
      <c r="C2578" t="inlineStr">
        <is>
          <t>Técnico II</t>
        </is>
      </c>
      <c r="D2578" t="n">
        <v>34</v>
      </c>
      <c r="E2578" t="n">
        <v>30</v>
      </c>
      <c r="F2578" t="n">
        <v>20.19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M2578" t="n">
        <v>22</v>
      </c>
      <c r="N2578" t="n">
        <v>94.29000000000001</v>
      </c>
      <c r="O2578" t="n">
        <v>25.64766839378239</v>
      </c>
    </row>
    <row r="2579" hidden="1">
      <c r="A2579" s="11" t="n">
        <v>46083</v>
      </c>
      <c r="B2579" t="inlineStr">
        <is>
          <t>Amanda Moura Ferreira</t>
        </is>
      </c>
      <c r="C2579" t="inlineStr">
        <is>
          <t>Técnico III</t>
        </is>
      </c>
      <c r="D2579" t="n">
        <v>0</v>
      </c>
      <c r="E2579" t="n">
        <v>0</v>
      </c>
      <c r="F2579" t="n">
        <v>0</v>
      </c>
      <c r="G2579" t="n">
        <v>0</v>
      </c>
      <c r="H2579" t="n">
        <v>0</v>
      </c>
      <c r="I2579" s="3" t="n">
        <v>0</v>
      </c>
      <c r="J2579" s="3" t="n">
        <v>0</v>
      </c>
      <c r="K2579" s="3" t="n">
        <v>0</v>
      </c>
      <c r="L2579" s="3">
        <f>IF(K2579&lt;-5,"CRÍTICO",IF(K2579&lt;0,"ATENÇÃO",IF(K2579&lt;=5,"BOM","EXCELENTE")))</f>
        <v/>
      </c>
      <c r="M2579" t="n">
        <v>23</v>
      </c>
      <c r="N2579" t="n">
        <v>98.26000000000001</v>
      </c>
      <c r="O2579" t="n">
        <v>26.66666666666667</v>
      </c>
    </row>
    <row r="2580" hidden="1">
      <c r="A2580" s="11" t="n">
        <v>46083</v>
      </c>
      <c r="B2580" t="inlineStr">
        <is>
          <t>Ana Karollyne Souza Faria</t>
        </is>
      </c>
      <c r="C2580" t="inlineStr">
        <is>
          <t>Técnico I</t>
        </is>
      </c>
      <c r="D2580" t="n">
        <v>24</v>
      </c>
      <c r="E2580" t="n">
        <v>20</v>
      </c>
      <c r="F2580" t="n">
        <v>18.27</v>
      </c>
      <c r="G2580" t="n">
        <v>0</v>
      </c>
      <c r="H2580" t="n">
        <v>0</v>
      </c>
      <c r="I2580" s="3">
        <f>E2580+G2580+H2580</f>
        <v/>
      </c>
      <c r="J2580" s="3">
        <f>ROUND(MIN(IF(C2580="Técnico III",35,IF(C2580="Técnico II",28,IF(C2580="Técnico I",23,IF(C2580="JR",20,IF(C2580="Estágio",10,0))))),IF(C2580="Técnico III",SUMIFS($D:$D,$A:$A,$A2580,$B:$B,"&lt;&gt;Patrícia Karla de Sousa Araújo",$B:$B,"&lt;&gt;Lorena Dias de Araujo",$B:$B,"&lt;&gt;Lucas Luiz Romero")*(35/1083),IF(C2580="Técnico II",SUMIFS($D:$D,$A:$A,$A2580,$B:$B,"&lt;&gt;Patrícia Karla de Sousa Araújo",$B:$B,"&lt;&gt;Lorena Dias de Araujo",$B:$B,"&lt;&gt;Lucas Luiz Romero")*(28/1083),IF(C2580="Técnico I",SUMIFS($D:$D,$A:$A,$A2580,$B:$B,"&lt;&gt;Patrícia Karla de Sousa Araújo",$B:$B,"&lt;&gt;Lorena Dias de Araujo",$B:$B,"&lt;&gt;Lucas Luiz Romero")*(23/1083),IF(C2580="JR",SUMIFS($D:$D,$A:$A,$A2580,$B:$B,"&lt;&gt;Patrícia Karla de Sousa Araújo",$B:$B,"&lt;&gt;Lorena Dias de Araujo",$B:$B,"&lt;&gt;Lucas Luiz Romero")*(20/1083),IF(C2580="Estágio",SUMIFS($D:$D,$A:$A,$A2580,$B:$B,"&lt;&gt;Patrícia Karla de Sousa Araújo",$B:$B,"&lt;&gt;Lorena Dias de Araujo",$B:$B,"&lt;&gt;Lucas Luiz Romero")*(10/1083),0)))))),0)</f>
        <v/>
      </c>
      <c r="K2580" s="3">
        <f>I2580-J2580</f>
        <v/>
      </c>
      <c r="L2580" s="3">
        <f>IF(K2580&lt;-5,"CRÍTICO",IF(K2580&lt;0,"ATENÇÃO",IF(K2580&lt;=5,"BOM","EXCELENTE")))</f>
        <v/>
      </c>
      <c r="M2580" t="n">
        <v>21</v>
      </c>
      <c r="N2580" t="n">
        <v>98.2</v>
      </c>
      <c r="O2580" t="n">
        <v>23.37962962962963</v>
      </c>
    </row>
    <row r="2581" hidden="1">
      <c r="A2581" s="11" t="n">
        <v>46083</v>
      </c>
      <c r="B2581" t="inlineStr">
        <is>
          <t>Ana Paula Da Luz Silva Aleixo</t>
        </is>
      </c>
      <c r="C2581" t="inlineStr">
        <is>
          <t>Técnico III</t>
        </is>
      </c>
      <c r="D2581" t="n">
        <v>24</v>
      </c>
      <c r="E2581" t="n">
        <v>24</v>
      </c>
      <c r="F2581" t="n">
        <v>30.47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M2581" t="n">
        <v>19</v>
      </c>
      <c r="N2581" t="n">
        <v>97.3</v>
      </c>
      <c r="O2581" t="n">
        <v>23.84769539078156</v>
      </c>
    </row>
    <row r="2582" hidden="1">
      <c r="A2582" s="11" t="n">
        <v>46083</v>
      </c>
      <c r="B2582" t="inlineStr">
        <is>
          <t>Anna Luiza Rezende Tavares</t>
        </is>
      </c>
      <c r="C2582" t="inlineStr">
        <is>
          <t>Estágio</t>
        </is>
      </c>
      <c r="D2582" t="n">
        <v>0</v>
      </c>
      <c r="E2582" t="n">
        <v>0</v>
      </c>
      <c r="F2582" t="n">
        <v>0</v>
      </c>
      <c r="G2582" t="n">
        <v>0</v>
      </c>
      <c r="H2582" t="n">
        <v>0</v>
      </c>
      <c r="I2582" s="3" t="n">
        <v>0</v>
      </c>
      <c r="J2582" s="3" t="n">
        <v>0</v>
      </c>
      <c r="K2582" s="3" t="n">
        <v>0</v>
      </c>
      <c r="L2582" s="3">
        <f>IF(K2582&lt;-5,"CRÍTICO",IF(K2582&lt;0,"ATENÇÃO",IF(K2582&lt;=5,"BOM","EXCELENTE")))</f>
        <v/>
      </c>
      <c r="M2582" t="n">
        <v>0</v>
      </c>
      <c r="N2582" t="n">
        <v>100</v>
      </c>
      <c r="O2582" t="n">
        <v>25.26881720430108</v>
      </c>
    </row>
    <row r="2583" hidden="1">
      <c r="A2583" s="11" t="n">
        <v>46083</v>
      </c>
      <c r="B2583" t="inlineStr">
        <is>
          <t>Brenda de Menezes Silva</t>
        </is>
      </c>
      <c r="C2583" t="inlineStr">
        <is>
          <t>Técnico II</t>
        </is>
      </c>
      <c r="D2583" t="n">
        <v>55</v>
      </c>
      <c r="E2583" t="n">
        <v>48</v>
      </c>
      <c r="F2583" t="n">
        <v>12.31</v>
      </c>
      <c r="G2583" t="n">
        <v>0</v>
      </c>
      <c r="H2583" t="n">
        <v>0</v>
      </c>
      <c r="I2583" s="3">
        <f>E2583+G2583+H2583</f>
        <v/>
      </c>
      <c r="J2583" s="3">
        <f>ROUND(MIN(IF(C2583="Técnico III",35,IF(C2583="Técnico II",28,IF(C2583="Técnico I",23,IF(C2583="JR",20,IF(C2583="Estágio",10,0))))),IF(C2583="Técnico III",SUMIFS($D:$D,$A:$A,$A2583,$B:$B,"&lt;&gt;Patrícia Karla de Sousa Araújo",$B:$B,"&lt;&gt;Lorena Dias de Araujo",$B:$B,"&lt;&gt;Lucas Luiz Romero")*(35/1083),IF(C2583="Técnico II",SUMIFS($D:$D,$A:$A,$A2583,$B:$B,"&lt;&gt;Patrícia Karla de Sousa Araújo",$B:$B,"&lt;&gt;Lorena Dias de Araujo",$B:$B,"&lt;&gt;Lucas Luiz Romero")*(28/1083),IF(C2583="Técnico I",SUMIFS($D:$D,$A:$A,$A2583,$B:$B,"&lt;&gt;Patrícia Karla de Sousa Araújo",$B:$B,"&lt;&gt;Lorena Dias de Araujo",$B:$B,"&lt;&gt;Lucas Luiz Romero")*(23/1083),IF(C2583="JR",SUMIFS($D:$D,$A:$A,$A2583,$B:$B,"&lt;&gt;Patrícia Karla de Sousa Araújo",$B:$B,"&lt;&gt;Lorena Dias de Araujo",$B:$B,"&lt;&gt;Lucas Luiz Romero")*(20/1083),IF(C2583="Estágio",SUMIFS($D:$D,$A:$A,$A2583,$B:$B,"&lt;&gt;Patrícia Karla de Sousa Araújo",$B:$B,"&lt;&gt;Lorena Dias de Araujo",$B:$B,"&lt;&gt;Lucas Luiz Romero")*(10/1083),0)))))),0)</f>
        <v/>
      </c>
      <c r="K2583" s="3">
        <f>I2583-J2583</f>
        <v/>
      </c>
      <c r="L2583" s="3">
        <f>IF(K2583&lt;-5,"CRÍTICO",IF(K2583&lt;0,"ATENÇÃO",IF(K2583&lt;=5,"BOM","EXCELENTE")))</f>
        <v/>
      </c>
      <c r="M2583" t="n">
        <v>47</v>
      </c>
      <c r="N2583" t="n">
        <v>99.31999999999999</v>
      </c>
      <c r="O2583" t="n">
        <v>22.82282282282282</v>
      </c>
    </row>
    <row r="2584" hidden="1">
      <c r="A2584" s="11" t="n">
        <v>46083</v>
      </c>
      <c r="B2584" t="inlineStr">
        <is>
          <t>Carlos Mateus Cassimiro Nunes</t>
        </is>
      </c>
      <c r="C2584" t="inlineStr">
        <is>
          <t>Técnico II</t>
        </is>
      </c>
      <c r="D2584" t="n">
        <v>20</v>
      </c>
      <c r="E2584" t="n">
        <v>20</v>
      </c>
      <c r="F2584" t="n">
        <v>32.09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M2584" t="n">
        <v>19</v>
      </c>
      <c r="N2584" t="n">
        <v>100</v>
      </c>
      <c r="O2584" t="n">
        <v>27.96610169491525</v>
      </c>
    </row>
    <row r="2585" hidden="1">
      <c r="A2585" s="11" t="n">
        <v>46083</v>
      </c>
      <c r="B2585" t="inlineStr">
        <is>
          <t>Claudio de Sousa Velasco Filho</t>
        </is>
      </c>
      <c r="C2585" t="inlineStr">
        <is>
          <t>Estágio</t>
        </is>
      </c>
      <c r="D2585" t="n">
        <v>0</v>
      </c>
      <c r="E2585" t="n">
        <v>0</v>
      </c>
      <c r="F2585" t="n">
        <v>0</v>
      </c>
      <c r="G2585" t="n">
        <v>0</v>
      </c>
      <c r="H2585" t="n">
        <v>0</v>
      </c>
      <c r="I2585" s="3" t="n">
        <v>0</v>
      </c>
      <c r="J2585" s="3" t="n">
        <v>0</v>
      </c>
      <c r="K2585" s="3" t="n">
        <v>0</v>
      </c>
      <c r="L2585" s="3">
        <f>IF(K2585&lt;-5,"CRÍTICO",IF(K2585&lt;0,"ATENÇÃO",IF(K2585&lt;=5,"BOM","EXCELENTE")))</f>
        <v/>
      </c>
      <c r="M2585" t="n">
        <v>0</v>
      </c>
      <c r="N2585" t="n">
        <v>100</v>
      </c>
      <c r="O2585" t="n">
        <v>30.43478260869566</v>
      </c>
    </row>
    <row r="2586" hidden="1">
      <c r="A2586" s="11" t="n">
        <v>46083</v>
      </c>
      <c r="B2586" t="inlineStr">
        <is>
          <t>Clessiane Pereira dos Santos</t>
        </is>
      </c>
      <c r="C2586" t="inlineStr">
        <is>
          <t>Técnico I</t>
        </is>
      </c>
      <c r="D2586" t="n">
        <v>21</v>
      </c>
      <c r="E2586" t="n">
        <v>21</v>
      </c>
      <c r="F2586" t="n">
        <v>28.49</v>
      </c>
      <c r="G2586" t="n">
        <v>0</v>
      </c>
      <c r="H2586" t="n">
        <v>0</v>
      </c>
      <c r="I2586" s="3">
        <f>E2586+G2586+H2586</f>
        <v/>
      </c>
      <c r="J2586" s="3">
        <f>ROUND(MIN(IF(C2586="Técnico III",35,IF(C2586="Técnico II",28,IF(C2586="Técnico I",23,IF(C2586="JR",20,IF(C2586="Estágio",10,0))))),IF(C2586="Técnico III",SUMIFS($D:$D,$A:$A,$A2586,$B:$B,"&lt;&gt;Patrícia Karla de Sousa Araújo",$B:$B,"&lt;&gt;Lorena Dias de Araujo",$B:$B,"&lt;&gt;Lucas Luiz Romero")*(35/1083),IF(C2586="Técnico II",SUMIFS($D:$D,$A:$A,$A2586,$B:$B,"&lt;&gt;Patrícia Karla de Sousa Araújo",$B:$B,"&lt;&gt;Lorena Dias de Araujo",$B:$B,"&lt;&gt;Lucas Luiz Romero")*(28/1083),IF(C2586="Técnico I",SUMIFS($D:$D,$A:$A,$A2586,$B:$B,"&lt;&gt;Patrícia Karla de Sousa Araújo",$B:$B,"&lt;&gt;Lorena Dias de Araujo",$B:$B,"&lt;&gt;Lucas Luiz Romero")*(23/1083),IF(C2586="JR",SUMIFS($D:$D,$A:$A,$A2586,$B:$B,"&lt;&gt;Patrícia Karla de Sousa Araújo",$B:$B,"&lt;&gt;Lorena Dias de Araujo",$B:$B,"&lt;&gt;Lucas Luiz Romero")*(20/1083),IF(C2586="Estágio",SUMIFS($D:$D,$A:$A,$A2586,$B:$B,"&lt;&gt;Patrícia Karla de Sousa Araújo",$B:$B,"&lt;&gt;Lorena Dias de Araujo",$B:$B,"&lt;&gt;Lucas Luiz Romero")*(10/1083),0)))))),0)</f>
        <v/>
      </c>
      <c r="K2586" s="3">
        <f>I2586-J2586</f>
        <v/>
      </c>
      <c r="L2586" s="3">
        <f>IF(K2586&lt;-5,"CRÍTICO",IF(K2586&lt;0,"ATENÇÃO",IF(K2586&lt;=5,"BOM","EXCELENTE")))</f>
        <v/>
      </c>
      <c r="M2586" t="n">
        <v>21</v>
      </c>
      <c r="N2586" t="n">
        <v>96.51000000000001</v>
      </c>
      <c r="O2586" t="n">
        <v>22.80285035629454</v>
      </c>
    </row>
    <row r="2587" hidden="1">
      <c r="A2587" s="11" t="n">
        <v>46083</v>
      </c>
      <c r="B2587" t="inlineStr">
        <is>
          <t>Cristiane Ramos da Silva Rocha</t>
        </is>
      </c>
      <c r="C2587" t="inlineStr">
        <is>
          <t>Técnico III</t>
        </is>
      </c>
      <c r="D2587" t="n">
        <v>39</v>
      </c>
      <c r="E2587" t="n">
        <v>37</v>
      </c>
      <c r="F2587" t="n">
        <v>12.26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M2587" t="n">
        <v>32</v>
      </c>
      <c r="N2587" t="n">
        <v>92.68000000000001</v>
      </c>
      <c r="O2587" t="n">
        <v>27.77777777777778</v>
      </c>
    </row>
    <row r="2588" hidden="1">
      <c r="A2588" s="11" t="n">
        <v>46083</v>
      </c>
      <c r="B2588" t="inlineStr">
        <is>
          <t>Damyllis Lorraine de Oliveira Gonçalves</t>
        </is>
      </c>
      <c r="C2588" t="inlineStr">
        <is>
          <t>Técnico II</t>
        </is>
      </c>
      <c r="D2588" t="n">
        <v>31</v>
      </c>
      <c r="E2588" t="n">
        <v>31</v>
      </c>
      <c r="F2588" t="n">
        <v>23.24</v>
      </c>
      <c r="G2588" t="n">
        <v>0</v>
      </c>
      <c r="H2588" t="n">
        <v>0</v>
      </c>
      <c r="I2588" s="3" t="n">
        <v>0</v>
      </c>
      <c r="J2588" s="3" t="n">
        <v>0</v>
      </c>
      <c r="K2588" s="3" t="n">
        <v>0</v>
      </c>
      <c r="L2588" s="3">
        <f>IF(K2588&lt;-5,"CRÍTICO",IF(K2588&lt;0,"ATENÇÃO",IF(K2588&lt;=5,"BOM","EXCELENTE")))</f>
        <v/>
      </c>
      <c r="M2588" t="n">
        <v>23</v>
      </c>
      <c r="N2588" t="n">
        <v>99.03</v>
      </c>
      <c r="O2588" t="n">
        <v>23.99150743099788</v>
      </c>
    </row>
    <row r="2589" hidden="1">
      <c r="A2589" s="11" t="n">
        <v>46083</v>
      </c>
      <c r="B2589" t="inlineStr">
        <is>
          <t>Daniel Gomes da Silva</t>
        </is>
      </c>
      <c r="C2589" t="inlineStr">
        <is>
          <t>Técnico I</t>
        </is>
      </c>
      <c r="D2589" t="n">
        <v>7</v>
      </c>
      <c r="E2589" t="n">
        <v>6</v>
      </c>
      <c r="F2589" t="n">
        <v>37.37</v>
      </c>
      <c r="G2589" t="n">
        <v>0</v>
      </c>
      <c r="H2589" t="n">
        <v>0</v>
      </c>
      <c r="I2589" s="3">
        <f>E2589+G2589+H2589</f>
        <v/>
      </c>
      <c r="J2589" s="3">
        <f>ROUND(MIN(IF(C2589="Técnico III",35,IF(C2589="Técnico II",28,IF(C2589="Técnico I",23,IF(C2589="JR",20,IF(C2589="Estágio",10,0))))),IF(C2589="Técnico III",SUMIFS($D:$D,$A:$A,$A2589,$B:$B,"&lt;&gt;Patrícia Karla de Sousa Araújo",$B:$B,"&lt;&gt;Lorena Dias de Araujo",$B:$B,"&lt;&gt;Lucas Luiz Romero")*(35/1083),IF(C2589="Técnico II",SUMIFS($D:$D,$A:$A,$A2589,$B:$B,"&lt;&gt;Patrícia Karla de Sousa Araújo",$B:$B,"&lt;&gt;Lorena Dias de Araujo",$B:$B,"&lt;&gt;Lucas Luiz Romero")*(28/1083),IF(C2589="Técnico I",SUMIFS($D:$D,$A:$A,$A2589,$B:$B,"&lt;&gt;Patrícia Karla de Sousa Araújo",$B:$B,"&lt;&gt;Lorena Dias de Araujo",$B:$B,"&lt;&gt;Lucas Luiz Romero")*(23/1083),IF(C2589="JR",SUMIFS($D:$D,$A:$A,$A2589,$B:$B,"&lt;&gt;Patrícia Karla de Sousa Araújo",$B:$B,"&lt;&gt;Lorena Dias de Araujo",$B:$B,"&lt;&gt;Lucas Luiz Romero")*(20/1083),IF(C2589="Estágio",SUMIFS($D:$D,$A:$A,$A2589,$B:$B,"&lt;&gt;Patrícia Karla de Sousa Araújo",$B:$B,"&lt;&gt;Lorena Dias de Araujo",$B:$B,"&lt;&gt;Lucas Luiz Romero")*(10/1083),0)))))),0)</f>
        <v/>
      </c>
      <c r="K2589" s="3">
        <f>I2589-J2589</f>
        <v/>
      </c>
      <c r="L2589" s="3">
        <f>IF(K2589&lt;-5,"CRÍTICO",IF(K2589&lt;0,"ATENÇÃO",IF(K2589&lt;=5,"BOM","EXCELENTE")))</f>
        <v/>
      </c>
      <c r="M2589" t="n">
        <v>3</v>
      </c>
      <c r="N2589" t="n">
        <v>98.41</v>
      </c>
      <c r="O2589" t="n">
        <v>28.13852813852814</v>
      </c>
    </row>
    <row r="2590" hidden="1">
      <c r="A2590" s="11" t="n">
        <v>46083</v>
      </c>
      <c r="B2590" t="inlineStr">
        <is>
          <t>Davylla Rodrigues Freitas Silva</t>
        </is>
      </c>
      <c r="C2590" t="inlineStr">
        <is>
          <t>Técnico III</t>
        </is>
      </c>
      <c r="D2590" t="n">
        <v>30</v>
      </c>
      <c r="E2590" t="n">
        <v>30</v>
      </c>
      <c r="F2590" t="n">
        <v>26.58</v>
      </c>
      <c r="G2590" t="n">
        <v>0</v>
      </c>
      <c r="H2590" t="n">
        <v>0</v>
      </c>
      <c r="I2590" s="3" t="n">
        <v>0</v>
      </c>
      <c r="J2590" s="3" t="n">
        <v>0</v>
      </c>
      <c r="K2590" s="3" t="n">
        <v>0</v>
      </c>
      <c r="L2590" s="3">
        <f>IF(K2590&lt;-5,"CRÍTICO",IF(K2590&lt;0,"ATENÇÃO",IF(K2590&lt;=5,"BOM","EXCELENTE")))</f>
        <v/>
      </c>
      <c r="M2590" t="n">
        <v>29</v>
      </c>
      <c r="N2590" t="n">
        <v>98.73</v>
      </c>
      <c r="O2590" t="n">
        <v>29.14285714285714</v>
      </c>
    </row>
    <row r="2591" hidden="1">
      <c r="A2591" s="11" t="n">
        <v>46083</v>
      </c>
      <c r="B2591" t="inlineStr">
        <is>
          <t>Emilly Caylane Costa</t>
        </is>
      </c>
      <c r="C2591" t="inlineStr">
        <is>
          <t>Estágio</t>
        </is>
      </c>
      <c r="D2591" t="n">
        <v>8</v>
      </c>
      <c r="E2591" t="n">
        <v>8</v>
      </c>
      <c r="F2591" t="n">
        <v>46.54</v>
      </c>
      <c r="G2591" t="n">
        <v>0</v>
      </c>
      <c r="H2591" t="n">
        <v>0</v>
      </c>
      <c r="I2591" s="3">
        <f>E2591+G2591+H2591</f>
        <v/>
      </c>
      <c r="J2591" s="3">
        <f>ROUND(MIN(IF(C2591="Técnico III",35,IF(C2591="Técnico II",28,IF(C2591="Técnico I",23,IF(C2591="JR",20,IF(C2591="Estágio",10,0))))),IF(C2591="Técnico III",SUMIFS($D:$D,$A:$A,$A2591,$B:$B,"&lt;&gt;Patrícia Karla de Sousa Araújo",$B:$B,"&lt;&gt;Lorena Dias de Araujo",$B:$B,"&lt;&gt;Lucas Luiz Romero")*(35/1083),IF(C2591="Técnico II",SUMIFS($D:$D,$A:$A,$A2591,$B:$B,"&lt;&gt;Patrícia Karla de Sousa Araújo",$B:$B,"&lt;&gt;Lorena Dias de Araujo",$B:$B,"&lt;&gt;Lucas Luiz Romero")*(28/1083),IF(C2591="Técnico I",SUMIFS($D:$D,$A:$A,$A2591,$B:$B,"&lt;&gt;Patrícia Karla de Sousa Araújo",$B:$B,"&lt;&gt;Lorena Dias de Araujo",$B:$B,"&lt;&gt;Lucas Luiz Romero")*(23/1083),IF(C2591="JR",SUMIFS($D:$D,$A:$A,$A2591,$B:$B,"&lt;&gt;Patrícia Karla de Sousa Araújo",$B:$B,"&lt;&gt;Lorena Dias de Araujo",$B:$B,"&lt;&gt;Lucas Luiz Romero")*(20/1083),IF(C2591="Estágio",SUMIFS($D:$D,$A:$A,$A2591,$B:$B,"&lt;&gt;Patrícia Karla de Sousa Araújo",$B:$B,"&lt;&gt;Lorena Dias de Araujo",$B:$B,"&lt;&gt;Lucas Luiz Romero")*(10/1083),0)))))),0)</f>
        <v/>
      </c>
      <c r="K2591" s="3">
        <f>I2591-J2591</f>
        <v/>
      </c>
      <c r="L2591" s="3">
        <f>IF(K2591&lt;-5,"CRÍTICO",IF(K2591&lt;0,"ATENÇÃO",IF(K2591&lt;=5,"BOM","EXCELENTE")))</f>
        <v/>
      </c>
      <c r="M2591" t="n">
        <v>7</v>
      </c>
      <c r="N2591" t="n">
        <v>90.48</v>
      </c>
      <c r="O2591" t="n">
        <v>20.68965517241379</v>
      </c>
    </row>
    <row r="2592" hidden="1">
      <c r="A2592" s="11" t="n">
        <v>46083</v>
      </c>
      <c r="B2592" t="inlineStr">
        <is>
          <t>Emilly Kamilly Medeiros Miranda</t>
        </is>
      </c>
      <c r="C2592" t="inlineStr">
        <is>
          <t>Técnico II</t>
        </is>
      </c>
      <c r="D2592" t="n">
        <v>38</v>
      </c>
      <c r="E2592" t="n">
        <v>38</v>
      </c>
      <c r="F2592" t="n">
        <v>17.39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M2592" t="n">
        <v>37</v>
      </c>
      <c r="N2592" t="n">
        <v>98.06</v>
      </c>
      <c r="O2592" t="n">
        <v>24.78991596638656</v>
      </c>
    </row>
    <row r="2593" hidden="1">
      <c r="A2593" s="11" t="n">
        <v>46083</v>
      </c>
      <c r="B2593" t="inlineStr">
        <is>
          <t>Francielson de Oliveira</t>
        </is>
      </c>
      <c r="C2593" t="inlineStr">
        <is>
          <t>Técnico III</t>
        </is>
      </c>
      <c r="D2593" t="n">
        <v>30</v>
      </c>
      <c r="E2593" t="n">
        <v>29</v>
      </c>
      <c r="F2593" t="n">
        <v>18.58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M2593" t="n">
        <v>30</v>
      </c>
      <c r="N2593" t="n">
        <v>97.78</v>
      </c>
      <c r="O2593" t="n">
        <v>25.49407114624506</v>
      </c>
    </row>
    <row r="2594" hidden="1">
      <c r="A2594" s="11" t="n">
        <v>46083</v>
      </c>
      <c r="B2594" t="inlineStr">
        <is>
          <t>Francilene Ferreira de Jesus</t>
        </is>
      </c>
      <c r="C2594" t="inlineStr">
        <is>
          <t>Técnico II</t>
        </is>
      </c>
      <c r="D2594" t="n">
        <v>25</v>
      </c>
      <c r="E2594" t="n">
        <v>25</v>
      </c>
      <c r="F2594" t="n">
        <v>33.47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M2594" t="n">
        <v>24</v>
      </c>
      <c r="N2594" t="n">
        <v>98.02</v>
      </c>
      <c r="O2594" t="n">
        <v>23.48484848484848</v>
      </c>
    </row>
    <row r="2595" hidden="1">
      <c r="A2595" s="11" t="n">
        <v>46115</v>
      </c>
      <c r="B2595" t="inlineStr">
        <is>
          <t>Gabriel Gomes de Andrade</t>
        </is>
      </c>
      <c r="C2595" t="inlineStr">
        <is>
          <t>Técnico I</t>
        </is>
      </c>
      <c r="D2595" t="n">
        <v>0</v>
      </c>
      <c r="E2595" t="n">
        <v>0</v>
      </c>
      <c r="F2595" t="n">
        <v>0</v>
      </c>
      <c r="G2595" t="n">
        <v>0</v>
      </c>
      <c r="H2595" t="n">
        <v>0</v>
      </c>
      <c r="I2595" s="3" t="n">
        <v>0</v>
      </c>
      <c r="J2595" s="3" t="n">
        <v>0</v>
      </c>
      <c r="K2595" s="3" t="n">
        <v>0</v>
      </c>
      <c r="L2595" s="3">
        <f>IF(K2595&lt;-5,"CRÍTICO",IF(K2595&lt;0,"ATENÇÃO",IF(K2595&lt;=5,"OPORTUNO","MUITO BOM")))</f>
        <v/>
      </c>
      <c r="M2595" t="n">
        <v>0</v>
      </c>
      <c r="N2595" t="n">
        <v>99.28</v>
      </c>
      <c r="O2595" t="n">
        <v>27.68924302788844</v>
      </c>
    </row>
    <row r="2596" hidden="1">
      <c r="A2596" s="11" t="n">
        <v>46083</v>
      </c>
      <c r="B2596" t="inlineStr">
        <is>
          <t>Isabella Borges de Oliveira</t>
        </is>
      </c>
      <c r="C2596" t="inlineStr">
        <is>
          <t>Técnico II</t>
        </is>
      </c>
      <c r="D2596" t="n">
        <v>21</v>
      </c>
      <c r="E2596" t="n">
        <v>20</v>
      </c>
      <c r="F2596" t="n">
        <v>28.58</v>
      </c>
      <c r="G2596" t="n">
        <v>0</v>
      </c>
      <c r="H2596" t="n">
        <v>0</v>
      </c>
      <c r="I2596" s="3">
        <f>E2596+G2596+H2596</f>
        <v/>
      </c>
      <c r="J2596" s="3">
        <f>ROUND(MIN(IF(C2596="Técnico III",35,IF(C2596="Técnico II",28,IF(C2596="Técnico I",23,IF(C2596="JR",20,IF(C2596="Estágio",10,0))))),IF(C2596="Técnico III",SUMIFS($D:$D,$A:$A,$A2596,$B:$B,"&lt;&gt;Patrícia Karla de Sousa Araújo",$B:$B,"&lt;&gt;Lorena Dias de Araujo",$B:$B,"&lt;&gt;Lucas Luiz Romero")*(35/1083),IF(C2596="Técnico II",SUMIFS($D:$D,$A:$A,$A2596,$B:$B,"&lt;&gt;Patrícia Karla de Sousa Araújo",$B:$B,"&lt;&gt;Lorena Dias de Araujo",$B:$B,"&lt;&gt;Lucas Luiz Romero")*(28/1083),IF(C2596="Técnico I",SUMIFS($D:$D,$A:$A,$A2596,$B:$B,"&lt;&gt;Patrícia Karla de Sousa Araújo",$B:$B,"&lt;&gt;Lorena Dias de Araujo",$B:$B,"&lt;&gt;Lucas Luiz Romero")*(23/1083),IF(C2596="JR",SUMIFS($D:$D,$A:$A,$A2596,$B:$B,"&lt;&gt;Patrícia Karla de Sousa Araújo",$B:$B,"&lt;&gt;Lorena Dias de Araujo",$B:$B,"&lt;&gt;Lucas Luiz Romero")*(20/1083),IF(C2596="Estágio",SUMIFS($D:$D,$A:$A,$A2596,$B:$B,"&lt;&gt;Patrícia Karla de Sousa Araújo",$B:$B,"&lt;&gt;Lorena Dias de Araujo",$B:$B,"&lt;&gt;Lucas Luiz Romero")*(10/1083),0)))))),0)</f>
        <v/>
      </c>
      <c r="K2596" s="3">
        <f>I2596-J2596</f>
        <v/>
      </c>
      <c r="L2596" s="3">
        <f>IF(K2596&lt;-5,"CRÍTICO",IF(K2596&lt;0,"ATENÇÃO",IF(K2596&lt;=5,"BOM","EXCELENTE")))</f>
        <v/>
      </c>
      <c r="M2596" t="n">
        <v>18</v>
      </c>
      <c r="N2596" t="n">
        <v>100</v>
      </c>
      <c r="O2596" t="n">
        <v>27.04918032786885</v>
      </c>
    </row>
    <row r="2597" hidden="1">
      <c r="A2597" s="11" t="n">
        <v>46083</v>
      </c>
      <c r="B2597" t="inlineStr">
        <is>
          <t>Janaina Lima dos Reis Urany</t>
        </is>
      </c>
      <c r="C2597" t="inlineStr">
        <is>
          <t>Técnico III</t>
        </is>
      </c>
      <c r="D2597" t="n">
        <v>42</v>
      </c>
      <c r="E2597" t="n">
        <v>35</v>
      </c>
      <c r="F2597" t="n">
        <v>15.13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M2597" t="n">
        <v>40</v>
      </c>
      <c r="N2597" t="n">
        <v>97.83</v>
      </c>
      <c r="O2597" t="n">
        <v>26.31578947368421</v>
      </c>
    </row>
    <row r="2598" hidden="1">
      <c r="A2598" s="11" t="n">
        <v>46083</v>
      </c>
      <c r="B2598" t="inlineStr">
        <is>
          <t>Jaqueline Evangelista da Silva Martins</t>
        </is>
      </c>
      <c r="C2598" t="inlineStr">
        <is>
          <t>Técnico III</t>
        </is>
      </c>
      <c r="D2598" t="n">
        <v>13</v>
      </c>
      <c r="E2598" t="n">
        <v>12</v>
      </c>
      <c r="F2598" t="n">
        <v>10.52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M2598" t="n">
        <v>12</v>
      </c>
      <c r="N2598" t="n">
        <v>100</v>
      </c>
      <c r="O2598" t="n">
        <v>26.70157068062827</v>
      </c>
    </row>
    <row r="2599" hidden="1">
      <c r="A2599" s="11" t="n">
        <v>46083</v>
      </c>
      <c r="B2599" t="inlineStr">
        <is>
          <t>Jessica Faria da Silveira</t>
        </is>
      </c>
      <c r="C2599" t="inlineStr">
        <is>
          <t>Técnico II</t>
        </is>
      </c>
      <c r="D2599" t="n">
        <v>24</v>
      </c>
      <c r="E2599" t="n">
        <v>19</v>
      </c>
      <c r="F2599" t="n">
        <v>27.34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M2599" t="n">
        <v>18</v>
      </c>
      <c r="N2599" t="n">
        <v>97.47</v>
      </c>
      <c r="O2599" t="n">
        <v>22.88732394366197</v>
      </c>
    </row>
    <row r="2600" hidden="1">
      <c r="A2600" s="11" t="n">
        <v>46083</v>
      </c>
      <c r="B2600" t="inlineStr">
        <is>
          <t>Jéssica Fé Moura</t>
        </is>
      </c>
      <c r="C2600" t="inlineStr">
        <is>
          <t>Técnico III</t>
        </is>
      </c>
      <c r="D2600" t="n">
        <v>0</v>
      </c>
      <c r="E2600" t="n">
        <v>0</v>
      </c>
      <c r="F2600" t="n">
        <v>0</v>
      </c>
      <c r="G2600" t="n">
        <v>0</v>
      </c>
      <c r="H2600" t="n">
        <v>0</v>
      </c>
      <c r="I2600" s="3" t="n">
        <v>0</v>
      </c>
      <c r="J2600" s="3" t="n">
        <v>0</v>
      </c>
      <c r="K2600" s="3" t="n">
        <v>0</v>
      </c>
      <c r="L2600" s="3">
        <f>IF(K2600&lt;-5,"CRÍTICO",IF(K2600&lt;0,"ATENÇÃO",IF(K2600&lt;=5,"BOM","EXCELENTE")))</f>
        <v/>
      </c>
      <c r="M2600" t="n">
        <v>0</v>
      </c>
      <c r="N2600" t="n">
        <v>0</v>
      </c>
      <c r="O2600" t="n">
        <v>0</v>
      </c>
    </row>
    <row r="2601" hidden="1">
      <c r="A2601" s="11" t="n">
        <v>46083</v>
      </c>
      <c r="B2601" t="inlineStr">
        <is>
          <t>Karina Gonçalves Martins</t>
        </is>
      </c>
      <c r="C2601" t="inlineStr">
        <is>
          <t>JR</t>
        </is>
      </c>
      <c r="D2601" t="n">
        <v>17</v>
      </c>
      <c r="E2601" t="n">
        <v>17</v>
      </c>
      <c r="F2601" t="n">
        <v>20.52</v>
      </c>
      <c r="G2601" t="n">
        <v>0</v>
      </c>
      <c r="H2601" t="n">
        <v>0</v>
      </c>
      <c r="I2601" s="3">
        <f>E2601+G2601+H2601</f>
        <v/>
      </c>
      <c r="J2601" s="3">
        <f>ROUND(MIN(IF(C2601="Técnico III",35,IF(C2601="Técnico II",28,IF(C2601="Técnico I",23,IF(C2601="JR",20,IF(C2601="Estágio",10,0))))),IF(C2601="Técnico III",SUMIFS($D:$D,$A:$A,$A2601,$B:$B,"&lt;&gt;Patrícia Karla de Sousa Araújo",$B:$B,"&lt;&gt;Lorena Dias de Araujo",$B:$B,"&lt;&gt;Lucas Luiz Romero")*(35/1083),IF(C2601="Técnico II",SUMIFS($D:$D,$A:$A,$A2601,$B:$B,"&lt;&gt;Patrícia Karla de Sousa Araújo",$B:$B,"&lt;&gt;Lorena Dias de Araujo",$B:$B,"&lt;&gt;Lucas Luiz Romero")*(28/1083),IF(C2601="Técnico I",SUMIFS($D:$D,$A:$A,$A2601,$B:$B,"&lt;&gt;Patrícia Karla de Sousa Araújo",$B:$B,"&lt;&gt;Lorena Dias de Araujo",$B:$B,"&lt;&gt;Lucas Luiz Romero")*(23/1083),IF(C2601="JR",SUMIFS($D:$D,$A:$A,$A2601,$B:$B,"&lt;&gt;Patrícia Karla de Sousa Araújo",$B:$B,"&lt;&gt;Lorena Dias de Araujo",$B:$B,"&lt;&gt;Lucas Luiz Romero")*(20/1083),IF(C2601="Estágio",SUMIFS($D:$D,$A:$A,$A2601,$B:$B,"&lt;&gt;Patrícia Karla de Sousa Araújo",$B:$B,"&lt;&gt;Lorena Dias de Araujo",$B:$B,"&lt;&gt;Lucas Luiz Romero")*(10/1083),0)))))),0)</f>
        <v/>
      </c>
      <c r="K2601" s="3">
        <f>I2601-J2601</f>
        <v/>
      </c>
      <c r="L2601" s="3">
        <f>IF(K2601&lt;-5,"CRÍTICO",IF(K2601&lt;0,"ATENÇÃO",IF(K2601&lt;=5,"BOM","EXCELENTE")))</f>
        <v/>
      </c>
      <c r="M2601" t="n">
        <v>18</v>
      </c>
      <c r="N2601" t="n">
        <v>98.31</v>
      </c>
      <c r="O2601" t="n">
        <v>24.92012779552715</v>
      </c>
    </row>
    <row r="2602" hidden="1">
      <c r="A2602" s="11" t="n">
        <v>46083</v>
      </c>
      <c r="B2602" t="inlineStr">
        <is>
          <t>Kerollen Cristielly de Jesus Siqueira</t>
        </is>
      </c>
      <c r="C2602" t="inlineStr">
        <is>
          <t>Técnico III</t>
        </is>
      </c>
      <c r="D2602" t="n">
        <v>21</v>
      </c>
      <c r="E2602" t="n">
        <v>20</v>
      </c>
      <c r="F2602" t="n">
        <v>26.43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M2602" t="n">
        <v>18</v>
      </c>
      <c r="N2602" t="n">
        <v>96.81</v>
      </c>
      <c r="O2602" t="n">
        <v>32.36514522821577</v>
      </c>
    </row>
    <row r="2603" hidden="1">
      <c r="A2603" s="11" t="n">
        <v>46083</v>
      </c>
      <c r="B2603" t="inlineStr">
        <is>
          <t>Leandro de Souza Silva</t>
        </is>
      </c>
      <c r="C2603" t="inlineStr">
        <is>
          <t>JR</t>
        </is>
      </c>
      <c r="D2603" t="n">
        <v>0</v>
      </c>
      <c r="E2603" t="n">
        <v>0</v>
      </c>
      <c r="F2603" t="n">
        <v>0</v>
      </c>
      <c r="G2603" t="n">
        <v>0</v>
      </c>
      <c r="H2603" t="n">
        <v>0</v>
      </c>
      <c r="I2603" s="3" t="n">
        <v>0</v>
      </c>
      <c r="J2603" s="3" t="n">
        <v>0</v>
      </c>
      <c r="K2603" s="3" t="n">
        <v>0</v>
      </c>
      <c r="L2603" s="3">
        <f>IF(K2603&lt;-5,"CRÍTICO",IF(K2603&lt;0,"ATENÇÃO",IF(K2603&lt;=5,"BOM","EXCELENTE")))</f>
        <v/>
      </c>
      <c r="M2603" t="n">
        <v>0</v>
      </c>
      <c r="N2603" t="n">
        <v>100</v>
      </c>
      <c r="O2603" t="n">
        <v>26.47058823529412</v>
      </c>
    </row>
    <row r="2604" hidden="1">
      <c r="A2604" s="11" t="n">
        <v>46083</v>
      </c>
      <c r="B2604" t="inlineStr">
        <is>
          <t>Leandro Oliveira de Sousa</t>
        </is>
      </c>
      <c r="C2604" t="inlineStr">
        <is>
          <t>Técnico III</t>
        </is>
      </c>
      <c r="D2604" t="n">
        <v>22</v>
      </c>
      <c r="E2604" t="n">
        <v>22</v>
      </c>
      <c r="F2604" t="n">
        <v>24.17</v>
      </c>
      <c r="G2604" t="n">
        <v>0</v>
      </c>
      <c r="H2604" t="n">
        <v>0</v>
      </c>
      <c r="I2604" s="3">
        <f>E2604+G2604+H2604</f>
        <v/>
      </c>
      <c r="J2604" s="3">
        <f>ROUND(MIN(IF(C2604="Técnico III",35,IF(C2604="Técnico II",28,IF(C2604="Técnico I",23,IF(C2604="JR",20,IF(C2604="Estágio",10,0))))),IF(C2604="Técnico III",SUMIFS($D:$D,$A:$A,$A2604,$B:$B,"&lt;&gt;Patrícia Karla de Sousa Araújo",$B:$B,"&lt;&gt;Lorena Dias de Araujo",$B:$B,"&lt;&gt;Lucas Luiz Romero")*(35/1083),IF(C2604="Técnico II",SUMIFS($D:$D,$A:$A,$A2604,$B:$B,"&lt;&gt;Patrícia Karla de Sousa Araújo",$B:$B,"&lt;&gt;Lorena Dias de Araujo",$B:$B,"&lt;&gt;Lucas Luiz Romero")*(28/1083),IF(C2604="Técnico I",SUMIFS($D:$D,$A:$A,$A2604,$B:$B,"&lt;&gt;Patrícia Karla de Sousa Araújo",$B:$B,"&lt;&gt;Lorena Dias de Araujo",$B:$B,"&lt;&gt;Lucas Luiz Romero")*(23/1083),IF(C2604="JR",SUMIFS($D:$D,$A:$A,$A2604,$B:$B,"&lt;&gt;Patrícia Karla de Sousa Araújo",$B:$B,"&lt;&gt;Lorena Dias de Araujo",$B:$B,"&lt;&gt;Lucas Luiz Romero")*(20/1083),IF(C2604="Estágio",SUMIFS($D:$D,$A:$A,$A2604,$B:$B,"&lt;&gt;Patrícia Karla de Sousa Araújo",$B:$B,"&lt;&gt;Lorena Dias de Araujo",$B:$B,"&lt;&gt;Lucas Luiz Romero")*(10/1083),0)))))),0)</f>
        <v/>
      </c>
      <c r="K2604" s="3">
        <f>I2604-J2604</f>
        <v/>
      </c>
      <c r="L2604" s="3">
        <f>IF(K2604&lt;-5,"CRÍTICO",IF(K2604&lt;0,"ATENÇÃO",IF(K2604&lt;=5,"BOM","EXCELENTE")))</f>
        <v/>
      </c>
      <c r="M2604" t="n">
        <v>21</v>
      </c>
      <c r="N2604" t="n">
        <v>100</v>
      </c>
      <c r="O2604" t="n">
        <v>28.49002849002849</v>
      </c>
    </row>
    <row r="2605" hidden="1">
      <c r="A2605" s="11" t="n">
        <v>46083</v>
      </c>
      <c r="B2605" t="inlineStr">
        <is>
          <t>Lizandra Gomes Duarte</t>
        </is>
      </c>
      <c r="C2605" t="inlineStr">
        <is>
          <t>Técnico II</t>
        </is>
      </c>
      <c r="D2605" t="n">
        <v>26</v>
      </c>
      <c r="E2605" t="n">
        <v>25</v>
      </c>
      <c r="F2605" t="n">
        <v>30.24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M2605" t="n">
        <v>14</v>
      </c>
      <c r="N2605" t="n">
        <v>99.14</v>
      </c>
      <c r="O2605" t="n">
        <v>27.2289156626506</v>
      </c>
    </row>
    <row r="2606" hidden="1">
      <c r="A2606" s="11" t="n">
        <v>46083</v>
      </c>
      <c r="B2606" t="inlineStr">
        <is>
          <t>Lorena Dias de Araujo</t>
        </is>
      </c>
      <c r="C2606" t="inlineStr">
        <is>
          <t>Técnico II</t>
        </is>
      </c>
      <c r="D2606" t="n">
        <v>32</v>
      </c>
      <c r="E2606" t="n">
        <v>30</v>
      </c>
      <c r="F2606" t="n">
        <v>18.48</v>
      </c>
      <c r="G2606" t="n">
        <v>0</v>
      </c>
      <c r="H2606" t="n">
        <v>0</v>
      </c>
      <c r="I2606" s="3" t="n">
        <v>0</v>
      </c>
      <c r="J2606" s="3" t="n">
        <v>0</v>
      </c>
      <c r="K2606" s="3" t="n">
        <v>0</v>
      </c>
      <c r="L2606" s="3">
        <f>IF(K2606&lt;-5,"CRÍTICO",IF(K2606&lt;0,"ATENÇÃO",IF(K2606&lt;=5,"BOM","EXCELENTE")))</f>
        <v/>
      </c>
      <c r="M2606" t="n">
        <v>27</v>
      </c>
      <c r="N2606" t="n">
        <v>97.52</v>
      </c>
      <c r="O2606" t="n">
        <v>28.2051282051282</v>
      </c>
    </row>
    <row r="2607" hidden="1">
      <c r="A2607" s="11" t="n">
        <v>46083</v>
      </c>
      <c r="B2607" t="inlineStr">
        <is>
          <t>Lucas Luiz Romero</t>
        </is>
      </c>
      <c r="C2607" t="inlineStr">
        <is>
          <t>Técnico III</t>
        </is>
      </c>
      <c r="D2607" t="n">
        <v>33</v>
      </c>
      <c r="E2607" t="n">
        <v>28</v>
      </c>
      <c r="F2607" t="n">
        <v>15.49</v>
      </c>
      <c r="G2607" t="n">
        <v>0</v>
      </c>
      <c r="H2607" t="n">
        <v>0</v>
      </c>
      <c r="I2607" s="3">
        <f>E2607+G2607+H2607</f>
        <v/>
      </c>
      <c r="J2607" s="3">
        <f>ROUND(MIN(IF(C2607="Técnico III",35,IF(C2607="Técnico II",28,IF(C2607="Técnico I",23,IF(C2607="JR",20,IF(C2607="Estágio",10,0))))),IF(C2607="Técnico III",SUMIFS($D:$D,$A:$A,$A2607,$B:$B,"&lt;&gt;Patrícia Karla de Sousa Araújo",$B:$B,"&lt;&gt;Lorena Dias de Araujo",$B:$B,"&lt;&gt;Lucas Luiz Romero")*(35/1083),IF(C2607="Técnico II",SUMIFS($D:$D,$A:$A,$A2607,$B:$B,"&lt;&gt;Patrícia Karla de Sousa Araújo",$B:$B,"&lt;&gt;Lorena Dias de Araujo",$B:$B,"&lt;&gt;Lucas Luiz Romero")*(28/1083),IF(C2607="Técnico I",SUMIFS($D:$D,$A:$A,$A2607,$B:$B,"&lt;&gt;Patrícia Karla de Sousa Araújo",$B:$B,"&lt;&gt;Lorena Dias de Araujo",$B:$B,"&lt;&gt;Lucas Luiz Romero")*(23/1083),IF(C2607="JR",SUMIFS($D:$D,$A:$A,$A2607,$B:$B,"&lt;&gt;Patrícia Karla de Sousa Araújo",$B:$B,"&lt;&gt;Lorena Dias de Araujo",$B:$B,"&lt;&gt;Lucas Luiz Romero")*(20/1083),IF(C2607="Estágio",SUMIFS($D:$D,$A:$A,$A2607,$B:$B,"&lt;&gt;Patrícia Karla de Sousa Araújo",$B:$B,"&lt;&gt;Lorena Dias de Araujo",$B:$B,"&lt;&gt;Lucas Luiz Romero")*(10/1083),0)))))),0)</f>
        <v/>
      </c>
      <c r="K2607" s="3">
        <f>I2607-J2607</f>
        <v/>
      </c>
      <c r="L2607" s="3">
        <f>IF(K2607&lt;-5,"CRÍTICO",IF(K2607&lt;0,"ATENÇÃO",IF(K2607&lt;=5,"BOM","EXCELENTE")))</f>
        <v/>
      </c>
      <c r="M2607" t="n">
        <v>22</v>
      </c>
      <c r="N2607" t="n">
        <v>90</v>
      </c>
      <c r="O2607" t="n">
        <v>24.18604651162791</v>
      </c>
    </row>
    <row r="2608" hidden="1">
      <c r="A2608" s="11" t="n">
        <v>46083</v>
      </c>
      <c r="B2608" t="inlineStr">
        <is>
          <t>Luiz Fernando de Carvalho Junior</t>
        </is>
      </c>
      <c r="C2608" t="inlineStr">
        <is>
          <t>Técnico I</t>
        </is>
      </c>
      <c r="D2608" t="n">
        <v>30</v>
      </c>
      <c r="E2608" t="n">
        <v>28</v>
      </c>
      <c r="F2608" t="n">
        <v>18.29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M2608" t="n">
        <v>25</v>
      </c>
      <c r="N2608" t="n">
        <v>98.90000000000001</v>
      </c>
      <c r="O2608" t="n">
        <v>26.7639902676399</v>
      </c>
    </row>
    <row r="2609" hidden="1">
      <c r="A2609" s="11" t="n">
        <v>46083</v>
      </c>
      <c r="B2609" t="inlineStr">
        <is>
          <t>Maria Eduarda Sousa Costa</t>
        </is>
      </c>
      <c r="C2609" t="inlineStr">
        <is>
          <t>Estágio</t>
        </is>
      </c>
      <c r="D2609" t="n">
        <v>15</v>
      </c>
      <c r="E2609" t="n">
        <v>14</v>
      </c>
      <c r="F2609" t="n">
        <v>23.32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M2609" t="n">
        <v>11</v>
      </c>
      <c r="N2609" t="n">
        <v>88.89</v>
      </c>
      <c r="O2609" t="n">
        <v>25.26315789473684</v>
      </c>
    </row>
    <row r="2610" hidden="1">
      <c r="A2610" s="11" t="n">
        <v>46083</v>
      </c>
      <c r="B2610" t="inlineStr">
        <is>
          <t>Matheus Farias De Souza</t>
        </is>
      </c>
      <c r="C2610" t="inlineStr">
        <is>
          <t>Técnico III</t>
        </is>
      </c>
      <c r="D2610" t="n">
        <v>43</v>
      </c>
      <c r="E2610" t="n">
        <v>38</v>
      </c>
      <c r="F2610" t="n">
        <v>17.28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M2610" t="n">
        <v>40</v>
      </c>
      <c r="N2610" t="n">
        <v>98.86</v>
      </c>
      <c r="O2610" t="n">
        <v>28.95927601809955</v>
      </c>
    </row>
    <row r="2611" hidden="1">
      <c r="A2611" s="11" t="n">
        <v>46083</v>
      </c>
      <c r="B2611" t="inlineStr">
        <is>
          <t>Maysa Victoria Dias Moura</t>
        </is>
      </c>
      <c r="C2611" t="inlineStr">
        <is>
          <t>Técnico III</t>
        </is>
      </c>
      <c r="D2611" t="n">
        <v>33</v>
      </c>
      <c r="E2611" t="n">
        <v>32</v>
      </c>
      <c r="F2611" t="n">
        <v>15.17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M2611" t="n">
        <v>30</v>
      </c>
      <c r="N2611" t="n">
        <v>98.06</v>
      </c>
      <c r="O2611" t="n">
        <v>22.40566037735849</v>
      </c>
    </row>
    <row r="2612" hidden="1">
      <c r="A2612" s="11" t="n">
        <v>46083</v>
      </c>
      <c r="B2612" t="inlineStr">
        <is>
          <t>Michelle G Santos</t>
        </is>
      </c>
      <c r="C2612" t="inlineStr">
        <is>
          <t>Estágio</t>
        </is>
      </c>
      <c r="D2612" t="n">
        <v>6</v>
      </c>
      <c r="E2612" t="n">
        <v>6</v>
      </c>
      <c r="F2612" t="n">
        <v>53.33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M2612" t="n">
        <v>5</v>
      </c>
      <c r="N2612" t="n">
        <v>95.83</v>
      </c>
      <c r="O2612" t="n">
        <v>25.77319587628866</v>
      </c>
    </row>
    <row r="2613" hidden="1">
      <c r="A2613" s="11" t="n">
        <v>46083</v>
      </c>
      <c r="B2613" t="inlineStr">
        <is>
          <t>Milena Sales</t>
        </is>
      </c>
      <c r="C2613" t="inlineStr">
        <is>
          <t>JR</t>
        </is>
      </c>
      <c r="D2613" t="n">
        <v>0</v>
      </c>
      <c r="E2613" t="n">
        <v>0</v>
      </c>
      <c r="F2613" t="n">
        <v>0</v>
      </c>
      <c r="G2613" t="n">
        <v>0</v>
      </c>
      <c r="H2613" t="n">
        <v>0</v>
      </c>
      <c r="I2613" s="3" t="n">
        <v>0</v>
      </c>
      <c r="J2613" s="3" t="n">
        <v>0</v>
      </c>
      <c r="K2613" s="3" t="n">
        <v>0</v>
      </c>
      <c r="L2613" s="3">
        <f>IF(K2613&lt;-5,"CRÍTICO",IF(K2613&lt;0,"ATENÇÃO",IF(K2613&lt;=5,"BOM","EXCELENTE")))</f>
        <v/>
      </c>
      <c r="M2613" t="n">
        <v>0</v>
      </c>
      <c r="N2613" t="n">
        <v>100</v>
      </c>
      <c r="O2613" t="n">
        <v>15.38461538461539</v>
      </c>
    </row>
    <row r="2614" hidden="1">
      <c r="A2614" s="11" t="n">
        <v>46083</v>
      </c>
      <c r="B2614" t="inlineStr">
        <is>
          <t>Patrícia Karla de Sousa Araújo</t>
        </is>
      </c>
      <c r="C2614" t="inlineStr">
        <is>
          <t>Técnico II</t>
        </is>
      </c>
      <c r="D2614" t="n">
        <v>18</v>
      </c>
      <c r="E2614" t="n">
        <v>18</v>
      </c>
      <c r="F2614" t="n">
        <v>30.04</v>
      </c>
      <c r="G2614" t="n">
        <v>0</v>
      </c>
      <c r="H2614" t="n">
        <v>0</v>
      </c>
      <c r="I2614" s="3">
        <f>E2614+G2614+H2614</f>
        <v/>
      </c>
      <c r="J2614" s="3">
        <f>ROUND(MIN(IF(C2614="Técnico III",35,IF(C2614="Técnico II",28,IF(C2614="Técnico I",23,IF(C2614="JR",20,IF(C2614="Estágio",10,0))))),IF(C2614="Técnico III",SUMIFS($D:$D,$A:$A,$A2614,$B:$B,"&lt;&gt;Patrícia Karla de Sousa Araújo",$B:$B,"&lt;&gt;Lorena Dias de Araujo",$B:$B,"&lt;&gt;Lucas Luiz Romero")*(35/1083),IF(C2614="Técnico II",SUMIFS($D:$D,$A:$A,$A2614,$B:$B,"&lt;&gt;Patrícia Karla de Sousa Araújo",$B:$B,"&lt;&gt;Lorena Dias de Araujo",$B:$B,"&lt;&gt;Lucas Luiz Romero")*(28/1083),IF(C2614="Técnico I",SUMIFS($D:$D,$A:$A,$A2614,$B:$B,"&lt;&gt;Patrícia Karla de Sousa Araújo",$B:$B,"&lt;&gt;Lorena Dias de Araujo",$B:$B,"&lt;&gt;Lucas Luiz Romero")*(23/1083),IF(C2614="JR",SUMIFS($D:$D,$A:$A,$A2614,$B:$B,"&lt;&gt;Patrícia Karla de Sousa Araújo",$B:$B,"&lt;&gt;Lorena Dias de Araujo",$B:$B,"&lt;&gt;Lucas Luiz Romero")*(20/1083),IF(C2614="Estágio",SUMIFS($D:$D,$A:$A,$A2614,$B:$B,"&lt;&gt;Patrícia Karla de Sousa Araújo",$B:$B,"&lt;&gt;Lorena Dias de Araujo",$B:$B,"&lt;&gt;Lucas Luiz Romero")*(10/1083),0)))))),0)</f>
        <v/>
      </c>
      <c r="K2614" s="3">
        <f>I2614-J2614</f>
        <v/>
      </c>
      <c r="L2614" s="3">
        <f>IF(K2614&lt;-5,"CRÍTICO",IF(K2614&lt;0,"ATENÇÃO",IF(K2614&lt;=5,"BOM","EXCELENTE")))</f>
        <v/>
      </c>
      <c r="M2614" t="n">
        <v>16</v>
      </c>
      <c r="N2614" t="n">
        <v>100</v>
      </c>
      <c r="O2614" t="n">
        <v>27.51479289940828</v>
      </c>
    </row>
    <row r="2615" hidden="1">
      <c r="A2615" s="11" t="n">
        <v>46083</v>
      </c>
      <c r="B2615" t="inlineStr">
        <is>
          <t>Paulo Ricardo Santos</t>
        </is>
      </c>
      <c r="C2615" t="inlineStr">
        <is>
          <t>JR</t>
        </is>
      </c>
      <c r="D2615" t="n">
        <v>0</v>
      </c>
      <c r="E2615" t="n">
        <v>0</v>
      </c>
      <c r="F2615" t="n">
        <v>0</v>
      </c>
      <c r="G2615" t="n">
        <v>0</v>
      </c>
      <c r="H2615" t="n">
        <v>0</v>
      </c>
      <c r="I2615" s="3" t="n">
        <v>0</v>
      </c>
      <c r="J2615" s="3" t="n">
        <v>0</v>
      </c>
      <c r="K2615" s="3" t="n">
        <v>0</v>
      </c>
      <c r="L2615" s="3">
        <f>IF(K2615&lt;-5,"CRÍTICO",IF(K2615&lt;0,"ATENÇÃO",IF(K2615&lt;=5,"BOM","EXCELENTE")))</f>
        <v/>
      </c>
      <c r="M2615" t="n">
        <v>0</v>
      </c>
      <c r="N2615" t="n">
        <v>100</v>
      </c>
      <c r="O2615" t="n">
        <v>24.87562189054727</v>
      </c>
    </row>
    <row r="2616" hidden="1">
      <c r="A2616" s="11" t="n">
        <v>46083</v>
      </c>
      <c r="B2616" t="inlineStr">
        <is>
          <t>Pedro Luiz Mota Sousa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M2616" t="n">
        <v>0</v>
      </c>
      <c r="N2616" t="n">
        <v>100</v>
      </c>
      <c r="O2616" t="n">
        <v>28.10810810810811</v>
      </c>
    </row>
    <row r="2617" hidden="1">
      <c r="A2617" s="11" t="n">
        <v>46083</v>
      </c>
      <c r="B2617" t="inlineStr">
        <is>
          <t>Quirino Diogo Leite Torres</t>
        </is>
      </c>
      <c r="C2617" t="inlineStr">
        <is>
          <t>Estágio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M2617" t="n">
        <v>0</v>
      </c>
      <c r="N2617" t="n">
        <v>100</v>
      </c>
      <c r="O2617" t="n">
        <v>35</v>
      </c>
    </row>
    <row r="2618" hidden="1">
      <c r="A2618" s="11" t="n">
        <v>46083</v>
      </c>
      <c r="B2618" t="inlineStr">
        <is>
          <t>Raane Batista Matos</t>
        </is>
      </c>
      <c r="C2618" t="inlineStr">
        <is>
          <t>Técnico I</t>
        </is>
      </c>
      <c r="D2618" t="n">
        <v>25</v>
      </c>
      <c r="E2618" t="n">
        <v>25</v>
      </c>
      <c r="F2618" t="n">
        <v>26.46</v>
      </c>
      <c r="G2618" t="n">
        <v>0</v>
      </c>
      <c r="H2618" t="n">
        <v>0</v>
      </c>
      <c r="I2618" s="3">
        <f>E2618+G2618+H2618</f>
        <v/>
      </c>
      <c r="J2618" s="3">
        <f>ROUND(MIN(IF(C2618="Técnico III",35,IF(C2618="Técnico II",28,IF(C2618="Técnico I",23,IF(C2618="JR",20,IF(C2618="Estágio",10,0))))),IF(C2618="Técnico III",SUMIFS($D:$D,$A:$A,$A2618,$B:$B,"&lt;&gt;Patrícia Karla de Sousa Araújo",$B:$B,"&lt;&gt;Lorena Dias de Araujo",$B:$B,"&lt;&gt;Lucas Luiz Romero")*(35/1083),IF(C2618="Técnico II",SUMIFS($D:$D,$A:$A,$A2618,$B:$B,"&lt;&gt;Patrícia Karla de Sousa Araújo",$B:$B,"&lt;&gt;Lorena Dias de Araujo",$B:$B,"&lt;&gt;Lucas Luiz Romero")*(28/1083),IF(C2618="Técnico I",SUMIFS($D:$D,$A:$A,$A2618,$B:$B,"&lt;&gt;Patrícia Karla de Sousa Araújo",$B:$B,"&lt;&gt;Lorena Dias de Araujo",$B:$B,"&lt;&gt;Lucas Luiz Romero")*(23/1083),IF(C2618="JR",SUMIFS($D:$D,$A:$A,$A2618,$B:$B,"&lt;&gt;Patrícia Karla de Sousa Araújo",$B:$B,"&lt;&gt;Lorena Dias de Araujo",$B:$B,"&lt;&gt;Lucas Luiz Romero")*(20/1083),IF(C2618="Estágio",SUMIFS($D:$D,$A:$A,$A2618,$B:$B,"&lt;&gt;Patrícia Karla de Sousa Araújo",$B:$B,"&lt;&gt;Lorena Dias de Araujo",$B:$B,"&lt;&gt;Lucas Luiz Romero")*(10/1083),0)))))),0)</f>
        <v/>
      </c>
      <c r="K2618" s="3">
        <f>I2618-J2618</f>
        <v/>
      </c>
      <c r="L2618" s="3">
        <f>IF(K2618&lt;-5,"CRÍTICO",IF(K2618&lt;0,"ATENÇÃO",IF(K2618&lt;=5,"BOM","EXCELENTE")))</f>
        <v/>
      </c>
      <c r="M2618" t="n">
        <v>15</v>
      </c>
      <c r="N2618" t="n">
        <v>95.34999999999999</v>
      </c>
      <c r="O2618" t="n">
        <v>28.61538461538461</v>
      </c>
    </row>
    <row r="2619" hidden="1">
      <c r="A2619" s="11" t="n">
        <v>46083</v>
      </c>
      <c r="B2619" t="inlineStr">
        <is>
          <t>Rafael Gomes de Morais</t>
        </is>
      </c>
      <c r="C2619" t="inlineStr">
        <is>
          <t>Técnico III</t>
        </is>
      </c>
      <c r="D2619" t="n">
        <v>46</v>
      </c>
      <c r="E2619" t="n">
        <v>44</v>
      </c>
      <c r="F2619" t="n">
        <v>14.01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M2619" t="n">
        <v>35</v>
      </c>
      <c r="N2619" t="n">
        <v>98.26000000000001</v>
      </c>
      <c r="O2619" t="n">
        <v>27.54491017964072</v>
      </c>
    </row>
    <row r="2620" hidden="1">
      <c r="A2620" s="11" t="n">
        <v>46083</v>
      </c>
      <c r="B2620" t="inlineStr">
        <is>
          <t>Sara Maria Monteiro Lopes</t>
        </is>
      </c>
      <c r="C2620" t="inlineStr">
        <is>
          <t>Técnico I</t>
        </is>
      </c>
      <c r="D2620" t="n">
        <v>9</v>
      </c>
      <c r="E2620" t="n">
        <v>9</v>
      </c>
      <c r="F2620" t="n">
        <v>52.15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M2620" t="n">
        <v>9</v>
      </c>
      <c r="N2620" t="n">
        <v>98.55</v>
      </c>
      <c r="O2620" t="n">
        <v>25.33783783783784</v>
      </c>
    </row>
    <row r="2621" hidden="1">
      <c r="A2621" s="11" t="n">
        <v>46083</v>
      </c>
      <c r="B2621" t="inlineStr">
        <is>
          <t>Sarah Steffanie de Lima Borges</t>
        </is>
      </c>
      <c r="C2621" t="inlineStr">
        <is>
          <t>Técnico III</t>
        </is>
      </c>
      <c r="D2621" t="n">
        <v>35</v>
      </c>
      <c r="E2621" t="n">
        <v>35</v>
      </c>
      <c r="F2621" t="n">
        <v>15.55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M2621" t="n">
        <v>29</v>
      </c>
      <c r="N2621" t="n">
        <v>98.39</v>
      </c>
      <c r="O2621" t="n">
        <v>25.56390977443609</v>
      </c>
    </row>
    <row r="2622" hidden="1">
      <c r="A2622" s="11" t="n">
        <v>46084</v>
      </c>
      <c r="B2622" t="inlineStr">
        <is>
          <t>Alisson de Freitas Silva</t>
        </is>
      </c>
      <c r="C2622" t="inlineStr">
        <is>
          <t>Técnico II</t>
        </is>
      </c>
      <c r="D2622" t="n">
        <v>34</v>
      </c>
      <c r="E2622" t="n">
        <v>30</v>
      </c>
      <c r="F2622" t="n">
        <v>21.47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M2622" t="n">
        <v>22</v>
      </c>
      <c r="N2622" t="n">
        <v>94.29000000000001</v>
      </c>
      <c r="O2622" t="n">
        <v>25.64766839378239</v>
      </c>
    </row>
    <row r="2623" hidden="1">
      <c r="A2623" s="11" t="n">
        <v>46084</v>
      </c>
      <c r="B2623" t="inlineStr">
        <is>
          <t>Amanda Moura Ferreira</t>
        </is>
      </c>
      <c r="C2623" t="inlineStr">
        <is>
          <t>Técnico III</t>
        </is>
      </c>
      <c r="D2623" t="n">
        <v>0</v>
      </c>
      <c r="E2623" t="n">
        <v>0</v>
      </c>
      <c r="F2623" t="n">
        <v>0</v>
      </c>
      <c r="G2623" t="n">
        <v>0</v>
      </c>
      <c r="H2623" t="n">
        <v>0</v>
      </c>
      <c r="I2623" s="3" t="n">
        <v>0</v>
      </c>
      <c r="J2623" s="3" t="n">
        <v>0</v>
      </c>
      <c r="K2623" s="3" t="n">
        <v>0</v>
      </c>
      <c r="L2623" s="3">
        <f>IF(K2623&lt;-5,"CRÍTICO",IF(K2623&lt;0,"ATENÇÃO",IF(K2623&lt;=5,"BOM","EXCELENTE")))</f>
        <v/>
      </c>
      <c r="M2623" t="n">
        <v>21</v>
      </c>
      <c r="N2623" t="n">
        <v>98.26000000000001</v>
      </c>
      <c r="O2623" t="n">
        <v>26.66666666666667</v>
      </c>
    </row>
    <row r="2624" hidden="1">
      <c r="A2624" s="11" t="n">
        <v>46084</v>
      </c>
      <c r="B2624" t="inlineStr">
        <is>
          <t>Ana Karollyne Souza Faria</t>
        </is>
      </c>
      <c r="C2624" t="inlineStr">
        <is>
          <t>Técnico I</t>
        </is>
      </c>
      <c r="D2624" t="n">
        <v>33</v>
      </c>
      <c r="E2624" t="n">
        <v>30</v>
      </c>
      <c r="F2624" t="n">
        <v>18.39</v>
      </c>
      <c r="G2624" t="n">
        <v>0</v>
      </c>
      <c r="H2624" t="n">
        <v>0</v>
      </c>
      <c r="I2624" s="3">
        <f>E2624+G2624+H2624</f>
        <v/>
      </c>
      <c r="J2624" s="3">
        <f>ROUND(MIN(IF(C2624="Técnico III",35,IF(C2624="Técnico II",28,IF(C2624="Técnico I",23,IF(C2624="JR",20,IF(C2624="Estágio",10,0))))),IF(C2624="Técnico III",SUMIFS($D:$D,$A:$A,$A2624,$B:$B,"&lt;&gt;Patrícia Karla de Sousa Araújo",$B:$B,"&lt;&gt;Lorena Dias de Araujo",$B:$B,"&lt;&gt;Lucas Luiz Romero")*(35/1083),IF(C2624="Técnico II",SUMIFS($D:$D,$A:$A,$A2624,$B:$B,"&lt;&gt;Patrícia Karla de Sousa Araújo",$B:$B,"&lt;&gt;Lorena Dias de Araujo",$B:$B,"&lt;&gt;Lucas Luiz Romero")*(28/1083),IF(C2624="Técnico I",SUMIFS($D:$D,$A:$A,$A2624,$B:$B,"&lt;&gt;Patrícia Karla de Sousa Araújo",$B:$B,"&lt;&gt;Lorena Dias de Araujo",$B:$B,"&lt;&gt;Lucas Luiz Romero")*(23/1083),IF(C2624="JR",SUMIFS($D:$D,$A:$A,$A2624,$B:$B,"&lt;&gt;Patrícia Karla de Sousa Araújo",$B:$B,"&lt;&gt;Lorena Dias de Araujo",$B:$B,"&lt;&gt;Lucas Luiz Romero")*(20/1083),IF(C2624="Estágio",SUMIFS($D:$D,$A:$A,$A2624,$B:$B,"&lt;&gt;Patrícia Karla de Sousa Araújo",$B:$B,"&lt;&gt;Lorena Dias de Araujo",$B:$B,"&lt;&gt;Lucas Luiz Romero")*(10/1083),0)))))),0)</f>
        <v/>
      </c>
      <c r="K2624" s="3">
        <f>I2624-J2624</f>
        <v/>
      </c>
      <c r="L2624" s="3">
        <f>IF(K2624&lt;-5,"CRÍTICO",IF(K2624&lt;0,"ATENÇÃO",IF(K2624&lt;=5,"BOM","EXCELENTE")))</f>
        <v/>
      </c>
      <c r="M2624" t="n">
        <v>25</v>
      </c>
      <c r="N2624" t="n">
        <v>98.2</v>
      </c>
      <c r="O2624" t="n">
        <v>23.37962962962963</v>
      </c>
    </row>
    <row r="2625" hidden="1">
      <c r="A2625" s="11" t="n">
        <v>46084</v>
      </c>
      <c r="B2625" t="inlineStr">
        <is>
          <t>Ana Paula Da Luz Silva Aleixo</t>
        </is>
      </c>
      <c r="C2625" t="inlineStr">
        <is>
          <t>Técnico III</t>
        </is>
      </c>
      <c r="D2625" t="n">
        <v>27</v>
      </c>
      <c r="E2625" t="n">
        <v>24</v>
      </c>
      <c r="F2625" t="n">
        <v>22.09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M2625" t="n">
        <v>32</v>
      </c>
      <c r="N2625" t="n">
        <v>97.3</v>
      </c>
      <c r="O2625" t="n">
        <v>23.84769539078156</v>
      </c>
    </row>
    <row r="2626" hidden="1">
      <c r="A2626" s="11" t="n">
        <v>46084</v>
      </c>
      <c r="B2626" t="inlineStr">
        <is>
          <t>Anna Luiza Rezende Tavares</t>
        </is>
      </c>
      <c r="C2626" t="inlineStr">
        <is>
          <t>Estágio</t>
        </is>
      </c>
      <c r="D2626" t="n">
        <v>9</v>
      </c>
      <c r="E2626" t="n">
        <v>8</v>
      </c>
      <c r="F2626" t="n">
        <v>25.22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M2626" t="n">
        <v>6</v>
      </c>
      <c r="N2626" t="n">
        <v>100</v>
      </c>
      <c r="O2626" t="n">
        <v>25.26881720430108</v>
      </c>
    </row>
    <row r="2627" hidden="1">
      <c r="A2627" s="11" t="n">
        <v>46084</v>
      </c>
      <c r="B2627" t="inlineStr">
        <is>
          <t>Brenda de Menezes Silva</t>
        </is>
      </c>
      <c r="C2627" t="inlineStr">
        <is>
          <t>Técnico II</t>
        </is>
      </c>
      <c r="D2627" t="n">
        <v>29</v>
      </c>
      <c r="E2627" t="n">
        <v>25</v>
      </c>
      <c r="F2627" t="n">
        <v>20.13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M2627" t="n">
        <v>27</v>
      </c>
      <c r="N2627" t="n">
        <v>99.31999999999999</v>
      </c>
      <c r="O2627" t="n">
        <v>22.82282282282282</v>
      </c>
    </row>
    <row r="2628" hidden="1">
      <c r="A2628" s="11" t="n">
        <v>46084</v>
      </c>
      <c r="B2628" t="inlineStr">
        <is>
          <t>Carlos Mateus Cassimiro Nunes</t>
        </is>
      </c>
      <c r="C2628" t="inlineStr">
        <is>
          <t>Técnico II</t>
        </is>
      </c>
      <c r="D2628" t="n">
        <v>0</v>
      </c>
      <c r="E2628" t="n">
        <v>0</v>
      </c>
      <c r="F2628" t="n">
        <v>0</v>
      </c>
      <c r="G2628" t="n">
        <v>0</v>
      </c>
      <c r="H2628" t="n">
        <v>0</v>
      </c>
      <c r="I2628" s="3" t="n">
        <v>0</v>
      </c>
      <c r="J2628" s="3" t="n">
        <v>0</v>
      </c>
      <c r="K2628" s="3" t="n">
        <v>0</v>
      </c>
      <c r="L2628" s="3">
        <f>IF(K2628&lt;-5,"CRÍTICO",IF(K2628&lt;0,"ATENÇÃO",IF(K2628&lt;=5,"BOM","EXCELENTE")))</f>
        <v/>
      </c>
      <c r="M2628" t="n">
        <v>0</v>
      </c>
      <c r="N2628" t="n">
        <v>100</v>
      </c>
      <c r="O2628" t="n">
        <v>27.96610169491525</v>
      </c>
    </row>
    <row r="2629" hidden="1">
      <c r="A2629" s="11" t="n">
        <v>46084</v>
      </c>
      <c r="B2629" t="inlineStr">
        <is>
          <t>Claudio de Sousa Velasco Filho</t>
        </is>
      </c>
      <c r="C2629" t="inlineStr">
        <is>
          <t>Estágio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M2629" t="n">
        <v>0</v>
      </c>
      <c r="N2629" t="n">
        <v>100</v>
      </c>
      <c r="O2629" t="n">
        <v>30.43478260869566</v>
      </c>
    </row>
    <row r="2630" hidden="1">
      <c r="A2630" s="11" t="n">
        <v>46084</v>
      </c>
      <c r="B2630" t="inlineStr">
        <is>
          <t>Clessiane Pereira dos Santos</t>
        </is>
      </c>
      <c r="C2630" t="inlineStr">
        <is>
          <t>Técnico I</t>
        </is>
      </c>
      <c r="D2630" t="n">
        <v>22</v>
      </c>
      <c r="E2630" t="n">
        <v>22</v>
      </c>
      <c r="F2630" t="n">
        <v>25.18</v>
      </c>
      <c r="G2630" t="n">
        <v>0</v>
      </c>
      <c r="H2630" t="n">
        <v>0</v>
      </c>
      <c r="I2630" s="3">
        <f>E2630+G2630+H2630</f>
        <v/>
      </c>
      <c r="J2630" s="3">
        <f>ROUND(MIN(IF(C2630="Técnico III",35,IF(C2630="Técnico II",28,IF(C2630="Técnico I",23,IF(C2630="JR",20,IF(C2630="Estágio",10,0))))),IF(C2630="Técnico III",SUMIFS($D:$D,$A:$A,$A2630,$B:$B,"&lt;&gt;Patrícia Karla de Sousa Araújo",$B:$B,"&lt;&gt;Lorena Dias de Araujo",$B:$B,"&lt;&gt;Lucas Luiz Romero")*(35/1083),IF(C2630="Técnico II",SUMIFS($D:$D,$A:$A,$A2630,$B:$B,"&lt;&gt;Patrícia Karla de Sousa Araújo",$B:$B,"&lt;&gt;Lorena Dias de Araujo",$B:$B,"&lt;&gt;Lucas Luiz Romero")*(28/1083),IF(C2630="Técnico I",SUMIFS($D:$D,$A:$A,$A2630,$B:$B,"&lt;&gt;Patrícia Karla de Sousa Araújo",$B:$B,"&lt;&gt;Lorena Dias de Araujo",$B:$B,"&lt;&gt;Lucas Luiz Romero")*(23/1083),IF(C2630="JR",SUMIFS($D:$D,$A:$A,$A2630,$B:$B,"&lt;&gt;Patrícia Karla de Sousa Araújo",$B:$B,"&lt;&gt;Lorena Dias de Araujo",$B:$B,"&lt;&gt;Lucas Luiz Romero")*(20/1083),IF(C2630="Estágio",SUMIFS($D:$D,$A:$A,$A2630,$B:$B,"&lt;&gt;Patrícia Karla de Sousa Araújo",$B:$B,"&lt;&gt;Lorena Dias de Araujo",$B:$B,"&lt;&gt;Lucas Luiz Romero")*(10/1083),0)))))),0)</f>
        <v/>
      </c>
      <c r="K2630" s="3">
        <f>I2630-J2630</f>
        <v/>
      </c>
      <c r="L2630" s="3">
        <f>IF(K2630&lt;-5,"CRÍTICO",IF(K2630&lt;0,"ATENÇÃO",IF(K2630&lt;=5,"BOM","EXCELENTE")))</f>
        <v/>
      </c>
      <c r="M2630" t="n">
        <v>20</v>
      </c>
      <c r="N2630" t="n">
        <v>96.51000000000001</v>
      </c>
      <c r="O2630" t="n">
        <v>22.80285035629454</v>
      </c>
    </row>
    <row r="2631" hidden="1">
      <c r="A2631" s="11" t="n">
        <v>46084</v>
      </c>
      <c r="B2631" t="inlineStr">
        <is>
          <t>Cristiane Ramos da Silva Rocha</t>
        </is>
      </c>
      <c r="C2631" t="inlineStr">
        <is>
          <t>Técnico III</t>
        </is>
      </c>
      <c r="D2631" t="n">
        <v>36</v>
      </c>
      <c r="E2631" t="n">
        <v>34</v>
      </c>
      <c r="F2631" t="n">
        <v>15.55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M2631" t="n">
        <v>34</v>
      </c>
      <c r="N2631" t="n">
        <v>92.68000000000001</v>
      </c>
      <c r="O2631" t="n">
        <v>27.77777777777778</v>
      </c>
    </row>
    <row r="2632" hidden="1">
      <c r="A2632" s="11" t="n">
        <v>46084</v>
      </c>
      <c r="B2632" t="inlineStr">
        <is>
          <t>Damyllis Lorraine de Oliveira Gonçalves</t>
        </is>
      </c>
      <c r="C2632" t="inlineStr">
        <is>
          <t>Técnico II</t>
        </is>
      </c>
      <c r="D2632" t="n">
        <v>27</v>
      </c>
      <c r="E2632" t="n">
        <v>25</v>
      </c>
      <c r="F2632" t="n">
        <v>25.36</v>
      </c>
      <c r="G2632" t="n">
        <v>0</v>
      </c>
      <c r="H2632" t="n">
        <v>0</v>
      </c>
      <c r="I2632" s="3" t="n">
        <v>0</v>
      </c>
      <c r="J2632" s="3" t="n">
        <v>0</v>
      </c>
      <c r="K2632" s="3" t="n">
        <v>0</v>
      </c>
      <c r="L2632" s="3">
        <f>IF(K2632&lt;-5,"CRÍTICO",IF(K2632&lt;0,"ATENÇÃO",IF(K2632&lt;=5,"BOM","EXCELENTE")))</f>
        <v/>
      </c>
      <c r="M2632" t="n">
        <v>21</v>
      </c>
      <c r="N2632" t="n">
        <v>99.03</v>
      </c>
      <c r="O2632" t="n">
        <v>23.99150743099788</v>
      </c>
    </row>
    <row r="2633" hidden="1">
      <c r="A2633" s="11" t="n">
        <v>46084</v>
      </c>
      <c r="B2633" t="inlineStr">
        <is>
          <t>Daniel Gomes da Silva</t>
        </is>
      </c>
      <c r="C2633" t="inlineStr">
        <is>
          <t>Técnico I</t>
        </is>
      </c>
      <c r="D2633" t="n">
        <v>37</v>
      </c>
      <c r="E2633" t="n">
        <v>34</v>
      </c>
      <c r="F2633" t="n">
        <v>17.02</v>
      </c>
      <c r="G2633" t="n">
        <v>0</v>
      </c>
      <c r="H2633" t="n">
        <v>0</v>
      </c>
      <c r="I2633" s="3">
        <f>E2633+G2633+H2633</f>
        <v/>
      </c>
      <c r="J2633" s="3">
        <f>ROUND(MIN(IF(C2633="Técnico III",35,IF(C2633="Técnico II",28,IF(C2633="Técnico I",23,IF(C2633="JR",20,IF(C2633="Estágio",10,0))))),IF(C2633="Técnico III",SUMIFS($D:$D,$A:$A,$A2633,$B:$B,"&lt;&gt;Patrícia Karla de Sousa Araújo",$B:$B,"&lt;&gt;Lorena Dias de Araujo",$B:$B,"&lt;&gt;Lucas Luiz Romero")*(35/1083),IF(C2633="Técnico II",SUMIFS($D:$D,$A:$A,$A2633,$B:$B,"&lt;&gt;Patrícia Karla de Sousa Araújo",$B:$B,"&lt;&gt;Lorena Dias de Araujo",$B:$B,"&lt;&gt;Lucas Luiz Romero")*(28/1083),IF(C2633="Técnico I",SUMIFS($D:$D,$A:$A,$A2633,$B:$B,"&lt;&gt;Patrícia Karla de Sousa Araújo",$B:$B,"&lt;&gt;Lorena Dias de Araujo",$B:$B,"&lt;&gt;Lucas Luiz Romero")*(23/1083),IF(C2633="JR",SUMIFS($D:$D,$A:$A,$A2633,$B:$B,"&lt;&gt;Patrícia Karla de Sousa Araújo",$B:$B,"&lt;&gt;Lorena Dias de Araujo",$B:$B,"&lt;&gt;Lucas Luiz Romero")*(20/1083),IF(C2633="Estágio",SUMIFS($D:$D,$A:$A,$A2633,$B:$B,"&lt;&gt;Patrícia Karla de Sousa Araújo",$B:$B,"&lt;&gt;Lorena Dias de Araujo",$B:$B,"&lt;&gt;Lucas Luiz Romero")*(10/1083),0)))))),0)</f>
        <v/>
      </c>
      <c r="K2633" s="3">
        <f>I2633-J2633</f>
        <v/>
      </c>
      <c r="L2633" s="3">
        <f>IF(K2633&lt;-5,"CRÍTICO",IF(K2633&lt;0,"ATENÇÃO",IF(K2633&lt;=5,"BOM","EXCELENTE")))</f>
        <v/>
      </c>
      <c r="M2633" t="n">
        <v>14</v>
      </c>
      <c r="N2633" t="n">
        <v>98.41</v>
      </c>
      <c r="O2633" t="n">
        <v>28.13852813852814</v>
      </c>
    </row>
    <row r="2634" hidden="1">
      <c r="A2634" s="11" t="n">
        <v>46084</v>
      </c>
      <c r="B2634" t="inlineStr">
        <is>
          <t>Davylla Rodrigues Freitas Silva</t>
        </is>
      </c>
      <c r="C2634" t="inlineStr">
        <is>
          <t>Técnico III</t>
        </is>
      </c>
      <c r="D2634" t="n">
        <v>32</v>
      </c>
      <c r="E2634" t="n">
        <v>32</v>
      </c>
      <c r="F2634" t="n">
        <v>24.12</v>
      </c>
      <c r="G2634" t="n">
        <v>0</v>
      </c>
      <c r="H2634" t="n">
        <v>0</v>
      </c>
      <c r="I2634" s="3" t="n">
        <v>0</v>
      </c>
      <c r="J2634" s="3" t="n">
        <v>0</v>
      </c>
      <c r="K2634" s="3" t="n">
        <v>0</v>
      </c>
      <c r="L2634" s="3">
        <f>IF(K2634&lt;-5,"CRÍTICO",IF(K2634&lt;0,"ATENÇÃO",IF(K2634&lt;=5,"BOM","EXCELENTE")))</f>
        <v/>
      </c>
      <c r="M2634" t="n">
        <v>33</v>
      </c>
      <c r="N2634" t="n">
        <v>98.73</v>
      </c>
      <c r="O2634" t="n">
        <v>29.14285714285714</v>
      </c>
    </row>
    <row r="2635" hidden="1">
      <c r="A2635" s="11" t="n">
        <v>46084</v>
      </c>
      <c r="B2635" t="inlineStr">
        <is>
          <t>Emilly Caylane Costa</t>
        </is>
      </c>
      <c r="C2635" t="inlineStr">
        <is>
          <t>Estágio</t>
        </is>
      </c>
      <c r="D2635" t="n">
        <v>5</v>
      </c>
      <c r="E2635" t="n">
        <v>5</v>
      </c>
      <c r="F2635" t="n">
        <v>62.16</v>
      </c>
      <c r="G2635" t="n">
        <v>0</v>
      </c>
      <c r="H2635" t="n">
        <v>0</v>
      </c>
      <c r="I2635" s="3">
        <f>E2635+G2635+H2635</f>
        <v/>
      </c>
      <c r="J2635" s="3">
        <f>ROUND(MIN(IF(C2635="Técnico III",35,IF(C2635="Técnico II",28,IF(C2635="Técnico I",23,IF(C2635="JR",20,IF(C2635="Estágio",10,0))))),IF(C2635="Técnico III",SUMIFS($D:$D,$A:$A,$A2635,$B:$B,"&lt;&gt;Patrícia Karla de Sousa Araújo",$B:$B,"&lt;&gt;Lorena Dias de Araujo",$B:$B,"&lt;&gt;Lucas Luiz Romero")*(35/1083),IF(C2635="Técnico II",SUMIFS($D:$D,$A:$A,$A2635,$B:$B,"&lt;&gt;Patrícia Karla de Sousa Araújo",$B:$B,"&lt;&gt;Lorena Dias de Araujo",$B:$B,"&lt;&gt;Lucas Luiz Romero")*(28/1083),IF(C2635="Técnico I",SUMIFS($D:$D,$A:$A,$A2635,$B:$B,"&lt;&gt;Patrícia Karla de Sousa Araújo",$B:$B,"&lt;&gt;Lorena Dias de Araujo",$B:$B,"&lt;&gt;Lucas Luiz Romero")*(23/1083),IF(C2635="JR",SUMIFS($D:$D,$A:$A,$A2635,$B:$B,"&lt;&gt;Patrícia Karla de Sousa Araújo",$B:$B,"&lt;&gt;Lorena Dias de Araujo",$B:$B,"&lt;&gt;Lucas Luiz Romero")*(20/1083),IF(C2635="Estágio",SUMIFS($D:$D,$A:$A,$A2635,$B:$B,"&lt;&gt;Patrícia Karla de Sousa Araújo",$B:$B,"&lt;&gt;Lorena Dias de Araujo",$B:$B,"&lt;&gt;Lucas Luiz Romero")*(10/1083),0)))))),0)</f>
        <v/>
      </c>
      <c r="K2635" s="3">
        <f>I2635-J2635</f>
        <v/>
      </c>
      <c r="L2635" s="3">
        <f>IF(K2635&lt;-5,"CRÍTICO",IF(K2635&lt;0,"ATENÇÃO",IF(K2635&lt;=5,"BOM","EXCELENTE")))</f>
        <v/>
      </c>
      <c r="M2635" t="n">
        <v>3</v>
      </c>
      <c r="N2635" t="n">
        <v>90.48</v>
      </c>
      <c r="O2635" t="n">
        <v>20.68965517241379</v>
      </c>
    </row>
    <row r="2636" hidden="1">
      <c r="A2636" s="11" t="n">
        <v>46084</v>
      </c>
      <c r="B2636" t="inlineStr">
        <is>
          <t>Emilly Kamilly Medeiros Miranda</t>
        </is>
      </c>
      <c r="C2636" t="inlineStr">
        <is>
          <t>Técnico II</t>
        </is>
      </c>
      <c r="D2636" t="n">
        <v>44</v>
      </c>
      <c r="E2636" t="n">
        <v>43</v>
      </c>
      <c r="F2636" t="n">
        <v>17.2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M2636" t="n">
        <v>35</v>
      </c>
      <c r="N2636" t="n">
        <v>98.06</v>
      </c>
      <c r="O2636" t="n">
        <v>24.78991596638656</v>
      </c>
    </row>
    <row r="2637" hidden="1">
      <c r="A2637" s="11" t="n">
        <v>46084</v>
      </c>
      <c r="B2637" t="inlineStr">
        <is>
          <t>Francielson de Oliveira</t>
        </is>
      </c>
      <c r="C2637" t="inlineStr">
        <is>
          <t>Técnico III</t>
        </is>
      </c>
      <c r="D2637" t="n">
        <v>20</v>
      </c>
      <c r="E2637" t="n">
        <v>18</v>
      </c>
      <c r="F2637" t="n">
        <v>13.25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M2637" t="n">
        <v>22</v>
      </c>
      <c r="N2637" t="n">
        <v>97.78</v>
      </c>
      <c r="O2637" t="n">
        <v>25.49407114624506</v>
      </c>
    </row>
    <row r="2638" hidden="1">
      <c r="A2638" s="11" t="n">
        <v>46084</v>
      </c>
      <c r="B2638" t="inlineStr">
        <is>
          <t>Francilene Ferreira de Jesus</t>
        </is>
      </c>
      <c r="C2638" t="inlineStr">
        <is>
          <t>Técnico II</t>
        </is>
      </c>
      <c r="D2638" t="n">
        <v>35</v>
      </c>
      <c r="E2638" t="n">
        <v>34</v>
      </c>
      <c r="F2638" t="n">
        <v>21.41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M2638" t="n">
        <v>31</v>
      </c>
      <c r="N2638" t="n">
        <v>98.02</v>
      </c>
      <c r="O2638" t="n">
        <v>23.48484848484848</v>
      </c>
    </row>
    <row r="2639" hidden="1">
      <c r="A2639" s="11" t="n">
        <v>46118</v>
      </c>
      <c r="B2639" t="inlineStr">
        <is>
          <t>Gabriel Gomes de Andrade</t>
        </is>
      </c>
      <c r="C2639" t="inlineStr">
        <is>
          <t>Técnico I</t>
        </is>
      </c>
      <c r="D2639" t="n">
        <v>30</v>
      </c>
      <c r="E2639" t="n">
        <v>26</v>
      </c>
      <c r="F2639" t="n">
        <v>15.1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IF(K2639&lt;-5,"CRÍTICO",IF(K2639&lt;0,"ATENÇÃO",IF(K2639&lt;=5,"OPORTUNO","MUITO BOM")))</f>
        <v/>
      </c>
      <c r="M2639" t="n">
        <v>23</v>
      </c>
      <c r="N2639" t="n">
        <v>99.28</v>
      </c>
      <c r="O2639" t="n">
        <v>27.68924302788844</v>
      </c>
    </row>
    <row r="2640" hidden="1">
      <c r="A2640" s="11" t="n">
        <v>46084</v>
      </c>
      <c r="B2640" t="inlineStr">
        <is>
          <t>Isabella Borges de Oliveira</t>
        </is>
      </c>
      <c r="C2640" t="inlineStr">
        <is>
          <t>Técnico II</t>
        </is>
      </c>
      <c r="D2640" t="n">
        <v>32</v>
      </c>
      <c r="E2640" t="n">
        <v>31</v>
      </c>
      <c r="F2640" t="n">
        <v>16.51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IF(K2640&lt;-5,"CRÍTICO",IF(K2640&lt;0,"ATENÇÃO",IF(K2640&lt;=5,"BOM","EXCELENTE")))</f>
        <v/>
      </c>
      <c r="M2640" t="n">
        <v>28</v>
      </c>
      <c r="N2640" t="n">
        <v>100</v>
      </c>
      <c r="O2640" t="n">
        <v>27.04918032786885</v>
      </c>
    </row>
    <row r="2641" hidden="1">
      <c r="A2641" s="11" t="n">
        <v>46084</v>
      </c>
      <c r="B2641" t="inlineStr">
        <is>
          <t>Janaina Lima dos Reis Urany</t>
        </is>
      </c>
      <c r="C2641" t="inlineStr">
        <is>
          <t>Técnico III</t>
        </is>
      </c>
      <c r="D2641" t="n">
        <v>46</v>
      </c>
      <c r="E2641" t="n">
        <v>42</v>
      </c>
      <c r="F2641" t="n">
        <v>15.35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M2641" t="n">
        <v>41</v>
      </c>
      <c r="N2641" t="n">
        <v>97.83</v>
      </c>
      <c r="O2641" t="n">
        <v>26.31578947368421</v>
      </c>
    </row>
    <row r="2642" hidden="1">
      <c r="A2642" s="11" t="n">
        <v>46084</v>
      </c>
      <c r="B2642" t="inlineStr">
        <is>
          <t>Jaqueline Evangelista da Silva Martins</t>
        </is>
      </c>
      <c r="C2642" t="inlineStr">
        <is>
          <t>Técnico III</t>
        </is>
      </c>
      <c r="D2642" t="n">
        <v>4</v>
      </c>
      <c r="E2642" t="n">
        <v>3</v>
      </c>
      <c r="F2642" t="n">
        <v>15.16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M2642" t="n">
        <v>6</v>
      </c>
      <c r="N2642" t="n">
        <v>100</v>
      </c>
      <c r="O2642" t="n">
        <v>26.70157068062827</v>
      </c>
    </row>
    <row r="2643" hidden="1">
      <c r="A2643" s="11" t="n">
        <v>46084</v>
      </c>
      <c r="B2643" t="inlineStr">
        <is>
          <t>Jessica Faria da Silveira</t>
        </is>
      </c>
      <c r="C2643" t="inlineStr">
        <is>
          <t>Técnico II</t>
        </is>
      </c>
      <c r="D2643" t="n">
        <v>34</v>
      </c>
      <c r="E2643" t="n">
        <v>31</v>
      </c>
      <c r="F2643" t="n">
        <v>18.54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M2643" t="n">
        <v>29</v>
      </c>
      <c r="N2643" t="n">
        <v>97.47</v>
      </c>
      <c r="O2643" t="n">
        <v>22.88732394366197</v>
      </c>
    </row>
    <row r="2644" hidden="1">
      <c r="A2644" s="11" t="n">
        <v>46084</v>
      </c>
      <c r="B2644" t="inlineStr">
        <is>
          <t>Jéssica Fé Moura</t>
        </is>
      </c>
      <c r="C2644" t="inlineStr">
        <is>
          <t>Técnico III</t>
        </is>
      </c>
      <c r="D2644" t="n">
        <v>0</v>
      </c>
      <c r="E2644" t="n">
        <v>0</v>
      </c>
      <c r="F2644" t="n">
        <v>0</v>
      </c>
      <c r="G2644" t="n">
        <v>0</v>
      </c>
      <c r="H2644" t="n">
        <v>0</v>
      </c>
      <c r="I2644" s="3" t="n">
        <v>0</v>
      </c>
      <c r="J2644" s="3" t="n">
        <v>0</v>
      </c>
      <c r="K2644" s="3" t="n">
        <v>0</v>
      </c>
      <c r="L2644" s="3">
        <f>IF(K2644&lt;-5,"CRÍTICO",IF(K2644&lt;0,"ATENÇÃO",IF(K2644&lt;=5,"BOM","EXCELENTE")))</f>
        <v/>
      </c>
      <c r="M2644" t="n">
        <v>0</v>
      </c>
      <c r="N2644" t="n">
        <v>0</v>
      </c>
      <c r="O2644" t="n">
        <v>0</v>
      </c>
    </row>
    <row r="2645" hidden="1">
      <c r="A2645" s="11" t="n">
        <v>46084</v>
      </c>
      <c r="B2645" t="inlineStr">
        <is>
          <t>Karina Gonçalves Martins</t>
        </is>
      </c>
      <c r="C2645" t="inlineStr">
        <is>
          <t>JR</t>
        </is>
      </c>
      <c r="D2645" t="n">
        <v>14</v>
      </c>
      <c r="E2645" t="n">
        <v>14</v>
      </c>
      <c r="F2645" t="n">
        <v>26.42</v>
      </c>
      <c r="G2645" t="n">
        <v>0</v>
      </c>
      <c r="H2645" t="n">
        <v>0</v>
      </c>
      <c r="I2645" s="3">
        <f>E2645+G2645+H2645</f>
        <v/>
      </c>
      <c r="J2645" s="3">
        <f>ROUND(MIN(IF(C2645="Técnico III",35,IF(C2645="Técnico II",28,IF(C2645="Técnico I",23,IF(C2645="JR",20,IF(C2645="Estágio",10,0))))),IF(C2645="Técnico III",SUMIFS($D:$D,$A:$A,$A2645,$B:$B,"&lt;&gt;Patrícia Karla de Sousa Araújo",$B:$B,"&lt;&gt;Lorena Dias de Araujo",$B:$B,"&lt;&gt;Lucas Luiz Romero")*(35/1083),IF(C2645="Técnico II",SUMIFS($D:$D,$A:$A,$A2645,$B:$B,"&lt;&gt;Patrícia Karla de Sousa Araújo",$B:$B,"&lt;&gt;Lorena Dias de Araujo",$B:$B,"&lt;&gt;Lucas Luiz Romero")*(28/1083),IF(C2645="Técnico I",SUMIFS($D:$D,$A:$A,$A2645,$B:$B,"&lt;&gt;Patrícia Karla de Sousa Araújo",$B:$B,"&lt;&gt;Lorena Dias de Araujo",$B:$B,"&lt;&gt;Lucas Luiz Romero")*(23/1083),IF(C2645="JR",SUMIFS($D:$D,$A:$A,$A2645,$B:$B,"&lt;&gt;Patrícia Karla de Sousa Araújo",$B:$B,"&lt;&gt;Lorena Dias de Araujo",$B:$B,"&lt;&gt;Lucas Luiz Romero")*(20/1083),IF(C2645="Estágio",SUMIFS($D:$D,$A:$A,$A2645,$B:$B,"&lt;&gt;Patrícia Karla de Sousa Araújo",$B:$B,"&lt;&gt;Lorena Dias de Araujo",$B:$B,"&lt;&gt;Lucas Luiz Romero")*(10/1083),0)))))),0)</f>
        <v/>
      </c>
      <c r="K2645" s="3">
        <f>I2645-J2645</f>
        <v/>
      </c>
      <c r="L2645" s="3">
        <f>IF(K2645&lt;-5,"CRÍTICO",IF(K2645&lt;0,"ATENÇÃO",IF(K2645&lt;=5,"BOM","EXCELENTE")))</f>
        <v/>
      </c>
      <c r="M2645" t="n">
        <v>12</v>
      </c>
      <c r="N2645" t="n">
        <v>98.31</v>
      </c>
      <c r="O2645" t="n">
        <v>24.92012779552715</v>
      </c>
    </row>
    <row r="2646" hidden="1">
      <c r="A2646" s="11" t="n">
        <v>46084</v>
      </c>
      <c r="B2646" t="inlineStr">
        <is>
          <t>Kerollen Cristielly de Jesus Siqueira</t>
        </is>
      </c>
      <c r="C2646" t="inlineStr">
        <is>
          <t>Técnico III</t>
        </is>
      </c>
      <c r="D2646" t="n">
        <v>2</v>
      </c>
      <c r="E2646" t="n">
        <v>2</v>
      </c>
      <c r="F2646" t="n">
        <v>27.01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M2646" t="n">
        <v>6</v>
      </c>
      <c r="N2646" t="n">
        <v>96.81</v>
      </c>
      <c r="O2646" t="n">
        <v>32.36514522821577</v>
      </c>
    </row>
    <row r="2647" hidden="1">
      <c r="A2647" s="11" t="n">
        <v>46084</v>
      </c>
      <c r="B2647" t="inlineStr">
        <is>
          <t>Leandro de Souza Silva</t>
        </is>
      </c>
      <c r="C2647" t="inlineStr">
        <is>
          <t>JR</t>
        </is>
      </c>
      <c r="D2647" t="n">
        <v>0</v>
      </c>
      <c r="E2647" t="n">
        <v>0</v>
      </c>
      <c r="F2647" t="n">
        <v>0</v>
      </c>
      <c r="G2647" t="n">
        <v>0</v>
      </c>
      <c r="H2647" t="n">
        <v>0</v>
      </c>
      <c r="I2647" s="3" t="n">
        <v>0</v>
      </c>
      <c r="J2647" s="3" t="n">
        <v>0</v>
      </c>
      <c r="K2647" s="3" t="n">
        <v>0</v>
      </c>
      <c r="L2647" s="3">
        <f>IF(K2647&lt;-5,"CRÍTICO",IF(K2647&lt;0,"ATENÇÃO",IF(K2647&lt;=5,"BOM","EXCELENTE")))</f>
        <v/>
      </c>
      <c r="M2647" t="n">
        <v>0</v>
      </c>
      <c r="N2647" t="n">
        <v>100</v>
      </c>
      <c r="O2647" t="n">
        <v>26.47058823529412</v>
      </c>
    </row>
    <row r="2648" hidden="1">
      <c r="A2648" s="11" t="n">
        <v>46084</v>
      </c>
      <c r="B2648" t="inlineStr">
        <is>
          <t>Leandro Oliveira de Sousa</t>
        </is>
      </c>
      <c r="C2648" t="inlineStr">
        <is>
          <t>Técnico III</t>
        </is>
      </c>
      <c r="D2648" t="n">
        <v>4</v>
      </c>
      <c r="E2648" t="n">
        <v>4</v>
      </c>
      <c r="F2648" t="n">
        <v>25.43</v>
      </c>
      <c r="G2648" t="n">
        <v>0</v>
      </c>
      <c r="H2648" t="n">
        <v>0</v>
      </c>
      <c r="I2648" s="3">
        <f>E2648+G2648+H2648</f>
        <v/>
      </c>
      <c r="J2648" s="3">
        <f>ROUND(MIN(IF(C2648="Técnico III",35,IF(C2648="Técnico II",28,IF(C2648="Técnico I",23,IF(C2648="JR",20,IF(C2648="Estágio",10,0))))),IF(C2648="Técnico III",SUMIFS($D:$D,$A:$A,$A2648,$B:$B,"&lt;&gt;Patrícia Karla de Sousa Araújo",$B:$B,"&lt;&gt;Lorena Dias de Araujo",$B:$B,"&lt;&gt;Lucas Luiz Romero")*(35/1083),IF(C2648="Técnico II",SUMIFS($D:$D,$A:$A,$A2648,$B:$B,"&lt;&gt;Patrícia Karla de Sousa Araújo",$B:$B,"&lt;&gt;Lorena Dias de Araujo",$B:$B,"&lt;&gt;Lucas Luiz Romero")*(28/1083),IF(C2648="Técnico I",SUMIFS($D:$D,$A:$A,$A2648,$B:$B,"&lt;&gt;Patrícia Karla de Sousa Araújo",$B:$B,"&lt;&gt;Lorena Dias de Araujo",$B:$B,"&lt;&gt;Lucas Luiz Romero")*(23/1083),IF(C2648="JR",SUMIFS($D:$D,$A:$A,$A2648,$B:$B,"&lt;&gt;Patrícia Karla de Sousa Araújo",$B:$B,"&lt;&gt;Lorena Dias de Araujo",$B:$B,"&lt;&gt;Lucas Luiz Romero")*(20/1083),IF(C2648="Estágio",SUMIFS($D:$D,$A:$A,$A2648,$B:$B,"&lt;&gt;Patrícia Karla de Sousa Araújo",$B:$B,"&lt;&gt;Lorena Dias de Araujo",$B:$B,"&lt;&gt;Lucas Luiz Romero")*(10/1083),0)))))),0)</f>
        <v/>
      </c>
      <c r="K2648" s="3">
        <f>I2648-J2648</f>
        <v/>
      </c>
      <c r="L2648" s="3">
        <f>IF(K2648&lt;-5,"CRÍTICO",IF(K2648&lt;0,"ATENÇÃO",IF(K2648&lt;=5,"BOM","EXCELENTE")))</f>
        <v/>
      </c>
      <c r="M2648" t="n">
        <v>15</v>
      </c>
      <c r="N2648" t="n">
        <v>100</v>
      </c>
      <c r="O2648" t="n">
        <v>28.49002849002849</v>
      </c>
    </row>
    <row r="2649" hidden="1">
      <c r="A2649" s="11" t="n">
        <v>46084</v>
      </c>
      <c r="B2649" t="inlineStr">
        <is>
          <t>Lizandra Gomes Duarte</t>
        </is>
      </c>
      <c r="C2649" t="inlineStr">
        <is>
          <t>Técnico II</t>
        </is>
      </c>
      <c r="D2649" t="n">
        <v>30</v>
      </c>
      <c r="E2649" t="n">
        <v>25</v>
      </c>
      <c r="F2649" t="n">
        <v>20.04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M2649" t="n">
        <v>20</v>
      </c>
      <c r="N2649" t="n">
        <v>99.14</v>
      </c>
      <c r="O2649" t="n">
        <v>27.2289156626506</v>
      </c>
    </row>
    <row r="2650" hidden="1">
      <c r="A2650" s="11" t="n">
        <v>46084</v>
      </c>
      <c r="B2650" t="inlineStr">
        <is>
          <t>Lorena Dias de Araujo</t>
        </is>
      </c>
      <c r="C2650" t="inlineStr">
        <is>
          <t>Técnico II</t>
        </is>
      </c>
      <c r="D2650" t="n">
        <v>32</v>
      </c>
      <c r="E2650" t="n">
        <v>30</v>
      </c>
      <c r="F2650" t="n">
        <v>21.56</v>
      </c>
      <c r="G2650" t="n">
        <v>0</v>
      </c>
      <c r="H2650" t="n">
        <v>0</v>
      </c>
      <c r="I2650" s="3" t="n">
        <v>0</v>
      </c>
      <c r="J2650" s="3" t="n">
        <v>0</v>
      </c>
      <c r="K2650" s="3" t="n">
        <v>0</v>
      </c>
      <c r="L2650" s="3">
        <f>IF(K2650&lt;-5,"CRÍTICO",IF(K2650&lt;0,"ATENÇÃO",IF(K2650&lt;=5,"BOM","EXCELENTE")))</f>
        <v/>
      </c>
      <c r="M2650" t="n">
        <v>27</v>
      </c>
      <c r="N2650" t="n">
        <v>97.52</v>
      </c>
      <c r="O2650" t="n">
        <v>28.2051282051282</v>
      </c>
    </row>
    <row r="2651" hidden="1">
      <c r="A2651" s="11" t="n">
        <v>46084</v>
      </c>
      <c r="B2651" t="inlineStr">
        <is>
          <t>Lucas Luiz Romero</t>
        </is>
      </c>
      <c r="C2651" t="inlineStr">
        <is>
          <t>Técnico III</t>
        </is>
      </c>
      <c r="D2651" t="n">
        <v>44</v>
      </c>
      <c r="E2651" t="n">
        <v>38</v>
      </c>
      <c r="F2651" t="n">
        <v>17.2</v>
      </c>
      <c r="G2651" t="n">
        <v>0</v>
      </c>
      <c r="H2651" t="n">
        <v>0</v>
      </c>
      <c r="I2651" s="3">
        <f>E2651+G2651+H2651</f>
        <v/>
      </c>
      <c r="J2651" s="3">
        <f>ROUND(MIN(IF(C2651="Técnico III",35,IF(C2651="Técnico II",28,IF(C2651="Técnico I",23,IF(C2651="JR",20,IF(C2651="Estágio",10,0))))),IF(C2651="Técnico III",SUMIFS($D:$D,$A:$A,$A2651,$B:$B,"&lt;&gt;Patrícia Karla de Sousa Araújo",$B:$B,"&lt;&gt;Lorena Dias de Araujo",$B:$B,"&lt;&gt;Lucas Luiz Romero")*(35/1083),IF(C2651="Técnico II",SUMIFS($D:$D,$A:$A,$A2651,$B:$B,"&lt;&gt;Patrícia Karla de Sousa Araújo",$B:$B,"&lt;&gt;Lorena Dias de Araujo",$B:$B,"&lt;&gt;Lucas Luiz Romero")*(28/1083),IF(C2651="Técnico I",SUMIFS($D:$D,$A:$A,$A2651,$B:$B,"&lt;&gt;Patrícia Karla de Sousa Araújo",$B:$B,"&lt;&gt;Lorena Dias de Araujo",$B:$B,"&lt;&gt;Lucas Luiz Romero")*(23/1083),IF(C2651="JR",SUMIFS($D:$D,$A:$A,$A2651,$B:$B,"&lt;&gt;Patrícia Karla de Sousa Araújo",$B:$B,"&lt;&gt;Lorena Dias de Araujo",$B:$B,"&lt;&gt;Lucas Luiz Romero")*(20/1083),IF(C2651="Estágio",SUMIFS($D:$D,$A:$A,$A2651,$B:$B,"&lt;&gt;Patrícia Karla de Sousa Araújo",$B:$B,"&lt;&gt;Lorena Dias de Araujo",$B:$B,"&lt;&gt;Lucas Luiz Romero")*(10/1083),0)))))),0)</f>
        <v/>
      </c>
      <c r="K2651" s="3">
        <f>I2651-J2651</f>
        <v/>
      </c>
      <c r="L2651" s="3">
        <f>IF(K2651&lt;-5,"CRÍTICO",IF(K2651&lt;0,"ATENÇÃO",IF(K2651&lt;=5,"BOM","EXCELENTE")))</f>
        <v/>
      </c>
      <c r="M2651" t="n">
        <v>19</v>
      </c>
      <c r="N2651" t="n">
        <v>90</v>
      </c>
      <c r="O2651" t="n">
        <v>24.18604651162791</v>
      </c>
    </row>
    <row r="2652" hidden="1">
      <c r="A2652" s="11" t="n">
        <v>46084</v>
      </c>
      <c r="B2652" t="inlineStr">
        <is>
          <t>Luiz Fernando de Carvalho Junior</t>
        </is>
      </c>
      <c r="C2652" t="inlineStr">
        <is>
          <t>Técnico I</t>
        </is>
      </c>
      <c r="D2652" t="n">
        <v>26</v>
      </c>
      <c r="E2652" t="n">
        <v>23</v>
      </c>
      <c r="F2652" t="n">
        <v>22.02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M2652" t="n">
        <v>23</v>
      </c>
      <c r="N2652" t="n">
        <v>98.90000000000001</v>
      </c>
      <c r="O2652" t="n">
        <v>26.7639902676399</v>
      </c>
    </row>
    <row r="2653" hidden="1">
      <c r="A2653" s="11" t="n">
        <v>46084</v>
      </c>
      <c r="B2653" t="inlineStr">
        <is>
          <t>Maria Eduarda Sousa Costa</t>
        </is>
      </c>
      <c r="C2653" t="inlineStr">
        <is>
          <t>Estágio</t>
        </is>
      </c>
      <c r="D2653" t="n">
        <v>9</v>
      </c>
      <c r="E2653" t="n">
        <v>7</v>
      </c>
      <c r="F2653" t="n">
        <v>26.4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M2653" t="n">
        <v>7</v>
      </c>
      <c r="N2653" t="n">
        <v>88.89</v>
      </c>
      <c r="O2653" t="n">
        <v>25.26315789473684</v>
      </c>
    </row>
    <row r="2654" hidden="1">
      <c r="A2654" s="11" t="n">
        <v>46084</v>
      </c>
      <c r="B2654" t="inlineStr">
        <is>
          <t>Matheus Farias De Souza</t>
        </is>
      </c>
      <c r="C2654" t="inlineStr">
        <is>
          <t>Técnico III</t>
        </is>
      </c>
      <c r="D2654" t="n">
        <v>32</v>
      </c>
      <c r="E2654" t="n">
        <v>30</v>
      </c>
      <c r="F2654" t="n">
        <v>19.1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M2654" t="n">
        <v>31</v>
      </c>
      <c r="N2654" t="n">
        <v>98.86</v>
      </c>
      <c r="O2654" t="n">
        <v>28.95927601809955</v>
      </c>
    </row>
    <row r="2655" hidden="1">
      <c r="A2655" s="11" t="n">
        <v>46084</v>
      </c>
      <c r="B2655" t="inlineStr">
        <is>
          <t>Maysa Victoria Dias Moura</t>
        </is>
      </c>
      <c r="C2655" t="inlineStr">
        <is>
          <t>Técnico III</t>
        </is>
      </c>
      <c r="D2655" t="n">
        <v>39</v>
      </c>
      <c r="E2655" t="n">
        <v>38</v>
      </c>
      <c r="F2655" t="n">
        <v>15.52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M2655" t="n">
        <v>33</v>
      </c>
      <c r="N2655" t="n">
        <v>98.06</v>
      </c>
      <c r="O2655" t="n">
        <v>22.40566037735849</v>
      </c>
    </row>
    <row r="2656" hidden="1">
      <c r="A2656" s="11" t="n">
        <v>46084</v>
      </c>
      <c r="B2656" t="inlineStr">
        <is>
          <t>Michelle G Santos</t>
        </is>
      </c>
      <c r="C2656" t="inlineStr">
        <is>
          <t>Estágio</t>
        </is>
      </c>
      <c r="D2656" t="n">
        <v>15</v>
      </c>
      <c r="E2656" t="n">
        <v>13</v>
      </c>
      <c r="F2656" t="n">
        <v>42.31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M2656" t="n">
        <v>4</v>
      </c>
      <c r="N2656" t="n">
        <v>95.83</v>
      </c>
      <c r="O2656" t="n">
        <v>25.77319587628866</v>
      </c>
    </row>
    <row r="2657" hidden="1">
      <c r="A2657" s="11" t="n">
        <v>46084</v>
      </c>
      <c r="B2657" t="inlineStr">
        <is>
          <t>Milena Sales</t>
        </is>
      </c>
      <c r="C2657" t="inlineStr">
        <is>
          <t>JR</t>
        </is>
      </c>
      <c r="D2657" t="n">
        <v>0</v>
      </c>
      <c r="E2657" t="n">
        <v>0</v>
      </c>
      <c r="F2657" t="n">
        <v>0</v>
      </c>
      <c r="G2657" t="n">
        <v>0</v>
      </c>
      <c r="H2657" t="n">
        <v>0</v>
      </c>
      <c r="I2657" s="3" t="n">
        <v>0</v>
      </c>
      <c r="J2657" s="3" t="n">
        <v>0</v>
      </c>
      <c r="K2657" s="3" t="n">
        <v>0</v>
      </c>
      <c r="L2657" s="3">
        <f>IF(K2657&lt;-5,"CRÍTICO",IF(K2657&lt;0,"ATENÇÃO",IF(K2657&lt;=5,"BOM","EXCELENTE")))</f>
        <v/>
      </c>
      <c r="M2657" t="n">
        <v>0</v>
      </c>
      <c r="N2657" t="n">
        <v>100</v>
      </c>
      <c r="O2657" t="n">
        <v>15.38461538461539</v>
      </c>
    </row>
    <row r="2658" hidden="1">
      <c r="A2658" s="11" t="n">
        <v>46084</v>
      </c>
      <c r="B2658" t="inlineStr">
        <is>
          <t>Patrícia Karla de Sousa Araújo</t>
        </is>
      </c>
      <c r="C2658" t="inlineStr">
        <is>
          <t>Técnico II</t>
        </is>
      </c>
      <c r="D2658" t="n">
        <v>24</v>
      </c>
      <c r="E2658" t="n">
        <v>24</v>
      </c>
      <c r="F2658" t="n">
        <v>23.54</v>
      </c>
      <c r="G2658" t="n">
        <v>0</v>
      </c>
      <c r="H2658" t="n">
        <v>0</v>
      </c>
      <c r="I2658" s="3">
        <f>E2658+G2658+H2658</f>
        <v/>
      </c>
      <c r="J2658" s="3">
        <f>ROUND(MIN(IF(C2658="Técnico III",35,IF(C2658="Técnico II",28,IF(C2658="Técnico I",23,IF(C2658="JR",20,IF(C2658="Estágio",10,0))))),IF(C2658="Técnico III",SUMIFS($D:$D,$A:$A,$A2658,$B:$B,"&lt;&gt;Patrícia Karla de Sousa Araújo",$B:$B,"&lt;&gt;Lorena Dias de Araujo",$B:$B,"&lt;&gt;Lucas Luiz Romero")*(35/1083),IF(C2658="Técnico II",SUMIFS($D:$D,$A:$A,$A2658,$B:$B,"&lt;&gt;Patrícia Karla de Sousa Araújo",$B:$B,"&lt;&gt;Lorena Dias de Araujo",$B:$B,"&lt;&gt;Lucas Luiz Romero")*(28/1083),IF(C2658="Técnico I",SUMIFS($D:$D,$A:$A,$A2658,$B:$B,"&lt;&gt;Patrícia Karla de Sousa Araújo",$B:$B,"&lt;&gt;Lorena Dias de Araujo",$B:$B,"&lt;&gt;Lucas Luiz Romero")*(23/1083),IF(C2658="JR",SUMIFS($D:$D,$A:$A,$A2658,$B:$B,"&lt;&gt;Patrícia Karla de Sousa Araújo",$B:$B,"&lt;&gt;Lorena Dias de Araujo",$B:$B,"&lt;&gt;Lucas Luiz Romero")*(20/1083),IF(C2658="Estágio",SUMIFS($D:$D,$A:$A,$A2658,$B:$B,"&lt;&gt;Patrícia Karla de Sousa Araújo",$B:$B,"&lt;&gt;Lorena Dias de Araujo",$B:$B,"&lt;&gt;Lucas Luiz Romero")*(10/1083),0)))))),0)</f>
        <v/>
      </c>
      <c r="K2658" s="3">
        <f>I2658-J2658</f>
        <v/>
      </c>
      <c r="L2658" s="3">
        <f>IF(K2658&lt;-5,"CRÍTICO",IF(K2658&lt;0,"ATENÇÃO",IF(K2658&lt;=5,"BOM","EXCELENTE")))</f>
        <v/>
      </c>
      <c r="M2658" t="n">
        <v>18</v>
      </c>
      <c r="N2658" t="n">
        <v>100</v>
      </c>
      <c r="O2658" t="n">
        <v>27.51479289940828</v>
      </c>
    </row>
    <row r="2659" hidden="1">
      <c r="A2659" s="11" t="n">
        <v>46084</v>
      </c>
      <c r="B2659" t="inlineStr">
        <is>
          <t>Paulo Ricardo Santos</t>
        </is>
      </c>
      <c r="C2659" t="inlineStr">
        <is>
          <t>JR</t>
        </is>
      </c>
      <c r="D2659" t="n">
        <v>0</v>
      </c>
      <c r="E2659" t="n">
        <v>0</v>
      </c>
      <c r="F2659" t="n">
        <v>0</v>
      </c>
      <c r="G2659" t="n">
        <v>0</v>
      </c>
      <c r="H2659" t="n">
        <v>0</v>
      </c>
      <c r="I2659" s="3" t="n">
        <v>0</v>
      </c>
      <c r="J2659" s="3" t="n">
        <v>0</v>
      </c>
      <c r="K2659" s="3" t="n">
        <v>0</v>
      </c>
      <c r="L2659" s="3">
        <f>IF(K2659&lt;-5,"CRÍTICO",IF(K2659&lt;0,"ATENÇÃO",IF(K2659&lt;=5,"BOM","EXCELENTE")))</f>
        <v/>
      </c>
      <c r="M2659" t="n">
        <v>0</v>
      </c>
      <c r="N2659" t="n">
        <v>100</v>
      </c>
      <c r="O2659" t="n">
        <v>24.87562189054727</v>
      </c>
    </row>
    <row r="2660" hidden="1">
      <c r="A2660" s="11" t="n">
        <v>46084</v>
      </c>
      <c r="B2660" t="inlineStr">
        <is>
          <t>Pedro Luiz Mota Sousa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M2660" t="n">
        <v>0</v>
      </c>
      <c r="N2660" t="n">
        <v>100</v>
      </c>
      <c r="O2660" t="n">
        <v>28.10810810810811</v>
      </c>
    </row>
    <row r="2661" hidden="1">
      <c r="A2661" s="11" t="n">
        <v>46084</v>
      </c>
      <c r="B2661" t="inlineStr">
        <is>
          <t>Quirino Diogo Leite Torres</t>
        </is>
      </c>
      <c r="C2661" t="inlineStr">
        <is>
          <t>Estágio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M2661" t="n">
        <v>0</v>
      </c>
      <c r="N2661" t="n">
        <v>100</v>
      </c>
      <c r="O2661" t="n">
        <v>35</v>
      </c>
    </row>
    <row r="2662" hidden="1">
      <c r="A2662" s="11" t="n">
        <v>46084</v>
      </c>
      <c r="B2662" t="inlineStr">
        <is>
          <t>Raane Batista Matos</t>
        </is>
      </c>
      <c r="C2662" t="inlineStr">
        <is>
          <t>Técnico I</t>
        </is>
      </c>
      <c r="D2662" t="n">
        <v>40</v>
      </c>
      <c r="E2662" t="n">
        <v>38</v>
      </c>
      <c r="F2662" t="n">
        <v>20.04</v>
      </c>
      <c r="G2662" t="n">
        <v>0</v>
      </c>
      <c r="H2662" t="n">
        <v>0</v>
      </c>
      <c r="I2662" s="3">
        <f>E2662+G2662+H2662</f>
        <v/>
      </c>
      <c r="J2662" s="3">
        <f>ROUND(MIN(IF(C2662="Técnico III",35,IF(C2662="Técnico II",28,IF(C2662="Técnico I",23,IF(C2662="JR",20,IF(C2662="Estágio",10,0))))),IF(C2662="Técnico III",SUMIFS($D:$D,$A:$A,$A2662,$B:$B,"&lt;&gt;Patrícia Karla de Sousa Araújo",$B:$B,"&lt;&gt;Lorena Dias de Araujo",$B:$B,"&lt;&gt;Lucas Luiz Romero")*(35/1083),IF(C2662="Técnico II",SUMIFS($D:$D,$A:$A,$A2662,$B:$B,"&lt;&gt;Patrícia Karla de Sousa Araújo",$B:$B,"&lt;&gt;Lorena Dias de Araujo",$B:$B,"&lt;&gt;Lucas Luiz Romero")*(28/1083),IF(C2662="Técnico I",SUMIFS($D:$D,$A:$A,$A2662,$B:$B,"&lt;&gt;Patrícia Karla de Sousa Araújo",$B:$B,"&lt;&gt;Lorena Dias de Araujo",$B:$B,"&lt;&gt;Lucas Luiz Romero")*(23/1083),IF(C2662="JR",SUMIFS($D:$D,$A:$A,$A2662,$B:$B,"&lt;&gt;Patrícia Karla de Sousa Araújo",$B:$B,"&lt;&gt;Lorena Dias de Araujo",$B:$B,"&lt;&gt;Lucas Luiz Romero")*(20/1083),IF(C2662="Estágio",SUMIFS($D:$D,$A:$A,$A2662,$B:$B,"&lt;&gt;Patrícia Karla de Sousa Araújo",$B:$B,"&lt;&gt;Lorena Dias de Araujo",$B:$B,"&lt;&gt;Lucas Luiz Romero")*(10/1083),0)))))),0)</f>
        <v/>
      </c>
      <c r="K2662" s="3">
        <f>I2662-J2662</f>
        <v/>
      </c>
      <c r="L2662" s="3">
        <f>IF(K2662&lt;-5,"CRÍTICO",IF(K2662&lt;0,"ATENÇÃO",IF(K2662&lt;=5,"BOM","EXCELENTE")))</f>
        <v/>
      </c>
      <c r="M2662" t="n">
        <v>29</v>
      </c>
      <c r="N2662" t="n">
        <v>95.34999999999999</v>
      </c>
      <c r="O2662" t="n">
        <v>28.61538461538461</v>
      </c>
    </row>
    <row r="2663" hidden="1">
      <c r="A2663" s="11" t="n">
        <v>46084</v>
      </c>
      <c r="B2663" t="inlineStr">
        <is>
          <t>Rafael Gomes de Morais</t>
        </is>
      </c>
      <c r="C2663" t="inlineStr">
        <is>
          <t>Técnico III</t>
        </is>
      </c>
      <c r="D2663" t="n">
        <v>40</v>
      </c>
      <c r="E2663" t="n">
        <v>36</v>
      </c>
      <c r="F2663" t="n">
        <v>16.44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M2663" t="n">
        <v>32</v>
      </c>
      <c r="N2663" t="n">
        <v>98.26000000000001</v>
      </c>
      <c r="O2663" t="n">
        <v>27.54491017964072</v>
      </c>
    </row>
    <row r="2664" hidden="1">
      <c r="A2664" s="11" t="n">
        <v>46084</v>
      </c>
      <c r="B2664" t="inlineStr">
        <is>
          <t>Sara Maria Monteiro Lopes</t>
        </is>
      </c>
      <c r="C2664" t="inlineStr">
        <is>
          <t>Técnico I</t>
        </is>
      </c>
      <c r="D2664" t="n">
        <v>21</v>
      </c>
      <c r="E2664" t="n">
        <v>20</v>
      </c>
      <c r="F2664" t="n">
        <v>26.56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M2664" t="n">
        <v>18</v>
      </c>
      <c r="N2664" t="n">
        <v>98.55</v>
      </c>
      <c r="O2664" t="n">
        <v>25.33783783783784</v>
      </c>
    </row>
    <row r="2665" hidden="1">
      <c r="A2665" s="11" t="n">
        <v>46084</v>
      </c>
      <c r="B2665" t="inlineStr">
        <is>
          <t>Sarah Steffanie de Lima Borges</t>
        </is>
      </c>
      <c r="C2665" t="inlineStr">
        <is>
          <t>Técnico III</t>
        </is>
      </c>
      <c r="D2665" t="n">
        <v>33</v>
      </c>
      <c r="E2665" t="n">
        <v>30</v>
      </c>
      <c r="F2665" t="n">
        <v>19.19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M2665" t="n">
        <v>31</v>
      </c>
      <c r="N2665" t="n">
        <v>98.39</v>
      </c>
      <c r="O2665" t="n">
        <v>25.56390977443609</v>
      </c>
    </row>
    <row r="2666" hidden="1">
      <c r="A2666" s="11" t="n">
        <v>46085</v>
      </c>
      <c r="B2666" t="inlineStr">
        <is>
          <t>Alisson de Freitas Silva</t>
        </is>
      </c>
      <c r="C2666" t="inlineStr">
        <is>
          <t>Técnico II</t>
        </is>
      </c>
      <c r="D2666" t="n">
        <v>27</v>
      </c>
      <c r="E2666" t="n">
        <v>22</v>
      </c>
      <c r="F2666" t="n">
        <v>23.28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M2666" t="n">
        <v>20</v>
      </c>
      <c r="N2666" t="n">
        <v>94.29000000000001</v>
      </c>
      <c r="O2666" t="n">
        <v>25.64766839378239</v>
      </c>
    </row>
    <row r="2667" hidden="1">
      <c r="A2667" s="11" t="n">
        <v>46085</v>
      </c>
      <c r="B2667" t="inlineStr">
        <is>
          <t>Amanda Moura Ferreira</t>
        </is>
      </c>
      <c r="C2667" t="inlineStr">
        <is>
          <t>Técnico III</t>
        </is>
      </c>
      <c r="D2667" t="n">
        <v>0</v>
      </c>
      <c r="E2667" t="n">
        <v>0</v>
      </c>
      <c r="F2667" t="n">
        <v>0</v>
      </c>
      <c r="G2667" t="n">
        <v>0</v>
      </c>
      <c r="H2667" t="n">
        <v>0</v>
      </c>
      <c r="I2667" s="3" t="n">
        <v>0</v>
      </c>
      <c r="J2667" s="3" t="n">
        <v>0</v>
      </c>
      <c r="K2667" s="3" t="n">
        <v>0</v>
      </c>
      <c r="L2667" s="3">
        <f>IF(K2667&lt;-5,"CRÍTICO",IF(K2667&lt;0,"ATENÇÃO",IF(K2667&lt;=5,"BOM","EXCELENTE")))</f>
        <v/>
      </c>
      <c r="M2667" t="n">
        <v>20</v>
      </c>
      <c r="N2667" t="n">
        <v>98.26000000000001</v>
      </c>
      <c r="O2667" t="n">
        <v>26.66666666666667</v>
      </c>
    </row>
    <row r="2668" hidden="1">
      <c r="A2668" s="11" t="n">
        <v>46085</v>
      </c>
      <c r="B2668" t="inlineStr">
        <is>
          <t>Ana Karollyne Souza Faria</t>
        </is>
      </c>
      <c r="C2668" t="inlineStr">
        <is>
          <t>Técnico I</t>
        </is>
      </c>
      <c r="D2668" t="n">
        <v>21</v>
      </c>
      <c r="E2668" t="n">
        <v>20</v>
      </c>
      <c r="F2668" t="n">
        <v>26.5</v>
      </c>
      <c r="G2668" t="n">
        <v>0</v>
      </c>
      <c r="H2668" t="n">
        <v>0</v>
      </c>
      <c r="I2668" s="3">
        <f>E2668+G2668+H2668</f>
        <v/>
      </c>
      <c r="J2668" s="3">
        <f>ROUND(MIN(IF(C2668="Técnico III",35,IF(C2668="Técnico II",28,IF(C2668="Técnico I",23,IF(C2668="JR",20,IF(C2668="Estágio",10,0))))),IF(C2668="Técnico III",SUMIFS($D:$D,$A:$A,$A2668,$B:$B,"&lt;&gt;Patrícia Karla de Sousa Araújo",$B:$B,"&lt;&gt;Lorena Dias de Araujo",$B:$B,"&lt;&gt;Lucas Luiz Romero")*(35/1083),IF(C2668="Técnico II",SUMIFS($D:$D,$A:$A,$A2668,$B:$B,"&lt;&gt;Patrícia Karla de Sousa Araújo",$B:$B,"&lt;&gt;Lorena Dias de Araujo",$B:$B,"&lt;&gt;Lucas Luiz Romero")*(28/1083),IF(C2668="Técnico I",SUMIFS($D:$D,$A:$A,$A2668,$B:$B,"&lt;&gt;Patrícia Karla de Sousa Araújo",$B:$B,"&lt;&gt;Lorena Dias de Araujo",$B:$B,"&lt;&gt;Lucas Luiz Romero")*(23/1083),IF(C2668="JR",SUMIFS($D:$D,$A:$A,$A2668,$B:$B,"&lt;&gt;Patrícia Karla de Sousa Araújo",$B:$B,"&lt;&gt;Lorena Dias de Araujo",$B:$B,"&lt;&gt;Lucas Luiz Romero")*(20/1083),IF(C2668="Estágio",SUMIFS($D:$D,$A:$A,$A2668,$B:$B,"&lt;&gt;Patrícia Karla de Sousa Araújo",$B:$B,"&lt;&gt;Lorena Dias de Araujo",$B:$B,"&lt;&gt;Lucas Luiz Romero")*(10/1083),0)))))),0)</f>
        <v/>
      </c>
      <c r="K2668" s="3">
        <f>I2668-J2668</f>
        <v/>
      </c>
      <c r="L2668" s="3">
        <f>IF(K2668&lt;-5,"CRÍTICO",IF(K2668&lt;0,"ATENÇÃO",IF(K2668&lt;=5,"BOM","EXCELENTE")))</f>
        <v/>
      </c>
      <c r="M2668" t="n">
        <v>20</v>
      </c>
      <c r="N2668" t="n">
        <v>98.2</v>
      </c>
      <c r="O2668" t="n">
        <v>23.37962962962963</v>
      </c>
    </row>
    <row r="2669" hidden="1">
      <c r="A2669" s="11" t="n">
        <v>46085</v>
      </c>
      <c r="B2669" t="inlineStr">
        <is>
          <t>Ana Paula Da Luz Silva Aleixo</t>
        </is>
      </c>
      <c r="C2669" t="inlineStr">
        <is>
          <t>Técnico III</t>
        </is>
      </c>
      <c r="D2669" t="n">
        <v>33</v>
      </c>
      <c r="E2669" t="n">
        <v>30</v>
      </c>
      <c r="F2669" t="n">
        <v>19.04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M2669" t="n">
        <v>30</v>
      </c>
      <c r="N2669" t="n">
        <v>97.3</v>
      </c>
      <c r="O2669" t="n">
        <v>23.84769539078156</v>
      </c>
    </row>
    <row r="2670" hidden="1">
      <c r="A2670" s="11" t="n">
        <v>46085</v>
      </c>
      <c r="B2670" t="inlineStr">
        <is>
          <t>Anna Luiza Rezende Tavares</t>
        </is>
      </c>
      <c r="C2670" t="inlineStr">
        <is>
          <t>Estágio</t>
        </is>
      </c>
      <c r="D2670" t="n">
        <v>8</v>
      </c>
      <c r="E2670" t="n">
        <v>6</v>
      </c>
      <c r="F2670" t="n">
        <v>40.26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M2670" t="n">
        <v>6</v>
      </c>
      <c r="N2670" t="n">
        <v>100</v>
      </c>
      <c r="O2670" t="n">
        <v>25.26881720430108</v>
      </c>
    </row>
    <row r="2671" hidden="1">
      <c r="A2671" s="11" t="n">
        <v>46085</v>
      </c>
      <c r="B2671" t="inlineStr">
        <is>
          <t>Brenda de Menezes Silva</t>
        </is>
      </c>
      <c r="C2671" t="inlineStr">
        <is>
          <t>Técnico II</t>
        </is>
      </c>
      <c r="D2671" t="n">
        <v>34</v>
      </c>
      <c r="E2671" t="n">
        <v>32</v>
      </c>
      <c r="F2671" t="n">
        <v>17.39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M2671" t="n">
        <v>32</v>
      </c>
      <c r="N2671" t="n">
        <v>99.31999999999999</v>
      </c>
      <c r="O2671" t="n">
        <v>22.82282282282282</v>
      </c>
    </row>
    <row r="2672" hidden="1">
      <c r="A2672" s="11" t="n">
        <v>46085</v>
      </c>
      <c r="B2672" t="inlineStr">
        <is>
          <t>Carlos Mateus Cassimiro Nunes</t>
        </is>
      </c>
      <c r="C2672" t="inlineStr">
        <is>
          <t>Técnico II</t>
        </is>
      </c>
      <c r="D2672" t="n">
        <v>0</v>
      </c>
      <c r="E2672" t="n">
        <v>0</v>
      </c>
      <c r="F2672" t="n">
        <v>0</v>
      </c>
      <c r="G2672" t="n">
        <v>0</v>
      </c>
      <c r="H2672" t="n">
        <v>0</v>
      </c>
      <c r="I2672" s="3" t="n">
        <v>0</v>
      </c>
      <c r="J2672" s="3" t="n">
        <v>0</v>
      </c>
      <c r="K2672" s="3" t="n">
        <v>0</v>
      </c>
      <c r="L2672" s="3">
        <f>IF(K2672&lt;-5,"CRÍTICO",IF(K2672&lt;0,"ATENÇÃO",IF(K2672&lt;=5,"BOM","EXCELENTE")))</f>
        <v/>
      </c>
      <c r="M2672" t="n">
        <v>0</v>
      </c>
      <c r="N2672" t="n">
        <v>100</v>
      </c>
      <c r="O2672" t="n">
        <v>27.96610169491525</v>
      </c>
    </row>
    <row r="2673" hidden="1">
      <c r="A2673" s="11" t="n">
        <v>46085</v>
      </c>
      <c r="B2673" t="inlineStr">
        <is>
          <t>Claudio de Sousa Velasco Filho</t>
        </is>
      </c>
      <c r="C2673" t="inlineStr">
        <is>
          <t>Estágio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M2673" t="n">
        <v>0</v>
      </c>
      <c r="N2673" t="n">
        <v>100</v>
      </c>
      <c r="O2673" t="n">
        <v>30.43478260869566</v>
      </c>
    </row>
    <row r="2674" hidden="1">
      <c r="A2674" s="11" t="n">
        <v>46085</v>
      </c>
      <c r="B2674" t="inlineStr">
        <is>
          <t>Clessiane Pereira dos Santos</t>
        </is>
      </c>
      <c r="C2674" t="inlineStr">
        <is>
          <t>Técnico I</t>
        </is>
      </c>
      <c r="D2674" t="n">
        <v>21</v>
      </c>
      <c r="E2674" t="n">
        <v>18</v>
      </c>
      <c r="F2674" t="n">
        <v>28.3</v>
      </c>
      <c r="G2674" t="n">
        <v>0</v>
      </c>
      <c r="H2674" t="n">
        <v>0</v>
      </c>
      <c r="I2674" s="3">
        <f>E2674+G2674+H2674</f>
        <v/>
      </c>
      <c r="J2674" s="3">
        <f>ROUND(MIN(IF(C2674="Técnico III",35,IF(C2674="Técnico II",28,IF(C2674="Técnico I",23,IF(C2674="JR",20,IF(C2674="Estágio",10,0))))),IF(C2674="Técnico III",SUMIFS($D:$D,$A:$A,$A2674,$B:$B,"&lt;&gt;Patrícia Karla de Sousa Araújo",$B:$B,"&lt;&gt;Lorena Dias de Araujo",$B:$B,"&lt;&gt;Lucas Luiz Romero")*(35/1083),IF(C2674="Técnico II",SUMIFS($D:$D,$A:$A,$A2674,$B:$B,"&lt;&gt;Patrícia Karla de Sousa Araújo",$B:$B,"&lt;&gt;Lorena Dias de Araujo",$B:$B,"&lt;&gt;Lucas Luiz Romero")*(28/1083),IF(C2674="Técnico I",SUMIFS($D:$D,$A:$A,$A2674,$B:$B,"&lt;&gt;Patrícia Karla de Sousa Araújo",$B:$B,"&lt;&gt;Lorena Dias de Araujo",$B:$B,"&lt;&gt;Lucas Luiz Romero")*(23/1083),IF(C2674="JR",SUMIFS($D:$D,$A:$A,$A2674,$B:$B,"&lt;&gt;Patrícia Karla de Sousa Araújo",$B:$B,"&lt;&gt;Lorena Dias de Araujo",$B:$B,"&lt;&gt;Lucas Luiz Romero")*(20/1083),IF(C2674="Estágio",SUMIFS($D:$D,$A:$A,$A2674,$B:$B,"&lt;&gt;Patrícia Karla de Sousa Araújo",$B:$B,"&lt;&gt;Lorena Dias de Araujo",$B:$B,"&lt;&gt;Lucas Luiz Romero")*(10/1083),0)))))),0)</f>
        <v/>
      </c>
      <c r="K2674" s="3">
        <f>I2674-J2674</f>
        <v/>
      </c>
      <c r="L2674" s="3">
        <f>IF(K2674&lt;-5,"CRÍTICO",IF(K2674&lt;0,"ATENÇÃO",IF(K2674&lt;=5,"BOM","EXCELENTE")))</f>
        <v/>
      </c>
      <c r="M2674" t="n">
        <v>17</v>
      </c>
      <c r="N2674" t="n">
        <v>96.51000000000001</v>
      </c>
      <c r="O2674" t="n">
        <v>22.80285035629454</v>
      </c>
    </row>
    <row r="2675" hidden="1">
      <c r="A2675" s="11" t="n">
        <v>46085</v>
      </c>
      <c r="B2675" t="inlineStr">
        <is>
          <t>Cristiane Ramos da Silva Rocha</t>
        </is>
      </c>
      <c r="C2675" t="inlineStr">
        <is>
          <t>Técnico III</t>
        </is>
      </c>
      <c r="D2675" t="n">
        <v>39</v>
      </c>
      <c r="E2675" t="n">
        <v>38</v>
      </c>
      <c r="F2675" t="n">
        <v>16.42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M2675" t="n">
        <v>34</v>
      </c>
      <c r="N2675" t="n">
        <v>92.68000000000001</v>
      </c>
      <c r="O2675" t="n">
        <v>27.77777777777778</v>
      </c>
    </row>
    <row r="2676" hidden="1">
      <c r="A2676" s="11" t="n">
        <v>46085</v>
      </c>
      <c r="B2676" t="inlineStr">
        <is>
          <t>Damyllis Lorraine de Oliveira Gonçalves</t>
        </is>
      </c>
      <c r="C2676" t="inlineStr">
        <is>
          <t>Técnico II</t>
        </is>
      </c>
      <c r="D2676" t="n">
        <v>34</v>
      </c>
      <c r="E2676" t="n">
        <v>34</v>
      </c>
      <c r="F2676" t="n">
        <v>20.57</v>
      </c>
      <c r="G2676" t="n">
        <v>0</v>
      </c>
      <c r="H2676" t="n">
        <v>0</v>
      </c>
      <c r="I2676" s="3" t="n">
        <v>0</v>
      </c>
      <c r="J2676" s="3" t="n">
        <v>0</v>
      </c>
      <c r="K2676" s="3" t="n">
        <v>0</v>
      </c>
      <c r="L2676" s="3">
        <f>IF(K2676&lt;-5,"CRÍTICO",IF(K2676&lt;0,"ATENÇÃO",IF(K2676&lt;=5,"BOM","EXCELENTE")))</f>
        <v/>
      </c>
      <c r="M2676" t="n">
        <v>29</v>
      </c>
      <c r="N2676" t="n">
        <v>99.03</v>
      </c>
      <c r="O2676" t="n">
        <v>23.99150743099788</v>
      </c>
    </row>
    <row r="2677" hidden="1">
      <c r="A2677" s="11" t="n">
        <v>46085</v>
      </c>
      <c r="B2677" t="inlineStr">
        <is>
          <t>Daniel Gomes da Silva</t>
        </is>
      </c>
      <c r="C2677" t="inlineStr">
        <is>
          <t>Técnico I</t>
        </is>
      </c>
      <c r="D2677" t="n">
        <v>26</v>
      </c>
      <c r="E2677" t="n">
        <v>25</v>
      </c>
      <c r="F2677" t="n">
        <v>22.15</v>
      </c>
      <c r="G2677" t="n">
        <v>0</v>
      </c>
      <c r="H2677" t="n">
        <v>0</v>
      </c>
      <c r="I2677" s="3">
        <f>E2677+G2677+H2677</f>
        <v/>
      </c>
      <c r="J2677" s="3">
        <f>ROUND(MIN(IF(C2677="Técnico III",35,IF(C2677="Técnico II",28,IF(C2677="Técnico I",23,IF(C2677="JR",20,IF(C2677="Estágio",10,0))))),IF(C2677="Técnico III",SUMIFS($D:$D,$A:$A,$A2677,$B:$B,"&lt;&gt;Patrícia Karla de Sousa Araújo",$B:$B,"&lt;&gt;Lorena Dias de Araujo",$B:$B,"&lt;&gt;Lucas Luiz Romero")*(35/1083),IF(C2677="Técnico II",SUMIFS($D:$D,$A:$A,$A2677,$B:$B,"&lt;&gt;Patrícia Karla de Sousa Araújo",$B:$B,"&lt;&gt;Lorena Dias de Araujo",$B:$B,"&lt;&gt;Lucas Luiz Romero")*(28/1083),IF(C2677="Técnico I",SUMIFS($D:$D,$A:$A,$A2677,$B:$B,"&lt;&gt;Patrícia Karla de Sousa Araújo",$B:$B,"&lt;&gt;Lorena Dias de Araujo",$B:$B,"&lt;&gt;Lucas Luiz Romero")*(23/1083),IF(C2677="JR",SUMIFS($D:$D,$A:$A,$A2677,$B:$B,"&lt;&gt;Patrícia Karla de Sousa Araújo",$B:$B,"&lt;&gt;Lorena Dias de Araujo",$B:$B,"&lt;&gt;Lucas Luiz Romero")*(20/1083),IF(C2677="Estágio",SUMIFS($D:$D,$A:$A,$A2677,$B:$B,"&lt;&gt;Patrícia Karla de Sousa Araújo",$B:$B,"&lt;&gt;Lorena Dias de Araujo",$B:$B,"&lt;&gt;Lucas Luiz Romero")*(10/1083),0)))))),0)</f>
        <v/>
      </c>
      <c r="K2677" s="3">
        <f>I2677-J2677</f>
        <v/>
      </c>
      <c r="L2677" s="3">
        <f>IF(K2677&lt;-5,"CRÍTICO",IF(K2677&lt;0,"ATENÇÃO",IF(K2677&lt;=5,"BOM","EXCELENTE")))</f>
        <v/>
      </c>
      <c r="M2677" t="n">
        <v>14</v>
      </c>
      <c r="N2677" t="n">
        <v>98.41</v>
      </c>
      <c r="O2677" t="n">
        <v>28.13852813852814</v>
      </c>
    </row>
    <row r="2678" hidden="1">
      <c r="A2678" s="11" t="n">
        <v>46085</v>
      </c>
      <c r="B2678" t="inlineStr">
        <is>
          <t>Davylla Rodrigues Freitas Silva</t>
        </is>
      </c>
      <c r="C2678" t="inlineStr">
        <is>
          <t>Técnico III</t>
        </is>
      </c>
      <c r="D2678" t="n">
        <v>33</v>
      </c>
      <c r="E2678" t="n">
        <v>31</v>
      </c>
      <c r="F2678" t="n">
        <v>23.38</v>
      </c>
      <c r="G2678" t="n">
        <v>0</v>
      </c>
      <c r="H2678" t="n">
        <v>0</v>
      </c>
      <c r="I2678" s="3" t="n">
        <v>0</v>
      </c>
      <c r="J2678" s="3" t="n">
        <v>0</v>
      </c>
      <c r="K2678" s="3" t="n">
        <v>0</v>
      </c>
      <c r="L2678" s="3">
        <f>IF(K2678&lt;-5,"CRÍTICO",IF(K2678&lt;0,"ATENÇÃO",IF(K2678&lt;=5,"BOM","EXCELENTE")))</f>
        <v/>
      </c>
      <c r="M2678" t="n">
        <v>32</v>
      </c>
      <c r="N2678" t="n">
        <v>98.73</v>
      </c>
      <c r="O2678" t="n">
        <v>29.14285714285714</v>
      </c>
    </row>
    <row r="2679" hidden="1">
      <c r="A2679" s="11" t="n">
        <v>46085</v>
      </c>
      <c r="B2679" t="inlineStr">
        <is>
          <t>Emilly Caylane Costa</t>
        </is>
      </c>
      <c r="C2679" t="inlineStr">
        <is>
          <t>Estágio</t>
        </is>
      </c>
      <c r="D2679" t="n">
        <v>11</v>
      </c>
      <c r="E2679" t="n">
        <v>10</v>
      </c>
      <c r="F2679" t="n">
        <v>30.32</v>
      </c>
      <c r="G2679" t="n">
        <v>0</v>
      </c>
      <c r="H2679" t="n">
        <v>0</v>
      </c>
      <c r="I2679" s="3">
        <f>E2679+G2679+H2679</f>
        <v/>
      </c>
      <c r="J2679" s="3">
        <f>ROUND(MIN(IF(C2679="Técnico III",35,IF(C2679="Técnico II",28,IF(C2679="Técnico I",23,IF(C2679="JR",20,IF(C2679="Estágio",10,0))))),IF(C2679="Técnico III",SUMIFS($D:$D,$A:$A,$A2679,$B:$B,"&lt;&gt;Patrícia Karla de Sousa Araújo",$B:$B,"&lt;&gt;Lorena Dias de Araujo",$B:$B,"&lt;&gt;Lucas Luiz Romero")*(35/1083),IF(C2679="Técnico II",SUMIFS($D:$D,$A:$A,$A2679,$B:$B,"&lt;&gt;Patrícia Karla de Sousa Araújo",$B:$B,"&lt;&gt;Lorena Dias de Araujo",$B:$B,"&lt;&gt;Lucas Luiz Romero")*(28/1083),IF(C2679="Técnico I",SUMIFS($D:$D,$A:$A,$A2679,$B:$B,"&lt;&gt;Patrícia Karla de Sousa Araújo",$B:$B,"&lt;&gt;Lorena Dias de Araujo",$B:$B,"&lt;&gt;Lucas Luiz Romero")*(23/1083),IF(C2679="JR",SUMIFS($D:$D,$A:$A,$A2679,$B:$B,"&lt;&gt;Patrícia Karla de Sousa Araújo",$B:$B,"&lt;&gt;Lorena Dias de Araujo",$B:$B,"&lt;&gt;Lucas Luiz Romero")*(20/1083),IF(C2679="Estágio",SUMIFS($D:$D,$A:$A,$A2679,$B:$B,"&lt;&gt;Patrícia Karla de Sousa Araújo",$B:$B,"&lt;&gt;Lorena Dias de Araujo",$B:$B,"&lt;&gt;Lucas Luiz Romero")*(10/1083),0)))))),0)</f>
        <v/>
      </c>
      <c r="K2679" s="3">
        <f>I2679-J2679</f>
        <v/>
      </c>
      <c r="L2679" s="3">
        <f>IF(K2679&lt;-5,"CRÍTICO",IF(K2679&lt;0,"ATENÇÃO",IF(K2679&lt;=5,"BOM","EXCELENTE")))</f>
        <v/>
      </c>
      <c r="M2679" t="n">
        <v>7</v>
      </c>
      <c r="N2679" t="n">
        <v>90.48</v>
      </c>
      <c r="O2679" t="n">
        <v>20.68965517241379</v>
      </c>
    </row>
    <row r="2680" hidden="1">
      <c r="A2680" s="11" t="n">
        <v>46085</v>
      </c>
      <c r="B2680" t="inlineStr">
        <is>
          <t>Emilly Kamilly Medeiros Miranda</t>
        </is>
      </c>
      <c r="C2680" t="inlineStr">
        <is>
          <t>Técnico II</t>
        </is>
      </c>
      <c r="D2680" t="n">
        <v>22</v>
      </c>
      <c r="E2680" t="n">
        <v>21</v>
      </c>
      <c r="F2680" t="n">
        <v>28.51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M2680" t="n">
        <v>20</v>
      </c>
      <c r="N2680" t="n">
        <v>98.06</v>
      </c>
      <c r="O2680" t="n">
        <v>24.78991596638656</v>
      </c>
    </row>
    <row r="2681" hidden="1">
      <c r="A2681" s="11" t="n">
        <v>46085</v>
      </c>
      <c r="B2681" t="inlineStr">
        <is>
          <t>Francielson de Oliveira</t>
        </is>
      </c>
      <c r="C2681" t="inlineStr">
        <is>
          <t>Técnico III</t>
        </is>
      </c>
      <c r="D2681" t="n">
        <v>30</v>
      </c>
      <c r="E2681" t="n">
        <v>29</v>
      </c>
      <c r="F2681" t="n">
        <v>15.59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M2681" t="n">
        <v>33</v>
      </c>
      <c r="N2681" t="n">
        <v>97.78</v>
      </c>
      <c r="O2681" t="n">
        <v>25.49407114624506</v>
      </c>
    </row>
    <row r="2682" hidden="1">
      <c r="A2682" s="11" t="n">
        <v>46085</v>
      </c>
      <c r="B2682" t="inlineStr">
        <is>
          <t>Francilene Ferreira de Jesus</t>
        </is>
      </c>
      <c r="C2682" t="inlineStr">
        <is>
          <t>Técnico II</t>
        </is>
      </c>
      <c r="D2682" t="n">
        <v>40</v>
      </c>
      <c r="E2682" t="n">
        <v>35</v>
      </c>
      <c r="F2682" t="n">
        <v>16.53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M2682" t="n">
        <v>34</v>
      </c>
      <c r="N2682" t="n">
        <v>98.02</v>
      </c>
      <c r="O2682" t="n">
        <v>23.48484848484848</v>
      </c>
    </row>
    <row r="2683" hidden="1">
      <c r="A2683" s="11" t="n">
        <v>46119</v>
      </c>
      <c r="B2683" t="inlineStr">
        <is>
          <t>Gabriel Gomes de Andrade</t>
        </is>
      </c>
      <c r="C2683" t="inlineStr">
        <is>
          <t>Técnico I</t>
        </is>
      </c>
      <c r="D2683" t="n">
        <v>26</v>
      </c>
      <c r="E2683" t="n">
        <v>25</v>
      </c>
      <c r="F2683" t="n">
        <v>17.1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IF(K2683&lt;-5,"CRÍTICO",IF(K2683&lt;0,"ATENÇÃO",IF(K2683&lt;=5,"OPORTUNO","MUITO BOM")))</f>
        <v/>
      </c>
      <c r="M2683" t="n">
        <v>23</v>
      </c>
      <c r="N2683" t="n">
        <v>99.28</v>
      </c>
      <c r="O2683" t="n">
        <v>27.68924302788844</v>
      </c>
    </row>
    <row r="2684" hidden="1">
      <c r="A2684" s="11" t="n">
        <v>46085</v>
      </c>
      <c r="B2684" t="inlineStr">
        <is>
          <t>Isabella Borges de Oliveira</t>
        </is>
      </c>
      <c r="C2684" t="inlineStr">
        <is>
          <t>Técnico II</t>
        </is>
      </c>
      <c r="D2684" t="n">
        <v>31</v>
      </c>
      <c r="E2684" t="n">
        <v>30</v>
      </c>
      <c r="F2684" t="n">
        <v>23.58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IF(K2684&lt;-5,"CRÍTICO",IF(K2684&lt;0,"ATENÇÃO",IF(K2684&lt;=5,"BOM","EXCELENTE")))</f>
        <v/>
      </c>
      <c r="M2684" t="n">
        <v>25</v>
      </c>
      <c r="N2684" t="n">
        <v>100</v>
      </c>
      <c r="O2684" t="n">
        <v>27.04918032786885</v>
      </c>
    </row>
    <row r="2685" hidden="1">
      <c r="A2685" s="11" t="n">
        <v>46085</v>
      </c>
      <c r="B2685" t="inlineStr">
        <is>
          <t>Janaina Lima dos Reis Urany</t>
        </is>
      </c>
      <c r="C2685" t="inlineStr">
        <is>
          <t>Técnico III</t>
        </is>
      </c>
      <c r="D2685" t="n">
        <v>42</v>
      </c>
      <c r="E2685" t="n">
        <v>40</v>
      </c>
      <c r="F2685" t="n">
        <v>14.16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M2685" t="n">
        <v>40</v>
      </c>
      <c r="N2685" t="n">
        <v>97.83</v>
      </c>
      <c r="O2685" t="n">
        <v>26.31578947368421</v>
      </c>
    </row>
    <row r="2686" hidden="1">
      <c r="A2686" s="11" t="n">
        <v>46085</v>
      </c>
      <c r="B2686" t="inlineStr">
        <is>
          <t>Jaqueline Evangelista da Silva Martins</t>
        </is>
      </c>
      <c r="C2686" t="inlineStr">
        <is>
          <t>Técnico III</t>
        </is>
      </c>
      <c r="D2686" t="n">
        <v>15</v>
      </c>
      <c r="E2686" t="n">
        <v>15</v>
      </c>
      <c r="F2686" t="n">
        <v>20.1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M2686" t="n">
        <v>14</v>
      </c>
      <c r="N2686" t="n">
        <v>100</v>
      </c>
      <c r="O2686" t="n">
        <v>26.70157068062827</v>
      </c>
    </row>
    <row r="2687" hidden="1">
      <c r="A2687" s="11" t="n">
        <v>46085</v>
      </c>
      <c r="B2687" t="inlineStr">
        <is>
          <t>Jessica Faria da Silveira</t>
        </is>
      </c>
      <c r="C2687" t="inlineStr">
        <is>
          <t>Técnico II</t>
        </is>
      </c>
      <c r="D2687" t="n">
        <v>31</v>
      </c>
      <c r="E2687" t="n">
        <v>26</v>
      </c>
      <c r="F2687" t="n">
        <v>23.56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M2687" t="n">
        <v>19</v>
      </c>
      <c r="N2687" t="n">
        <v>97.47</v>
      </c>
      <c r="O2687" t="n">
        <v>22.88732394366197</v>
      </c>
    </row>
    <row r="2688" hidden="1">
      <c r="A2688" s="11" t="n">
        <v>46085</v>
      </c>
      <c r="B2688" t="inlineStr">
        <is>
          <t>Jéssica Fé Moura</t>
        </is>
      </c>
      <c r="C2688" t="inlineStr">
        <is>
          <t>Técnico III</t>
        </is>
      </c>
      <c r="D2688" t="n">
        <v>0</v>
      </c>
      <c r="E2688" t="n">
        <v>0</v>
      </c>
      <c r="F2688" t="n">
        <v>0</v>
      </c>
      <c r="G2688" t="n">
        <v>0</v>
      </c>
      <c r="H2688" t="n">
        <v>0</v>
      </c>
      <c r="I2688" s="3" t="n">
        <v>0</v>
      </c>
      <c r="J2688" s="3" t="n">
        <v>0</v>
      </c>
      <c r="K2688" s="3" t="n">
        <v>0</v>
      </c>
      <c r="L2688" s="3">
        <f>IF(K2688&lt;-5,"CRÍTICO",IF(K2688&lt;0,"ATENÇÃO",IF(K2688&lt;=5,"BOM","EXCELENTE")))</f>
        <v/>
      </c>
      <c r="M2688" t="n">
        <v>0</v>
      </c>
      <c r="N2688" t="n">
        <v>0</v>
      </c>
      <c r="O2688" t="n">
        <v>0</v>
      </c>
    </row>
    <row r="2689" hidden="1">
      <c r="A2689" s="11" t="n">
        <v>46085</v>
      </c>
      <c r="B2689" t="inlineStr">
        <is>
          <t>Karina Gonçalves Martins</t>
        </is>
      </c>
      <c r="C2689" t="inlineStr">
        <is>
          <t>JR</t>
        </is>
      </c>
      <c r="D2689" t="n">
        <v>21</v>
      </c>
      <c r="E2689" t="n">
        <v>18</v>
      </c>
      <c r="F2689" t="n">
        <v>24.05</v>
      </c>
      <c r="G2689" t="n">
        <v>0</v>
      </c>
      <c r="H2689" t="n">
        <v>0</v>
      </c>
      <c r="I2689" s="3">
        <f>E2689+G2689+H2689</f>
        <v/>
      </c>
      <c r="J2689" s="3">
        <f>ROUND(MIN(IF(C2689="Técnico III",35,IF(C2689="Técnico II",28,IF(C2689="Técnico I",23,IF(C2689="JR",20,IF(C2689="Estágio",10,0))))),IF(C2689="Técnico III",SUMIFS($D:$D,$A:$A,$A2689,$B:$B,"&lt;&gt;Patrícia Karla de Sousa Araújo",$B:$B,"&lt;&gt;Lorena Dias de Araujo",$B:$B,"&lt;&gt;Lucas Luiz Romero")*(35/1083),IF(C2689="Técnico II",SUMIFS($D:$D,$A:$A,$A2689,$B:$B,"&lt;&gt;Patrícia Karla de Sousa Araújo",$B:$B,"&lt;&gt;Lorena Dias de Araujo",$B:$B,"&lt;&gt;Lucas Luiz Romero")*(28/1083),IF(C2689="Técnico I",SUMIFS($D:$D,$A:$A,$A2689,$B:$B,"&lt;&gt;Patrícia Karla de Sousa Araújo",$B:$B,"&lt;&gt;Lorena Dias de Araujo",$B:$B,"&lt;&gt;Lucas Luiz Romero")*(23/1083),IF(C2689="JR",SUMIFS($D:$D,$A:$A,$A2689,$B:$B,"&lt;&gt;Patrícia Karla de Sousa Araújo",$B:$B,"&lt;&gt;Lorena Dias de Araujo",$B:$B,"&lt;&gt;Lucas Luiz Romero")*(20/1083),IF(C2689="Estágio",SUMIFS($D:$D,$A:$A,$A2689,$B:$B,"&lt;&gt;Patrícia Karla de Sousa Araújo",$B:$B,"&lt;&gt;Lorena Dias de Araujo",$B:$B,"&lt;&gt;Lucas Luiz Romero")*(10/1083),0)))))),0)</f>
        <v/>
      </c>
      <c r="K2689" s="3">
        <f>I2689-J2689</f>
        <v/>
      </c>
      <c r="L2689" s="3">
        <f>IF(K2689&lt;-5,"CRÍTICO",IF(K2689&lt;0,"ATENÇÃO",IF(K2689&lt;=5,"BOM","EXCELENTE")))</f>
        <v/>
      </c>
      <c r="M2689" t="n">
        <v>17</v>
      </c>
      <c r="N2689" t="n">
        <v>98.31</v>
      </c>
      <c r="O2689" t="n">
        <v>24.92012779552715</v>
      </c>
    </row>
    <row r="2690" hidden="1">
      <c r="A2690" s="11" t="n">
        <v>46085</v>
      </c>
      <c r="B2690" t="inlineStr">
        <is>
          <t>Kerollen Cristielly de Jesus Siqueira</t>
        </is>
      </c>
      <c r="C2690" t="inlineStr">
        <is>
          <t>Técnico III</t>
        </is>
      </c>
      <c r="D2690" t="n">
        <v>0</v>
      </c>
      <c r="E2690" t="n">
        <v>0</v>
      </c>
      <c r="F2690" t="n">
        <v>0</v>
      </c>
      <c r="G2690" t="n">
        <v>0</v>
      </c>
      <c r="H2690" t="n">
        <v>0</v>
      </c>
      <c r="I2690" s="3" t="n">
        <v>0</v>
      </c>
      <c r="J2690" s="3" t="n">
        <v>0</v>
      </c>
      <c r="K2690" s="3" t="n">
        <v>0</v>
      </c>
      <c r="L2690" s="3">
        <f>IF(K2690&lt;-5,"CRÍTICO",IF(K2690&lt;0,"ATENÇÃO",IF(K2690&lt;=5,"BOM","EXCELENTE")))</f>
        <v/>
      </c>
      <c r="M2690" t="n">
        <v>14</v>
      </c>
      <c r="N2690" t="n">
        <v>96.81</v>
      </c>
      <c r="O2690" t="n">
        <v>32.36514522821577</v>
      </c>
    </row>
    <row r="2691" hidden="1">
      <c r="A2691" s="11" t="n">
        <v>46085</v>
      </c>
      <c r="B2691" t="inlineStr">
        <is>
          <t>Leandro de Souza Silva</t>
        </is>
      </c>
      <c r="C2691" t="inlineStr">
        <is>
          <t>JR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M2691" t="n">
        <v>0</v>
      </c>
      <c r="N2691" t="n">
        <v>100</v>
      </c>
      <c r="O2691" t="n">
        <v>26.47058823529412</v>
      </c>
    </row>
    <row r="2692" hidden="1">
      <c r="A2692" s="11" t="n">
        <v>46085</v>
      </c>
      <c r="B2692" t="inlineStr">
        <is>
          <t>Leandro Oliveira de Sousa</t>
        </is>
      </c>
      <c r="C2692" t="inlineStr">
        <is>
          <t>Técnico III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M2692" t="n">
        <v>5</v>
      </c>
      <c r="N2692" t="n">
        <v>100</v>
      </c>
      <c r="O2692" t="n">
        <v>28.49002849002849</v>
      </c>
    </row>
    <row r="2693" hidden="1">
      <c r="A2693" s="11" t="n">
        <v>46085</v>
      </c>
      <c r="B2693" t="inlineStr">
        <is>
          <t>Lizandra Gomes Duarte</t>
        </is>
      </c>
      <c r="C2693" t="inlineStr">
        <is>
          <t>Técnico II</t>
        </is>
      </c>
      <c r="D2693" t="n">
        <v>23</v>
      </c>
      <c r="E2693" t="n">
        <v>19</v>
      </c>
      <c r="F2693" t="n">
        <v>23.28</v>
      </c>
      <c r="G2693" t="n">
        <v>0</v>
      </c>
      <c r="H2693" t="n">
        <v>0</v>
      </c>
      <c r="I2693" s="3">
        <f>E2693+G2693+H2693</f>
        <v/>
      </c>
      <c r="J2693" s="3">
        <f>ROUND(MIN(IF(C2693="Técnico III",35,IF(C2693="Técnico II",28,IF(C2693="Técnico I",23,IF(C2693="JR",20,IF(C2693="Estágio",10,0))))),IF(C2693="Técnico III",SUMIFS($D:$D,$A:$A,$A2693,$B:$B,"&lt;&gt;Patrícia Karla de Sousa Araújo",$B:$B,"&lt;&gt;Lorena Dias de Araujo",$B:$B,"&lt;&gt;Lucas Luiz Romero")*(35/1083),IF(C2693="Técnico II",SUMIFS($D:$D,$A:$A,$A2693,$B:$B,"&lt;&gt;Patrícia Karla de Sousa Araújo",$B:$B,"&lt;&gt;Lorena Dias de Araujo",$B:$B,"&lt;&gt;Lucas Luiz Romero")*(28/1083),IF(C2693="Técnico I",SUMIFS($D:$D,$A:$A,$A2693,$B:$B,"&lt;&gt;Patrícia Karla de Sousa Araújo",$B:$B,"&lt;&gt;Lorena Dias de Araujo",$B:$B,"&lt;&gt;Lucas Luiz Romero")*(23/1083),IF(C2693="JR",SUMIFS($D:$D,$A:$A,$A2693,$B:$B,"&lt;&gt;Patrícia Karla de Sousa Araújo",$B:$B,"&lt;&gt;Lorena Dias de Araujo",$B:$B,"&lt;&gt;Lucas Luiz Romero")*(20/1083),IF(C2693="Estágio",SUMIFS($D:$D,$A:$A,$A2693,$B:$B,"&lt;&gt;Patrícia Karla de Sousa Araújo",$B:$B,"&lt;&gt;Lorena Dias de Araujo",$B:$B,"&lt;&gt;Lucas Luiz Romero")*(10/1083),0)))))),0)</f>
        <v/>
      </c>
      <c r="K2693" s="3">
        <f>I2693-J2693</f>
        <v/>
      </c>
      <c r="L2693" s="3">
        <f>IF(K2693&lt;-5,"CRÍTICO",IF(K2693&lt;0,"ATENÇÃO",IF(K2693&lt;=5,"BOM","EXCELENTE")))</f>
        <v/>
      </c>
      <c r="M2693" t="n">
        <v>19</v>
      </c>
      <c r="N2693" t="n">
        <v>99.14</v>
      </c>
      <c r="O2693" t="n">
        <v>27.2289156626506</v>
      </c>
    </row>
    <row r="2694" hidden="1">
      <c r="A2694" s="11" t="n">
        <v>46085</v>
      </c>
      <c r="B2694" t="inlineStr">
        <is>
          <t>Lorena Dias de Araujo</t>
        </is>
      </c>
      <c r="C2694" t="inlineStr">
        <is>
          <t>Técnico II</t>
        </is>
      </c>
      <c r="D2694" t="n">
        <v>23</v>
      </c>
      <c r="E2694" t="n">
        <v>23</v>
      </c>
      <c r="F2694" t="n">
        <v>30.42</v>
      </c>
      <c r="G2694" t="n">
        <v>0</v>
      </c>
      <c r="H2694" t="n">
        <v>0</v>
      </c>
      <c r="I2694" s="3" t="n">
        <v>0</v>
      </c>
      <c r="J2694" s="3" t="n">
        <v>0</v>
      </c>
      <c r="K2694" s="3" t="n">
        <v>0</v>
      </c>
      <c r="L2694" s="3">
        <f>IF(K2694&lt;-5,"CRÍTICO",IF(K2694&lt;0,"ATENÇÃO",IF(K2694&lt;=5,"BOM","EXCELENTE")))</f>
        <v/>
      </c>
      <c r="M2694" t="n">
        <v>20</v>
      </c>
      <c r="N2694" t="n">
        <v>97.52</v>
      </c>
      <c r="O2694" t="n">
        <v>28.2051282051282</v>
      </c>
    </row>
    <row r="2695" hidden="1">
      <c r="A2695" s="11" t="n">
        <v>46085</v>
      </c>
      <c r="B2695" t="inlineStr">
        <is>
          <t>Lucas Luiz Romero</t>
        </is>
      </c>
      <c r="C2695" t="inlineStr">
        <is>
          <t>Técnico III</t>
        </is>
      </c>
      <c r="D2695" t="n">
        <v>48</v>
      </c>
      <c r="E2695" t="n">
        <v>43</v>
      </c>
      <c r="F2695" t="n">
        <v>15.18</v>
      </c>
      <c r="G2695" t="n">
        <v>0</v>
      </c>
      <c r="H2695" t="n">
        <v>0</v>
      </c>
      <c r="I2695" s="3">
        <f>E2695+G2695+H2695</f>
        <v/>
      </c>
      <c r="J2695" s="3">
        <f>ROUND(MIN(IF(C2695="Técnico III",35,IF(C2695="Técnico II",28,IF(C2695="Técnico I",23,IF(C2695="JR",20,IF(C2695="Estágio",10,0))))),IF(C2695="Técnico III",SUMIFS($D:$D,$A:$A,$A2695,$B:$B,"&lt;&gt;Patrícia Karla de Sousa Araújo",$B:$B,"&lt;&gt;Lorena Dias de Araujo",$B:$B,"&lt;&gt;Lucas Luiz Romero")*(35/1083),IF(C2695="Técnico II",SUMIFS($D:$D,$A:$A,$A2695,$B:$B,"&lt;&gt;Patrícia Karla de Sousa Araújo",$B:$B,"&lt;&gt;Lorena Dias de Araujo",$B:$B,"&lt;&gt;Lucas Luiz Romero")*(28/1083),IF(C2695="Técnico I",SUMIFS($D:$D,$A:$A,$A2695,$B:$B,"&lt;&gt;Patrícia Karla de Sousa Araújo",$B:$B,"&lt;&gt;Lorena Dias de Araujo",$B:$B,"&lt;&gt;Lucas Luiz Romero")*(23/1083),IF(C2695="JR",SUMIFS($D:$D,$A:$A,$A2695,$B:$B,"&lt;&gt;Patrícia Karla de Sousa Araújo",$B:$B,"&lt;&gt;Lorena Dias de Araujo",$B:$B,"&lt;&gt;Lucas Luiz Romero")*(20/1083),IF(C2695="Estágio",SUMIFS($D:$D,$A:$A,$A2695,$B:$B,"&lt;&gt;Patrícia Karla de Sousa Araújo",$B:$B,"&lt;&gt;Lorena Dias de Araujo",$B:$B,"&lt;&gt;Lucas Luiz Romero")*(10/1083),0)))))),0)</f>
        <v/>
      </c>
      <c r="K2695" s="3">
        <f>I2695-J2695</f>
        <v/>
      </c>
      <c r="L2695" s="3">
        <f>IF(K2695&lt;-5,"CRÍTICO",IF(K2695&lt;0,"ATENÇÃO",IF(K2695&lt;=5,"BOM","EXCELENTE")))</f>
        <v/>
      </c>
      <c r="M2695" t="n">
        <v>22</v>
      </c>
      <c r="N2695" t="n">
        <v>90</v>
      </c>
      <c r="O2695" t="n">
        <v>24.18604651162791</v>
      </c>
    </row>
    <row r="2696" hidden="1">
      <c r="A2696" s="11" t="n">
        <v>46085</v>
      </c>
      <c r="B2696" t="inlineStr">
        <is>
          <t>Luiz Fernando de Carvalho Junior</t>
        </is>
      </c>
      <c r="C2696" t="inlineStr">
        <is>
          <t>Técnico I</t>
        </is>
      </c>
      <c r="D2696" t="n">
        <v>24</v>
      </c>
      <c r="E2696" t="n">
        <v>23</v>
      </c>
      <c r="F2696" t="n">
        <v>25.09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M2696" t="n">
        <v>23</v>
      </c>
      <c r="N2696" t="n">
        <v>98.90000000000001</v>
      </c>
      <c r="O2696" t="n">
        <v>26.7639902676399</v>
      </c>
    </row>
    <row r="2697" hidden="1">
      <c r="A2697" s="11" t="n">
        <v>46085</v>
      </c>
      <c r="B2697" t="inlineStr">
        <is>
          <t>Maria Eduarda Sousa Costa</t>
        </is>
      </c>
      <c r="C2697" t="inlineStr">
        <is>
          <t>Estágio</t>
        </is>
      </c>
      <c r="D2697" t="n">
        <v>59</v>
      </c>
      <c r="E2697" t="n">
        <v>37</v>
      </c>
      <c r="F2697" t="n">
        <v>5.01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M2697" t="n">
        <v>0</v>
      </c>
      <c r="N2697" t="n">
        <v>88.89</v>
      </c>
      <c r="O2697" t="n">
        <v>25.26315789473684</v>
      </c>
    </row>
    <row r="2698" hidden="1">
      <c r="A2698" s="11" t="n">
        <v>46085</v>
      </c>
      <c r="B2698" t="inlineStr">
        <is>
          <t>Matheus Farias De Souza</t>
        </is>
      </c>
      <c r="C2698" t="inlineStr">
        <is>
          <t>Técnico III</t>
        </is>
      </c>
      <c r="D2698" t="n">
        <v>11</v>
      </c>
      <c r="E2698" t="n">
        <v>11</v>
      </c>
      <c r="F2698" t="n">
        <v>24.12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M2698" t="n">
        <v>38</v>
      </c>
      <c r="N2698" t="n">
        <v>98.86</v>
      </c>
      <c r="O2698" t="n">
        <v>28.95927601809955</v>
      </c>
    </row>
    <row r="2699" hidden="1">
      <c r="A2699" s="11" t="n">
        <v>46085</v>
      </c>
      <c r="B2699" t="inlineStr">
        <is>
          <t>Maysa Victoria Dias Moura</t>
        </is>
      </c>
      <c r="C2699" t="inlineStr">
        <is>
          <t>Técnico III</t>
        </is>
      </c>
      <c r="D2699" t="n">
        <v>38</v>
      </c>
      <c r="E2699" t="n">
        <v>35</v>
      </c>
      <c r="F2699" t="n">
        <v>17.29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M2699" t="n">
        <v>30</v>
      </c>
      <c r="N2699" t="n">
        <v>98.06</v>
      </c>
      <c r="O2699" t="n">
        <v>22.40566037735849</v>
      </c>
    </row>
    <row r="2700" hidden="1">
      <c r="A2700" s="11" t="n">
        <v>46085</v>
      </c>
      <c r="B2700" t="inlineStr">
        <is>
          <t>Michelle G Santos</t>
        </is>
      </c>
      <c r="C2700" t="inlineStr">
        <is>
          <t>Estágio</t>
        </is>
      </c>
      <c r="D2700" t="n">
        <v>7</v>
      </c>
      <c r="E2700" t="n">
        <v>7</v>
      </c>
      <c r="F2700" t="n">
        <v>63.21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M2700" t="n">
        <v>2</v>
      </c>
      <c r="N2700" t="n">
        <v>95.83</v>
      </c>
      <c r="O2700" t="n">
        <v>25.77319587628866</v>
      </c>
    </row>
    <row r="2701" hidden="1">
      <c r="A2701" s="11" t="n">
        <v>46085</v>
      </c>
      <c r="B2701" t="inlineStr">
        <is>
          <t>Milena Sales</t>
        </is>
      </c>
      <c r="C2701" t="inlineStr">
        <is>
          <t>JR</t>
        </is>
      </c>
      <c r="D2701" t="n">
        <v>0</v>
      </c>
      <c r="E2701" t="n">
        <v>0</v>
      </c>
      <c r="F2701" t="n">
        <v>0</v>
      </c>
      <c r="G2701" t="n">
        <v>0</v>
      </c>
      <c r="H2701" t="n">
        <v>0</v>
      </c>
      <c r="I2701" s="3" t="n">
        <v>0</v>
      </c>
      <c r="J2701" s="3" t="n">
        <v>0</v>
      </c>
      <c r="K2701" s="3" t="n">
        <v>0</v>
      </c>
      <c r="L2701" s="3">
        <f>IF(K2701&lt;-5,"CRÍTICO",IF(K2701&lt;0,"ATENÇÃO",IF(K2701&lt;=5,"BOM","EXCELENTE")))</f>
        <v/>
      </c>
      <c r="M2701" t="n">
        <v>0</v>
      </c>
      <c r="N2701" t="n">
        <v>100</v>
      </c>
      <c r="O2701" t="n">
        <v>15.38461538461539</v>
      </c>
    </row>
    <row r="2702" hidden="1">
      <c r="A2702" s="11" t="n">
        <v>46085</v>
      </c>
      <c r="B2702" t="inlineStr">
        <is>
          <t>Patrícia Karla de Sousa Araújo</t>
        </is>
      </c>
      <c r="C2702" t="inlineStr">
        <is>
          <t>Técnico II</t>
        </is>
      </c>
      <c r="D2702" t="n">
        <v>21</v>
      </c>
      <c r="E2702" t="n">
        <v>20</v>
      </c>
      <c r="F2702" t="n">
        <v>26.49</v>
      </c>
      <c r="G2702" t="n">
        <v>0</v>
      </c>
      <c r="H2702" t="n">
        <v>0</v>
      </c>
      <c r="I2702" s="3">
        <f>E2702+G2702+H2702</f>
        <v/>
      </c>
      <c r="J2702" s="3">
        <f>ROUND(MIN(IF(C2702="Técnico III",35,IF(C2702="Técnico II",28,IF(C2702="Técnico I",23,IF(C2702="JR",20,IF(C2702="Estágio",10,0))))),IF(C2702="Técnico III",SUMIFS($D:$D,$A:$A,$A2702,$B:$B,"&lt;&gt;Patrícia Karla de Sousa Araújo",$B:$B,"&lt;&gt;Lorena Dias de Araujo",$B:$B,"&lt;&gt;Lucas Luiz Romero")*(35/1083),IF(C2702="Técnico II",SUMIFS($D:$D,$A:$A,$A2702,$B:$B,"&lt;&gt;Patrícia Karla de Sousa Araújo",$B:$B,"&lt;&gt;Lorena Dias de Araujo",$B:$B,"&lt;&gt;Lucas Luiz Romero")*(28/1083),IF(C2702="Técnico I",SUMIFS($D:$D,$A:$A,$A2702,$B:$B,"&lt;&gt;Patrícia Karla de Sousa Araújo",$B:$B,"&lt;&gt;Lorena Dias de Araujo",$B:$B,"&lt;&gt;Lucas Luiz Romero")*(23/1083),IF(C2702="JR",SUMIFS($D:$D,$A:$A,$A2702,$B:$B,"&lt;&gt;Patrícia Karla de Sousa Araújo",$B:$B,"&lt;&gt;Lorena Dias de Araujo",$B:$B,"&lt;&gt;Lucas Luiz Romero")*(20/1083),IF(C2702="Estágio",SUMIFS($D:$D,$A:$A,$A2702,$B:$B,"&lt;&gt;Patrícia Karla de Sousa Araújo",$B:$B,"&lt;&gt;Lorena Dias de Araujo",$B:$B,"&lt;&gt;Lucas Luiz Romero")*(10/1083),0)))))),0)</f>
        <v/>
      </c>
      <c r="K2702" s="3">
        <f>I2702-J2702</f>
        <v/>
      </c>
      <c r="L2702" s="3">
        <f>IF(K2702&lt;-5,"CRÍTICO",IF(K2702&lt;0,"ATENÇÃO",IF(K2702&lt;=5,"BOM","EXCELENTE")))</f>
        <v/>
      </c>
      <c r="M2702" t="n">
        <v>20</v>
      </c>
      <c r="N2702" t="n">
        <v>100</v>
      </c>
      <c r="O2702" t="n">
        <v>27.51479289940828</v>
      </c>
    </row>
    <row r="2703" hidden="1">
      <c r="A2703" s="11" t="n">
        <v>46085</v>
      </c>
      <c r="B2703" t="inlineStr">
        <is>
          <t>Paulo Ricardo Santos</t>
        </is>
      </c>
      <c r="C2703" t="inlineStr">
        <is>
          <t>JR</t>
        </is>
      </c>
      <c r="D2703" t="n">
        <v>0</v>
      </c>
      <c r="E2703" t="n">
        <v>0</v>
      </c>
      <c r="F2703" t="n">
        <v>0</v>
      </c>
      <c r="G2703" t="n">
        <v>0</v>
      </c>
      <c r="H2703" t="n">
        <v>0</v>
      </c>
      <c r="I2703" s="3" t="n">
        <v>0</v>
      </c>
      <c r="J2703" s="3" t="n">
        <v>0</v>
      </c>
      <c r="K2703" s="3" t="n">
        <v>0</v>
      </c>
      <c r="L2703" s="3">
        <f>IF(K2703&lt;-5,"CRÍTICO",IF(K2703&lt;0,"ATENÇÃO",IF(K2703&lt;=5,"BOM","EXCELENTE")))</f>
        <v/>
      </c>
      <c r="M2703" t="n">
        <v>0</v>
      </c>
      <c r="N2703" t="n">
        <v>100</v>
      </c>
      <c r="O2703" t="n">
        <v>24.87562189054727</v>
      </c>
    </row>
    <row r="2704" hidden="1">
      <c r="A2704" s="11" t="n">
        <v>46085</v>
      </c>
      <c r="B2704" t="inlineStr">
        <is>
          <t>Pedro Luiz Mota Sousa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M2704" t="n">
        <v>0</v>
      </c>
      <c r="N2704" t="n">
        <v>100</v>
      </c>
      <c r="O2704" t="n">
        <v>28.10810810810811</v>
      </c>
    </row>
    <row r="2705" hidden="1">
      <c r="A2705" s="11" t="n">
        <v>46085</v>
      </c>
      <c r="B2705" t="inlineStr">
        <is>
          <t>Quirino Diogo Leite Torres</t>
        </is>
      </c>
      <c r="C2705" t="inlineStr">
        <is>
          <t>Estágio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M2705" t="n">
        <v>0</v>
      </c>
      <c r="N2705" t="n">
        <v>100</v>
      </c>
      <c r="O2705" t="n">
        <v>35</v>
      </c>
    </row>
    <row r="2706" hidden="1">
      <c r="A2706" s="11" t="n">
        <v>46085</v>
      </c>
      <c r="B2706" t="inlineStr">
        <is>
          <t>Raane Batista Matos</t>
        </is>
      </c>
      <c r="C2706" t="inlineStr">
        <is>
          <t>Técnico I</t>
        </is>
      </c>
      <c r="D2706" t="n">
        <v>32</v>
      </c>
      <c r="E2706" t="n">
        <v>23</v>
      </c>
      <c r="F2706" t="n">
        <v>15.25</v>
      </c>
      <c r="G2706" t="n">
        <v>0</v>
      </c>
      <c r="H2706" t="n">
        <v>0</v>
      </c>
      <c r="I2706" s="3">
        <f>E2706+G2706+H2706</f>
        <v/>
      </c>
      <c r="J2706" s="3">
        <f>ROUND(MIN(IF(C2706="Técnico III",35,IF(C2706="Técnico II",28,IF(C2706="Técnico I",23,IF(C2706="JR",20,IF(C2706="Estágio",10,0))))),IF(C2706="Técnico III",SUMIFS($D:$D,$A:$A,$A2706,$B:$B,"&lt;&gt;Patrícia Karla de Sousa Araújo",$B:$B,"&lt;&gt;Lorena Dias de Araujo",$B:$B,"&lt;&gt;Lucas Luiz Romero")*(35/1083),IF(C2706="Técnico II",SUMIFS($D:$D,$A:$A,$A2706,$B:$B,"&lt;&gt;Patrícia Karla de Sousa Araújo",$B:$B,"&lt;&gt;Lorena Dias de Araujo",$B:$B,"&lt;&gt;Lucas Luiz Romero")*(28/1083),IF(C2706="Técnico I",SUMIFS($D:$D,$A:$A,$A2706,$B:$B,"&lt;&gt;Patrícia Karla de Sousa Araújo",$B:$B,"&lt;&gt;Lorena Dias de Araujo",$B:$B,"&lt;&gt;Lucas Luiz Romero")*(23/1083),IF(C2706="JR",SUMIFS($D:$D,$A:$A,$A2706,$B:$B,"&lt;&gt;Patrícia Karla de Sousa Araújo",$B:$B,"&lt;&gt;Lorena Dias de Araujo",$B:$B,"&lt;&gt;Lucas Luiz Romero")*(20/1083),IF(C2706="Estágio",SUMIFS($D:$D,$A:$A,$A2706,$B:$B,"&lt;&gt;Patrícia Karla de Sousa Araújo",$B:$B,"&lt;&gt;Lorena Dias de Araujo",$B:$B,"&lt;&gt;Lucas Luiz Romero")*(10/1083),0)))))),0)</f>
        <v/>
      </c>
      <c r="K2706" s="3">
        <f>I2706-J2706</f>
        <v/>
      </c>
      <c r="L2706" s="3">
        <f>IF(K2706&lt;-5,"CRÍTICO",IF(K2706&lt;0,"ATENÇÃO",IF(K2706&lt;=5,"BOM","EXCELENTE")))</f>
        <v/>
      </c>
      <c r="M2706" t="n">
        <v>18</v>
      </c>
      <c r="N2706" t="n">
        <v>95.34999999999999</v>
      </c>
      <c r="O2706" t="n">
        <v>28.61538461538461</v>
      </c>
    </row>
    <row r="2707" hidden="1">
      <c r="A2707" s="11" t="n">
        <v>46085</v>
      </c>
      <c r="B2707" t="inlineStr">
        <is>
          <t>Rafael Gomes de Morais</t>
        </is>
      </c>
      <c r="C2707" t="inlineStr">
        <is>
          <t>Técnico III</t>
        </is>
      </c>
      <c r="D2707" t="n">
        <v>41</v>
      </c>
      <c r="E2707" t="n">
        <v>39</v>
      </c>
      <c r="F2707" t="n">
        <v>13.43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M2707" t="n">
        <v>26</v>
      </c>
      <c r="N2707" t="n">
        <v>98.26000000000001</v>
      </c>
      <c r="O2707" t="n">
        <v>27.54491017964072</v>
      </c>
    </row>
    <row r="2708" hidden="1">
      <c r="A2708" s="11" t="n">
        <v>46085</v>
      </c>
      <c r="B2708" t="inlineStr">
        <is>
          <t>Sara Maria Monteiro Lopes</t>
        </is>
      </c>
      <c r="C2708" t="inlineStr">
        <is>
          <t>Técnico I</t>
        </is>
      </c>
      <c r="D2708" t="n">
        <v>16</v>
      </c>
      <c r="E2708" t="n">
        <v>15</v>
      </c>
      <c r="F2708" t="n">
        <v>35.01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M2708" t="n">
        <v>15</v>
      </c>
      <c r="N2708" t="n">
        <v>98.55</v>
      </c>
      <c r="O2708" t="n">
        <v>25.33783783783784</v>
      </c>
    </row>
    <row r="2709" hidden="1">
      <c r="A2709" s="11" t="n">
        <v>46085</v>
      </c>
      <c r="B2709" t="inlineStr">
        <is>
          <t>Sarah Steffanie de Lima Borges</t>
        </is>
      </c>
      <c r="C2709" t="inlineStr">
        <is>
          <t>Técnico III</t>
        </is>
      </c>
      <c r="D2709" t="n">
        <v>27</v>
      </c>
      <c r="E2709" t="n">
        <v>22</v>
      </c>
      <c r="F2709" t="n">
        <v>17.07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M2709" t="n">
        <v>18</v>
      </c>
      <c r="N2709" t="n">
        <v>98.39</v>
      </c>
      <c r="O2709" t="n">
        <v>25.56390977443609</v>
      </c>
    </row>
    <row r="2710" hidden="1">
      <c r="A2710" s="11" t="n">
        <v>46086</v>
      </c>
      <c r="B2710" t="inlineStr">
        <is>
          <t>Alisson de Freitas Silva</t>
        </is>
      </c>
      <c r="C2710" t="inlineStr">
        <is>
          <t>Técnico II</t>
        </is>
      </c>
      <c r="D2710" t="n">
        <v>30</v>
      </c>
      <c r="E2710" t="n">
        <v>24</v>
      </c>
      <c r="F2710" t="n">
        <v>17.33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M2710" t="n">
        <v>15</v>
      </c>
      <c r="N2710" t="n">
        <v>94.29000000000001</v>
      </c>
      <c r="O2710" t="n">
        <v>25.64766839378239</v>
      </c>
    </row>
    <row r="2711" hidden="1">
      <c r="A2711" s="11" t="n">
        <v>46086</v>
      </c>
      <c r="B2711" t="inlineStr">
        <is>
          <t>Amanda Moura Ferreira</t>
        </is>
      </c>
      <c r="C2711" t="inlineStr">
        <is>
          <t>Técnico III</t>
        </is>
      </c>
      <c r="D2711" t="n">
        <v>0</v>
      </c>
      <c r="E2711" t="n">
        <v>0</v>
      </c>
      <c r="F2711" t="n">
        <v>0</v>
      </c>
      <c r="G2711" t="n">
        <v>0</v>
      </c>
      <c r="H2711" t="n">
        <v>0</v>
      </c>
      <c r="I2711" s="3" t="n">
        <v>0</v>
      </c>
      <c r="J2711" s="3" t="n">
        <v>0</v>
      </c>
      <c r="K2711" s="3" t="n">
        <v>0</v>
      </c>
      <c r="L2711" s="3">
        <f>IF(K2711&lt;-5,"CRÍTICO",IF(K2711&lt;0,"ATENÇÃO",IF(K2711&lt;=5,"BOM","EXCELENTE")))</f>
        <v/>
      </c>
      <c r="M2711" t="n">
        <v>24</v>
      </c>
      <c r="N2711" t="n">
        <v>98.26000000000001</v>
      </c>
      <c r="O2711" t="n">
        <v>26.66666666666667</v>
      </c>
    </row>
    <row r="2712" hidden="1">
      <c r="A2712" s="11" t="n">
        <v>46086</v>
      </c>
      <c r="B2712" t="inlineStr">
        <is>
          <t>Ana Karollyne Souza Faria</t>
        </is>
      </c>
      <c r="C2712" t="inlineStr">
        <is>
          <t>Técnico I</t>
        </is>
      </c>
      <c r="D2712" t="n">
        <v>25</v>
      </c>
      <c r="E2712" t="n">
        <v>23</v>
      </c>
      <c r="F2712" t="n">
        <v>21.54</v>
      </c>
      <c r="G2712" t="n">
        <v>0</v>
      </c>
      <c r="H2712" t="n">
        <v>0</v>
      </c>
      <c r="I2712" s="3">
        <f>E2712+G2712+H2712</f>
        <v/>
      </c>
      <c r="J2712" s="3">
        <f>ROUND(MIN(IF(C2712="Técnico III",35,IF(C2712="Técnico II",28,IF(C2712="Técnico I",23,IF(C2712="JR",20,IF(C2712="Estágio",10,0))))),IF(C2712="Técnico III",SUMIFS($D:$D,$A:$A,$A2712,$B:$B,"&lt;&gt;Patrícia Karla de Sousa Araújo",$B:$B,"&lt;&gt;Lorena Dias de Araujo",$B:$B,"&lt;&gt;Lucas Luiz Romero")*(35/1083),IF(C2712="Técnico II",SUMIFS($D:$D,$A:$A,$A2712,$B:$B,"&lt;&gt;Patrícia Karla de Sousa Araújo",$B:$B,"&lt;&gt;Lorena Dias de Araujo",$B:$B,"&lt;&gt;Lucas Luiz Romero")*(28/1083),IF(C2712="Técnico I",SUMIFS($D:$D,$A:$A,$A2712,$B:$B,"&lt;&gt;Patrícia Karla de Sousa Araújo",$B:$B,"&lt;&gt;Lorena Dias de Araujo",$B:$B,"&lt;&gt;Lucas Luiz Romero")*(23/1083),IF(C2712="JR",SUMIFS($D:$D,$A:$A,$A2712,$B:$B,"&lt;&gt;Patrícia Karla de Sousa Araújo",$B:$B,"&lt;&gt;Lorena Dias de Araujo",$B:$B,"&lt;&gt;Lucas Luiz Romero")*(20/1083),IF(C2712="Estágio",SUMIFS($D:$D,$A:$A,$A2712,$B:$B,"&lt;&gt;Patrícia Karla de Sousa Araújo",$B:$B,"&lt;&gt;Lorena Dias de Araujo",$B:$B,"&lt;&gt;Lucas Luiz Romero")*(10/1083),0)))))),0)</f>
        <v/>
      </c>
      <c r="K2712" s="3">
        <f>I2712-J2712</f>
        <v/>
      </c>
      <c r="L2712" s="3">
        <f>IF(K2712&lt;-5,"CRÍTICO",IF(K2712&lt;0,"ATENÇÃO",IF(K2712&lt;=5,"BOM","EXCELENTE")))</f>
        <v/>
      </c>
      <c r="M2712" t="n">
        <v>21</v>
      </c>
      <c r="N2712" t="n">
        <v>98.2</v>
      </c>
      <c r="O2712" t="n">
        <v>23.37962962962963</v>
      </c>
    </row>
    <row r="2713" hidden="1">
      <c r="A2713" s="11" t="n">
        <v>46086</v>
      </c>
      <c r="B2713" t="inlineStr">
        <is>
          <t>Ana Paula Da Luz Silva Aleixo</t>
        </is>
      </c>
      <c r="C2713" t="inlineStr">
        <is>
          <t>Técnico III</t>
        </is>
      </c>
      <c r="D2713" t="n">
        <v>28</v>
      </c>
      <c r="E2713" t="n">
        <v>26</v>
      </c>
      <c r="F2713" t="n">
        <v>22.09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M2713" t="n">
        <v>22</v>
      </c>
      <c r="N2713" t="n">
        <v>97.3</v>
      </c>
      <c r="O2713" t="n">
        <v>23.84769539078156</v>
      </c>
    </row>
    <row r="2714" hidden="1">
      <c r="A2714" s="11" t="n">
        <v>46086</v>
      </c>
      <c r="B2714" t="inlineStr">
        <is>
          <t>Anna Luiza Rezende Tavares</t>
        </is>
      </c>
      <c r="C2714" t="inlineStr">
        <is>
          <t>Estágio</t>
        </is>
      </c>
      <c r="D2714" t="n">
        <v>13</v>
      </c>
      <c r="E2714" t="n">
        <v>11</v>
      </c>
      <c r="F2714" t="n">
        <v>22.22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M2714" t="n">
        <v>10</v>
      </c>
      <c r="N2714" t="n">
        <v>100</v>
      </c>
      <c r="O2714" t="n">
        <v>25.26881720430108</v>
      </c>
    </row>
    <row r="2715" hidden="1">
      <c r="A2715" s="11" t="n">
        <v>46086</v>
      </c>
      <c r="B2715" t="inlineStr">
        <is>
          <t>Brenda de Menezes Silva</t>
        </is>
      </c>
      <c r="C2715" t="inlineStr">
        <is>
          <t>Técnico II</t>
        </is>
      </c>
      <c r="D2715" t="n">
        <v>25</v>
      </c>
      <c r="E2715" t="n">
        <v>24</v>
      </c>
      <c r="F2715" t="n">
        <v>20.16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M2715" t="n">
        <v>25</v>
      </c>
      <c r="N2715" t="n">
        <v>99.31999999999999</v>
      </c>
      <c r="O2715" t="n">
        <v>22.82282282282282</v>
      </c>
    </row>
    <row r="2716" hidden="1">
      <c r="A2716" s="11" t="n">
        <v>46086</v>
      </c>
      <c r="B2716" t="inlineStr">
        <is>
          <t>Carlos Mateus Cassimiro Nunes</t>
        </is>
      </c>
      <c r="C2716" t="inlineStr">
        <is>
          <t>Técnico II</t>
        </is>
      </c>
      <c r="D2716" t="n">
        <v>16</v>
      </c>
      <c r="E2716" t="n">
        <v>16</v>
      </c>
      <c r="F2716" t="n">
        <v>40.26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M2716" t="n">
        <v>16</v>
      </c>
      <c r="N2716" t="n">
        <v>100</v>
      </c>
      <c r="O2716" t="n">
        <v>27.96610169491525</v>
      </c>
    </row>
    <row r="2717" hidden="1">
      <c r="A2717" s="11" t="n">
        <v>46086</v>
      </c>
      <c r="B2717" t="inlineStr">
        <is>
          <t>Claudio de Sousa Velasco Filho</t>
        </is>
      </c>
      <c r="C2717" t="inlineStr">
        <is>
          <t>Estágio</t>
        </is>
      </c>
      <c r="D2717" t="n">
        <v>0</v>
      </c>
      <c r="E2717" t="n">
        <v>0</v>
      </c>
      <c r="F2717" t="n">
        <v>0</v>
      </c>
      <c r="G2717" t="n">
        <v>0</v>
      </c>
      <c r="H2717" t="n">
        <v>0</v>
      </c>
      <c r="I2717" s="3" t="n">
        <v>0</v>
      </c>
      <c r="J2717" s="3" t="n">
        <v>0</v>
      </c>
      <c r="K2717" s="3" t="n">
        <v>0</v>
      </c>
      <c r="L2717" s="3">
        <f>IF(K2717&lt;-5,"CRÍTICO",IF(K2717&lt;0,"ATENÇÃO",IF(K2717&lt;=5,"BOM","EXCELENTE")))</f>
        <v/>
      </c>
      <c r="M2717" t="n">
        <v>0</v>
      </c>
      <c r="N2717" t="n">
        <v>100</v>
      </c>
      <c r="O2717" t="n">
        <v>30.43478260869566</v>
      </c>
    </row>
    <row r="2718" hidden="1">
      <c r="A2718" s="11" t="n">
        <v>46086</v>
      </c>
      <c r="B2718" t="inlineStr">
        <is>
          <t>Clessiane Pereira dos Santos</t>
        </is>
      </c>
      <c r="C2718" t="inlineStr">
        <is>
          <t>Técnico I</t>
        </is>
      </c>
      <c r="D2718" t="n">
        <v>21</v>
      </c>
      <c r="E2718" t="n">
        <v>19</v>
      </c>
      <c r="F2718" t="n">
        <v>33.27</v>
      </c>
      <c r="G2718" t="n">
        <v>0</v>
      </c>
      <c r="H2718" t="n">
        <v>0</v>
      </c>
      <c r="I2718" s="3">
        <f>E2718+G2718+H2718</f>
        <v/>
      </c>
      <c r="J2718" s="3">
        <f>ROUND(MIN(IF(C2718="Técnico III",35,IF(C2718="Técnico II",28,IF(C2718="Técnico I",23,IF(C2718="JR",20,IF(C2718="Estágio",10,0))))),IF(C2718="Técnico III",SUMIFS($D:$D,$A:$A,$A2718,$B:$B,"&lt;&gt;Patrícia Karla de Sousa Araújo",$B:$B,"&lt;&gt;Lorena Dias de Araujo",$B:$B,"&lt;&gt;Lucas Luiz Romero")*(35/1083),IF(C2718="Técnico II",SUMIFS($D:$D,$A:$A,$A2718,$B:$B,"&lt;&gt;Patrícia Karla de Sousa Araújo",$B:$B,"&lt;&gt;Lorena Dias de Araujo",$B:$B,"&lt;&gt;Lucas Luiz Romero")*(28/1083),IF(C2718="Técnico I",SUMIFS($D:$D,$A:$A,$A2718,$B:$B,"&lt;&gt;Patrícia Karla de Sousa Araújo",$B:$B,"&lt;&gt;Lorena Dias de Araujo",$B:$B,"&lt;&gt;Lucas Luiz Romero")*(23/1083),IF(C2718="JR",SUMIFS($D:$D,$A:$A,$A2718,$B:$B,"&lt;&gt;Patrícia Karla de Sousa Araújo",$B:$B,"&lt;&gt;Lorena Dias de Araujo",$B:$B,"&lt;&gt;Lucas Luiz Romero")*(20/1083),IF(C2718="Estágio",SUMIFS($D:$D,$A:$A,$A2718,$B:$B,"&lt;&gt;Patrícia Karla de Sousa Araújo",$B:$B,"&lt;&gt;Lorena Dias de Araujo",$B:$B,"&lt;&gt;Lucas Luiz Romero")*(10/1083),0)))))),0)</f>
        <v/>
      </c>
      <c r="K2718" s="3">
        <f>I2718-J2718</f>
        <v/>
      </c>
      <c r="L2718" s="3">
        <f>IF(K2718&lt;-5,"CRÍTICO",IF(K2718&lt;0,"ATENÇÃO",IF(K2718&lt;=5,"BOM","EXCELENTE")))</f>
        <v/>
      </c>
      <c r="M2718" t="n">
        <v>18</v>
      </c>
      <c r="N2718" t="n">
        <v>96.51000000000001</v>
      </c>
      <c r="O2718" t="n">
        <v>22.80285035629454</v>
      </c>
    </row>
    <row r="2719" hidden="1">
      <c r="A2719" s="11" t="n">
        <v>46086</v>
      </c>
      <c r="B2719" t="inlineStr">
        <is>
          <t>Cristiane Ramos da Silva Rocha</t>
        </is>
      </c>
      <c r="C2719" t="inlineStr">
        <is>
          <t>Técnico III</t>
        </is>
      </c>
      <c r="D2719" t="n">
        <v>42</v>
      </c>
      <c r="E2719" t="n">
        <v>38</v>
      </c>
      <c r="F2719" t="n">
        <v>13.49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M2719" t="n">
        <v>35</v>
      </c>
      <c r="N2719" t="n">
        <v>92.68000000000001</v>
      </c>
      <c r="O2719" t="n">
        <v>27.77777777777778</v>
      </c>
    </row>
    <row r="2720" hidden="1">
      <c r="A2720" s="11" t="n">
        <v>46086</v>
      </c>
      <c r="B2720" t="inlineStr">
        <is>
          <t>Damyllis Lorraine de Oliveira Gonçalves</t>
        </is>
      </c>
      <c r="C2720" t="inlineStr">
        <is>
          <t>Técnico II</t>
        </is>
      </c>
      <c r="D2720" t="n">
        <v>26</v>
      </c>
      <c r="E2720" t="n">
        <v>24</v>
      </c>
      <c r="F2720" t="n">
        <v>25.07</v>
      </c>
      <c r="G2720" t="n">
        <v>0</v>
      </c>
      <c r="H2720" t="n">
        <v>0</v>
      </c>
      <c r="I2720" s="3" t="n">
        <v>0</v>
      </c>
      <c r="J2720" s="3" t="n">
        <v>0</v>
      </c>
      <c r="K2720" s="3" t="n">
        <v>0</v>
      </c>
      <c r="L2720" s="3">
        <f>IF(K2720&lt;-5,"CRÍTICO",IF(K2720&lt;0,"ATENÇÃO",IF(K2720&lt;=5,"BOM","EXCELENTE")))</f>
        <v/>
      </c>
      <c r="M2720" t="n">
        <v>20</v>
      </c>
      <c r="N2720" t="n">
        <v>99.03</v>
      </c>
      <c r="O2720" t="n">
        <v>23.99150743099788</v>
      </c>
    </row>
    <row r="2721" hidden="1">
      <c r="A2721" s="11" t="n">
        <v>46086</v>
      </c>
      <c r="B2721" t="inlineStr">
        <is>
          <t>Daniel Gomes da Silva</t>
        </is>
      </c>
      <c r="C2721" t="inlineStr">
        <is>
          <t>Técnico I</t>
        </is>
      </c>
      <c r="D2721" t="n">
        <v>22</v>
      </c>
      <c r="E2721" t="n">
        <v>22</v>
      </c>
      <c r="F2721" t="n">
        <v>25.34</v>
      </c>
      <c r="G2721" t="n">
        <v>0</v>
      </c>
      <c r="H2721" t="n">
        <v>0</v>
      </c>
      <c r="I2721" s="3">
        <f>E2721+G2721+H2721</f>
        <v/>
      </c>
      <c r="J2721" s="3">
        <f>ROUND(MIN(IF(C2721="Técnico III",35,IF(C2721="Técnico II",28,IF(C2721="Técnico I",23,IF(C2721="JR",20,IF(C2721="Estágio",10,0))))),IF(C2721="Técnico III",SUMIFS($D:$D,$A:$A,$A2721,$B:$B,"&lt;&gt;Patrícia Karla de Sousa Araújo",$B:$B,"&lt;&gt;Lorena Dias de Araujo",$B:$B,"&lt;&gt;Lucas Luiz Romero")*(35/1083),IF(C2721="Técnico II",SUMIFS($D:$D,$A:$A,$A2721,$B:$B,"&lt;&gt;Patrícia Karla de Sousa Araújo",$B:$B,"&lt;&gt;Lorena Dias de Araujo",$B:$B,"&lt;&gt;Lucas Luiz Romero")*(28/1083),IF(C2721="Técnico I",SUMIFS($D:$D,$A:$A,$A2721,$B:$B,"&lt;&gt;Patrícia Karla de Sousa Araújo",$B:$B,"&lt;&gt;Lorena Dias de Araujo",$B:$B,"&lt;&gt;Lucas Luiz Romero")*(23/1083),IF(C2721="JR",SUMIFS($D:$D,$A:$A,$A2721,$B:$B,"&lt;&gt;Patrícia Karla de Sousa Araújo",$B:$B,"&lt;&gt;Lorena Dias de Araujo",$B:$B,"&lt;&gt;Lucas Luiz Romero")*(20/1083),IF(C2721="Estágio",SUMIFS($D:$D,$A:$A,$A2721,$B:$B,"&lt;&gt;Patrícia Karla de Sousa Araújo",$B:$B,"&lt;&gt;Lorena Dias de Araujo",$B:$B,"&lt;&gt;Lucas Luiz Romero")*(10/1083),0)))))),0)</f>
        <v/>
      </c>
      <c r="K2721" s="3">
        <f>I2721-J2721</f>
        <v/>
      </c>
      <c r="L2721" s="3">
        <f>IF(K2721&lt;-5,"CRÍTICO",IF(K2721&lt;0,"ATENÇÃO",IF(K2721&lt;=5,"BOM","EXCELENTE")))</f>
        <v/>
      </c>
      <c r="M2721" t="n">
        <v>15</v>
      </c>
      <c r="N2721" t="n">
        <v>98.41</v>
      </c>
      <c r="O2721" t="n">
        <v>28.13852813852814</v>
      </c>
    </row>
    <row r="2722" hidden="1">
      <c r="A2722" s="11" t="n">
        <v>46086</v>
      </c>
      <c r="B2722" t="inlineStr">
        <is>
          <t>Davylla Rodrigues Freitas Silva</t>
        </is>
      </c>
      <c r="C2722" t="inlineStr">
        <is>
          <t>Técnico III</t>
        </is>
      </c>
      <c r="D2722" t="n">
        <v>32</v>
      </c>
      <c r="E2722" t="n">
        <v>31</v>
      </c>
      <c r="F2722" t="n">
        <v>20.53</v>
      </c>
      <c r="G2722" t="n">
        <v>0</v>
      </c>
      <c r="H2722" t="n">
        <v>0</v>
      </c>
      <c r="I2722" s="3" t="n">
        <v>0</v>
      </c>
      <c r="J2722" s="3" t="n">
        <v>0</v>
      </c>
      <c r="K2722" s="3" t="n">
        <v>0</v>
      </c>
      <c r="L2722" s="3">
        <f>IF(K2722&lt;-5,"CRÍTICO",IF(K2722&lt;0,"ATENÇÃO",IF(K2722&lt;=5,"BOM","EXCELENTE")))</f>
        <v/>
      </c>
      <c r="M2722" t="n">
        <v>31</v>
      </c>
      <c r="N2722" t="n">
        <v>98.73</v>
      </c>
      <c r="O2722" t="n">
        <v>29.14285714285714</v>
      </c>
    </row>
    <row r="2723" hidden="1">
      <c r="A2723" s="11" t="n">
        <v>46086</v>
      </c>
      <c r="B2723" t="inlineStr">
        <is>
          <t>Emilly Caylane Costa</t>
        </is>
      </c>
      <c r="C2723" t="inlineStr">
        <is>
          <t>Estágio</t>
        </is>
      </c>
      <c r="D2723" t="n">
        <v>55</v>
      </c>
      <c r="E2723" t="n">
        <v>45</v>
      </c>
      <c r="F2723" t="n">
        <v>5.55</v>
      </c>
      <c r="G2723" t="n">
        <v>0</v>
      </c>
      <c r="H2723" t="n">
        <v>0</v>
      </c>
      <c r="I2723" s="3">
        <f>E2723+G2723+H2723</f>
        <v/>
      </c>
      <c r="J2723" s="3">
        <f>ROUND(MIN(IF(C2723="Técnico III",35,IF(C2723="Técnico II",28,IF(C2723="Técnico I",23,IF(C2723="JR",20,IF(C2723="Estágio",10,0))))),IF(C2723="Técnico III",SUMIFS($D:$D,$A:$A,$A2723,$B:$B,"&lt;&gt;Patrícia Karla de Sousa Araújo",$B:$B,"&lt;&gt;Lorena Dias de Araujo",$B:$B,"&lt;&gt;Lucas Luiz Romero")*(35/1083),IF(C2723="Técnico II",SUMIFS($D:$D,$A:$A,$A2723,$B:$B,"&lt;&gt;Patrícia Karla de Sousa Araújo",$B:$B,"&lt;&gt;Lorena Dias de Araujo",$B:$B,"&lt;&gt;Lucas Luiz Romero")*(28/1083),IF(C2723="Técnico I",SUMIFS($D:$D,$A:$A,$A2723,$B:$B,"&lt;&gt;Patrícia Karla de Sousa Araújo",$B:$B,"&lt;&gt;Lorena Dias de Araujo",$B:$B,"&lt;&gt;Lucas Luiz Romero")*(23/1083),IF(C2723="JR",SUMIFS($D:$D,$A:$A,$A2723,$B:$B,"&lt;&gt;Patrícia Karla de Sousa Araújo",$B:$B,"&lt;&gt;Lorena Dias de Araujo",$B:$B,"&lt;&gt;Lucas Luiz Romero")*(20/1083),IF(C2723="Estágio",SUMIFS($D:$D,$A:$A,$A2723,$B:$B,"&lt;&gt;Patrícia Karla de Sousa Araújo",$B:$B,"&lt;&gt;Lorena Dias de Araujo",$B:$B,"&lt;&gt;Lucas Luiz Romero")*(10/1083),0)))))),0)</f>
        <v/>
      </c>
      <c r="K2723" s="3">
        <f>I2723-J2723</f>
        <v/>
      </c>
      <c r="L2723" s="3">
        <f>IF(K2723&lt;-5,"CRÍTICO",IF(K2723&lt;0,"ATENÇÃO",IF(K2723&lt;=5,"BOM","EXCELENTE")))</f>
        <v/>
      </c>
      <c r="M2723" t="n">
        <v>3</v>
      </c>
      <c r="N2723" t="n">
        <v>90.48</v>
      </c>
      <c r="O2723" t="n">
        <v>20.68965517241379</v>
      </c>
    </row>
    <row r="2724" hidden="1">
      <c r="A2724" s="11" t="n">
        <v>46086</v>
      </c>
      <c r="B2724" t="inlineStr">
        <is>
          <t>Emilly Kamilly Medeiros Miranda</t>
        </is>
      </c>
      <c r="C2724" t="inlineStr">
        <is>
          <t>Técnico II</t>
        </is>
      </c>
      <c r="D2724" t="n">
        <v>33</v>
      </c>
      <c r="E2724" t="n">
        <v>31</v>
      </c>
      <c r="F2724" t="n">
        <v>20.32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M2724" t="n">
        <v>29</v>
      </c>
      <c r="N2724" t="n">
        <v>98.06</v>
      </c>
      <c r="O2724" t="n">
        <v>24.78991596638656</v>
      </c>
    </row>
    <row r="2725" hidden="1">
      <c r="A2725" s="11" t="n">
        <v>46086</v>
      </c>
      <c r="B2725" t="inlineStr">
        <is>
          <t>Francielson de Oliveira</t>
        </is>
      </c>
      <c r="C2725" t="inlineStr">
        <is>
          <t>Técnico III</t>
        </is>
      </c>
      <c r="D2725" t="n">
        <v>36</v>
      </c>
      <c r="E2725" t="n">
        <v>36</v>
      </c>
      <c r="F2725" t="n">
        <v>17.34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M2725" t="n">
        <v>39</v>
      </c>
      <c r="N2725" t="n">
        <v>97.78</v>
      </c>
      <c r="O2725" t="n">
        <v>25.49407114624506</v>
      </c>
    </row>
    <row r="2726" hidden="1">
      <c r="A2726" s="11" t="n">
        <v>46086</v>
      </c>
      <c r="B2726" t="inlineStr">
        <is>
          <t>Francilene Ferreira de Jesus</t>
        </is>
      </c>
      <c r="C2726" t="inlineStr">
        <is>
          <t>Técnico II</t>
        </is>
      </c>
      <c r="D2726" t="n">
        <v>18</v>
      </c>
      <c r="E2726" t="n">
        <v>17</v>
      </c>
      <c r="F2726" t="n">
        <v>35.2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M2726" t="n">
        <v>17</v>
      </c>
      <c r="N2726" t="n">
        <v>98.02</v>
      </c>
      <c r="O2726" t="n">
        <v>23.48484848484848</v>
      </c>
    </row>
    <row r="2727" hidden="1">
      <c r="A2727" s="11" t="n">
        <v>46120</v>
      </c>
      <c r="B2727" t="inlineStr">
        <is>
          <t>Gabriel Gomes de Andrade</t>
        </is>
      </c>
      <c r="C2727" t="inlineStr">
        <is>
          <t>Técnico I</t>
        </is>
      </c>
      <c r="D2727" t="n">
        <v>30</v>
      </c>
      <c r="E2727" t="n">
        <v>28</v>
      </c>
      <c r="F2727" t="n">
        <v>15.58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IF(K2727&lt;-5,"CRÍTICO",IF(K2727&lt;0,"ATENÇÃO",IF(K2727&lt;=5,"OPORTUNO","MUITO BOM")))</f>
        <v/>
      </c>
      <c r="M2727" t="n">
        <v>26</v>
      </c>
      <c r="N2727" t="n">
        <v>99.28</v>
      </c>
      <c r="O2727" t="n">
        <v>27.68924302788844</v>
      </c>
    </row>
    <row r="2728" hidden="1">
      <c r="A2728" s="11" t="n">
        <v>46086</v>
      </c>
      <c r="B2728" t="inlineStr">
        <is>
          <t>Isabella Borges de Oliveira</t>
        </is>
      </c>
      <c r="C2728" t="inlineStr">
        <is>
          <t>Técnico II</t>
        </is>
      </c>
      <c r="D2728" t="n">
        <v>29</v>
      </c>
      <c r="E2728" t="n">
        <v>28</v>
      </c>
      <c r="F2728" t="n">
        <v>23.28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IF(K2728&lt;-5,"CRÍTICO",IF(K2728&lt;0,"ATENÇÃO",IF(K2728&lt;=5,"BOM","EXCELENTE")))</f>
        <v/>
      </c>
      <c r="M2728" t="n">
        <v>19</v>
      </c>
      <c r="N2728" t="n">
        <v>100</v>
      </c>
      <c r="O2728" t="n">
        <v>27.04918032786885</v>
      </c>
    </row>
    <row r="2729" hidden="1">
      <c r="A2729" s="11" t="n">
        <v>46086</v>
      </c>
      <c r="B2729" t="inlineStr">
        <is>
          <t>Janaina Lima dos Reis Urany</t>
        </is>
      </c>
      <c r="C2729" t="inlineStr">
        <is>
          <t>Técnico III</t>
        </is>
      </c>
      <c r="D2729" t="n">
        <v>51</v>
      </c>
      <c r="E2729" t="n">
        <v>47</v>
      </c>
      <c r="F2729" t="n">
        <v>12.19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M2729" t="n">
        <v>53</v>
      </c>
      <c r="N2729" t="n">
        <v>97.83</v>
      </c>
      <c r="O2729" t="n">
        <v>26.31578947368421</v>
      </c>
    </row>
    <row r="2730" hidden="1">
      <c r="A2730" s="11" t="n">
        <v>46086</v>
      </c>
      <c r="B2730" t="inlineStr">
        <is>
          <t>Jaqueline Evangelista da Silva Martins</t>
        </is>
      </c>
      <c r="C2730" t="inlineStr">
        <is>
          <t>Técnico III</t>
        </is>
      </c>
      <c r="D2730" t="n">
        <v>0</v>
      </c>
      <c r="E2730" t="n">
        <v>0</v>
      </c>
      <c r="F2730" t="n">
        <v>0</v>
      </c>
      <c r="G2730" t="n">
        <v>0</v>
      </c>
      <c r="H2730" t="n">
        <v>0</v>
      </c>
      <c r="I2730" s="3" t="n">
        <v>0</v>
      </c>
      <c r="J2730" s="3" t="n">
        <v>0</v>
      </c>
      <c r="K2730" s="3" t="n">
        <v>0</v>
      </c>
      <c r="L2730" s="3">
        <f>IF(K2730&lt;-5,"CRÍTICO",IF(K2730&lt;0,"ATENÇÃO",IF(K2730&lt;=5,"BOM","EXCELENTE")))</f>
        <v/>
      </c>
      <c r="M2730" t="n">
        <v>1</v>
      </c>
      <c r="N2730" t="n">
        <v>100</v>
      </c>
      <c r="O2730" t="n">
        <v>26.70157068062827</v>
      </c>
    </row>
    <row r="2731" hidden="1">
      <c r="A2731" s="11" t="n">
        <v>46086</v>
      </c>
      <c r="B2731" t="inlineStr">
        <is>
          <t>Jessica Faria da Silveira</t>
        </is>
      </c>
      <c r="C2731" t="inlineStr">
        <is>
          <t>Técnico II</t>
        </is>
      </c>
      <c r="D2731" t="n">
        <v>38</v>
      </c>
      <c r="E2731" t="n">
        <v>29</v>
      </c>
      <c r="F2731" t="n">
        <v>17.32</v>
      </c>
      <c r="G2731" t="n">
        <v>0</v>
      </c>
      <c r="H2731" t="n">
        <v>0</v>
      </c>
      <c r="I2731" s="3">
        <f>E2731+G2731+H2731</f>
        <v/>
      </c>
      <c r="J2731" s="3">
        <f>ROUND(MIN(IF(C2731="Técnico III",35,IF(C2731="Técnico II",28,IF(C2731="Técnico I",23,IF(C2731="JR",20,IF(C2731="Estágio",10,0))))),IF(C2731="Técnico III",SUMIFS($D:$D,$A:$A,$A2731,$B:$B,"&lt;&gt;Patrícia Karla de Sousa Araújo",$B:$B,"&lt;&gt;Lorena Dias de Araujo",$B:$B,"&lt;&gt;Lucas Luiz Romero")*(35/1083),IF(C2731="Técnico II",SUMIFS($D:$D,$A:$A,$A2731,$B:$B,"&lt;&gt;Patrícia Karla de Sousa Araújo",$B:$B,"&lt;&gt;Lorena Dias de Araujo",$B:$B,"&lt;&gt;Lucas Luiz Romero")*(28/1083),IF(C2731="Técnico I",SUMIFS($D:$D,$A:$A,$A2731,$B:$B,"&lt;&gt;Patrícia Karla de Sousa Araújo",$B:$B,"&lt;&gt;Lorena Dias de Araujo",$B:$B,"&lt;&gt;Lucas Luiz Romero")*(23/1083),IF(C2731="JR",SUMIFS($D:$D,$A:$A,$A2731,$B:$B,"&lt;&gt;Patrícia Karla de Sousa Araújo",$B:$B,"&lt;&gt;Lorena Dias de Araujo",$B:$B,"&lt;&gt;Lucas Luiz Romero")*(20/1083),IF(C2731="Estágio",SUMIFS($D:$D,$A:$A,$A2731,$B:$B,"&lt;&gt;Patrícia Karla de Sousa Araújo",$B:$B,"&lt;&gt;Lorena Dias de Araujo",$B:$B,"&lt;&gt;Lucas Luiz Romero")*(10/1083),0)))))),0)</f>
        <v/>
      </c>
      <c r="K2731" s="3">
        <f>I2731-J2731</f>
        <v/>
      </c>
      <c r="L2731" s="3">
        <f>IF(K2731&lt;-5,"CRÍTICO",IF(K2731&lt;0,"ATENÇÃO",IF(K2731&lt;=5,"BOM","EXCELENTE")))</f>
        <v/>
      </c>
      <c r="M2731" t="n">
        <v>29</v>
      </c>
      <c r="N2731" t="n">
        <v>97.47</v>
      </c>
      <c r="O2731" t="n">
        <v>22.88732394366197</v>
      </c>
    </row>
    <row r="2732" hidden="1">
      <c r="A2732" s="11" t="n">
        <v>46086</v>
      </c>
      <c r="B2732" t="inlineStr">
        <is>
          <t>Jéssica Fé Moura</t>
        </is>
      </c>
      <c r="C2732" t="inlineStr">
        <is>
          <t>Técnico III</t>
        </is>
      </c>
      <c r="D2732" t="n">
        <v>0</v>
      </c>
      <c r="E2732" t="n">
        <v>0</v>
      </c>
      <c r="F2732" t="n">
        <v>0</v>
      </c>
      <c r="G2732" t="n">
        <v>0</v>
      </c>
      <c r="H2732" t="n">
        <v>0</v>
      </c>
      <c r="I2732" s="3" t="n">
        <v>0</v>
      </c>
      <c r="J2732" s="3" t="n">
        <v>0</v>
      </c>
      <c r="K2732" s="3" t="n">
        <v>0</v>
      </c>
      <c r="L2732" s="3">
        <f>IF(K2732&lt;-5,"CRÍTICO",IF(K2732&lt;0,"ATENÇÃO",IF(K2732&lt;=5,"BOM","EXCELENTE")))</f>
        <v/>
      </c>
      <c r="M2732" t="n">
        <v>0</v>
      </c>
      <c r="N2732" t="n">
        <v>0</v>
      </c>
      <c r="O2732" t="n">
        <v>0</v>
      </c>
    </row>
    <row r="2733" hidden="1">
      <c r="A2733" s="11" t="n">
        <v>46086</v>
      </c>
      <c r="B2733" t="inlineStr">
        <is>
          <t>Karina Gonçalves Martins</t>
        </is>
      </c>
      <c r="C2733" t="inlineStr">
        <is>
          <t>JR</t>
        </is>
      </c>
      <c r="D2733" t="n">
        <v>21</v>
      </c>
      <c r="E2733" t="n">
        <v>17</v>
      </c>
      <c r="F2733" t="n">
        <v>23.55</v>
      </c>
      <c r="G2733" t="n">
        <v>0</v>
      </c>
      <c r="H2733" t="n">
        <v>0</v>
      </c>
      <c r="I2733" s="3">
        <f>E2733+G2733+H2733</f>
        <v/>
      </c>
      <c r="J2733" s="3">
        <f>ROUND(MIN(IF(C2733="Técnico III",35,IF(C2733="Técnico II",28,IF(C2733="Técnico I",23,IF(C2733="JR",20,IF(C2733="Estágio",10,0))))),IF(C2733="Técnico III",SUMIFS($D:$D,$A:$A,$A2733,$B:$B,"&lt;&gt;Patrícia Karla de Sousa Araújo",$B:$B,"&lt;&gt;Lorena Dias de Araujo",$B:$B,"&lt;&gt;Lucas Luiz Romero")*(35/1083),IF(C2733="Técnico II",SUMIFS($D:$D,$A:$A,$A2733,$B:$B,"&lt;&gt;Patrícia Karla de Sousa Araújo",$B:$B,"&lt;&gt;Lorena Dias de Araujo",$B:$B,"&lt;&gt;Lucas Luiz Romero")*(28/1083),IF(C2733="Técnico I",SUMIFS($D:$D,$A:$A,$A2733,$B:$B,"&lt;&gt;Patrícia Karla de Sousa Araújo",$B:$B,"&lt;&gt;Lorena Dias de Araujo",$B:$B,"&lt;&gt;Lucas Luiz Romero")*(23/1083),IF(C2733="JR",SUMIFS($D:$D,$A:$A,$A2733,$B:$B,"&lt;&gt;Patrícia Karla de Sousa Araújo",$B:$B,"&lt;&gt;Lorena Dias de Araujo",$B:$B,"&lt;&gt;Lucas Luiz Romero")*(20/1083),IF(C2733="Estágio",SUMIFS($D:$D,$A:$A,$A2733,$B:$B,"&lt;&gt;Patrícia Karla de Sousa Araújo",$B:$B,"&lt;&gt;Lorena Dias de Araujo",$B:$B,"&lt;&gt;Lucas Luiz Romero")*(10/1083),0)))))),0)</f>
        <v/>
      </c>
      <c r="K2733" s="3">
        <f>I2733-J2733</f>
        <v/>
      </c>
      <c r="L2733" s="3">
        <f>IF(K2733&lt;-5,"CRÍTICO",IF(K2733&lt;0,"ATENÇÃO",IF(K2733&lt;=5,"BOM","EXCELENTE")))</f>
        <v/>
      </c>
      <c r="M2733" t="n">
        <v>15</v>
      </c>
      <c r="N2733" t="n">
        <v>98.31</v>
      </c>
      <c r="O2733" t="n">
        <v>24.92012779552715</v>
      </c>
    </row>
    <row r="2734" hidden="1">
      <c r="A2734" s="11" t="n">
        <v>46086</v>
      </c>
      <c r="B2734" t="inlineStr">
        <is>
          <t>Kerollen Cristielly de Jesus Siqueira</t>
        </is>
      </c>
      <c r="C2734" t="inlineStr">
        <is>
          <t>Técnico III</t>
        </is>
      </c>
      <c r="D2734" t="n">
        <v>0</v>
      </c>
      <c r="E2734" t="n">
        <v>0</v>
      </c>
      <c r="F2734" t="n">
        <v>0</v>
      </c>
      <c r="G2734" t="n">
        <v>0</v>
      </c>
      <c r="H2734" t="n">
        <v>0</v>
      </c>
      <c r="I2734" s="3" t="n">
        <v>0</v>
      </c>
      <c r="J2734" s="3" t="n">
        <v>0</v>
      </c>
      <c r="K2734" s="3" t="n">
        <v>0</v>
      </c>
      <c r="L2734" s="3">
        <f>IF(K2734&lt;-5,"CRÍTICO",IF(K2734&lt;0,"ATENÇÃO",IF(K2734&lt;=5,"BOM","EXCELENTE")))</f>
        <v/>
      </c>
      <c r="M2734" t="n">
        <v>16</v>
      </c>
      <c r="N2734" t="n">
        <v>96.81</v>
      </c>
      <c r="O2734" t="n">
        <v>32.36514522821577</v>
      </c>
    </row>
    <row r="2735" hidden="1">
      <c r="A2735" s="11" t="n">
        <v>46086</v>
      </c>
      <c r="B2735" t="inlineStr">
        <is>
          <t>Leandro de Souza Silva</t>
        </is>
      </c>
      <c r="C2735" t="inlineStr">
        <is>
          <t>JR</t>
        </is>
      </c>
      <c r="D2735" t="n">
        <v>6</v>
      </c>
      <c r="E2735" t="n">
        <v>6</v>
      </c>
      <c r="F2735" t="n">
        <v>32.12</v>
      </c>
      <c r="G2735" t="n">
        <v>0</v>
      </c>
      <c r="H2735" t="n">
        <v>0</v>
      </c>
      <c r="I2735" s="3">
        <f>E2735+G2735+H2735</f>
        <v/>
      </c>
      <c r="J2735" s="3">
        <f>ROUND(MIN(IF(C2735="Técnico III",35,IF(C2735="Técnico II",28,IF(C2735="Técnico I",23,IF(C2735="JR",20,IF(C2735="Estágio",10,0))))),IF(C2735="Técnico III",SUMIFS($D:$D,$A:$A,$A2735,$B:$B,"&lt;&gt;Patrícia Karla de Sousa Araújo",$B:$B,"&lt;&gt;Lorena Dias de Araujo",$B:$B,"&lt;&gt;Lucas Luiz Romero")*(35/1083),IF(C2735="Técnico II",SUMIFS($D:$D,$A:$A,$A2735,$B:$B,"&lt;&gt;Patrícia Karla de Sousa Araújo",$B:$B,"&lt;&gt;Lorena Dias de Araujo",$B:$B,"&lt;&gt;Lucas Luiz Romero")*(28/1083),IF(C2735="Técnico I",SUMIFS($D:$D,$A:$A,$A2735,$B:$B,"&lt;&gt;Patrícia Karla de Sousa Araújo",$B:$B,"&lt;&gt;Lorena Dias de Araujo",$B:$B,"&lt;&gt;Lucas Luiz Romero")*(23/1083),IF(C2735="JR",SUMIFS($D:$D,$A:$A,$A2735,$B:$B,"&lt;&gt;Patrícia Karla de Sousa Araújo",$B:$B,"&lt;&gt;Lorena Dias de Araujo",$B:$B,"&lt;&gt;Lucas Luiz Romero")*(20/1083),IF(C2735="Estágio",SUMIFS($D:$D,$A:$A,$A2735,$B:$B,"&lt;&gt;Patrícia Karla de Sousa Araújo",$B:$B,"&lt;&gt;Lorena Dias de Araujo",$B:$B,"&lt;&gt;Lucas Luiz Romero")*(10/1083),0)))))),0)</f>
        <v/>
      </c>
      <c r="K2735" s="3">
        <f>I2735-J2735</f>
        <v/>
      </c>
      <c r="L2735" s="3">
        <f>IF(K2735&lt;-5,"CRÍTICO",IF(K2735&lt;0,"ATENÇÃO",IF(K2735&lt;=5,"BOM","EXCELENTE")))</f>
        <v/>
      </c>
      <c r="M2735" t="n">
        <v>6</v>
      </c>
      <c r="N2735" t="n">
        <v>100</v>
      </c>
      <c r="O2735" t="n">
        <v>26.47058823529412</v>
      </c>
    </row>
    <row r="2736" hidden="1">
      <c r="A2736" s="11" t="n">
        <v>46086</v>
      </c>
      <c r="B2736" t="inlineStr">
        <is>
          <t>Leandro Oliveira de Sousa</t>
        </is>
      </c>
      <c r="C2736" t="inlineStr">
        <is>
          <t>Técnico III</t>
        </is>
      </c>
      <c r="D2736" t="n">
        <v>0</v>
      </c>
      <c r="E2736" t="n">
        <v>0</v>
      </c>
      <c r="F2736" t="n">
        <v>0</v>
      </c>
      <c r="G2736" t="n">
        <v>0</v>
      </c>
      <c r="H2736" t="n">
        <v>0</v>
      </c>
      <c r="I2736" s="3" t="n">
        <v>0</v>
      </c>
      <c r="J2736" s="3" t="n">
        <v>0</v>
      </c>
      <c r="K2736" s="3" t="n">
        <v>0</v>
      </c>
      <c r="L2736" s="3">
        <f>IF(K2736&lt;-5,"CRÍTICO",IF(K2736&lt;0,"ATENÇÃO",IF(K2736&lt;=5,"BOM","EXCELENTE")))</f>
        <v/>
      </c>
      <c r="M2736" t="n">
        <v>9</v>
      </c>
      <c r="N2736" t="n">
        <v>100</v>
      </c>
      <c r="O2736" t="n">
        <v>28.49002849002849</v>
      </c>
    </row>
    <row r="2737" hidden="1">
      <c r="A2737" s="11" t="n">
        <v>46086</v>
      </c>
      <c r="B2737" t="inlineStr">
        <is>
          <t>Lizandra Gomes Duarte</t>
        </is>
      </c>
      <c r="C2737" t="inlineStr">
        <is>
          <t>Técnico II</t>
        </is>
      </c>
      <c r="D2737" t="n">
        <v>30</v>
      </c>
      <c r="E2737" t="n">
        <v>26</v>
      </c>
      <c r="F2737" t="n">
        <v>18.53</v>
      </c>
      <c r="G2737" t="n">
        <v>0</v>
      </c>
      <c r="H2737" t="n">
        <v>0</v>
      </c>
      <c r="I2737" s="3">
        <f>E2737+G2737+H2737</f>
        <v/>
      </c>
      <c r="J2737" s="3">
        <f>ROUND(MIN(IF(C2737="Técnico III",35,IF(C2737="Técnico II",28,IF(C2737="Técnico I",23,IF(C2737="JR",20,IF(C2737="Estágio",10,0))))),IF(C2737="Técnico III",SUMIFS($D:$D,$A:$A,$A2737,$B:$B,"&lt;&gt;Patrícia Karla de Sousa Araújo",$B:$B,"&lt;&gt;Lorena Dias de Araujo",$B:$B,"&lt;&gt;Lucas Luiz Romero")*(35/1083),IF(C2737="Técnico II",SUMIFS($D:$D,$A:$A,$A2737,$B:$B,"&lt;&gt;Patrícia Karla de Sousa Araújo",$B:$B,"&lt;&gt;Lorena Dias de Araujo",$B:$B,"&lt;&gt;Lucas Luiz Romero")*(28/1083),IF(C2737="Técnico I",SUMIFS($D:$D,$A:$A,$A2737,$B:$B,"&lt;&gt;Patrícia Karla de Sousa Araújo",$B:$B,"&lt;&gt;Lorena Dias de Araujo",$B:$B,"&lt;&gt;Lucas Luiz Romero")*(23/1083),IF(C2737="JR",SUMIFS($D:$D,$A:$A,$A2737,$B:$B,"&lt;&gt;Patrícia Karla de Sousa Araújo",$B:$B,"&lt;&gt;Lorena Dias de Araujo",$B:$B,"&lt;&gt;Lucas Luiz Romero")*(20/1083),IF(C2737="Estágio",SUMIFS($D:$D,$A:$A,$A2737,$B:$B,"&lt;&gt;Patrícia Karla de Sousa Araújo",$B:$B,"&lt;&gt;Lorena Dias de Araujo",$B:$B,"&lt;&gt;Lucas Luiz Romero")*(10/1083),0)))))),0)</f>
        <v/>
      </c>
      <c r="K2737" s="3">
        <f>I2737-J2737</f>
        <v/>
      </c>
      <c r="L2737" s="3">
        <f>IF(K2737&lt;-5,"CRÍTICO",IF(K2737&lt;0,"ATENÇÃO",IF(K2737&lt;=5,"BOM","EXCELENTE")))</f>
        <v/>
      </c>
      <c r="M2737" t="n">
        <v>12</v>
      </c>
      <c r="N2737" t="n">
        <v>99.14</v>
      </c>
      <c r="O2737" t="n">
        <v>27.2289156626506</v>
      </c>
    </row>
    <row r="2738" hidden="1">
      <c r="A2738" s="11" t="n">
        <v>46086</v>
      </c>
      <c r="B2738" t="inlineStr">
        <is>
          <t>Lorena Dias de Araujo</t>
        </is>
      </c>
      <c r="C2738" t="inlineStr">
        <is>
          <t>Técnico II</t>
        </is>
      </c>
      <c r="D2738" t="n">
        <v>30</v>
      </c>
      <c r="E2738" t="n">
        <v>29</v>
      </c>
      <c r="F2738" t="n">
        <v>25.26</v>
      </c>
      <c r="G2738" t="n">
        <v>0</v>
      </c>
      <c r="H2738" t="n">
        <v>0</v>
      </c>
      <c r="I2738" s="3" t="n">
        <v>0</v>
      </c>
      <c r="J2738" s="3" t="n">
        <v>0</v>
      </c>
      <c r="K2738" s="3" t="n">
        <v>0</v>
      </c>
      <c r="L2738" s="3">
        <f>IF(K2738&lt;-5,"CRÍTICO",IF(K2738&lt;0,"ATENÇÃO",IF(K2738&lt;=5,"BOM","EXCELENTE")))</f>
        <v/>
      </c>
      <c r="M2738" t="n">
        <v>26</v>
      </c>
      <c r="N2738" t="n">
        <v>97.52</v>
      </c>
      <c r="O2738" t="n">
        <v>28.2051282051282</v>
      </c>
    </row>
    <row r="2739" hidden="1">
      <c r="A2739" s="11" t="n">
        <v>46086</v>
      </c>
      <c r="B2739" t="inlineStr">
        <is>
          <t>Lucas Luiz Romero</t>
        </is>
      </c>
      <c r="C2739" t="inlineStr">
        <is>
          <t>Técnico III</t>
        </is>
      </c>
      <c r="D2739" t="n">
        <v>39</v>
      </c>
      <c r="E2739" t="n">
        <v>29</v>
      </c>
      <c r="F2739" t="n">
        <v>16.45</v>
      </c>
      <c r="G2739" t="n">
        <v>0</v>
      </c>
      <c r="H2739" t="n">
        <v>0</v>
      </c>
      <c r="I2739" s="3">
        <f>E2739+G2739+H2739</f>
        <v/>
      </c>
      <c r="J2739" s="3">
        <f>ROUND(MIN(IF(C2739="Técnico III",35,IF(C2739="Técnico II",28,IF(C2739="Técnico I",23,IF(C2739="JR",20,IF(C2739="Estágio",10,0))))),IF(C2739="Técnico III",SUMIFS($D:$D,$A:$A,$A2739,$B:$B,"&lt;&gt;Patrícia Karla de Sousa Araújo",$B:$B,"&lt;&gt;Lorena Dias de Araujo",$B:$B,"&lt;&gt;Lucas Luiz Romero")*(35/1083),IF(C2739="Técnico II",SUMIFS($D:$D,$A:$A,$A2739,$B:$B,"&lt;&gt;Patrícia Karla de Sousa Araújo",$B:$B,"&lt;&gt;Lorena Dias de Araujo",$B:$B,"&lt;&gt;Lucas Luiz Romero")*(28/1083),IF(C2739="Técnico I",SUMIFS($D:$D,$A:$A,$A2739,$B:$B,"&lt;&gt;Patrícia Karla de Sousa Araújo",$B:$B,"&lt;&gt;Lorena Dias de Araujo",$B:$B,"&lt;&gt;Lucas Luiz Romero")*(23/1083),IF(C2739="JR",SUMIFS($D:$D,$A:$A,$A2739,$B:$B,"&lt;&gt;Patrícia Karla de Sousa Araújo",$B:$B,"&lt;&gt;Lorena Dias de Araujo",$B:$B,"&lt;&gt;Lucas Luiz Romero")*(20/1083),IF(C2739="Estágio",SUMIFS($D:$D,$A:$A,$A2739,$B:$B,"&lt;&gt;Patrícia Karla de Sousa Araújo",$B:$B,"&lt;&gt;Lorena Dias de Araujo",$B:$B,"&lt;&gt;Lucas Luiz Romero")*(10/1083),0)))))),0)</f>
        <v/>
      </c>
      <c r="K2739" s="3">
        <f>I2739-J2739</f>
        <v/>
      </c>
      <c r="L2739" s="3">
        <f>IF(K2739&lt;-5,"CRÍTICO",IF(K2739&lt;0,"ATENÇÃO",IF(K2739&lt;=5,"BOM","EXCELENTE")))</f>
        <v/>
      </c>
      <c r="M2739" t="n">
        <v>18</v>
      </c>
      <c r="N2739" t="n">
        <v>90</v>
      </c>
      <c r="O2739" t="n">
        <v>24.18604651162791</v>
      </c>
    </row>
    <row r="2740" hidden="1">
      <c r="A2740" s="11" t="n">
        <v>46086</v>
      </c>
      <c r="B2740" t="inlineStr">
        <is>
          <t>Luiz Fernando de Carvalho Junior</t>
        </is>
      </c>
      <c r="C2740" t="inlineStr">
        <is>
          <t>Técnico I</t>
        </is>
      </c>
      <c r="D2740" t="n">
        <v>28</v>
      </c>
      <c r="E2740" t="n">
        <v>25</v>
      </c>
      <c r="F2740" t="n">
        <v>19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M2740" t="n">
        <v>22</v>
      </c>
      <c r="N2740" t="n">
        <v>98.90000000000001</v>
      </c>
      <c r="O2740" t="n">
        <v>26.7639902676399</v>
      </c>
    </row>
    <row r="2741" hidden="1">
      <c r="A2741" s="11" t="n">
        <v>46086</v>
      </c>
      <c r="B2741" t="inlineStr">
        <is>
          <t>Maria Eduarda Sousa Costa</t>
        </is>
      </c>
      <c r="C2741" t="inlineStr">
        <is>
          <t>Estágio</t>
        </is>
      </c>
      <c r="D2741" t="n">
        <v>60</v>
      </c>
      <c r="E2741" t="n">
        <v>31</v>
      </c>
      <c r="F2741" t="n">
        <v>3.5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M2741" t="n">
        <v>1</v>
      </c>
      <c r="N2741" t="n">
        <v>88.89</v>
      </c>
      <c r="O2741" t="n">
        <v>25.26315789473684</v>
      </c>
    </row>
    <row r="2742" hidden="1">
      <c r="A2742" s="11" t="n">
        <v>46086</v>
      </c>
      <c r="B2742" t="inlineStr">
        <is>
          <t>Matheus Farias De Souza</t>
        </is>
      </c>
      <c r="C2742" t="inlineStr">
        <is>
          <t>Técnico III</t>
        </is>
      </c>
      <c r="D2742" t="n">
        <v>7</v>
      </c>
      <c r="E2742" t="n">
        <v>7</v>
      </c>
      <c r="F2742" t="n">
        <v>10.57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M2742" t="n">
        <v>52</v>
      </c>
      <c r="N2742" t="n">
        <v>98.86</v>
      </c>
      <c r="O2742" t="n">
        <v>28.95927601809955</v>
      </c>
    </row>
    <row r="2743" hidden="1">
      <c r="A2743" s="11" t="n">
        <v>46086</v>
      </c>
      <c r="B2743" t="inlineStr">
        <is>
          <t>Maysa Victoria Dias Moura</t>
        </is>
      </c>
      <c r="C2743" t="inlineStr">
        <is>
          <t>Técnico III</t>
        </is>
      </c>
      <c r="D2743" t="n">
        <v>31</v>
      </c>
      <c r="E2743" t="n">
        <v>29</v>
      </c>
      <c r="F2743" t="n">
        <v>21.55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M2743" t="n">
        <v>30</v>
      </c>
      <c r="N2743" t="n">
        <v>98.06</v>
      </c>
      <c r="O2743" t="n">
        <v>22.40566037735849</v>
      </c>
    </row>
    <row r="2744" hidden="1">
      <c r="A2744" s="11" t="n">
        <v>46086</v>
      </c>
      <c r="B2744" t="inlineStr">
        <is>
          <t>Michelle G Santos</t>
        </is>
      </c>
      <c r="C2744" t="inlineStr">
        <is>
          <t>Estágio</t>
        </is>
      </c>
      <c r="D2744" t="n">
        <v>15</v>
      </c>
      <c r="E2744" t="n">
        <v>14</v>
      </c>
      <c r="F2744" t="n">
        <v>33.55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M2744" t="n">
        <v>12</v>
      </c>
      <c r="N2744" t="n">
        <v>95.83</v>
      </c>
      <c r="O2744" t="n">
        <v>25.77319587628866</v>
      </c>
    </row>
    <row r="2745" hidden="1">
      <c r="A2745" s="11" t="n">
        <v>46086</v>
      </c>
      <c r="B2745" t="inlineStr">
        <is>
          <t>Milena Sales</t>
        </is>
      </c>
      <c r="C2745" t="inlineStr">
        <is>
          <t>JR</t>
        </is>
      </c>
      <c r="D2745" t="n">
        <v>0</v>
      </c>
      <c r="E2745" t="n">
        <v>0</v>
      </c>
      <c r="F2745" t="n">
        <v>0</v>
      </c>
      <c r="G2745" t="n">
        <v>0</v>
      </c>
      <c r="H2745" t="n">
        <v>0</v>
      </c>
      <c r="I2745" s="3" t="n">
        <v>0</v>
      </c>
      <c r="J2745" s="3" t="n">
        <v>0</v>
      </c>
      <c r="K2745" s="3" t="n">
        <v>0</v>
      </c>
      <c r="L2745" s="3">
        <f>IF(K2745&lt;-5,"CRÍTICO",IF(K2745&lt;0,"ATENÇÃO",IF(K2745&lt;=5,"BOM","EXCELENTE")))</f>
        <v/>
      </c>
      <c r="M2745" t="n">
        <v>0</v>
      </c>
      <c r="N2745" t="n">
        <v>100</v>
      </c>
      <c r="O2745" t="n">
        <v>15.38461538461539</v>
      </c>
    </row>
    <row r="2746" hidden="1">
      <c r="A2746" s="11" t="n">
        <v>46086</v>
      </c>
      <c r="B2746" t="inlineStr">
        <is>
          <t>Patrícia Karla de Sousa Araújo</t>
        </is>
      </c>
      <c r="C2746" t="inlineStr">
        <is>
          <t>Técnico II</t>
        </is>
      </c>
      <c r="D2746" t="n">
        <v>26</v>
      </c>
      <c r="E2746" t="n">
        <v>25</v>
      </c>
      <c r="F2746" t="n">
        <v>30.55</v>
      </c>
      <c r="G2746" t="n">
        <v>0</v>
      </c>
      <c r="H2746" t="n">
        <v>0</v>
      </c>
      <c r="I2746" s="3">
        <f>E2746+G2746+H2746</f>
        <v/>
      </c>
      <c r="J2746" s="3">
        <f>ROUND(MIN(IF(C2746="Técnico III",35,IF(C2746="Técnico II",28,IF(C2746="Técnico I",23,IF(C2746="JR",20,IF(C2746="Estágio",10,0))))),IF(C2746="Técnico III",SUMIFS($D:$D,$A:$A,$A2746,$B:$B,"&lt;&gt;Patrícia Karla de Sousa Araújo",$B:$B,"&lt;&gt;Lorena Dias de Araujo",$B:$B,"&lt;&gt;Lucas Luiz Romero")*(35/1083),IF(C2746="Técnico II",SUMIFS($D:$D,$A:$A,$A2746,$B:$B,"&lt;&gt;Patrícia Karla de Sousa Araújo",$B:$B,"&lt;&gt;Lorena Dias de Araujo",$B:$B,"&lt;&gt;Lucas Luiz Romero")*(28/1083),IF(C2746="Técnico I",SUMIFS($D:$D,$A:$A,$A2746,$B:$B,"&lt;&gt;Patrícia Karla de Sousa Araújo",$B:$B,"&lt;&gt;Lorena Dias de Araujo",$B:$B,"&lt;&gt;Lucas Luiz Romero")*(23/1083),IF(C2746="JR",SUMIFS($D:$D,$A:$A,$A2746,$B:$B,"&lt;&gt;Patrícia Karla de Sousa Araújo",$B:$B,"&lt;&gt;Lorena Dias de Araujo",$B:$B,"&lt;&gt;Lucas Luiz Romero")*(20/1083),IF(C2746="Estágio",SUMIFS($D:$D,$A:$A,$A2746,$B:$B,"&lt;&gt;Patrícia Karla de Sousa Araújo",$B:$B,"&lt;&gt;Lorena Dias de Araujo",$B:$B,"&lt;&gt;Lucas Luiz Romero")*(10/1083),0)))))),0)</f>
        <v/>
      </c>
      <c r="K2746" s="3">
        <f>I2746-J2746</f>
        <v/>
      </c>
      <c r="L2746" s="3">
        <f>IF(K2746&lt;-5,"CRÍTICO",IF(K2746&lt;0,"ATENÇÃO",IF(K2746&lt;=5,"OPORTUNO","MUITO BOM")))</f>
        <v/>
      </c>
      <c r="M2746" t="n">
        <v>23</v>
      </c>
      <c r="N2746" t="n">
        <v>100</v>
      </c>
      <c r="O2746" t="n">
        <v>27.51479289940828</v>
      </c>
    </row>
    <row r="2747" hidden="1">
      <c r="A2747" s="11" t="n">
        <v>46086</v>
      </c>
      <c r="B2747" t="inlineStr">
        <is>
          <t>Paulo Ricardo Santos</t>
        </is>
      </c>
      <c r="C2747" t="inlineStr">
        <is>
          <t>JR</t>
        </is>
      </c>
      <c r="D2747" t="n">
        <v>6</v>
      </c>
      <c r="E2747" t="n">
        <v>6</v>
      </c>
      <c r="F2747" t="n">
        <v>25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M2747" t="n">
        <v>6</v>
      </c>
      <c r="N2747" t="n">
        <v>100</v>
      </c>
      <c r="O2747" t="n">
        <v>24.87562189054727</v>
      </c>
    </row>
    <row r="2748" hidden="1">
      <c r="A2748" s="11" t="n">
        <v>46086</v>
      </c>
      <c r="B2748" t="inlineStr">
        <is>
          <t>Pedro Luiz Mota Sousa</t>
        </is>
      </c>
      <c r="C2748" t="inlineStr">
        <is>
          <t>JR</t>
        </is>
      </c>
      <c r="D2748" t="n">
        <v>5</v>
      </c>
      <c r="E2748" t="n">
        <v>5</v>
      </c>
      <c r="F2748" t="n">
        <v>41.48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M2748" t="n">
        <v>4</v>
      </c>
      <c r="N2748" t="n">
        <v>100</v>
      </c>
      <c r="O2748" t="n">
        <v>28.10810810810811</v>
      </c>
    </row>
    <row r="2749" hidden="1">
      <c r="A2749" s="11" t="n">
        <v>46086</v>
      </c>
      <c r="B2749" t="inlineStr">
        <is>
          <t>Quirino Diogo Leite Torres</t>
        </is>
      </c>
      <c r="C2749" t="inlineStr">
        <is>
          <t>Estágio</t>
        </is>
      </c>
      <c r="D2749" t="n">
        <v>0</v>
      </c>
      <c r="E2749" t="n">
        <v>0</v>
      </c>
      <c r="F2749" t="n">
        <v>0</v>
      </c>
      <c r="G2749" t="n">
        <v>0</v>
      </c>
      <c r="H2749" t="n">
        <v>0</v>
      </c>
      <c r="I2749" s="3" t="n">
        <v>0</v>
      </c>
      <c r="J2749" s="3" t="n">
        <v>0</v>
      </c>
      <c r="K2749" s="3" t="n">
        <v>0</v>
      </c>
      <c r="L2749" s="3">
        <f>IF(K2749&lt;-5,"CRÍTICO",IF(K2749&lt;0,"ATENÇÃO",IF(K2749&lt;=5,"OPORTUNO","MUITO BOM")))</f>
        <v/>
      </c>
      <c r="M2749" t="n">
        <v>0</v>
      </c>
      <c r="N2749" t="n">
        <v>100</v>
      </c>
      <c r="O2749" t="n">
        <v>35</v>
      </c>
    </row>
    <row r="2750" hidden="1">
      <c r="A2750" s="11" t="n">
        <v>46086</v>
      </c>
      <c r="B2750" t="inlineStr">
        <is>
          <t>Raane Batista Matos</t>
        </is>
      </c>
      <c r="C2750" t="inlineStr">
        <is>
          <t>Técnico I</t>
        </is>
      </c>
      <c r="D2750" t="n">
        <v>24</v>
      </c>
      <c r="E2750" t="n">
        <v>23</v>
      </c>
      <c r="F2750" t="n">
        <v>25.34</v>
      </c>
      <c r="G2750" t="n">
        <v>0</v>
      </c>
      <c r="H2750" t="n">
        <v>0</v>
      </c>
      <c r="I2750" s="3">
        <f>E2750+G2750+H2750</f>
        <v/>
      </c>
      <c r="J2750" s="3">
        <f>ROUND(MIN(IF(C2750="Técnico III",35,IF(C2750="Técnico II",28,IF(C2750="Técnico I",23,IF(C2750="JR",20,IF(C2750="Estágio",10,0))))),IF(C2750="Técnico III",SUMIFS($D:$D,$A:$A,$A2750,$B:$B,"&lt;&gt;Patrícia Karla de Sousa Araújo",$B:$B,"&lt;&gt;Lorena Dias de Araujo",$B:$B,"&lt;&gt;Lucas Luiz Romero")*(35/1083),IF(C2750="Técnico II",SUMIFS($D:$D,$A:$A,$A2750,$B:$B,"&lt;&gt;Patrícia Karla de Sousa Araújo",$B:$B,"&lt;&gt;Lorena Dias de Araujo",$B:$B,"&lt;&gt;Lucas Luiz Romero")*(28/1083),IF(C2750="Técnico I",SUMIFS($D:$D,$A:$A,$A2750,$B:$B,"&lt;&gt;Patrícia Karla de Sousa Araújo",$B:$B,"&lt;&gt;Lorena Dias de Araujo",$B:$B,"&lt;&gt;Lucas Luiz Romero")*(23/1083),IF(C2750="JR",SUMIFS($D:$D,$A:$A,$A2750,$B:$B,"&lt;&gt;Patrícia Karla de Sousa Araújo",$B:$B,"&lt;&gt;Lorena Dias de Araujo",$B:$B,"&lt;&gt;Lucas Luiz Romero")*(20/1083),IF(C2750="Estágio",SUMIFS($D:$D,$A:$A,$A2750,$B:$B,"&lt;&gt;Patrícia Karla de Sousa Araújo",$B:$B,"&lt;&gt;Lorena Dias de Araujo",$B:$B,"&lt;&gt;Lucas Luiz Romero")*(10/1083),0)))))),0)</f>
        <v/>
      </c>
      <c r="K2750" s="3">
        <f>I2750-J2750</f>
        <v/>
      </c>
      <c r="L2750" s="3">
        <f>IF(K2750&lt;-5,"CRÍTICO",IF(K2750&lt;0,"ATENÇÃO",IF(K2750&lt;=5,"OPORTUNO","MUITO BOM")))</f>
        <v/>
      </c>
      <c r="M2750" t="n">
        <v>20</v>
      </c>
      <c r="N2750" t="n">
        <v>95.34999999999999</v>
      </c>
      <c r="O2750" t="n">
        <v>28.61538461538461</v>
      </c>
    </row>
    <row r="2751" hidden="1">
      <c r="A2751" s="11" t="n">
        <v>46086</v>
      </c>
      <c r="B2751" t="inlineStr">
        <is>
          <t>Rafael Gomes de Morais</t>
        </is>
      </c>
      <c r="C2751" t="inlineStr">
        <is>
          <t>Técnico III</t>
        </is>
      </c>
      <c r="D2751" t="n">
        <v>38</v>
      </c>
      <c r="E2751" t="n">
        <v>36</v>
      </c>
      <c r="F2751" t="n">
        <v>13.55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M2751" t="n">
        <v>32</v>
      </c>
      <c r="N2751" t="n">
        <v>98.26000000000001</v>
      </c>
      <c r="O2751" t="n">
        <v>27.54491017964072</v>
      </c>
    </row>
    <row r="2752" hidden="1">
      <c r="A2752" s="11" t="n">
        <v>46086</v>
      </c>
      <c r="B2752" t="inlineStr">
        <is>
          <t>Sara Maria Monteiro Lopes</t>
        </is>
      </c>
      <c r="C2752" t="inlineStr">
        <is>
          <t>Técnico I</t>
        </is>
      </c>
      <c r="D2752" t="n">
        <v>22</v>
      </c>
      <c r="E2752" t="n">
        <v>21</v>
      </c>
      <c r="F2752" t="n">
        <v>29.05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M2752" t="n">
        <v>22</v>
      </c>
      <c r="N2752" t="n">
        <v>98.55</v>
      </c>
      <c r="O2752" t="n">
        <v>25.33783783783784</v>
      </c>
    </row>
    <row r="2753" hidden="1">
      <c r="A2753" s="11" t="n">
        <v>46086</v>
      </c>
      <c r="B2753" t="inlineStr">
        <is>
          <t>Sarah Steffanie de Lima Borges</t>
        </is>
      </c>
      <c r="C2753" t="inlineStr">
        <is>
          <t>Técnico III</t>
        </is>
      </c>
      <c r="D2753" t="n">
        <v>27</v>
      </c>
      <c r="E2753" t="n">
        <v>27</v>
      </c>
      <c r="F2753" t="n">
        <v>20.56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M2753" t="n">
        <v>27</v>
      </c>
      <c r="N2753" t="n">
        <v>98.39</v>
      </c>
      <c r="O2753" t="n">
        <v>25.56390977443609</v>
      </c>
    </row>
    <row r="2754" hidden="1">
      <c r="A2754" s="11" t="n">
        <v>46087</v>
      </c>
      <c r="B2754" t="inlineStr">
        <is>
          <t>Alisson de Freitas Silva</t>
        </is>
      </c>
      <c r="C2754" t="inlineStr">
        <is>
          <t>Técnico II</t>
        </is>
      </c>
      <c r="D2754" t="n">
        <v>41</v>
      </c>
      <c r="E2754" t="n">
        <v>33</v>
      </c>
      <c r="F2754" t="n">
        <v>13.43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M2754" t="n">
        <v>16</v>
      </c>
      <c r="N2754" t="n">
        <v>94.29000000000001</v>
      </c>
      <c r="O2754" t="n">
        <v>25.64766839378239</v>
      </c>
    </row>
    <row r="2755" hidden="1">
      <c r="A2755" s="11" t="n">
        <v>46087</v>
      </c>
      <c r="B2755" t="inlineStr">
        <is>
          <t>Amanda Moura Ferreira</t>
        </is>
      </c>
      <c r="C2755" t="inlineStr">
        <is>
          <t>Técnico III</t>
        </is>
      </c>
      <c r="D2755" t="n">
        <v>0</v>
      </c>
      <c r="E2755" t="n">
        <v>0</v>
      </c>
      <c r="F2755" t="n">
        <v>0</v>
      </c>
      <c r="G2755" t="n">
        <v>0</v>
      </c>
      <c r="H2755" t="n">
        <v>0</v>
      </c>
      <c r="I2755" s="3" t="n">
        <v>0</v>
      </c>
      <c r="J2755" s="3" t="n">
        <v>0</v>
      </c>
      <c r="K2755" s="3" t="n">
        <v>0</v>
      </c>
      <c r="L2755" s="3">
        <f>IF(K2755&lt;-5,"CRÍTICO",IF(K2755&lt;0,"ATENÇÃO",IF(K2755&lt;=5,"OPORTUNO","MUITO BOM")))</f>
        <v/>
      </c>
      <c r="M2755" t="n">
        <v>27</v>
      </c>
      <c r="N2755" t="n">
        <v>98.26000000000001</v>
      </c>
      <c r="O2755" t="n">
        <v>26.66666666666667</v>
      </c>
    </row>
    <row r="2756" hidden="1">
      <c r="A2756" s="11" t="n">
        <v>46087</v>
      </c>
      <c r="B2756" t="inlineStr">
        <is>
          <t>Ana Karollyne Souza Faria</t>
        </is>
      </c>
      <c r="C2756" t="inlineStr">
        <is>
          <t>Técnico I</t>
        </is>
      </c>
      <c r="D2756" t="n">
        <v>23</v>
      </c>
      <c r="E2756" t="n">
        <v>21</v>
      </c>
      <c r="F2756" t="n">
        <v>25.12</v>
      </c>
      <c r="G2756" t="n">
        <v>0</v>
      </c>
      <c r="H2756" t="n">
        <v>0</v>
      </c>
      <c r="I2756" s="3">
        <f>E2756+G2756+H2756</f>
        <v/>
      </c>
      <c r="J2756" s="3">
        <f>ROUND(MIN(IF(C2756="Técnico III",35,IF(C2756="Técnico II",28,IF(C2756="Técnico I",23,IF(C2756="JR",20,IF(C2756="Estágio",10,0))))),IF(C2756="Técnico III",SUMIFS($D:$D,$A:$A,$A2756,$B:$B,"&lt;&gt;Patrícia Karla de Sousa Araújo",$B:$B,"&lt;&gt;Lorena Dias de Araujo",$B:$B,"&lt;&gt;Lucas Luiz Romero")*(35/1083),IF(C2756="Técnico II",SUMIFS($D:$D,$A:$A,$A2756,$B:$B,"&lt;&gt;Patrícia Karla de Sousa Araújo",$B:$B,"&lt;&gt;Lorena Dias de Araujo",$B:$B,"&lt;&gt;Lucas Luiz Romero")*(28/1083),IF(C2756="Técnico I",SUMIFS($D:$D,$A:$A,$A2756,$B:$B,"&lt;&gt;Patrícia Karla de Sousa Araújo",$B:$B,"&lt;&gt;Lorena Dias de Araujo",$B:$B,"&lt;&gt;Lucas Luiz Romero")*(23/1083),IF(C2756="JR",SUMIFS($D:$D,$A:$A,$A2756,$B:$B,"&lt;&gt;Patrícia Karla de Sousa Araújo",$B:$B,"&lt;&gt;Lorena Dias de Araujo",$B:$B,"&lt;&gt;Lucas Luiz Romero")*(20/1083),IF(C2756="Estágio",SUMIFS($D:$D,$A:$A,$A2756,$B:$B,"&lt;&gt;Patrícia Karla de Sousa Araújo",$B:$B,"&lt;&gt;Lorena Dias de Araujo",$B:$B,"&lt;&gt;Lucas Luiz Romero")*(10/1083),0)))))),0)</f>
        <v/>
      </c>
      <c r="K2756" s="3">
        <f>I2756-J2756</f>
        <v/>
      </c>
      <c r="L2756" s="3">
        <f>IF(K2756&lt;-5,"CRÍTICO",IF(K2756&lt;0,"ATENÇÃO",IF(K2756&lt;=5,"OPORTUNO","MUITO BOM")))</f>
        <v/>
      </c>
      <c r="M2756" t="n">
        <v>22</v>
      </c>
      <c r="N2756" t="n">
        <v>98.2</v>
      </c>
      <c r="O2756" t="n">
        <v>23.37962962962963</v>
      </c>
    </row>
    <row r="2757" hidden="1">
      <c r="A2757" s="11" t="n">
        <v>46087</v>
      </c>
      <c r="B2757" t="inlineStr">
        <is>
          <t>Ana Paula Da Luz Silva Aleixo</t>
        </is>
      </c>
      <c r="C2757" t="inlineStr">
        <is>
          <t>Técnico III</t>
        </is>
      </c>
      <c r="D2757" t="n">
        <v>27</v>
      </c>
      <c r="E2757" t="n">
        <v>25</v>
      </c>
      <c r="F2757" t="n">
        <v>20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M2757" t="n">
        <v>27</v>
      </c>
      <c r="N2757" t="n">
        <v>97.3</v>
      </c>
      <c r="O2757" t="n">
        <v>23.84769539078156</v>
      </c>
    </row>
    <row r="2758" hidden="1">
      <c r="A2758" s="11" t="n">
        <v>46087</v>
      </c>
      <c r="B2758" t="inlineStr">
        <is>
          <t>Anna Luiza Rezende Tavares</t>
        </is>
      </c>
      <c r="C2758" t="inlineStr">
        <is>
          <t>Estágio</t>
        </is>
      </c>
      <c r="D2758" t="n">
        <v>6</v>
      </c>
      <c r="E2758" t="n">
        <v>6</v>
      </c>
      <c r="F2758" t="n">
        <v>43.41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M2758" t="n">
        <v>5</v>
      </c>
      <c r="N2758" t="n">
        <v>100</v>
      </c>
      <c r="O2758" t="n">
        <v>25.26881720430108</v>
      </c>
    </row>
    <row r="2759" hidden="1">
      <c r="A2759" s="11" t="n">
        <v>46087</v>
      </c>
      <c r="B2759" t="inlineStr">
        <is>
          <t>Brenda de Menezes Silva</t>
        </is>
      </c>
      <c r="C2759" t="inlineStr">
        <is>
          <t>Técnico II</t>
        </is>
      </c>
      <c r="D2759" t="n">
        <v>45</v>
      </c>
      <c r="E2759" t="n">
        <v>43</v>
      </c>
      <c r="F2759" t="n">
        <v>13.55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M2759" t="n">
        <v>42</v>
      </c>
      <c r="N2759" t="n">
        <v>99.31999999999999</v>
      </c>
      <c r="O2759" t="n">
        <v>22.82282282282282</v>
      </c>
    </row>
    <row r="2760" hidden="1">
      <c r="A2760" s="11" t="n">
        <v>46087</v>
      </c>
      <c r="B2760" t="inlineStr">
        <is>
          <t>Carlos Mateus Cassimiro Nunes</t>
        </is>
      </c>
      <c r="C2760" t="inlineStr">
        <is>
          <t>Técnico II</t>
        </is>
      </c>
      <c r="D2760" t="n">
        <v>23</v>
      </c>
      <c r="E2760" t="n">
        <v>23</v>
      </c>
      <c r="F2760" t="n">
        <v>28.33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M2760" t="n">
        <v>24</v>
      </c>
      <c r="N2760" t="n">
        <v>100</v>
      </c>
      <c r="O2760" t="n">
        <v>27.96610169491525</v>
      </c>
    </row>
    <row r="2761" hidden="1">
      <c r="A2761" s="11" t="n">
        <v>46087</v>
      </c>
      <c r="B2761" t="inlineStr">
        <is>
          <t>Claudio de Sousa Velasco Filho</t>
        </is>
      </c>
      <c r="C2761" t="inlineStr">
        <is>
          <t>Estágio</t>
        </is>
      </c>
      <c r="D2761" t="n">
        <v>0</v>
      </c>
      <c r="E2761" t="n">
        <v>0</v>
      </c>
      <c r="F2761" t="n">
        <v>0</v>
      </c>
      <c r="G2761" t="n">
        <v>0</v>
      </c>
      <c r="H2761" t="n">
        <v>0</v>
      </c>
      <c r="I2761" s="3" t="n">
        <v>0</v>
      </c>
      <c r="J2761" s="3" t="n">
        <v>0</v>
      </c>
      <c r="K2761" s="3" t="n">
        <v>0</v>
      </c>
      <c r="L2761" s="3">
        <f>IF(K2761&lt;-5,"CRÍTICO",IF(K2761&lt;0,"ATENÇÃO",IF(K2761&lt;=5,"OPORTUNO","MUITO BOM")))</f>
        <v/>
      </c>
      <c r="M2761" t="n">
        <v>0</v>
      </c>
      <c r="N2761" t="n">
        <v>100</v>
      </c>
      <c r="O2761" t="n">
        <v>30.43478260869566</v>
      </c>
    </row>
    <row r="2762" hidden="1">
      <c r="A2762" s="11" t="n">
        <v>46087</v>
      </c>
      <c r="B2762" t="inlineStr">
        <is>
          <t>Clessiane Pereira dos Santos</t>
        </is>
      </c>
      <c r="C2762" t="inlineStr">
        <is>
          <t>Técnico I</t>
        </is>
      </c>
      <c r="D2762" t="n">
        <v>23</v>
      </c>
      <c r="E2762" t="n">
        <v>18</v>
      </c>
      <c r="F2762" t="n">
        <v>25.29</v>
      </c>
      <c r="G2762" t="n">
        <v>0</v>
      </c>
      <c r="H2762" t="n">
        <v>0</v>
      </c>
      <c r="I2762" s="3">
        <f>E2762+G2762+H2762</f>
        <v/>
      </c>
      <c r="J2762" s="3">
        <f>ROUND(MIN(IF(C2762="Técnico III",35,IF(C2762="Técnico II",28,IF(C2762="Técnico I",23,IF(C2762="JR",20,IF(C2762="Estágio",10,0))))),IF(C2762="Técnico III",SUMIFS($D:$D,$A:$A,$A2762,$B:$B,"&lt;&gt;Patrícia Karla de Sousa Araújo",$B:$B,"&lt;&gt;Lorena Dias de Araujo",$B:$B,"&lt;&gt;Lucas Luiz Romero")*(35/1083),IF(C2762="Técnico II",SUMIFS($D:$D,$A:$A,$A2762,$B:$B,"&lt;&gt;Patrícia Karla de Sousa Araújo",$B:$B,"&lt;&gt;Lorena Dias de Araujo",$B:$B,"&lt;&gt;Lucas Luiz Romero")*(28/1083),IF(C2762="Técnico I",SUMIFS($D:$D,$A:$A,$A2762,$B:$B,"&lt;&gt;Patrícia Karla de Sousa Araújo",$B:$B,"&lt;&gt;Lorena Dias de Araujo",$B:$B,"&lt;&gt;Lucas Luiz Romero")*(23/1083),IF(C2762="JR",SUMIFS($D:$D,$A:$A,$A2762,$B:$B,"&lt;&gt;Patrícia Karla de Sousa Araújo",$B:$B,"&lt;&gt;Lorena Dias de Araujo",$B:$B,"&lt;&gt;Lucas Luiz Romero")*(20/1083),IF(C2762="Estágio",SUMIFS($D:$D,$A:$A,$A2762,$B:$B,"&lt;&gt;Patrícia Karla de Sousa Araújo",$B:$B,"&lt;&gt;Lorena Dias de Araujo",$B:$B,"&lt;&gt;Lucas Luiz Romero")*(10/1083),0)))))),0)</f>
        <v/>
      </c>
      <c r="K2762" s="3">
        <f>I2762-J2762</f>
        <v/>
      </c>
      <c r="L2762" s="3">
        <f>IF(K2762&lt;-5,"CRÍTICO",IF(K2762&lt;0,"ATENÇÃO",IF(K2762&lt;=5,"OPORTUNO","MUITO BOM")))</f>
        <v/>
      </c>
      <c r="M2762" t="n">
        <v>15</v>
      </c>
      <c r="N2762" t="n">
        <v>96.51000000000001</v>
      </c>
      <c r="O2762" t="n">
        <v>22.80285035629454</v>
      </c>
    </row>
    <row r="2763" hidden="1">
      <c r="A2763" s="11" t="n">
        <v>46087</v>
      </c>
      <c r="B2763" t="inlineStr">
        <is>
          <t>Cristiane Ramos da Silva Rocha</t>
        </is>
      </c>
      <c r="C2763" t="inlineStr">
        <is>
          <t>Técnico III</t>
        </is>
      </c>
      <c r="D2763" t="n">
        <v>0</v>
      </c>
      <c r="E2763" t="n">
        <v>0</v>
      </c>
      <c r="F2763" t="n">
        <v>0</v>
      </c>
      <c r="G2763" t="n">
        <v>0</v>
      </c>
      <c r="H2763" t="n">
        <v>0</v>
      </c>
      <c r="I2763" s="3" t="n">
        <v>0</v>
      </c>
      <c r="J2763" s="3" t="n">
        <v>0</v>
      </c>
      <c r="K2763" s="3" t="n">
        <v>0</v>
      </c>
      <c r="L2763" s="3">
        <f>IF(K2763&lt;-5,"CRÍTICO",IF(K2763&lt;0,"ATENÇÃO",IF(K2763&lt;=5,"OPORTUNO","MUITO BOM")))</f>
        <v/>
      </c>
      <c r="M2763" t="n">
        <v>0</v>
      </c>
      <c r="N2763" t="n">
        <v>92.68000000000001</v>
      </c>
      <c r="O2763" t="n">
        <v>27.77777777777778</v>
      </c>
    </row>
    <row r="2764" hidden="1">
      <c r="A2764" s="11" t="n">
        <v>46087</v>
      </c>
      <c r="B2764" t="inlineStr">
        <is>
          <t>Damyllis Lorraine de Oliveira Gonçalves</t>
        </is>
      </c>
      <c r="C2764" t="inlineStr">
        <is>
          <t>Técnico II</t>
        </is>
      </c>
      <c r="D2764" t="n">
        <v>31</v>
      </c>
      <c r="E2764" t="n">
        <v>27</v>
      </c>
      <c r="F2764" t="n">
        <v>23.43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M2764" t="n">
        <v>27</v>
      </c>
      <c r="N2764" t="n">
        <v>99.03</v>
      </c>
      <c r="O2764" t="n">
        <v>23.99150743099788</v>
      </c>
    </row>
    <row r="2765" hidden="1">
      <c r="A2765" s="11" t="n">
        <v>46087</v>
      </c>
      <c r="B2765" t="inlineStr">
        <is>
          <t>Daniel Gomes da Silva</t>
        </is>
      </c>
      <c r="C2765" t="inlineStr">
        <is>
          <t>Técnico I</t>
        </is>
      </c>
      <c r="D2765" t="n">
        <v>21</v>
      </c>
      <c r="E2765" t="n">
        <v>21</v>
      </c>
      <c r="F2765" t="n">
        <v>25.27</v>
      </c>
      <c r="G2765" t="n">
        <v>0</v>
      </c>
      <c r="H2765" t="n">
        <v>0</v>
      </c>
      <c r="I2765" s="3">
        <f>E2765+G2765+H2765</f>
        <v/>
      </c>
      <c r="J2765" s="3">
        <f>ROUND(MIN(IF(C2765="Técnico III",35,IF(C2765="Técnico II",28,IF(C2765="Técnico I",23,IF(C2765="JR",20,IF(C2765="Estágio",10,0))))),IF(C2765="Técnico III",SUMIFS($D:$D,$A:$A,$A2765,$B:$B,"&lt;&gt;Patrícia Karla de Sousa Araújo",$B:$B,"&lt;&gt;Lorena Dias de Araujo",$B:$B,"&lt;&gt;Lucas Luiz Romero")*(35/1083),IF(C2765="Técnico II",SUMIFS($D:$D,$A:$A,$A2765,$B:$B,"&lt;&gt;Patrícia Karla de Sousa Araújo",$B:$B,"&lt;&gt;Lorena Dias de Araujo",$B:$B,"&lt;&gt;Lucas Luiz Romero")*(28/1083),IF(C2765="Técnico I",SUMIFS($D:$D,$A:$A,$A2765,$B:$B,"&lt;&gt;Patrícia Karla de Sousa Araújo",$B:$B,"&lt;&gt;Lorena Dias de Araujo",$B:$B,"&lt;&gt;Lucas Luiz Romero")*(23/1083),IF(C2765="JR",SUMIFS($D:$D,$A:$A,$A2765,$B:$B,"&lt;&gt;Patrícia Karla de Sousa Araújo",$B:$B,"&lt;&gt;Lorena Dias de Araujo",$B:$B,"&lt;&gt;Lucas Luiz Romero")*(20/1083),IF(C2765="Estágio",SUMIFS($D:$D,$A:$A,$A2765,$B:$B,"&lt;&gt;Patrícia Karla de Sousa Araújo",$B:$B,"&lt;&gt;Lorena Dias de Araujo",$B:$B,"&lt;&gt;Lucas Luiz Romero")*(10/1083),0)))))),0)</f>
        <v/>
      </c>
      <c r="K2765" s="3">
        <f>I2765-J2765</f>
        <v/>
      </c>
      <c r="L2765" s="3">
        <f>IF(K2765&lt;-5,"CRÍTICO",IF(K2765&lt;0,"ATENÇÃO",IF(K2765&lt;=5,"OPORTUNO","MUITO BOM")))</f>
        <v/>
      </c>
      <c r="M2765" t="n">
        <v>17</v>
      </c>
      <c r="N2765" t="n">
        <v>98.41</v>
      </c>
      <c r="O2765" t="n">
        <v>28.13852813852814</v>
      </c>
    </row>
    <row r="2766" hidden="1">
      <c r="A2766" s="11" t="n">
        <v>46087</v>
      </c>
      <c r="B2766" t="inlineStr">
        <is>
          <t>Davylla Rodrigues Freitas Silva</t>
        </is>
      </c>
      <c r="C2766" t="inlineStr">
        <is>
          <t>Técnico III</t>
        </is>
      </c>
      <c r="D2766" t="n">
        <v>29</v>
      </c>
      <c r="E2766" t="n">
        <v>29</v>
      </c>
      <c r="F2766" t="n">
        <v>22.2</v>
      </c>
      <c r="G2766" t="n">
        <v>0</v>
      </c>
      <c r="H2766" t="n">
        <v>0</v>
      </c>
      <c r="I2766" s="3" t="n">
        <v>0</v>
      </c>
      <c r="J2766" s="3" t="n">
        <v>0</v>
      </c>
      <c r="K2766" s="3" t="n">
        <v>0</v>
      </c>
      <c r="L2766" s="3">
        <f>IF(K2766&lt;-5,"CRÍTICO",IF(K2766&lt;0,"ATENÇÃO",IF(K2766&lt;=5,"OPORTUNO","MUITO BOM")))</f>
        <v/>
      </c>
      <c r="M2766" t="n">
        <v>29</v>
      </c>
      <c r="N2766" t="n">
        <v>98.73</v>
      </c>
      <c r="O2766" t="n">
        <v>29.14285714285714</v>
      </c>
    </row>
    <row r="2767" hidden="1">
      <c r="A2767" s="11" t="n">
        <v>46087</v>
      </c>
      <c r="B2767" t="inlineStr">
        <is>
          <t>Emilly Caylane Costa</t>
        </is>
      </c>
      <c r="C2767" t="inlineStr">
        <is>
          <t>Estágio</t>
        </is>
      </c>
      <c r="D2767" t="n">
        <v>39</v>
      </c>
      <c r="E2767" t="n">
        <v>35</v>
      </c>
      <c r="F2767" t="n">
        <v>8.59</v>
      </c>
      <c r="G2767" t="n">
        <v>0</v>
      </c>
      <c r="H2767" t="n">
        <v>0</v>
      </c>
      <c r="I2767" s="3">
        <f>E2767+G2767+H2767</f>
        <v/>
      </c>
      <c r="J2767" s="3">
        <f>ROUND(MIN(IF(C2767="Técnico III",35,IF(C2767="Técnico II",28,IF(C2767="Técnico I",23,IF(C2767="JR",20,IF(C2767="Estágio",10,0))))),IF(C2767="Técnico III",SUMIFS($D:$D,$A:$A,$A2767,$B:$B,"&lt;&gt;Patrícia Karla de Sousa Araújo",$B:$B,"&lt;&gt;Lorena Dias de Araujo",$B:$B,"&lt;&gt;Lucas Luiz Romero")*(35/1083),IF(C2767="Técnico II",SUMIFS($D:$D,$A:$A,$A2767,$B:$B,"&lt;&gt;Patrícia Karla de Sousa Araújo",$B:$B,"&lt;&gt;Lorena Dias de Araujo",$B:$B,"&lt;&gt;Lucas Luiz Romero")*(28/1083),IF(C2767="Técnico I",SUMIFS($D:$D,$A:$A,$A2767,$B:$B,"&lt;&gt;Patrícia Karla de Sousa Araújo",$B:$B,"&lt;&gt;Lorena Dias de Araujo",$B:$B,"&lt;&gt;Lucas Luiz Romero")*(23/1083),IF(C2767="JR",SUMIFS($D:$D,$A:$A,$A2767,$B:$B,"&lt;&gt;Patrícia Karla de Sousa Araújo",$B:$B,"&lt;&gt;Lorena Dias de Araujo",$B:$B,"&lt;&gt;Lucas Luiz Romero")*(20/1083),IF(C2767="Estágio",SUMIFS($D:$D,$A:$A,$A2767,$B:$B,"&lt;&gt;Patrícia Karla de Sousa Araújo",$B:$B,"&lt;&gt;Lorena Dias de Araujo",$B:$B,"&lt;&gt;Lucas Luiz Romero")*(10/1083),0)))))),0)</f>
        <v/>
      </c>
      <c r="K2767" s="3">
        <f>I2767-J2767</f>
        <v/>
      </c>
      <c r="L2767" s="3">
        <f>IF(K2767&lt;-5,"CRÍTICO",IF(K2767&lt;0,"ATENÇÃO",IF(K2767&lt;=5,"OPORTUNO","MUITO BOM")))</f>
        <v/>
      </c>
      <c r="M2767" t="n">
        <v>5</v>
      </c>
      <c r="N2767" t="n">
        <v>90.48</v>
      </c>
      <c r="O2767" t="n">
        <v>20.68965517241379</v>
      </c>
    </row>
    <row r="2768" hidden="1">
      <c r="A2768" s="11" t="n">
        <v>46087</v>
      </c>
      <c r="B2768" t="inlineStr">
        <is>
          <t>Emilly Kamilly Medeiros Miranda</t>
        </is>
      </c>
      <c r="C2768" t="inlineStr">
        <is>
          <t>Técnico II</t>
        </is>
      </c>
      <c r="D2768" t="n">
        <v>27</v>
      </c>
      <c r="E2768" t="n">
        <v>26</v>
      </c>
      <c r="F2768" t="n">
        <v>20.08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M2768" t="n">
        <v>22</v>
      </c>
      <c r="N2768" t="n">
        <v>98.06</v>
      </c>
      <c r="O2768" t="n">
        <v>24.78991596638656</v>
      </c>
    </row>
    <row r="2769" hidden="1">
      <c r="A2769" s="11" t="n">
        <v>46087</v>
      </c>
      <c r="B2769" t="inlineStr">
        <is>
          <t>Francielson de Oliveira</t>
        </is>
      </c>
      <c r="C2769" t="inlineStr">
        <is>
          <t>Técnico III</t>
        </is>
      </c>
      <c r="D2769" t="n">
        <v>19</v>
      </c>
      <c r="E2769" t="n">
        <v>19</v>
      </c>
      <c r="F2769" t="n">
        <v>14.15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M2769" t="n">
        <v>21</v>
      </c>
      <c r="N2769" t="n">
        <v>97.78</v>
      </c>
      <c r="O2769" t="n">
        <v>25.49407114624506</v>
      </c>
    </row>
    <row r="2770" hidden="1">
      <c r="A2770" s="11" t="n">
        <v>46087</v>
      </c>
      <c r="B2770" t="inlineStr">
        <is>
          <t>Francilene Ferreira de Jesus</t>
        </is>
      </c>
      <c r="C2770" t="inlineStr">
        <is>
          <t>Técnico II</t>
        </is>
      </c>
      <c r="D2770" t="n">
        <v>28</v>
      </c>
      <c r="E2770" t="n">
        <v>26</v>
      </c>
      <c r="F2770" t="n">
        <v>29.09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M2770" t="n">
        <v>27</v>
      </c>
      <c r="N2770" t="n">
        <v>98.02</v>
      </c>
      <c r="O2770" t="n">
        <v>23.48484848484848</v>
      </c>
    </row>
    <row r="2771" hidden="1">
      <c r="A2771" s="11" t="n">
        <v>46121</v>
      </c>
      <c r="B2771" t="inlineStr">
        <is>
          <t>Gabriel Gomes de Andrade</t>
        </is>
      </c>
      <c r="C2771" t="inlineStr">
        <is>
          <t>Técnico I</t>
        </is>
      </c>
      <c r="D2771" t="n">
        <v>28</v>
      </c>
      <c r="E2771" t="n">
        <v>25</v>
      </c>
      <c r="F2771" t="n">
        <v>15.5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M2771" t="n">
        <v>22</v>
      </c>
      <c r="N2771" t="n">
        <v>99.28</v>
      </c>
      <c r="O2771" t="n">
        <v>27.68924302788844</v>
      </c>
    </row>
    <row r="2772" hidden="1">
      <c r="A2772" s="11" t="n">
        <v>46087</v>
      </c>
      <c r="B2772" t="inlineStr">
        <is>
          <t>Isabella Borges de Oliveira</t>
        </is>
      </c>
      <c r="C2772" t="inlineStr">
        <is>
          <t>Técnico II</t>
        </is>
      </c>
      <c r="D2772" t="n">
        <v>30</v>
      </c>
      <c r="E2772" t="n">
        <v>29</v>
      </c>
      <c r="F2772" t="n">
        <v>17.3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M2772" t="n">
        <v>26</v>
      </c>
      <c r="N2772" t="n">
        <v>100</v>
      </c>
      <c r="O2772" t="n">
        <v>27.04918032786885</v>
      </c>
    </row>
    <row r="2773" hidden="1">
      <c r="A2773" s="11" t="n">
        <v>46087</v>
      </c>
      <c r="B2773" t="inlineStr">
        <is>
          <t>Janaina Lima dos Reis Urany</t>
        </is>
      </c>
      <c r="C2773" t="inlineStr">
        <is>
          <t>Técnico III</t>
        </is>
      </c>
      <c r="D2773" t="n">
        <v>51</v>
      </c>
      <c r="E2773" t="n">
        <v>46</v>
      </c>
      <c r="F2773" t="n">
        <v>13.22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M2773" t="n">
        <v>48</v>
      </c>
      <c r="N2773" t="n">
        <v>97.83</v>
      </c>
      <c r="O2773" t="n">
        <v>26.31578947368421</v>
      </c>
    </row>
    <row r="2774" hidden="1">
      <c r="A2774" s="11" t="n">
        <v>46087</v>
      </c>
      <c r="B2774" t="inlineStr">
        <is>
          <t>Jaqueline Evangelista da Silva Martins</t>
        </is>
      </c>
      <c r="C2774" t="inlineStr">
        <is>
          <t>Técnico III</t>
        </is>
      </c>
      <c r="D2774" t="n">
        <v>0</v>
      </c>
      <c r="E2774" t="n">
        <v>0</v>
      </c>
      <c r="F2774" t="n">
        <v>0</v>
      </c>
      <c r="G2774" t="n">
        <v>0</v>
      </c>
      <c r="H2774" t="n">
        <v>0</v>
      </c>
      <c r="I2774" s="3" t="n">
        <v>0</v>
      </c>
      <c r="J2774" s="3" t="n">
        <v>0</v>
      </c>
      <c r="K2774" s="3" t="n">
        <v>0</v>
      </c>
      <c r="L2774" s="3">
        <f>IF(K2774&lt;-5,"CRÍTICO",IF(K2774&lt;0,"ATENÇÃO",IF(K2774&lt;=5,"OPORTUNO","MUITO BOM")))</f>
        <v/>
      </c>
      <c r="M2774" t="n">
        <v>6</v>
      </c>
      <c r="N2774" t="n">
        <v>100</v>
      </c>
      <c r="O2774" t="n">
        <v>26.70157068062827</v>
      </c>
    </row>
    <row r="2775" hidden="1">
      <c r="A2775" s="11" t="n">
        <v>46087</v>
      </c>
      <c r="B2775" t="inlineStr">
        <is>
          <t>Jessica Faria da Silveira</t>
        </is>
      </c>
      <c r="C2775" t="inlineStr">
        <is>
          <t>Técnico II</t>
        </is>
      </c>
      <c r="D2775" t="n">
        <v>41</v>
      </c>
      <c r="E2775" t="n">
        <v>34</v>
      </c>
      <c r="F2775" t="n">
        <v>17</v>
      </c>
      <c r="G2775" t="n">
        <v>0</v>
      </c>
      <c r="H2775" t="n">
        <v>0</v>
      </c>
      <c r="I2775" s="3">
        <f>E2775+G2775+H2775</f>
        <v/>
      </c>
      <c r="J2775" s="3">
        <f>ROUND(MIN(IF(C2775="Técnico III",35,IF(C2775="Técnico II",28,IF(C2775="Técnico I",23,IF(C2775="JR",20,IF(C2775="Estágio",10,0))))),IF(C2775="Técnico III",SUMIFS($D:$D,$A:$A,$A2775,$B:$B,"&lt;&gt;Patrícia Karla de Sousa Araújo",$B:$B,"&lt;&gt;Lorena Dias de Araujo",$B:$B,"&lt;&gt;Lucas Luiz Romero")*(35/1083),IF(C2775="Técnico II",SUMIFS($D:$D,$A:$A,$A2775,$B:$B,"&lt;&gt;Patrícia Karla de Sousa Araújo",$B:$B,"&lt;&gt;Lorena Dias de Araujo",$B:$B,"&lt;&gt;Lucas Luiz Romero")*(28/1083),IF(C2775="Técnico I",SUMIFS($D:$D,$A:$A,$A2775,$B:$B,"&lt;&gt;Patrícia Karla de Sousa Araújo",$B:$B,"&lt;&gt;Lorena Dias de Araujo",$B:$B,"&lt;&gt;Lucas Luiz Romero")*(23/1083),IF(C2775="JR",SUMIFS($D:$D,$A:$A,$A2775,$B:$B,"&lt;&gt;Patrícia Karla de Sousa Araújo",$B:$B,"&lt;&gt;Lorena Dias de Araujo",$B:$B,"&lt;&gt;Lucas Luiz Romero")*(20/1083),IF(C2775="Estágio",SUMIFS($D:$D,$A:$A,$A2775,$B:$B,"&lt;&gt;Patrícia Karla de Sousa Araújo",$B:$B,"&lt;&gt;Lorena Dias de Araujo",$B:$B,"&lt;&gt;Lucas Luiz Romero")*(10/1083),0)))))),0)</f>
        <v/>
      </c>
      <c r="K2775" s="3">
        <f>I2775-J2775</f>
        <v/>
      </c>
      <c r="L2775" s="3">
        <f>IF(K2775&lt;-5,"CRÍTICO",IF(K2775&lt;0,"ATENÇÃO",IF(K2775&lt;=5,"OPORTUNO","MUITO BOM")))</f>
        <v/>
      </c>
      <c r="M2775" t="n">
        <v>29</v>
      </c>
      <c r="N2775" t="n">
        <v>97.47</v>
      </c>
      <c r="O2775" t="n">
        <v>22.88732394366197</v>
      </c>
    </row>
    <row r="2776" hidden="1">
      <c r="A2776" s="11" t="n">
        <v>46087</v>
      </c>
      <c r="B2776" t="inlineStr">
        <is>
          <t>Jéssica Fé Moura</t>
        </is>
      </c>
      <c r="C2776" t="inlineStr">
        <is>
          <t>Técnico III</t>
        </is>
      </c>
      <c r="D2776" t="n">
        <v>0</v>
      </c>
      <c r="E2776" t="n">
        <v>0</v>
      </c>
      <c r="F2776" t="n">
        <v>0</v>
      </c>
      <c r="G2776" t="n">
        <v>0</v>
      </c>
      <c r="H2776" t="n">
        <v>0</v>
      </c>
      <c r="I2776" s="3" t="n">
        <v>0</v>
      </c>
      <c r="J2776" s="3" t="n">
        <v>0</v>
      </c>
      <c r="K2776" s="3" t="n">
        <v>0</v>
      </c>
      <c r="L2776" s="3">
        <f>IF(K2776&lt;-5,"CRÍTICO",IF(K2776&lt;0,"ATENÇÃO",IF(K2776&lt;=5,"OPORTUNO","MUITO BOM")))</f>
        <v/>
      </c>
      <c r="M2776" t="n">
        <v>0</v>
      </c>
      <c r="N2776" t="n">
        <v>0</v>
      </c>
      <c r="O2776" t="n">
        <v>0</v>
      </c>
    </row>
    <row r="2777" hidden="1">
      <c r="A2777" s="11" t="n">
        <v>46087</v>
      </c>
      <c r="B2777" t="inlineStr">
        <is>
          <t>Karina Gonçalves Martins</t>
        </is>
      </c>
      <c r="C2777" t="inlineStr">
        <is>
          <t>JR</t>
        </is>
      </c>
      <c r="D2777" t="n">
        <v>27</v>
      </c>
      <c r="E2777" t="n">
        <v>23</v>
      </c>
      <c r="F2777" t="n">
        <v>18.31</v>
      </c>
      <c r="G2777" t="n">
        <v>0</v>
      </c>
      <c r="H2777" t="n">
        <v>0</v>
      </c>
      <c r="I2777" s="3">
        <f>E2777+G2777+H2777</f>
        <v/>
      </c>
      <c r="J2777" s="3">
        <f>ROUND(MIN(IF(C2777="Técnico III",35,IF(C2777="Técnico II",28,IF(C2777="Técnico I",23,IF(C2777="JR",20,IF(C2777="Estágio",10,0))))),IF(C2777="Técnico III",SUMIFS($D:$D,$A:$A,$A2777,$B:$B,"&lt;&gt;Patrícia Karla de Sousa Araújo",$B:$B,"&lt;&gt;Lorena Dias de Araujo",$B:$B,"&lt;&gt;Lucas Luiz Romero")*(35/1083),IF(C2777="Técnico II",SUMIFS($D:$D,$A:$A,$A2777,$B:$B,"&lt;&gt;Patrícia Karla de Sousa Araújo",$B:$B,"&lt;&gt;Lorena Dias de Araujo",$B:$B,"&lt;&gt;Lucas Luiz Romero")*(28/1083),IF(C2777="Técnico I",SUMIFS($D:$D,$A:$A,$A2777,$B:$B,"&lt;&gt;Patrícia Karla de Sousa Araújo",$B:$B,"&lt;&gt;Lorena Dias de Araujo",$B:$B,"&lt;&gt;Lucas Luiz Romero")*(23/1083),IF(C2777="JR",SUMIFS($D:$D,$A:$A,$A2777,$B:$B,"&lt;&gt;Patrícia Karla de Sousa Araújo",$B:$B,"&lt;&gt;Lorena Dias de Araujo",$B:$B,"&lt;&gt;Lucas Luiz Romero")*(20/1083),IF(C2777="Estágio",SUMIFS($D:$D,$A:$A,$A2777,$B:$B,"&lt;&gt;Patrícia Karla de Sousa Araújo",$B:$B,"&lt;&gt;Lorena Dias de Araujo",$B:$B,"&lt;&gt;Lucas Luiz Romero")*(10/1083),0)))))),0)</f>
        <v/>
      </c>
      <c r="K2777" s="3">
        <f>I2777-J2777</f>
        <v/>
      </c>
      <c r="L2777" s="3">
        <f>IF(K2777&lt;-5,"CRÍTICO",IF(K2777&lt;0,"ATENÇÃO",IF(K2777&lt;=5,"OPORTUNO","MUITO BOM")))</f>
        <v/>
      </c>
      <c r="M2777" t="n">
        <v>22</v>
      </c>
      <c r="N2777" t="n">
        <v>98.31</v>
      </c>
      <c r="O2777" t="n">
        <v>24.92012779552715</v>
      </c>
    </row>
    <row r="2778" hidden="1">
      <c r="A2778" s="11" t="n">
        <v>46087</v>
      </c>
      <c r="B2778" t="inlineStr">
        <is>
          <t>Kerollen Cristielly de Jesus Siqueira</t>
        </is>
      </c>
      <c r="C2778" t="inlineStr">
        <is>
          <t>Técnico III</t>
        </is>
      </c>
      <c r="D2778" t="n">
        <v>0</v>
      </c>
      <c r="E2778" t="n">
        <v>0</v>
      </c>
      <c r="F2778" t="n">
        <v>0</v>
      </c>
      <c r="G2778" t="n">
        <v>0</v>
      </c>
      <c r="H2778" t="n">
        <v>0</v>
      </c>
      <c r="I2778" s="3" t="n">
        <v>0</v>
      </c>
      <c r="J2778" s="3" t="n">
        <v>0</v>
      </c>
      <c r="K2778" s="3" t="n">
        <v>0</v>
      </c>
      <c r="L2778" s="3">
        <f>IF(K2778&lt;-5,"CRÍTICO",IF(K2778&lt;0,"ATENÇÃO",IF(K2778&lt;=5,"OPORTUNO","MUITO BOM")))</f>
        <v/>
      </c>
      <c r="M2778" t="n">
        <v>9</v>
      </c>
      <c r="N2778" t="n">
        <v>96.81</v>
      </c>
      <c r="O2778" t="n">
        <v>32.36514522821577</v>
      </c>
    </row>
    <row r="2779" hidden="1">
      <c r="A2779" s="11" t="n">
        <v>46087</v>
      </c>
      <c r="B2779" t="inlineStr">
        <is>
          <t>Leandro de Souza Silva</t>
        </is>
      </c>
      <c r="C2779" t="inlineStr">
        <is>
          <t>JR</t>
        </is>
      </c>
      <c r="D2779" t="n">
        <v>9</v>
      </c>
      <c r="E2779" t="n">
        <v>9</v>
      </c>
      <c r="F2779" t="n">
        <v>42.16</v>
      </c>
      <c r="G2779" t="n">
        <v>0</v>
      </c>
      <c r="H2779" t="n">
        <v>0</v>
      </c>
      <c r="I2779" s="3">
        <f>E2779+G2779+H2779</f>
        <v/>
      </c>
      <c r="J2779" s="3">
        <f>ROUND(MIN(IF(C2779="Técnico III",35,IF(C2779="Técnico II",28,IF(C2779="Técnico I",23,IF(C2779="JR",20,IF(C2779="Estágio",10,0))))),IF(C2779="Técnico III",SUMIFS($D:$D,$A:$A,$A2779,$B:$B,"&lt;&gt;Patrícia Karla de Sousa Araújo",$B:$B,"&lt;&gt;Lorena Dias de Araujo",$B:$B,"&lt;&gt;Lucas Luiz Romero")*(35/1083),IF(C2779="Técnico II",SUMIFS($D:$D,$A:$A,$A2779,$B:$B,"&lt;&gt;Patrícia Karla de Sousa Araújo",$B:$B,"&lt;&gt;Lorena Dias de Araujo",$B:$B,"&lt;&gt;Lucas Luiz Romero")*(28/1083),IF(C2779="Técnico I",SUMIFS($D:$D,$A:$A,$A2779,$B:$B,"&lt;&gt;Patrícia Karla de Sousa Araújo",$B:$B,"&lt;&gt;Lorena Dias de Araujo",$B:$B,"&lt;&gt;Lucas Luiz Romero")*(23/1083),IF(C2779="JR",SUMIFS($D:$D,$A:$A,$A2779,$B:$B,"&lt;&gt;Patrícia Karla de Sousa Araújo",$B:$B,"&lt;&gt;Lorena Dias de Araujo",$B:$B,"&lt;&gt;Lucas Luiz Romero")*(20/1083),IF(C2779="Estágio",SUMIFS($D:$D,$A:$A,$A2779,$B:$B,"&lt;&gt;Patrícia Karla de Sousa Araújo",$B:$B,"&lt;&gt;Lorena Dias de Araujo",$B:$B,"&lt;&gt;Lucas Luiz Romero")*(10/1083),0)))))),0)</f>
        <v/>
      </c>
      <c r="K2779" s="3">
        <f>I2779-J2779</f>
        <v/>
      </c>
      <c r="L2779" s="3">
        <f>IF(K2779&lt;-5,"CRÍTICO",IF(K2779&lt;0,"ATENÇÃO",IF(K2779&lt;=5,"OPORTUNO","MUITO BOM")))</f>
        <v/>
      </c>
      <c r="M2779" t="n">
        <v>9</v>
      </c>
      <c r="N2779" t="n">
        <v>100</v>
      </c>
      <c r="O2779" t="n">
        <v>26.47058823529412</v>
      </c>
    </row>
    <row r="2780" hidden="1">
      <c r="A2780" s="11" t="n">
        <v>46087</v>
      </c>
      <c r="B2780" t="inlineStr">
        <is>
          <t>Leandro Oliveira de Sousa</t>
        </is>
      </c>
      <c r="C2780" t="inlineStr">
        <is>
          <t>Técnico III</t>
        </is>
      </c>
      <c r="D2780" t="n">
        <v>0</v>
      </c>
      <c r="E2780" t="n">
        <v>0</v>
      </c>
      <c r="F2780" t="n">
        <v>0</v>
      </c>
      <c r="G2780" t="n">
        <v>0</v>
      </c>
      <c r="H2780" t="n">
        <v>0</v>
      </c>
      <c r="I2780" s="3" t="n">
        <v>0</v>
      </c>
      <c r="J2780" s="3" t="n">
        <v>0</v>
      </c>
      <c r="K2780" s="3" t="n">
        <v>0</v>
      </c>
      <c r="L2780" s="3">
        <f>IF(K2780&lt;-5,"CRÍTICO",IF(K2780&lt;0,"ATENÇÃO",IF(K2780&lt;=5,"OPORTUNO","MUITO BOM")))</f>
        <v/>
      </c>
      <c r="M2780" t="n">
        <v>5</v>
      </c>
      <c r="N2780" t="n">
        <v>100</v>
      </c>
      <c r="O2780" t="n">
        <v>28.49002849002849</v>
      </c>
    </row>
    <row r="2781" hidden="1">
      <c r="A2781" s="11" t="n">
        <v>46087</v>
      </c>
      <c r="B2781" t="inlineStr">
        <is>
          <t>Lizandra Gomes Duarte</t>
        </is>
      </c>
      <c r="C2781" t="inlineStr">
        <is>
          <t>Técnico II</t>
        </is>
      </c>
      <c r="D2781" t="n">
        <v>31</v>
      </c>
      <c r="E2781" t="n">
        <v>29</v>
      </c>
      <c r="F2781" t="n">
        <v>23.42</v>
      </c>
      <c r="G2781" t="n">
        <v>0</v>
      </c>
      <c r="H2781" t="n">
        <v>0</v>
      </c>
      <c r="I2781" s="3">
        <f>E2781+G2781+H2781</f>
        <v/>
      </c>
      <c r="J2781" s="3">
        <f>ROUND(MIN(IF(C2781="Técnico III",35,IF(C2781="Técnico II",28,IF(C2781="Técnico I",23,IF(C2781="JR",20,IF(C2781="Estágio",10,0))))),IF(C2781="Técnico III",SUMIFS($D:$D,$A:$A,$A2781,$B:$B,"&lt;&gt;Patrícia Karla de Sousa Araújo",$B:$B,"&lt;&gt;Lorena Dias de Araujo",$B:$B,"&lt;&gt;Lucas Luiz Romero")*(35/1083),IF(C2781="Técnico II",SUMIFS($D:$D,$A:$A,$A2781,$B:$B,"&lt;&gt;Patrícia Karla de Sousa Araújo",$B:$B,"&lt;&gt;Lorena Dias de Araujo",$B:$B,"&lt;&gt;Lucas Luiz Romero")*(28/1083),IF(C2781="Técnico I",SUMIFS($D:$D,$A:$A,$A2781,$B:$B,"&lt;&gt;Patrícia Karla de Sousa Araújo",$B:$B,"&lt;&gt;Lorena Dias de Araujo",$B:$B,"&lt;&gt;Lucas Luiz Romero")*(23/1083),IF(C2781="JR",SUMIFS($D:$D,$A:$A,$A2781,$B:$B,"&lt;&gt;Patrícia Karla de Sousa Araújo",$B:$B,"&lt;&gt;Lorena Dias de Araujo",$B:$B,"&lt;&gt;Lucas Luiz Romero")*(20/1083),IF(C2781="Estágio",SUMIFS($D:$D,$A:$A,$A2781,$B:$B,"&lt;&gt;Patrícia Karla de Sousa Araújo",$B:$B,"&lt;&gt;Lorena Dias de Araujo",$B:$B,"&lt;&gt;Lucas Luiz Romero")*(10/1083),0)))))),0)</f>
        <v/>
      </c>
      <c r="K2781" s="3">
        <f>I2781-J2781</f>
        <v/>
      </c>
      <c r="L2781" s="3">
        <f>IF(K2781&lt;-5,"CRÍTICO",IF(K2781&lt;0,"ATENÇÃO",IF(K2781&lt;=5,"OPORTUNO","MUITO BOM")))</f>
        <v/>
      </c>
      <c r="M2781" t="n">
        <v>19</v>
      </c>
      <c r="N2781" t="n">
        <v>99.14</v>
      </c>
      <c r="O2781" t="n">
        <v>27.2289156626506</v>
      </c>
    </row>
    <row r="2782" hidden="1">
      <c r="A2782" s="11" t="n">
        <v>46087</v>
      </c>
      <c r="B2782" t="inlineStr">
        <is>
          <t>Lorena Dias de Araujo</t>
        </is>
      </c>
      <c r="C2782" t="inlineStr">
        <is>
          <t>Técnico II</t>
        </is>
      </c>
      <c r="D2782" t="n">
        <v>29</v>
      </c>
      <c r="E2782" t="n">
        <v>26</v>
      </c>
      <c r="F2782" t="n">
        <v>20.02</v>
      </c>
      <c r="G2782" t="n">
        <v>0</v>
      </c>
      <c r="H2782" t="n">
        <v>0</v>
      </c>
      <c r="I2782" s="3" t="n">
        <v>0</v>
      </c>
      <c r="J2782" s="3" t="n">
        <v>0</v>
      </c>
      <c r="K2782" s="3" t="n">
        <v>0</v>
      </c>
      <c r="L2782" s="3">
        <f>IF(K2782&lt;-5,"CRÍTICO",IF(K2782&lt;0,"ATENÇÃO",IF(K2782&lt;=5,"OPORTUNO","MUITO BOM")))</f>
        <v/>
      </c>
      <c r="M2782" t="n">
        <v>25</v>
      </c>
      <c r="N2782" t="n">
        <v>97.52</v>
      </c>
      <c r="O2782" t="n">
        <v>28.2051282051282</v>
      </c>
    </row>
    <row r="2783" hidden="1">
      <c r="A2783" s="11" t="n">
        <v>46087</v>
      </c>
      <c r="B2783" t="inlineStr">
        <is>
          <t>Lucas Luiz Romero</t>
        </is>
      </c>
      <c r="C2783" t="inlineStr">
        <is>
          <t>Técnico III</t>
        </is>
      </c>
      <c r="D2783" t="n">
        <v>36</v>
      </c>
      <c r="E2783" t="n">
        <v>32</v>
      </c>
      <c r="F2783" t="n">
        <v>18.42</v>
      </c>
      <c r="G2783" t="n">
        <v>0</v>
      </c>
      <c r="H2783" t="n">
        <v>0</v>
      </c>
      <c r="I2783" s="3">
        <f>E2783+G2783+H2783</f>
        <v/>
      </c>
      <c r="J2783" s="3">
        <f>ROUND(MIN(IF(C2783="Técnico III",35,IF(C2783="Técnico II",28,IF(C2783="Técnico I",23,IF(C2783="JR",20,IF(C2783="Estágio",10,0))))),IF(C2783="Técnico III",SUMIFS($D:$D,$A:$A,$A2783,$B:$B,"&lt;&gt;Patrícia Karla de Sousa Araújo",$B:$B,"&lt;&gt;Lorena Dias de Araujo",$B:$B,"&lt;&gt;Lucas Luiz Romero")*(35/1083),IF(C2783="Técnico II",SUMIFS($D:$D,$A:$A,$A2783,$B:$B,"&lt;&gt;Patrícia Karla de Sousa Araújo",$B:$B,"&lt;&gt;Lorena Dias de Araujo",$B:$B,"&lt;&gt;Lucas Luiz Romero")*(28/1083),IF(C2783="Técnico I",SUMIFS($D:$D,$A:$A,$A2783,$B:$B,"&lt;&gt;Patrícia Karla de Sousa Araújo",$B:$B,"&lt;&gt;Lorena Dias de Araujo",$B:$B,"&lt;&gt;Lucas Luiz Romero")*(23/1083),IF(C2783="JR",SUMIFS($D:$D,$A:$A,$A2783,$B:$B,"&lt;&gt;Patrícia Karla de Sousa Araújo",$B:$B,"&lt;&gt;Lorena Dias de Araujo",$B:$B,"&lt;&gt;Lucas Luiz Romero")*(20/1083),IF(C2783="Estágio",SUMIFS($D:$D,$A:$A,$A2783,$B:$B,"&lt;&gt;Patrícia Karla de Sousa Araújo",$B:$B,"&lt;&gt;Lorena Dias de Araujo",$B:$B,"&lt;&gt;Lucas Luiz Romero")*(10/1083),0)))))),0)</f>
        <v/>
      </c>
      <c r="K2783" s="3">
        <f>I2783-J2783</f>
        <v/>
      </c>
      <c r="L2783" s="3">
        <f>IF(K2783&lt;-5,"CRÍTICO",IF(K2783&lt;0,"ATENÇÃO",IF(K2783&lt;=5,"OPORTUNO","MUITO BOM")))</f>
        <v/>
      </c>
      <c r="M2783" t="n">
        <v>19</v>
      </c>
      <c r="N2783" t="n">
        <v>90</v>
      </c>
      <c r="O2783" t="n">
        <v>24.18604651162791</v>
      </c>
    </row>
    <row r="2784" hidden="1">
      <c r="A2784" s="11" t="n">
        <v>46087</v>
      </c>
      <c r="B2784" t="inlineStr">
        <is>
          <t>Luiz Fernando de Carvalho Junior</t>
        </is>
      </c>
      <c r="C2784" t="inlineStr">
        <is>
          <t>Técnico I</t>
        </is>
      </c>
      <c r="D2784" t="n">
        <v>24</v>
      </c>
      <c r="E2784" t="n">
        <v>20</v>
      </c>
      <c r="F2784" t="n">
        <v>19.01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M2784" t="n">
        <v>20</v>
      </c>
      <c r="N2784" t="n">
        <v>98.90000000000001</v>
      </c>
      <c r="O2784" t="n">
        <v>26.7639902676399</v>
      </c>
    </row>
    <row r="2785" hidden="1">
      <c r="A2785" s="11" t="n">
        <v>46087</v>
      </c>
      <c r="B2785" t="inlineStr">
        <is>
          <t>Maria Eduarda Sousa Costa</t>
        </is>
      </c>
      <c r="C2785" t="inlineStr">
        <is>
          <t>Estágio</t>
        </is>
      </c>
      <c r="D2785" t="n">
        <v>61</v>
      </c>
      <c r="E2785" t="n">
        <v>28</v>
      </c>
      <c r="F2785" t="n">
        <v>3.41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M2785" t="n">
        <v>1</v>
      </c>
      <c r="N2785" t="n">
        <v>88.89</v>
      </c>
      <c r="O2785" t="n">
        <v>25.26315789473684</v>
      </c>
    </row>
    <row r="2786" hidden="1">
      <c r="A2786" s="11" t="n">
        <v>46087</v>
      </c>
      <c r="B2786" t="inlineStr">
        <is>
          <t>Matheus Farias De Souza</t>
        </is>
      </c>
      <c r="C2786" t="inlineStr">
        <is>
          <t>Técnico III</t>
        </is>
      </c>
      <c r="D2786" t="n">
        <v>11</v>
      </c>
      <c r="E2786" t="n">
        <v>10</v>
      </c>
      <c r="F2786" t="n">
        <v>18.29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M2786" t="n">
        <v>48</v>
      </c>
      <c r="N2786" t="n">
        <v>98.86</v>
      </c>
      <c r="O2786" t="n">
        <v>28.95927601809955</v>
      </c>
    </row>
    <row r="2787" hidden="1">
      <c r="A2787" s="11" t="n">
        <v>46087</v>
      </c>
      <c r="B2787" t="inlineStr">
        <is>
          <t>Maysa Victoria Dias Moura</t>
        </is>
      </c>
      <c r="C2787" t="inlineStr">
        <is>
          <t>Técnico III</t>
        </is>
      </c>
      <c r="D2787" t="n">
        <v>33</v>
      </c>
      <c r="E2787" t="n">
        <v>29</v>
      </c>
      <c r="F2787" t="n">
        <v>18.22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M2787" t="n">
        <v>26</v>
      </c>
      <c r="N2787" t="n">
        <v>98.06</v>
      </c>
      <c r="O2787" t="n">
        <v>22.40566037735849</v>
      </c>
    </row>
    <row r="2788" hidden="1">
      <c r="A2788" s="11" t="n">
        <v>46087</v>
      </c>
      <c r="B2788" t="inlineStr">
        <is>
          <t>Michelle G Santos</t>
        </is>
      </c>
      <c r="C2788" t="inlineStr">
        <is>
          <t>Estágio</t>
        </is>
      </c>
      <c r="D2788" t="n">
        <v>5</v>
      </c>
      <c r="E2788" t="n">
        <v>4</v>
      </c>
      <c r="F2788" t="n">
        <v>75.33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M2788" t="n">
        <v>2</v>
      </c>
      <c r="N2788" t="n">
        <v>95.83</v>
      </c>
      <c r="O2788" t="n">
        <v>25.77319587628866</v>
      </c>
    </row>
    <row r="2789" hidden="1">
      <c r="A2789" s="11" t="n">
        <v>46087</v>
      </c>
      <c r="B2789" t="inlineStr">
        <is>
          <t>Milena Sales</t>
        </is>
      </c>
      <c r="C2789" t="inlineStr">
        <is>
          <t>JR</t>
        </is>
      </c>
      <c r="D2789" t="n">
        <v>0</v>
      </c>
      <c r="E2789" t="n">
        <v>0</v>
      </c>
      <c r="F2789" t="n">
        <v>0</v>
      </c>
      <c r="G2789" t="n">
        <v>0</v>
      </c>
      <c r="H2789" t="n">
        <v>0</v>
      </c>
      <c r="I2789" s="3" t="n">
        <v>0</v>
      </c>
      <c r="J2789" s="3" t="n">
        <v>0</v>
      </c>
      <c r="K2789" s="3" t="n">
        <v>0</v>
      </c>
      <c r="L2789" s="3">
        <f>IF(K2789&lt;-5,"CRÍTICO",IF(K2789&lt;0,"ATENÇÃO",IF(K2789&lt;=5,"OPORTUNO","MUITO BOM")))</f>
        <v/>
      </c>
      <c r="M2789" t="n">
        <v>0</v>
      </c>
      <c r="N2789" t="n">
        <v>100</v>
      </c>
      <c r="O2789" t="n">
        <v>15.38461538461539</v>
      </c>
    </row>
    <row r="2790" hidden="1">
      <c r="A2790" s="11" t="n">
        <v>46087</v>
      </c>
      <c r="B2790" t="inlineStr">
        <is>
          <t>Patrícia Karla de Sousa Araújo</t>
        </is>
      </c>
      <c r="C2790" t="inlineStr">
        <is>
          <t>Técnico II</t>
        </is>
      </c>
      <c r="D2790" t="n">
        <v>32</v>
      </c>
      <c r="E2790" t="n">
        <v>30</v>
      </c>
      <c r="F2790" t="n">
        <v>18.57</v>
      </c>
      <c r="G2790" t="n">
        <v>0</v>
      </c>
      <c r="H2790" t="n">
        <v>0</v>
      </c>
      <c r="I2790" s="3">
        <f>E2790+G2790+H2790</f>
        <v/>
      </c>
      <c r="J2790" s="3">
        <f>ROUND(MIN(IF(C2790="Técnico III",35,IF(C2790="Técnico II",28,IF(C2790="Técnico I",23,IF(C2790="JR",20,IF(C2790="Estágio",10,0))))),IF(C2790="Técnico III",SUMIFS($D:$D,$A:$A,$A2790,$B:$B,"&lt;&gt;Patrícia Karla de Sousa Araújo",$B:$B,"&lt;&gt;Lorena Dias de Araujo",$B:$B,"&lt;&gt;Lucas Luiz Romero")*(35/1083),IF(C2790="Técnico II",SUMIFS($D:$D,$A:$A,$A2790,$B:$B,"&lt;&gt;Patrícia Karla de Sousa Araújo",$B:$B,"&lt;&gt;Lorena Dias de Araujo",$B:$B,"&lt;&gt;Lucas Luiz Romero")*(28/1083),IF(C2790="Técnico I",SUMIFS($D:$D,$A:$A,$A2790,$B:$B,"&lt;&gt;Patrícia Karla de Sousa Araújo",$B:$B,"&lt;&gt;Lorena Dias de Araujo",$B:$B,"&lt;&gt;Lucas Luiz Romero")*(23/1083),IF(C2790="JR",SUMIFS($D:$D,$A:$A,$A2790,$B:$B,"&lt;&gt;Patrícia Karla de Sousa Araújo",$B:$B,"&lt;&gt;Lorena Dias de Araujo",$B:$B,"&lt;&gt;Lucas Luiz Romero")*(20/1083),IF(C2790="Estágio",SUMIFS($D:$D,$A:$A,$A2790,$B:$B,"&lt;&gt;Patrícia Karla de Sousa Araújo",$B:$B,"&lt;&gt;Lorena Dias de Araujo",$B:$B,"&lt;&gt;Lucas Luiz Romero")*(10/1083),0)))))),0)</f>
        <v/>
      </c>
      <c r="K2790" s="3">
        <f>I2790-J2790</f>
        <v/>
      </c>
      <c r="L2790" s="3">
        <f>IF(K2790&lt;-5,"CRÍTICO",IF(K2790&lt;0,"ATENÇÃO",IF(K2790&lt;=5,"OPORTUNO","MUITO BOM")))</f>
        <v/>
      </c>
      <c r="M2790" t="n">
        <v>26</v>
      </c>
      <c r="N2790" t="n">
        <v>100</v>
      </c>
      <c r="O2790" t="n">
        <v>27.51479289940828</v>
      </c>
    </row>
    <row r="2791" hidden="1">
      <c r="A2791" s="11" t="n">
        <v>46087</v>
      </c>
      <c r="B2791" t="inlineStr">
        <is>
          <t>Paulo Ricardo Santos</t>
        </is>
      </c>
      <c r="C2791" t="inlineStr">
        <is>
          <t>JR</t>
        </is>
      </c>
      <c r="D2791" t="n">
        <v>15</v>
      </c>
      <c r="E2791" t="n">
        <v>15</v>
      </c>
      <c r="F2791" t="n">
        <v>27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M2791" t="n">
        <v>14</v>
      </c>
      <c r="N2791" t="n">
        <v>100</v>
      </c>
      <c r="O2791" t="n">
        <v>24.87562189054727</v>
      </c>
    </row>
    <row r="2792" hidden="1">
      <c r="A2792" s="11" t="n">
        <v>46087</v>
      </c>
      <c r="B2792" t="inlineStr">
        <is>
          <t>Pedro Luiz Mota Sousa</t>
        </is>
      </c>
      <c r="C2792" t="inlineStr">
        <is>
          <t>JR</t>
        </is>
      </c>
      <c r="D2792" t="n">
        <v>8</v>
      </c>
      <c r="E2792" t="n">
        <v>8</v>
      </c>
      <c r="F2792" t="n">
        <v>45.18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M2792" t="n">
        <v>4</v>
      </c>
      <c r="N2792" t="n">
        <v>100</v>
      </c>
      <c r="O2792" t="n">
        <v>28.10810810810811</v>
      </c>
    </row>
    <row r="2793" hidden="1">
      <c r="A2793" s="11" t="n">
        <v>46087</v>
      </c>
      <c r="B2793" t="inlineStr">
        <is>
          <t>Quirino Diogo Leite Torres</t>
        </is>
      </c>
      <c r="C2793" t="inlineStr">
        <is>
          <t>Estágio</t>
        </is>
      </c>
      <c r="D2793" t="n">
        <v>0</v>
      </c>
      <c r="E2793" t="n">
        <v>0</v>
      </c>
      <c r="F2793" t="n">
        <v>0</v>
      </c>
      <c r="G2793" t="n">
        <v>0</v>
      </c>
      <c r="H2793" t="n">
        <v>0</v>
      </c>
      <c r="I2793" s="3" t="n">
        <v>0</v>
      </c>
      <c r="J2793" s="3" t="n">
        <v>0</v>
      </c>
      <c r="K2793" s="3" t="n">
        <v>0</v>
      </c>
      <c r="L2793" s="3">
        <f>IF(K2793&lt;-5,"CRÍTICO",IF(K2793&lt;0,"ATENÇÃO",IF(K2793&lt;=5,"OPORTUNO","MUITO BOM")))</f>
        <v/>
      </c>
      <c r="M2793" t="n">
        <v>0</v>
      </c>
      <c r="N2793" t="n">
        <v>100</v>
      </c>
      <c r="O2793" t="n">
        <v>35</v>
      </c>
    </row>
    <row r="2794" hidden="1">
      <c r="A2794" s="11" t="n">
        <v>46087</v>
      </c>
      <c r="B2794" t="inlineStr">
        <is>
          <t>Raane Batista Matos</t>
        </is>
      </c>
      <c r="C2794" t="inlineStr">
        <is>
          <t>Técnico I</t>
        </is>
      </c>
      <c r="D2794" t="n">
        <v>18</v>
      </c>
      <c r="E2794" t="n">
        <v>18</v>
      </c>
      <c r="F2794" t="n">
        <v>31.47</v>
      </c>
      <c r="G2794" t="n">
        <v>0</v>
      </c>
      <c r="H2794" t="n">
        <v>0</v>
      </c>
      <c r="I2794" s="3">
        <f>E2794+G2794+H2794</f>
        <v/>
      </c>
      <c r="J2794" s="3">
        <f>ROUND(MIN(IF(C2794="Técnico III",35,IF(C2794="Técnico II",28,IF(C2794="Técnico I",23,IF(C2794="JR",20,IF(C2794="Estágio",10,0))))),IF(C2794="Técnico III",SUMIFS($D:$D,$A:$A,$A2794,$B:$B,"&lt;&gt;Patrícia Karla de Sousa Araújo",$B:$B,"&lt;&gt;Lorena Dias de Araujo",$B:$B,"&lt;&gt;Lucas Luiz Romero")*(35/1083),IF(C2794="Técnico II",SUMIFS($D:$D,$A:$A,$A2794,$B:$B,"&lt;&gt;Patrícia Karla de Sousa Araújo",$B:$B,"&lt;&gt;Lorena Dias de Araujo",$B:$B,"&lt;&gt;Lucas Luiz Romero")*(28/1083),IF(C2794="Técnico I",SUMIFS($D:$D,$A:$A,$A2794,$B:$B,"&lt;&gt;Patrícia Karla de Sousa Araújo",$B:$B,"&lt;&gt;Lorena Dias de Araujo",$B:$B,"&lt;&gt;Lucas Luiz Romero")*(23/1083),IF(C2794="JR",SUMIFS($D:$D,$A:$A,$A2794,$B:$B,"&lt;&gt;Patrícia Karla de Sousa Araújo",$B:$B,"&lt;&gt;Lorena Dias de Araujo",$B:$B,"&lt;&gt;Lucas Luiz Romero")*(20/1083),IF(C2794="Estágio",SUMIFS($D:$D,$A:$A,$A2794,$B:$B,"&lt;&gt;Patrícia Karla de Sousa Araújo",$B:$B,"&lt;&gt;Lorena Dias de Araujo",$B:$B,"&lt;&gt;Lucas Luiz Romero")*(10/1083),0)))))),0)</f>
        <v/>
      </c>
      <c r="K2794" s="3">
        <f>I2794-J2794</f>
        <v/>
      </c>
      <c r="L2794" s="3">
        <f>IF(K2794&lt;-5,"CRÍTICO",IF(K2794&lt;0,"ATENÇÃO",IF(K2794&lt;=5,"OPORTUNO","MUITO BOM")))</f>
        <v/>
      </c>
      <c r="M2794" t="n">
        <v>14</v>
      </c>
      <c r="N2794" t="n">
        <v>95.34999999999999</v>
      </c>
      <c r="O2794" t="n">
        <v>28.61538461538461</v>
      </c>
    </row>
    <row r="2795" hidden="1">
      <c r="A2795" s="11" t="n">
        <v>46087</v>
      </c>
      <c r="B2795" t="inlineStr">
        <is>
          <t>Rafael Gomes de Morais</t>
        </is>
      </c>
      <c r="C2795" t="inlineStr">
        <is>
          <t>Técnico III</t>
        </is>
      </c>
      <c r="D2795" t="n">
        <v>49</v>
      </c>
      <c r="E2795" t="n">
        <v>42</v>
      </c>
      <c r="F2795" t="n">
        <v>9.039999999999999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M2795" t="n">
        <v>39</v>
      </c>
      <c r="N2795" t="n">
        <v>98.26000000000001</v>
      </c>
      <c r="O2795" t="n">
        <v>27.54491017964072</v>
      </c>
    </row>
    <row r="2796" hidden="1">
      <c r="A2796" s="11" t="n">
        <v>46087</v>
      </c>
      <c r="B2796" t="inlineStr">
        <is>
          <t>Sara Maria Monteiro Lopes</t>
        </is>
      </c>
      <c r="C2796" t="inlineStr">
        <is>
          <t>Técnico I</t>
        </is>
      </c>
      <c r="D2796" t="n">
        <v>15</v>
      </c>
      <c r="E2796" t="n">
        <v>14</v>
      </c>
      <c r="F2796" t="n">
        <v>40.12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M2796" t="n">
        <v>13</v>
      </c>
      <c r="N2796" t="n">
        <v>98.55</v>
      </c>
      <c r="O2796" t="n">
        <v>25.33783783783784</v>
      </c>
    </row>
    <row r="2797" hidden="1">
      <c r="A2797" s="11" t="n">
        <v>46087</v>
      </c>
      <c r="B2797" t="inlineStr">
        <is>
          <t>Sarah Steffanie de Lima Borges</t>
        </is>
      </c>
      <c r="C2797" t="inlineStr">
        <is>
          <t>Técnico III</t>
        </is>
      </c>
      <c r="D2797" t="n">
        <v>38</v>
      </c>
      <c r="E2797" t="n">
        <v>37</v>
      </c>
      <c r="F2797" t="n">
        <v>15.18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M2797" t="n">
        <v>29</v>
      </c>
      <c r="N2797" t="n">
        <v>98.39</v>
      </c>
      <c r="O2797" t="n">
        <v>25.56390977443609</v>
      </c>
    </row>
    <row r="2798" hidden="1">
      <c r="A2798" s="11" t="n">
        <v>46090</v>
      </c>
      <c r="B2798" t="inlineStr">
        <is>
          <t>Alisson de Freitas Silva</t>
        </is>
      </c>
      <c r="C2798" t="inlineStr">
        <is>
          <t>Técnico II</t>
        </is>
      </c>
      <c r="D2798" t="n">
        <v>21</v>
      </c>
      <c r="E2798" t="n">
        <v>20</v>
      </c>
      <c r="F2798" t="n">
        <v>15.23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M2798" t="n">
        <v>18</v>
      </c>
      <c r="N2798" t="n">
        <v>94.29000000000001</v>
      </c>
      <c r="O2798" t="n">
        <v>25.64766839378239</v>
      </c>
    </row>
    <row r="2799" hidden="1">
      <c r="A2799" s="11" t="n">
        <v>46090</v>
      </c>
      <c r="B2799" t="inlineStr">
        <is>
          <t>Amanda Moura Ferreira</t>
        </is>
      </c>
      <c r="C2799" t="inlineStr">
        <is>
          <t>Técnico III</t>
        </is>
      </c>
      <c r="D2799" t="n">
        <v>0</v>
      </c>
      <c r="E2799" t="n">
        <v>0</v>
      </c>
      <c r="F2799" t="n">
        <v>0</v>
      </c>
      <c r="G2799" t="n">
        <v>0</v>
      </c>
      <c r="H2799" t="n">
        <v>0</v>
      </c>
      <c r="I2799" s="3" t="n">
        <v>0</v>
      </c>
      <c r="J2799" s="3" t="n">
        <v>0</v>
      </c>
      <c r="K2799" s="3" t="n">
        <v>0</v>
      </c>
      <c r="L2799" s="3">
        <f>IF(K2799&lt;-5,"CRÍTICO",IF(K2799&lt;0,"ATENÇÃO",IF(K2799&lt;=5,"OPORTUNO","MUITO BOM")))</f>
        <v/>
      </c>
      <c r="M2799" t="n">
        <v>24</v>
      </c>
      <c r="N2799" t="n">
        <v>98.26000000000001</v>
      </c>
      <c r="O2799" t="n">
        <v>26.66666666666667</v>
      </c>
    </row>
    <row r="2800" hidden="1">
      <c r="A2800" s="11" t="n">
        <v>46090</v>
      </c>
      <c r="B2800" t="inlineStr">
        <is>
          <t>Ana Karollyne Souza Faria</t>
        </is>
      </c>
      <c r="C2800" t="inlineStr">
        <is>
          <t>Técnico I</t>
        </is>
      </c>
      <c r="D2800" t="n">
        <v>21</v>
      </c>
      <c r="E2800" t="n">
        <v>19</v>
      </c>
      <c r="F2800" t="n">
        <v>24.11</v>
      </c>
      <c r="G2800" t="n">
        <v>0</v>
      </c>
      <c r="H2800" t="n">
        <v>0</v>
      </c>
      <c r="I2800" s="3">
        <f>E2800+G2800+H2800</f>
        <v/>
      </c>
      <c r="J2800" s="3">
        <f>ROUND(MIN(IF(C2800="Técnico III",35,IF(C2800="Técnico II",28,IF(C2800="Técnico I",23,IF(C2800="JR",20,IF(C2800="Estágio",10,0))))),IF(C2800="Técnico III",SUMIFS($D:$D,$A:$A,$A2800,$B:$B,"&lt;&gt;Patrícia Karla de Sousa Araújo",$B:$B,"&lt;&gt;Lorena Dias de Araujo",$B:$B,"&lt;&gt;Lucas Luiz Romero")*(35/1083),IF(C2800="Técnico II",SUMIFS($D:$D,$A:$A,$A2800,$B:$B,"&lt;&gt;Patrícia Karla de Sousa Araújo",$B:$B,"&lt;&gt;Lorena Dias de Araujo",$B:$B,"&lt;&gt;Lucas Luiz Romero")*(28/1083),IF(C2800="Técnico I",SUMIFS($D:$D,$A:$A,$A2800,$B:$B,"&lt;&gt;Patrícia Karla de Sousa Araújo",$B:$B,"&lt;&gt;Lorena Dias de Araujo",$B:$B,"&lt;&gt;Lucas Luiz Romero")*(23/1083),IF(C2800="JR",SUMIFS($D:$D,$A:$A,$A2800,$B:$B,"&lt;&gt;Patrícia Karla de Sousa Araújo",$B:$B,"&lt;&gt;Lorena Dias de Araujo",$B:$B,"&lt;&gt;Lucas Luiz Romero")*(20/1083),IF(C2800="Estágio",SUMIFS($D:$D,$A:$A,$A2800,$B:$B,"&lt;&gt;Patrícia Karla de Sousa Araújo",$B:$B,"&lt;&gt;Lorena Dias de Araujo",$B:$B,"&lt;&gt;Lucas Luiz Romero")*(10/1083),0)))))),0)</f>
        <v/>
      </c>
      <c r="K2800" s="3">
        <f>I2800-J2800</f>
        <v/>
      </c>
      <c r="L2800" s="3">
        <f>IF(K2800&lt;-5,"CRÍTICO",IF(K2800&lt;0,"ATENÇÃO",IF(K2800&lt;=5,"OPORTUNO","MUITO BOM")))</f>
        <v/>
      </c>
      <c r="M2800" t="n">
        <v>18</v>
      </c>
      <c r="N2800" t="n">
        <v>98.2</v>
      </c>
      <c r="O2800" t="n">
        <v>23.37962962962963</v>
      </c>
    </row>
    <row r="2801" hidden="1">
      <c r="A2801" s="11" t="n">
        <v>46090</v>
      </c>
      <c r="B2801" t="inlineStr">
        <is>
          <t>Ana Paula Da Luz Silva Aleixo</t>
        </is>
      </c>
      <c r="C2801" t="inlineStr">
        <is>
          <t>Técnico III</t>
        </is>
      </c>
      <c r="D2801" t="n">
        <v>23</v>
      </c>
      <c r="E2801" t="n">
        <v>23</v>
      </c>
      <c r="F2801" t="n">
        <v>23.58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M2801" t="n">
        <v>19</v>
      </c>
      <c r="N2801" t="n">
        <v>97.3</v>
      </c>
      <c r="O2801" t="n">
        <v>23.84769539078156</v>
      </c>
    </row>
    <row r="2802" hidden="1">
      <c r="A2802" s="11" t="n">
        <v>46090</v>
      </c>
      <c r="B2802" t="inlineStr">
        <is>
          <t>Anna Luiza Rezende Tavares</t>
        </is>
      </c>
      <c r="C2802" t="inlineStr">
        <is>
          <t>Estágio</t>
        </is>
      </c>
      <c r="D2802" t="n">
        <v>10</v>
      </c>
      <c r="E2802" t="n">
        <v>9</v>
      </c>
      <c r="F2802" t="n">
        <v>33.57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M2802" t="n">
        <v>8</v>
      </c>
      <c r="N2802" t="n">
        <v>100</v>
      </c>
      <c r="O2802" t="n">
        <v>25.26881720430108</v>
      </c>
    </row>
    <row r="2803" hidden="1">
      <c r="A2803" s="11" t="n">
        <v>46090</v>
      </c>
      <c r="B2803" t="inlineStr">
        <is>
          <t>Brenda de Menezes Silva</t>
        </is>
      </c>
      <c r="C2803" t="inlineStr">
        <is>
          <t>Técnico II</t>
        </is>
      </c>
      <c r="D2803" t="n">
        <v>37</v>
      </c>
      <c r="E2803" t="n">
        <v>36</v>
      </c>
      <c r="F2803" t="n">
        <v>17.36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M2803" t="n">
        <v>36</v>
      </c>
      <c r="N2803" t="n">
        <v>99.31999999999999</v>
      </c>
      <c r="O2803" t="n">
        <v>22.82282282282282</v>
      </c>
    </row>
    <row r="2804" hidden="1">
      <c r="A2804" s="11" t="n">
        <v>46090</v>
      </c>
      <c r="B2804" t="inlineStr">
        <is>
          <t>Carlos Mateus Cassimiro Nunes</t>
        </is>
      </c>
      <c r="C2804" t="inlineStr">
        <is>
          <t>Técnico II</t>
        </is>
      </c>
      <c r="D2804" t="n">
        <v>8</v>
      </c>
      <c r="E2804" t="n">
        <v>7</v>
      </c>
      <c r="F2804" t="n">
        <v>59.02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M2804" t="n">
        <v>9</v>
      </c>
      <c r="N2804" t="n">
        <v>100</v>
      </c>
      <c r="O2804" t="n">
        <v>27.96610169491525</v>
      </c>
    </row>
    <row r="2805" hidden="1">
      <c r="A2805" s="11" t="n">
        <v>46090</v>
      </c>
      <c r="B2805" t="inlineStr">
        <is>
          <t>Claudio de Sousa Velasco Filho</t>
        </is>
      </c>
      <c r="C2805" t="inlineStr">
        <is>
          <t>Estágio</t>
        </is>
      </c>
      <c r="D2805" t="n">
        <v>0</v>
      </c>
      <c r="E2805" t="n">
        <v>0</v>
      </c>
      <c r="F2805" t="n">
        <v>0</v>
      </c>
      <c r="G2805" t="n">
        <v>0</v>
      </c>
      <c r="H2805" t="n">
        <v>0</v>
      </c>
      <c r="I2805" s="3" t="n">
        <v>0</v>
      </c>
      <c r="J2805" s="3" t="n">
        <v>0</v>
      </c>
      <c r="K2805" s="3" t="n">
        <v>0</v>
      </c>
      <c r="L2805" s="3">
        <f>IF(K2805&lt;-5,"CRÍTICO",IF(K2805&lt;0,"ATENÇÃO",IF(K2805&lt;=5,"OPORTUNO","MUITO BOM")))</f>
        <v/>
      </c>
      <c r="M2805" t="n">
        <v>0</v>
      </c>
      <c r="N2805" t="n">
        <v>100</v>
      </c>
      <c r="O2805" t="n">
        <v>30.43478260869566</v>
      </c>
    </row>
    <row r="2806" hidden="1">
      <c r="A2806" s="11" t="n">
        <v>46090</v>
      </c>
      <c r="B2806" t="inlineStr">
        <is>
          <t>Clessiane Pereira dos Santos</t>
        </is>
      </c>
      <c r="C2806" t="inlineStr">
        <is>
          <t>Técnico I</t>
        </is>
      </c>
      <c r="D2806" t="n">
        <v>19</v>
      </c>
      <c r="E2806" t="n">
        <v>19</v>
      </c>
      <c r="F2806" t="n">
        <v>25.46</v>
      </c>
      <c r="G2806" t="n">
        <v>0</v>
      </c>
      <c r="H2806" t="n">
        <v>0</v>
      </c>
      <c r="I2806" s="3">
        <f>E2806+G2806+H2806</f>
        <v/>
      </c>
      <c r="J2806" s="3">
        <f>ROUND(MIN(IF(C2806="Técnico III",35,IF(C2806="Técnico II",28,IF(C2806="Técnico I",23,IF(C2806="JR",20,IF(C2806="Estágio",10,0))))),IF(C2806="Técnico III",SUMIFS($D:$D,$A:$A,$A2806,$B:$B,"&lt;&gt;Patrícia Karla de Sousa Araújo",$B:$B,"&lt;&gt;Lorena Dias de Araujo",$B:$B,"&lt;&gt;Lucas Luiz Romero")*(35/1083),IF(C2806="Técnico II",SUMIFS($D:$D,$A:$A,$A2806,$B:$B,"&lt;&gt;Patrícia Karla de Sousa Araújo",$B:$B,"&lt;&gt;Lorena Dias de Araujo",$B:$B,"&lt;&gt;Lucas Luiz Romero")*(28/1083),IF(C2806="Técnico I",SUMIFS($D:$D,$A:$A,$A2806,$B:$B,"&lt;&gt;Patrícia Karla de Sousa Araújo",$B:$B,"&lt;&gt;Lorena Dias de Araujo",$B:$B,"&lt;&gt;Lucas Luiz Romero")*(23/1083),IF(C2806="JR",SUMIFS($D:$D,$A:$A,$A2806,$B:$B,"&lt;&gt;Patrícia Karla de Sousa Araújo",$B:$B,"&lt;&gt;Lorena Dias de Araujo",$B:$B,"&lt;&gt;Lucas Luiz Romero")*(20/1083),IF(C2806="Estágio",SUMIFS($D:$D,$A:$A,$A2806,$B:$B,"&lt;&gt;Patrícia Karla de Sousa Araújo",$B:$B,"&lt;&gt;Lorena Dias de Araujo",$B:$B,"&lt;&gt;Lucas Luiz Romero")*(10/1083),0)))))),0)</f>
        <v/>
      </c>
      <c r="K2806" s="3">
        <f>I2806-J2806</f>
        <v/>
      </c>
      <c r="L2806" s="3">
        <f>IF(K2806&lt;-5,"CRÍTICO",IF(K2806&lt;0,"ATENÇÃO",IF(K2806&lt;=5,"OPORTUNO","MUITO BOM")))</f>
        <v/>
      </c>
      <c r="M2806" t="n">
        <v>18</v>
      </c>
      <c r="N2806" t="n">
        <v>96.51000000000001</v>
      </c>
      <c r="O2806" t="n">
        <v>22.80285035629454</v>
      </c>
    </row>
    <row r="2807" hidden="1">
      <c r="A2807" s="11" t="n">
        <v>46090</v>
      </c>
      <c r="B2807" t="inlineStr">
        <is>
          <t>Cristiane Ramos da Silva Rocha</t>
        </is>
      </c>
      <c r="C2807" t="inlineStr">
        <is>
          <t>Técnico III</t>
        </is>
      </c>
      <c r="D2807" t="n">
        <v>35</v>
      </c>
      <c r="E2807" t="n">
        <v>33</v>
      </c>
      <c r="F2807" t="n">
        <v>15.3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M2807" t="n">
        <v>29</v>
      </c>
      <c r="N2807" t="n">
        <v>92.68000000000001</v>
      </c>
      <c r="O2807" t="n">
        <v>27.77777777777778</v>
      </c>
    </row>
    <row r="2808" hidden="1">
      <c r="A2808" s="11" t="n">
        <v>46090</v>
      </c>
      <c r="B2808" t="inlineStr">
        <is>
          <t>Damyllis Lorraine de Oliveira Gonçalves</t>
        </is>
      </c>
      <c r="C2808" t="inlineStr">
        <is>
          <t>Técnico II</t>
        </is>
      </c>
      <c r="D2808" t="n">
        <v>30</v>
      </c>
      <c r="E2808" t="n">
        <v>28</v>
      </c>
      <c r="F2808" t="n">
        <v>27.06</v>
      </c>
      <c r="G2808" t="n">
        <v>0</v>
      </c>
      <c r="H2808" t="n">
        <v>0</v>
      </c>
      <c r="I2808" s="3" t="n">
        <v>0</v>
      </c>
      <c r="J2808" s="3" t="n">
        <v>0</v>
      </c>
      <c r="K2808" s="3" t="n">
        <v>0</v>
      </c>
      <c r="L2808" s="3">
        <f>IF(K2808&lt;-5,"CRÍTICO",IF(K2808&lt;0,"ATENÇÃO",IF(K2808&lt;=5,"OPORTUNO","MUITO BOM")))</f>
        <v/>
      </c>
      <c r="M2808" t="n">
        <v>21</v>
      </c>
      <c r="N2808" t="n">
        <v>99.03</v>
      </c>
      <c r="O2808" t="n">
        <v>23.99150743099788</v>
      </c>
    </row>
    <row r="2809" hidden="1">
      <c r="A2809" s="11" t="n">
        <v>46090</v>
      </c>
      <c r="B2809" t="inlineStr">
        <is>
          <t>Daniel Gomes da Silva</t>
        </is>
      </c>
      <c r="C2809" t="inlineStr">
        <is>
          <t>Técnico I</t>
        </is>
      </c>
      <c r="D2809" t="n">
        <v>19</v>
      </c>
      <c r="E2809" t="n">
        <v>19</v>
      </c>
      <c r="F2809" t="n">
        <v>28.26</v>
      </c>
      <c r="G2809" t="n">
        <v>0</v>
      </c>
      <c r="H2809" t="n">
        <v>0</v>
      </c>
      <c r="I2809" s="3">
        <f>E2809+G2809+H2809</f>
        <v/>
      </c>
      <c r="J2809" s="3">
        <f>ROUND(MIN(IF(C2809="Técnico III",35,IF(C2809="Técnico II",28,IF(C2809="Técnico I",23,IF(C2809="JR",20,IF(C2809="Estágio",10,0))))),IF(C2809="Técnico III",SUMIFS($D:$D,$A:$A,$A2809,$B:$B,"&lt;&gt;Patrícia Karla de Sousa Araújo",$B:$B,"&lt;&gt;Lorena Dias de Araujo",$B:$B,"&lt;&gt;Lucas Luiz Romero")*(35/1083),IF(C2809="Técnico II",SUMIFS($D:$D,$A:$A,$A2809,$B:$B,"&lt;&gt;Patrícia Karla de Sousa Araújo",$B:$B,"&lt;&gt;Lorena Dias de Araujo",$B:$B,"&lt;&gt;Lucas Luiz Romero")*(28/1083),IF(C2809="Técnico I",SUMIFS($D:$D,$A:$A,$A2809,$B:$B,"&lt;&gt;Patrícia Karla de Sousa Araújo",$B:$B,"&lt;&gt;Lorena Dias de Araujo",$B:$B,"&lt;&gt;Lucas Luiz Romero")*(23/1083),IF(C2809="JR",SUMIFS($D:$D,$A:$A,$A2809,$B:$B,"&lt;&gt;Patrícia Karla de Sousa Araújo",$B:$B,"&lt;&gt;Lorena Dias de Araujo",$B:$B,"&lt;&gt;Lucas Luiz Romero")*(20/1083),IF(C2809="Estágio",SUMIFS($D:$D,$A:$A,$A2809,$B:$B,"&lt;&gt;Patrícia Karla de Sousa Araújo",$B:$B,"&lt;&gt;Lorena Dias de Araujo",$B:$B,"&lt;&gt;Lucas Luiz Romero")*(10/1083),0)))))),0)</f>
        <v/>
      </c>
      <c r="K2809" s="3">
        <f>I2809-J2809</f>
        <v/>
      </c>
      <c r="L2809" s="3">
        <f>IF(K2809&lt;-5,"CRÍTICO",IF(K2809&lt;0,"ATENÇÃO",IF(K2809&lt;=5,"OPORTUNO","MUITO BOM")))</f>
        <v/>
      </c>
      <c r="M2809" t="n">
        <v>12</v>
      </c>
      <c r="N2809" t="n">
        <v>98.41</v>
      </c>
      <c r="O2809" t="n">
        <v>28.13852813852814</v>
      </c>
    </row>
    <row r="2810" hidden="1">
      <c r="A2810" s="11" t="n">
        <v>46090</v>
      </c>
      <c r="B2810" t="inlineStr">
        <is>
          <t>Davylla Rodrigues Freitas Silva</t>
        </is>
      </c>
      <c r="C2810" t="inlineStr">
        <is>
          <t>Técnico III</t>
        </is>
      </c>
      <c r="D2810" t="n">
        <v>18</v>
      </c>
      <c r="E2810" t="n">
        <v>17</v>
      </c>
      <c r="F2810" t="n">
        <v>30.04</v>
      </c>
      <c r="G2810" t="n">
        <v>0</v>
      </c>
      <c r="H2810" t="n">
        <v>0</v>
      </c>
      <c r="I2810" s="3" t="n">
        <v>0</v>
      </c>
      <c r="J2810" s="3" t="n">
        <v>0</v>
      </c>
      <c r="K2810" s="3" t="n">
        <v>0</v>
      </c>
      <c r="L2810" s="3">
        <f>IF(K2810&lt;-5,"CRÍTICO",IF(K2810&lt;0,"ATENÇÃO",IF(K2810&lt;=5,"OPORTUNO","MUITO BOM")))</f>
        <v/>
      </c>
      <c r="M2810" t="n">
        <v>18</v>
      </c>
      <c r="N2810" t="n">
        <v>98.73</v>
      </c>
      <c r="O2810" t="n">
        <v>29.14285714285714</v>
      </c>
    </row>
    <row r="2811" hidden="1">
      <c r="A2811" s="11" t="n">
        <v>46090</v>
      </c>
      <c r="B2811" t="inlineStr">
        <is>
          <t>Emilly Caylane Costa</t>
        </is>
      </c>
      <c r="C2811" t="inlineStr">
        <is>
          <t>Estágio</t>
        </is>
      </c>
      <c r="D2811" t="n">
        <v>9</v>
      </c>
      <c r="E2811" t="n">
        <v>8</v>
      </c>
      <c r="F2811" t="n">
        <v>55.38</v>
      </c>
      <c r="G2811" t="n">
        <v>0</v>
      </c>
      <c r="H2811" t="n">
        <v>0</v>
      </c>
      <c r="I2811" s="3">
        <f>E2811+G2811+H2811</f>
        <v/>
      </c>
      <c r="J2811" s="3">
        <f>ROUND(MIN(IF(C2811="Técnico III",35,IF(C2811="Técnico II",28,IF(C2811="Técnico I",23,IF(C2811="JR",20,IF(C2811="Estágio",10,0))))),IF(C2811="Técnico III",SUMIFS($D:$D,$A:$A,$A2811,$B:$B,"&lt;&gt;Patrícia Karla de Sousa Araújo",$B:$B,"&lt;&gt;Lorena Dias de Araujo",$B:$B,"&lt;&gt;Lucas Luiz Romero")*(35/1083),IF(C2811="Técnico II",SUMIFS($D:$D,$A:$A,$A2811,$B:$B,"&lt;&gt;Patrícia Karla de Sousa Araújo",$B:$B,"&lt;&gt;Lorena Dias de Araujo",$B:$B,"&lt;&gt;Lucas Luiz Romero")*(28/1083),IF(C2811="Técnico I",SUMIFS($D:$D,$A:$A,$A2811,$B:$B,"&lt;&gt;Patrícia Karla de Sousa Araújo",$B:$B,"&lt;&gt;Lorena Dias de Araujo",$B:$B,"&lt;&gt;Lucas Luiz Romero")*(23/1083),IF(C2811="JR",SUMIFS($D:$D,$A:$A,$A2811,$B:$B,"&lt;&gt;Patrícia Karla de Sousa Araújo",$B:$B,"&lt;&gt;Lorena Dias de Araujo",$B:$B,"&lt;&gt;Lucas Luiz Romero")*(20/1083),IF(C2811="Estágio",SUMIFS($D:$D,$A:$A,$A2811,$B:$B,"&lt;&gt;Patrícia Karla de Sousa Araújo",$B:$B,"&lt;&gt;Lorena Dias de Araujo",$B:$B,"&lt;&gt;Lucas Luiz Romero")*(10/1083),0)))))),0)</f>
        <v/>
      </c>
      <c r="K2811" s="3">
        <f>I2811-J2811</f>
        <v/>
      </c>
      <c r="L2811" s="3">
        <f>IF(K2811&lt;-5,"CRÍTICO",IF(K2811&lt;0,"ATENÇÃO",IF(K2811&lt;=5,"OPORTUNO","MUITO BOM")))</f>
        <v/>
      </c>
      <c r="M2811" t="n">
        <v>4</v>
      </c>
      <c r="N2811" t="n">
        <v>90.48</v>
      </c>
      <c r="O2811" t="n">
        <v>20.68965517241379</v>
      </c>
    </row>
    <row r="2812" hidden="1">
      <c r="A2812" s="11" t="n">
        <v>46090</v>
      </c>
      <c r="B2812" t="inlineStr">
        <is>
          <t>Emilly Kamilly Medeiros Miranda</t>
        </is>
      </c>
      <c r="C2812" t="inlineStr">
        <is>
          <t>Técnico II</t>
        </is>
      </c>
      <c r="D2812" t="n">
        <v>26</v>
      </c>
      <c r="E2812" t="n">
        <v>25</v>
      </c>
      <c r="F2812" t="n">
        <v>25.01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M2812" t="n">
        <v>23</v>
      </c>
      <c r="N2812" t="n">
        <v>98.06</v>
      </c>
      <c r="O2812" t="n">
        <v>24.78991596638656</v>
      </c>
    </row>
    <row r="2813" hidden="1">
      <c r="A2813" s="11" t="n">
        <v>46090</v>
      </c>
      <c r="B2813" t="inlineStr">
        <is>
          <t>Francielson de Oliveira</t>
        </is>
      </c>
      <c r="C2813" t="inlineStr">
        <is>
          <t>Técnico III</t>
        </is>
      </c>
      <c r="D2813" t="n">
        <v>26</v>
      </c>
      <c r="E2813" t="n">
        <v>26</v>
      </c>
      <c r="F2813" t="n">
        <v>28.37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M2813" t="n">
        <v>23</v>
      </c>
      <c r="N2813" t="n">
        <v>97.78</v>
      </c>
      <c r="O2813" t="n">
        <v>25.49407114624506</v>
      </c>
    </row>
    <row r="2814" hidden="1">
      <c r="A2814" s="11" t="n">
        <v>46090</v>
      </c>
      <c r="B2814" t="inlineStr">
        <is>
          <t>Francilene Ferreira de Jesus</t>
        </is>
      </c>
      <c r="C2814" t="inlineStr">
        <is>
          <t>Técnico II</t>
        </is>
      </c>
      <c r="D2814" t="n">
        <v>0</v>
      </c>
      <c r="E2814" t="n">
        <v>0</v>
      </c>
      <c r="F2814" t="n">
        <v>0</v>
      </c>
      <c r="G2814" t="n">
        <v>0</v>
      </c>
      <c r="H2814" t="n">
        <v>0</v>
      </c>
      <c r="I2814" s="3" t="n">
        <v>0</v>
      </c>
      <c r="J2814" s="3" t="n">
        <v>0</v>
      </c>
      <c r="K2814" s="3" t="n">
        <v>0</v>
      </c>
      <c r="L2814" s="3">
        <f>IF(K2814&lt;-5,"CRÍTICO",IF(K2814&lt;0,"ATENÇÃO",IF(K2814&lt;=5,"OPORTUNO","MUITO BOM")))</f>
        <v/>
      </c>
      <c r="M2814" t="n">
        <v>0</v>
      </c>
      <c r="N2814" t="n">
        <v>98.02</v>
      </c>
      <c r="O2814" t="n">
        <v>23.48484848484848</v>
      </c>
    </row>
    <row r="2815" hidden="1">
      <c r="A2815" s="11" t="n">
        <v>46122</v>
      </c>
      <c r="B2815" t="inlineStr">
        <is>
          <t>Gabriel Gomes de Andrade</t>
        </is>
      </c>
      <c r="C2815" t="inlineStr">
        <is>
          <t>Técnico I</t>
        </is>
      </c>
      <c r="D2815" t="n">
        <v>28</v>
      </c>
      <c r="E2815" t="n">
        <v>21</v>
      </c>
      <c r="F2815" t="n">
        <v>12.14</v>
      </c>
      <c r="G2815" t="n">
        <v>0</v>
      </c>
      <c r="H2815" t="n">
        <v>0</v>
      </c>
      <c r="I2815" s="3">
        <f>E2815+G2815+H2815</f>
        <v/>
      </c>
      <c r="J2815" s="3">
        <f>ROUND(MIN(IF(C2815="Técnico III",35,IF(C2815="Técnico II",28,IF(C2815="Técnico I",23,IF(C2815="JR",20,IF(C2815="Estágio",10,0))))),IF(C2815="Técnico III",SUMIFS($D:$D,$A:$A,$A2815,$B:$B,"&lt;&gt;Patrícia Karla de Sousa Araújo",$B:$B,"&lt;&gt;Lorena Dias de Araujo",$B:$B,"&lt;&gt;Lucas Luiz Romero")*(35/1083),IF(C2815="Técnico II",SUMIFS($D:$D,$A:$A,$A2815,$B:$B,"&lt;&gt;Patrícia Karla de Sousa Araújo",$B:$B,"&lt;&gt;Lorena Dias de Araujo",$B:$B,"&lt;&gt;Lucas Luiz Romero")*(28/1083),IF(C2815="Técnico I",SUMIFS($D:$D,$A:$A,$A2815,$B:$B,"&lt;&gt;Patrícia Karla de Sousa Araújo",$B:$B,"&lt;&gt;Lorena Dias de Araujo",$B:$B,"&lt;&gt;Lucas Luiz Romero")*(23/1083),IF(C2815="JR",SUMIFS($D:$D,$A:$A,$A2815,$B:$B,"&lt;&gt;Patrícia Karla de Sousa Araújo",$B:$B,"&lt;&gt;Lorena Dias de Araujo",$B:$B,"&lt;&gt;Lucas Luiz Romero")*(20/1083),IF(C2815="Estágio",SUMIFS($D:$D,$A:$A,$A2815,$B:$B,"&lt;&gt;Patrícia Karla de Sousa Araújo",$B:$B,"&lt;&gt;Lorena Dias de Araujo",$B:$B,"&lt;&gt;Lucas Luiz Romero")*(10/1083),0)))))),0)</f>
        <v/>
      </c>
      <c r="K2815" s="3">
        <f>I2815-J2815</f>
        <v/>
      </c>
      <c r="L2815" s="3">
        <f>IF(K2815&lt;-5,"CRÍTICO",IF(K2815&lt;0,"ATENÇÃO",IF(K2815&lt;=5,"OPORTUNO","MUITO BOM")))</f>
        <v/>
      </c>
      <c r="M2815" t="n">
        <v>18</v>
      </c>
      <c r="N2815" t="n">
        <v>99.28</v>
      </c>
      <c r="O2815" t="n">
        <v>27.68924302788844</v>
      </c>
    </row>
    <row r="2816" hidden="1">
      <c r="A2816" s="11" t="n">
        <v>46090</v>
      </c>
      <c r="B2816" t="inlineStr">
        <is>
          <t>Isabella Borges de Oliveira</t>
        </is>
      </c>
      <c r="C2816" t="inlineStr">
        <is>
          <t>Técnico II</t>
        </is>
      </c>
      <c r="D2816" t="n">
        <v>19</v>
      </c>
      <c r="E2816" t="n">
        <v>17</v>
      </c>
      <c r="F2816" t="n">
        <v>25.53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M2816" t="n">
        <v>16</v>
      </c>
      <c r="N2816" t="n">
        <v>100</v>
      </c>
      <c r="O2816" t="n">
        <v>27.04918032786885</v>
      </c>
    </row>
    <row r="2817" hidden="1">
      <c r="A2817" s="11" t="n">
        <v>46090</v>
      </c>
      <c r="B2817" t="inlineStr">
        <is>
          <t>Janaina Lima dos Reis Urany</t>
        </is>
      </c>
      <c r="C2817" t="inlineStr">
        <is>
          <t>Técnico III</t>
        </is>
      </c>
      <c r="D2817" t="n">
        <v>43</v>
      </c>
      <c r="E2817" t="n">
        <v>39</v>
      </c>
      <c r="F2817" t="n">
        <v>15.06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M2817" t="n">
        <v>41</v>
      </c>
      <c r="N2817" t="n">
        <v>97.83</v>
      </c>
      <c r="O2817" t="n">
        <v>26.31578947368421</v>
      </c>
    </row>
    <row r="2818" hidden="1">
      <c r="A2818" s="11" t="n">
        <v>46090</v>
      </c>
      <c r="B2818" t="inlineStr">
        <is>
          <t>Jaqueline Evangelista da Silva Martins</t>
        </is>
      </c>
      <c r="C2818" t="inlineStr">
        <is>
          <t>Técnico III</t>
        </is>
      </c>
      <c r="D2818" t="n">
        <v>3</v>
      </c>
      <c r="E2818" t="n">
        <v>3</v>
      </c>
      <c r="F2818" t="n">
        <v>28.33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M2818" t="n">
        <v>6</v>
      </c>
      <c r="N2818" t="n">
        <v>100</v>
      </c>
      <c r="O2818" t="n">
        <v>26.70157068062827</v>
      </c>
    </row>
    <row r="2819" hidden="1">
      <c r="A2819" s="11" t="n">
        <v>46090</v>
      </c>
      <c r="B2819" t="inlineStr">
        <is>
          <t>Jessica Faria da Silveira</t>
        </is>
      </c>
      <c r="C2819" t="inlineStr">
        <is>
          <t>Técnico II</t>
        </is>
      </c>
      <c r="D2819" t="n">
        <v>29</v>
      </c>
      <c r="E2819" t="n">
        <v>26</v>
      </c>
      <c r="F2819" t="n">
        <v>18.26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M2819" t="n">
        <v>24</v>
      </c>
      <c r="N2819" t="n">
        <v>97.47</v>
      </c>
      <c r="O2819" t="n">
        <v>22.88732394366197</v>
      </c>
    </row>
    <row r="2820" hidden="1">
      <c r="A2820" s="11" t="n">
        <v>46090</v>
      </c>
      <c r="B2820" t="inlineStr">
        <is>
          <t>Jéssica Fé Moura</t>
        </is>
      </c>
      <c r="C2820" t="inlineStr">
        <is>
          <t>Técnico III</t>
        </is>
      </c>
      <c r="D2820" t="n">
        <v>0</v>
      </c>
      <c r="E2820" t="n">
        <v>0</v>
      </c>
      <c r="F2820" t="n">
        <v>0</v>
      </c>
      <c r="G2820" t="n">
        <v>0</v>
      </c>
      <c r="H2820" t="n">
        <v>0</v>
      </c>
      <c r="I2820" s="3" t="n">
        <v>0</v>
      </c>
      <c r="J2820" s="3" t="n">
        <v>0</v>
      </c>
      <c r="K2820" s="3" t="n">
        <v>0</v>
      </c>
      <c r="L2820" s="3">
        <f>IF(K2820&lt;-5,"CRÍTICO",IF(K2820&lt;0,"ATENÇÃO",IF(K2820&lt;=5,"OPORTUNO","MUITO BOM")))</f>
        <v/>
      </c>
      <c r="M2820" t="n">
        <v>0</v>
      </c>
      <c r="N2820" t="n">
        <v>0</v>
      </c>
      <c r="O2820" t="n">
        <v>0</v>
      </c>
    </row>
    <row r="2821" hidden="1">
      <c r="A2821" s="11" t="n">
        <v>46090</v>
      </c>
      <c r="B2821" t="inlineStr">
        <is>
          <t>Karina Gonçalves Martins</t>
        </is>
      </c>
      <c r="C2821" t="inlineStr">
        <is>
          <t>JR</t>
        </is>
      </c>
      <c r="D2821" t="n">
        <v>8</v>
      </c>
      <c r="E2821" t="n">
        <v>8</v>
      </c>
      <c r="F2821" t="n">
        <v>35.03</v>
      </c>
      <c r="G2821" t="n">
        <v>0</v>
      </c>
      <c r="H2821" t="n">
        <v>0</v>
      </c>
      <c r="I2821" s="3">
        <f>E2821+G2821+H2821</f>
        <v/>
      </c>
      <c r="J2821" s="3">
        <f>ROUND(MIN(IF(C2821="Técnico III",35,IF(C2821="Técnico II",28,IF(C2821="Técnico I",23,IF(C2821="JR",20,IF(C2821="Estágio",10,0))))),IF(C2821="Técnico III",SUMIFS($D:$D,$A:$A,$A2821,$B:$B,"&lt;&gt;Patrícia Karla de Sousa Araújo",$B:$B,"&lt;&gt;Lorena Dias de Araujo",$B:$B,"&lt;&gt;Lucas Luiz Romero")*(35/1083),IF(C2821="Técnico II",SUMIFS($D:$D,$A:$A,$A2821,$B:$B,"&lt;&gt;Patrícia Karla de Sousa Araújo",$B:$B,"&lt;&gt;Lorena Dias de Araujo",$B:$B,"&lt;&gt;Lucas Luiz Romero")*(28/1083),IF(C2821="Técnico I",SUMIFS($D:$D,$A:$A,$A2821,$B:$B,"&lt;&gt;Patrícia Karla de Sousa Araújo",$B:$B,"&lt;&gt;Lorena Dias de Araujo",$B:$B,"&lt;&gt;Lucas Luiz Romero")*(23/1083),IF(C2821="JR",SUMIFS($D:$D,$A:$A,$A2821,$B:$B,"&lt;&gt;Patrícia Karla de Sousa Araújo",$B:$B,"&lt;&gt;Lorena Dias de Araujo",$B:$B,"&lt;&gt;Lucas Luiz Romero")*(20/1083),IF(C2821="Estágio",SUMIFS($D:$D,$A:$A,$A2821,$B:$B,"&lt;&gt;Patrícia Karla de Sousa Araújo",$B:$B,"&lt;&gt;Lorena Dias de Araujo",$B:$B,"&lt;&gt;Lucas Luiz Romero")*(10/1083),0)))))),0)</f>
        <v/>
      </c>
      <c r="K2821" s="3">
        <f>I2821-J2821</f>
        <v/>
      </c>
      <c r="L2821" s="3">
        <f>IF(K2821&lt;-5,"CRÍTICO",IF(K2821&lt;0,"ATENÇÃO",IF(K2821&lt;=5,"OPORTUNO","MUITO BOM")))</f>
        <v/>
      </c>
      <c r="M2821" t="n">
        <v>9</v>
      </c>
      <c r="N2821" t="n">
        <v>98.31</v>
      </c>
      <c r="O2821" t="n">
        <v>24.92012779552715</v>
      </c>
    </row>
    <row r="2822" hidden="1">
      <c r="A2822" s="11" t="n">
        <v>46090</v>
      </c>
      <c r="B2822" t="inlineStr">
        <is>
          <t>Kerollen Cristielly de Jesus Siqueira</t>
        </is>
      </c>
      <c r="C2822" t="inlineStr">
        <is>
          <t>Técnico III</t>
        </is>
      </c>
      <c r="D2822" t="n">
        <v>15</v>
      </c>
      <c r="E2822" t="n">
        <v>14</v>
      </c>
      <c r="F2822" t="n">
        <v>26.47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M2822" t="n">
        <v>12</v>
      </c>
      <c r="N2822" t="n">
        <v>96.81</v>
      </c>
      <c r="O2822" t="n">
        <v>32.36514522821577</v>
      </c>
    </row>
    <row r="2823" hidden="1">
      <c r="A2823" s="11" t="n">
        <v>46090</v>
      </c>
      <c r="B2823" t="inlineStr">
        <is>
          <t>Leandro de Souza Silva</t>
        </is>
      </c>
      <c r="C2823" t="inlineStr">
        <is>
          <t>JR</t>
        </is>
      </c>
      <c r="D2823" t="n">
        <v>5</v>
      </c>
      <c r="E2823" t="n">
        <v>5</v>
      </c>
      <c r="F2823" t="n">
        <v>43.59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M2823" t="n">
        <v>3</v>
      </c>
      <c r="N2823" t="n">
        <v>100</v>
      </c>
      <c r="O2823" t="n">
        <v>26.47058823529412</v>
      </c>
    </row>
    <row r="2824" hidden="1">
      <c r="A2824" s="11" t="n">
        <v>46090</v>
      </c>
      <c r="B2824" t="inlineStr">
        <is>
          <t>Leandro Oliveira de Sousa</t>
        </is>
      </c>
      <c r="C2824" t="inlineStr">
        <is>
          <t>Técnico III</t>
        </is>
      </c>
      <c r="D2824" t="n">
        <v>7</v>
      </c>
      <c r="E2824" t="n">
        <v>7</v>
      </c>
      <c r="F2824" t="n">
        <v>17.12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M2824" t="n">
        <v>13</v>
      </c>
      <c r="N2824" t="n">
        <v>100</v>
      </c>
      <c r="O2824" t="n">
        <v>28.49002849002849</v>
      </c>
    </row>
    <row r="2825" hidden="1">
      <c r="A2825" s="11" t="n">
        <v>46090</v>
      </c>
      <c r="B2825" t="inlineStr">
        <is>
          <t>Lizandra Gomes Duarte</t>
        </is>
      </c>
      <c r="C2825" t="inlineStr">
        <is>
          <t>Técnico II</t>
        </is>
      </c>
      <c r="D2825" t="n">
        <v>23</v>
      </c>
      <c r="E2825" t="n">
        <v>21</v>
      </c>
      <c r="F2825" t="n">
        <v>18.3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M2825" t="n">
        <v>12</v>
      </c>
      <c r="N2825" t="n">
        <v>99.14</v>
      </c>
      <c r="O2825" t="n">
        <v>27.2289156626506</v>
      </c>
    </row>
    <row r="2826" hidden="1">
      <c r="A2826" s="11" t="n">
        <v>46090</v>
      </c>
      <c r="B2826" t="inlineStr">
        <is>
          <t>Lorena Dias de Araujo</t>
        </is>
      </c>
      <c r="C2826" t="inlineStr">
        <is>
          <t>Técnico II</t>
        </is>
      </c>
      <c r="D2826" t="n">
        <v>9</v>
      </c>
      <c r="E2826" t="n">
        <v>8</v>
      </c>
      <c r="F2826" t="n">
        <v>32.04</v>
      </c>
      <c r="G2826" t="n">
        <v>0</v>
      </c>
      <c r="H2826" t="n">
        <v>0</v>
      </c>
      <c r="I2826" s="3" t="n">
        <v>0</v>
      </c>
      <c r="J2826" s="3" t="n">
        <v>0</v>
      </c>
      <c r="K2826" s="3" t="n">
        <v>0</v>
      </c>
      <c r="L2826" s="3">
        <f>IF(K2826&lt;-5,"CRÍTICO",IF(K2826&lt;0,"ATENÇÃO",IF(K2826&lt;=5,"OPORTUNO","MUITO BOM")))</f>
        <v/>
      </c>
      <c r="M2826" t="n">
        <v>8</v>
      </c>
      <c r="N2826" t="n">
        <v>97.52</v>
      </c>
      <c r="O2826" t="n">
        <v>28.2051282051282</v>
      </c>
    </row>
    <row r="2827" hidden="1">
      <c r="A2827" s="11" t="n">
        <v>46090</v>
      </c>
      <c r="B2827" t="inlineStr">
        <is>
          <t>Lucas Luiz Romero</t>
        </is>
      </c>
      <c r="C2827" t="inlineStr">
        <is>
          <t>Técnico III</t>
        </is>
      </c>
      <c r="D2827" t="n">
        <v>31</v>
      </c>
      <c r="E2827" t="n">
        <v>24</v>
      </c>
      <c r="F2827" t="n">
        <v>20.45</v>
      </c>
      <c r="G2827" t="n">
        <v>0</v>
      </c>
      <c r="H2827" t="n">
        <v>0</v>
      </c>
      <c r="I2827" s="3">
        <f>E2827+G2827+H2827</f>
        <v/>
      </c>
      <c r="J2827" s="3">
        <f>ROUND(MIN(IF(C2827="Técnico III",35,IF(C2827="Técnico II",28,IF(C2827="Técnico I",23,IF(C2827="JR",20,IF(C2827="Estágio",10,0))))),IF(C2827="Técnico III",SUMIFS($D:$D,$A:$A,$A2827,$B:$B,"&lt;&gt;Patrícia Karla de Sousa Araújo",$B:$B,"&lt;&gt;Lorena Dias de Araujo",$B:$B,"&lt;&gt;Lucas Luiz Romero")*(35/1083),IF(C2827="Técnico II",SUMIFS($D:$D,$A:$A,$A2827,$B:$B,"&lt;&gt;Patrícia Karla de Sousa Araújo",$B:$B,"&lt;&gt;Lorena Dias de Araujo",$B:$B,"&lt;&gt;Lucas Luiz Romero")*(28/1083),IF(C2827="Técnico I",SUMIFS($D:$D,$A:$A,$A2827,$B:$B,"&lt;&gt;Patrícia Karla de Sousa Araújo",$B:$B,"&lt;&gt;Lorena Dias de Araujo",$B:$B,"&lt;&gt;Lucas Luiz Romero")*(23/1083),IF(C2827="JR",SUMIFS($D:$D,$A:$A,$A2827,$B:$B,"&lt;&gt;Patrícia Karla de Sousa Araújo",$B:$B,"&lt;&gt;Lorena Dias de Araujo",$B:$B,"&lt;&gt;Lucas Luiz Romero")*(20/1083),IF(C2827="Estágio",SUMIFS($D:$D,$A:$A,$A2827,$B:$B,"&lt;&gt;Patrícia Karla de Sousa Araújo",$B:$B,"&lt;&gt;Lorena Dias de Araujo",$B:$B,"&lt;&gt;Lucas Luiz Romero")*(10/1083),0)))))),0)</f>
        <v/>
      </c>
      <c r="K2827" s="3">
        <f>I2827-J2827</f>
        <v/>
      </c>
      <c r="L2827" s="3">
        <f>IF(K2827&lt;-5,"CRÍTICO",IF(K2827&lt;0,"ATENÇÃO",IF(K2827&lt;=5,"OPORTUNO","MUITO BOM")))</f>
        <v/>
      </c>
      <c r="M2827" t="n">
        <v>15</v>
      </c>
      <c r="N2827" t="n">
        <v>90</v>
      </c>
      <c r="O2827" t="n">
        <v>24.18604651162791</v>
      </c>
    </row>
    <row r="2828" hidden="1">
      <c r="A2828" s="11" t="n">
        <v>46090</v>
      </c>
      <c r="B2828" t="inlineStr">
        <is>
          <t>Luiz Fernando de Carvalho Junior</t>
        </is>
      </c>
      <c r="C2828" t="inlineStr">
        <is>
          <t>Técnico I</t>
        </is>
      </c>
      <c r="D2828" t="n">
        <v>23</v>
      </c>
      <c r="E2828" t="n">
        <v>23</v>
      </c>
      <c r="F2828" t="n">
        <v>23.52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M2828" t="n">
        <v>18</v>
      </c>
      <c r="N2828" t="n">
        <v>98.90000000000001</v>
      </c>
      <c r="O2828" t="n">
        <v>26.7639902676399</v>
      </c>
    </row>
    <row r="2829" hidden="1">
      <c r="A2829" s="11" t="n">
        <v>46090</v>
      </c>
      <c r="B2829" t="inlineStr">
        <is>
          <t>Maria Eduarda Sousa Costa</t>
        </is>
      </c>
      <c r="C2829" t="inlineStr">
        <is>
          <t>Estágio</t>
        </is>
      </c>
      <c r="D2829" t="n">
        <v>0</v>
      </c>
      <c r="E2829" t="n">
        <v>0</v>
      </c>
      <c r="F2829" t="n">
        <v>0</v>
      </c>
      <c r="G2829" t="n">
        <v>0</v>
      </c>
      <c r="H2829" t="n">
        <v>0</v>
      </c>
      <c r="I2829" s="3" t="n">
        <v>0</v>
      </c>
      <c r="J2829" s="3" t="n">
        <v>0</v>
      </c>
      <c r="K2829" s="3" t="n">
        <v>0</v>
      </c>
      <c r="L2829" s="3">
        <f>IF(K2829&lt;-5,"CRÍTICO",IF(K2829&lt;0,"ATENÇÃO",IF(K2829&lt;=5,"OPORTUNO","MUITO BOM")))</f>
        <v/>
      </c>
      <c r="M2829" t="n">
        <v>0</v>
      </c>
      <c r="N2829" t="n">
        <v>88.89</v>
      </c>
      <c r="O2829" t="n">
        <v>25.26315789473684</v>
      </c>
    </row>
    <row r="2830" hidden="1">
      <c r="A2830" s="11" t="n">
        <v>46090</v>
      </c>
      <c r="B2830" t="inlineStr">
        <is>
          <t>Matheus Farias De Souza</t>
        </is>
      </c>
      <c r="C2830" t="inlineStr">
        <is>
          <t>Técnico III</t>
        </is>
      </c>
      <c r="D2830" t="n">
        <v>35</v>
      </c>
      <c r="E2830" t="n">
        <v>35</v>
      </c>
      <c r="F2830" t="n">
        <v>20.02</v>
      </c>
      <c r="G2830" t="n">
        <v>0</v>
      </c>
      <c r="H2830" t="n">
        <v>0</v>
      </c>
      <c r="I2830" s="3">
        <f>E2830+G2830+H2830</f>
        <v/>
      </c>
      <c r="J2830" s="3">
        <f>ROUND(MIN(IF(C2830="Técnico III",35,IF(C2830="Técnico II",28,IF(C2830="Técnico I",23,IF(C2830="JR",20,IF(C2830="Estágio",10,0))))),IF(C2830="Técnico III",SUMIFS($D:$D,$A:$A,$A2830,$B:$B,"&lt;&gt;Patrícia Karla de Sousa Araújo",$B:$B,"&lt;&gt;Lorena Dias de Araujo",$B:$B,"&lt;&gt;Lucas Luiz Romero")*(35/1083),IF(C2830="Técnico II",SUMIFS($D:$D,$A:$A,$A2830,$B:$B,"&lt;&gt;Patrícia Karla de Sousa Araújo",$B:$B,"&lt;&gt;Lorena Dias de Araujo",$B:$B,"&lt;&gt;Lucas Luiz Romero")*(28/1083),IF(C2830="Técnico I",SUMIFS($D:$D,$A:$A,$A2830,$B:$B,"&lt;&gt;Patrícia Karla de Sousa Araújo",$B:$B,"&lt;&gt;Lorena Dias de Araujo",$B:$B,"&lt;&gt;Lucas Luiz Romero")*(23/1083),IF(C2830="JR",SUMIFS($D:$D,$A:$A,$A2830,$B:$B,"&lt;&gt;Patrícia Karla de Sousa Araújo",$B:$B,"&lt;&gt;Lorena Dias de Araujo",$B:$B,"&lt;&gt;Lucas Luiz Romero")*(20/1083),IF(C2830="Estágio",SUMIFS($D:$D,$A:$A,$A2830,$B:$B,"&lt;&gt;Patrícia Karla de Sousa Araújo",$B:$B,"&lt;&gt;Lorena Dias de Araujo",$B:$B,"&lt;&gt;Lucas Luiz Romero")*(10/1083),0)))))),0)</f>
        <v/>
      </c>
      <c r="K2830" s="3">
        <f>I2830-J2830</f>
        <v/>
      </c>
      <c r="L2830" s="3">
        <f>IF(K2830&lt;-5,"CRÍTICO",IF(K2830&lt;0,"ATENÇÃO",IF(K2830&lt;=5,"OPORTUNO","MUITO BOM")))</f>
        <v/>
      </c>
      <c r="M2830" t="n">
        <v>30</v>
      </c>
      <c r="N2830" t="n">
        <v>98.86</v>
      </c>
      <c r="O2830" t="n">
        <v>28.95927601809955</v>
      </c>
    </row>
    <row r="2831" hidden="1">
      <c r="A2831" s="11" t="n">
        <v>46090</v>
      </c>
      <c r="B2831" t="inlineStr">
        <is>
          <t>Maysa Victoria Dias Moura</t>
        </is>
      </c>
      <c r="C2831" t="inlineStr">
        <is>
          <t>Técnico III</t>
        </is>
      </c>
      <c r="D2831" t="n">
        <v>27</v>
      </c>
      <c r="E2831" t="n">
        <v>23</v>
      </c>
      <c r="F2831" t="n">
        <v>19.06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M2831" t="n">
        <v>20</v>
      </c>
      <c r="N2831" t="n">
        <v>98.06</v>
      </c>
      <c r="O2831" t="n">
        <v>22.40566037735849</v>
      </c>
    </row>
    <row r="2832" hidden="1">
      <c r="A2832" s="11" t="n">
        <v>46090</v>
      </c>
      <c r="B2832" t="inlineStr">
        <is>
          <t>Michelle G Santos</t>
        </is>
      </c>
      <c r="C2832" t="inlineStr">
        <is>
          <t>Estágio</t>
        </is>
      </c>
      <c r="D2832" t="n">
        <v>3</v>
      </c>
      <c r="E2832" t="n">
        <v>3</v>
      </c>
      <c r="F2832" t="n">
        <v>90.51000000000001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M2832" t="n">
        <v>3</v>
      </c>
      <c r="N2832" t="n">
        <v>95.83</v>
      </c>
      <c r="O2832" t="n">
        <v>25.77319587628866</v>
      </c>
    </row>
    <row r="2833" hidden="1">
      <c r="A2833" s="11" t="n">
        <v>46090</v>
      </c>
      <c r="B2833" t="inlineStr">
        <is>
          <t>Milena Sales</t>
        </is>
      </c>
      <c r="C2833" t="inlineStr">
        <is>
          <t>JR</t>
        </is>
      </c>
      <c r="D2833" t="n">
        <v>0</v>
      </c>
      <c r="E2833" t="n">
        <v>0</v>
      </c>
      <c r="F2833" t="n">
        <v>0</v>
      </c>
      <c r="G2833" t="n">
        <v>0</v>
      </c>
      <c r="H2833" t="n">
        <v>0</v>
      </c>
      <c r="I2833" s="3" t="n">
        <v>0</v>
      </c>
      <c r="J2833" s="3" t="n">
        <v>0</v>
      </c>
      <c r="K2833" s="3" t="n">
        <v>0</v>
      </c>
      <c r="L2833" s="3">
        <f>IF(K2833&lt;-5,"CRÍTICO",IF(K2833&lt;0,"ATENÇÃO",IF(K2833&lt;=5,"OPORTUNO","MUITO BOM")))</f>
        <v/>
      </c>
      <c r="M2833" t="n">
        <v>0</v>
      </c>
      <c r="N2833" t="n">
        <v>100</v>
      </c>
      <c r="O2833" t="n">
        <v>15.38461538461539</v>
      </c>
    </row>
    <row r="2834" hidden="1">
      <c r="A2834" s="11" t="n">
        <v>46090</v>
      </c>
      <c r="B2834" t="inlineStr">
        <is>
          <t>Patrícia Karla de Sousa Araújo</t>
        </is>
      </c>
      <c r="C2834" t="inlineStr">
        <is>
          <t>Técnico II</t>
        </is>
      </c>
      <c r="D2834" t="n">
        <v>15</v>
      </c>
      <c r="E2834" t="n">
        <v>14</v>
      </c>
      <c r="F2834" t="n">
        <v>33.32</v>
      </c>
      <c r="G2834" t="n">
        <v>0</v>
      </c>
      <c r="H2834" t="n">
        <v>0</v>
      </c>
      <c r="I2834" s="3">
        <f>E2834+G2834+H2834</f>
        <v/>
      </c>
      <c r="J2834" s="3">
        <f>ROUND(MIN(IF(C2834="Técnico III",35,IF(C2834="Técnico II",28,IF(C2834="Técnico I",23,IF(C2834="JR",20,IF(C2834="Estágio",10,0))))),IF(C2834="Técnico III",SUMIFS($D:$D,$A:$A,$A2834,$B:$B,"&lt;&gt;Patrícia Karla de Sousa Araújo",$B:$B,"&lt;&gt;Lorena Dias de Araujo",$B:$B,"&lt;&gt;Lucas Luiz Romero")*(35/1083),IF(C2834="Técnico II",SUMIFS($D:$D,$A:$A,$A2834,$B:$B,"&lt;&gt;Patrícia Karla de Sousa Araújo",$B:$B,"&lt;&gt;Lorena Dias de Araujo",$B:$B,"&lt;&gt;Lucas Luiz Romero")*(28/1083),IF(C2834="Técnico I",SUMIFS($D:$D,$A:$A,$A2834,$B:$B,"&lt;&gt;Patrícia Karla de Sousa Araújo",$B:$B,"&lt;&gt;Lorena Dias de Araujo",$B:$B,"&lt;&gt;Lucas Luiz Romero")*(23/1083),IF(C2834="JR",SUMIFS($D:$D,$A:$A,$A2834,$B:$B,"&lt;&gt;Patrícia Karla de Sousa Araújo",$B:$B,"&lt;&gt;Lorena Dias de Araujo",$B:$B,"&lt;&gt;Lucas Luiz Romero")*(20/1083),IF(C2834="Estágio",SUMIFS($D:$D,$A:$A,$A2834,$B:$B,"&lt;&gt;Patrícia Karla de Sousa Araújo",$B:$B,"&lt;&gt;Lorena Dias de Araujo",$B:$B,"&lt;&gt;Lucas Luiz Romero")*(10/1083),0)))))),0)</f>
        <v/>
      </c>
      <c r="K2834" s="3">
        <f>I2834-J2834</f>
        <v/>
      </c>
      <c r="L2834" s="3">
        <f>IF(K2834&lt;-5,"CRÍTICO",IF(K2834&lt;0,"ATENÇÃO",IF(K2834&lt;=5,"OPORTUNO","MUITO BOM")))</f>
        <v/>
      </c>
      <c r="M2834" t="n">
        <v>11</v>
      </c>
      <c r="N2834" t="n">
        <v>100</v>
      </c>
      <c r="O2834" t="n">
        <v>27.51479289940828</v>
      </c>
    </row>
    <row r="2835" hidden="1">
      <c r="A2835" s="11" t="n">
        <v>46090</v>
      </c>
      <c r="B2835" t="inlineStr">
        <is>
          <t>Paulo Ricardo Santos</t>
        </is>
      </c>
      <c r="C2835" t="inlineStr">
        <is>
          <t>JR</t>
        </is>
      </c>
      <c r="D2835" t="n">
        <v>4</v>
      </c>
      <c r="E2835" t="n">
        <v>4</v>
      </c>
      <c r="F2835" t="n">
        <v>62.16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M2835" t="n">
        <v>3</v>
      </c>
      <c r="N2835" t="n">
        <v>100</v>
      </c>
      <c r="O2835" t="n">
        <v>24.87562189054727</v>
      </c>
    </row>
    <row r="2836" hidden="1">
      <c r="A2836" s="11" t="n">
        <v>46090</v>
      </c>
      <c r="B2836" t="inlineStr">
        <is>
          <t>Pedro Luiz Mota Sousa</t>
        </is>
      </c>
      <c r="C2836" t="inlineStr">
        <is>
          <t>JR</t>
        </is>
      </c>
      <c r="D2836" t="n">
        <v>7</v>
      </c>
      <c r="E2836" t="n">
        <v>7</v>
      </c>
      <c r="F2836" t="n">
        <v>53.56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M2836" t="n">
        <v>4</v>
      </c>
      <c r="N2836" t="n">
        <v>100</v>
      </c>
      <c r="O2836" t="n">
        <v>28.10810810810811</v>
      </c>
    </row>
    <row r="2837" hidden="1">
      <c r="A2837" s="11" t="n">
        <v>46090</v>
      </c>
      <c r="B2837" t="inlineStr">
        <is>
          <t>Quirino Diogo Leite Torres</t>
        </is>
      </c>
      <c r="C2837" t="inlineStr">
        <is>
          <t>Estágio</t>
        </is>
      </c>
      <c r="D2837" t="n">
        <v>0</v>
      </c>
      <c r="E2837" t="n">
        <v>0</v>
      </c>
      <c r="F2837" t="n">
        <v>0</v>
      </c>
      <c r="G2837" t="n">
        <v>0</v>
      </c>
      <c r="H2837" t="n">
        <v>0</v>
      </c>
      <c r="I2837" s="3" t="n">
        <v>0</v>
      </c>
      <c r="J2837" s="3" t="n">
        <v>0</v>
      </c>
      <c r="K2837" s="3" t="n">
        <v>0</v>
      </c>
      <c r="L2837" s="3">
        <f>IF(K2837&lt;-5,"CRÍTICO",IF(K2837&lt;0,"ATENÇÃO",IF(K2837&lt;=5,"OPORTUNO","MUITO BOM")))</f>
        <v/>
      </c>
      <c r="M2837" t="n">
        <v>0</v>
      </c>
      <c r="N2837" t="n">
        <v>100</v>
      </c>
      <c r="O2837" t="n">
        <v>35</v>
      </c>
    </row>
    <row r="2838" hidden="1">
      <c r="A2838" s="11" t="n">
        <v>46090</v>
      </c>
      <c r="B2838" t="inlineStr">
        <is>
          <t>Raane Batista Matos</t>
        </is>
      </c>
      <c r="C2838" t="inlineStr">
        <is>
          <t>Técnico I</t>
        </is>
      </c>
      <c r="D2838" t="n">
        <v>1</v>
      </c>
      <c r="E2838" t="n">
        <v>1</v>
      </c>
      <c r="F2838" t="n">
        <v>73.31</v>
      </c>
      <c r="G2838" t="n">
        <v>0</v>
      </c>
      <c r="H2838" t="n">
        <v>0</v>
      </c>
      <c r="I2838" s="3">
        <f>E2838+G2838+H2838</f>
        <v/>
      </c>
      <c r="J2838" s="3">
        <f>ROUND(MIN(IF(C2838="Técnico III",35,IF(C2838="Técnico II",28,IF(C2838="Técnico I",23,IF(C2838="JR",20,IF(C2838="Estágio",10,0))))),IF(C2838="Técnico III",SUMIFS($D:$D,$A:$A,$A2838,$B:$B,"&lt;&gt;Patrícia Karla de Sousa Araújo",$B:$B,"&lt;&gt;Lorena Dias de Araujo",$B:$B,"&lt;&gt;Lucas Luiz Romero")*(35/1083),IF(C2838="Técnico II",SUMIFS($D:$D,$A:$A,$A2838,$B:$B,"&lt;&gt;Patrícia Karla de Sousa Araújo",$B:$B,"&lt;&gt;Lorena Dias de Araujo",$B:$B,"&lt;&gt;Lucas Luiz Romero")*(28/1083),IF(C2838="Técnico I",SUMIFS($D:$D,$A:$A,$A2838,$B:$B,"&lt;&gt;Patrícia Karla de Sousa Araújo",$B:$B,"&lt;&gt;Lorena Dias de Araujo",$B:$B,"&lt;&gt;Lucas Luiz Romero")*(23/1083),IF(C2838="JR",SUMIFS($D:$D,$A:$A,$A2838,$B:$B,"&lt;&gt;Patrícia Karla de Sousa Araújo",$B:$B,"&lt;&gt;Lorena Dias de Araujo",$B:$B,"&lt;&gt;Lucas Luiz Romero")*(20/1083),IF(C2838="Estágio",SUMIFS($D:$D,$A:$A,$A2838,$B:$B,"&lt;&gt;Patrícia Karla de Sousa Araújo",$B:$B,"&lt;&gt;Lorena Dias de Araujo",$B:$B,"&lt;&gt;Lucas Luiz Romero")*(10/1083),0)))))),0)</f>
        <v/>
      </c>
      <c r="K2838" s="3">
        <f>I2838-J2838</f>
        <v/>
      </c>
      <c r="L2838" s="3">
        <f>IF(K2838&lt;-5,"CRÍTICO",IF(K2838&lt;0,"ATENÇÃO",IF(K2838&lt;=5,"OPORTUNO","MUITO BOM")))</f>
        <v/>
      </c>
      <c r="M2838" t="n">
        <v>0</v>
      </c>
      <c r="N2838" t="n">
        <v>95.34999999999999</v>
      </c>
      <c r="O2838" t="n">
        <v>28.61538461538461</v>
      </c>
    </row>
    <row r="2839" hidden="1">
      <c r="A2839" s="11" t="n">
        <v>46090</v>
      </c>
      <c r="B2839" t="inlineStr">
        <is>
          <t>Rafael Gomes de Morais</t>
        </is>
      </c>
      <c r="C2839" t="inlineStr">
        <is>
          <t>Técnico III</t>
        </is>
      </c>
      <c r="D2839" t="n">
        <v>33</v>
      </c>
      <c r="E2839" t="n">
        <v>32</v>
      </c>
      <c r="F2839" t="n">
        <v>15.46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M2839" t="n">
        <v>32</v>
      </c>
      <c r="N2839" t="n">
        <v>98.26000000000001</v>
      </c>
      <c r="O2839" t="n">
        <v>27.54491017964072</v>
      </c>
    </row>
    <row r="2840" hidden="1">
      <c r="A2840" s="11" t="n">
        <v>46090</v>
      </c>
      <c r="B2840" t="inlineStr">
        <is>
          <t>Sara Maria Monteiro Lopes</t>
        </is>
      </c>
      <c r="C2840" t="inlineStr">
        <is>
          <t>Técnico I</t>
        </is>
      </c>
      <c r="D2840" t="n">
        <v>9</v>
      </c>
      <c r="E2840" t="n">
        <v>9</v>
      </c>
      <c r="F2840" t="n">
        <v>50.16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M2840" t="n">
        <v>8</v>
      </c>
      <c r="N2840" t="n">
        <v>98.55</v>
      </c>
      <c r="O2840" t="n">
        <v>25.33783783783784</v>
      </c>
    </row>
    <row r="2841" hidden="1">
      <c r="A2841" s="11" t="n">
        <v>46090</v>
      </c>
      <c r="B2841" t="inlineStr">
        <is>
          <t>Sarah Steffanie de Lima Borges</t>
        </is>
      </c>
      <c r="C2841" t="inlineStr">
        <is>
          <t>Técnico III</t>
        </is>
      </c>
      <c r="D2841" t="n">
        <v>23</v>
      </c>
      <c r="E2841" t="n">
        <v>22</v>
      </c>
      <c r="F2841" t="n">
        <v>21.45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M2841" t="n">
        <v>22</v>
      </c>
      <c r="N2841" t="n">
        <v>98.39</v>
      </c>
      <c r="O2841" t="n">
        <v>25.56390977443609</v>
      </c>
    </row>
    <row r="2842" hidden="1">
      <c r="A2842" s="11" t="n">
        <v>46091</v>
      </c>
      <c r="B2842" t="inlineStr">
        <is>
          <t>Alisson de Freitas Silva</t>
        </is>
      </c>
      <c r="C2842" t="inlineStr">
        <is>
          <t>Técnico II</t>
        </is>
      </c>
      <c r="D2842" t="n">
        <v>37</v>
      </c>
      <c r="E2842" t="n">
        <v>32</v>
      </c>
      <c r="F2842" t="n">
        <v>17.05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M2842" t="n">
        <v>20</v>
      </c>
      <c r="N2842" t="n">
        <v>94.29000000000001</v>
      </c>
      <c r="O2842" t="n">
        <v>25.64766839378239</v>
      </c>
    </row>
    <row r="2843" hidden="1">
      <c r="A2843" s="11" t="n">
        <v>46091</v>
      </c>
      <c r="B2843" t="inlineStr">
        <is>
          <t>Amanda Moura Ferreira</t>
        </is>
      </c>
      <c r="C2843" t="inlineStr">
        <is>
          <t>Técnico III</t>
        </is>
      </c>
      <c r="D2843" t="n">
        <v>0</v>
      </c>
      <c r="E2843" t="n">
        <v>0</v>
      </c>
      <c r="F2843" t="n">
        <v>0</v>
      </c>
      <c r="G2843" t="n">
        <v>0</v>
      </c>
      <c r="H2843" t="n">
        <v>0</v>
      </c>
      <c r="I2843" s="3" t="n">
        <v>0</v>
      </c>
      <c r="J2843" s="3" t="n">
        <v>0</v>
      </c>
      <c r="K2843" s="3" t="n">
        <v>0</v>
      </c>
      <c r="L2843" s="3">
        <f>IF(K2843&lt;-5,"CRÍTICO",IF(K2843&lt;0,"ATENÇÃO",IF(K2843&lt;=5,"OPORTUNO","MUITO BOM")))</f>
        <v/>
      </c>
      <c r="M2843" t="n">
        <v>24</v>
      </c>
      <c r="N2843" t="n">
        <v>98.26000000000001</v>
      </c>
      <c r="O2843" t="n">
        <v>26.66666666666667</v>
      </c>
    </row>
    <row r="2844" hidden="1">
      <c r="A2844" s="11" t="n">
        <v>46091</v>
      </c>
      <c r="B2844" t="inlineStr">
        <is>
          <t>Ana Karollyne Souza Faria</t>
        </is>
      </c>
      <c r="C2844" t="inlineStr">
        <is>
          <t>Técnico I</t>
        </is>
      </c>
      <c r="D2844" t="n">
        <v>20</v>
      </c>
      <c r="E2844" t="n">
        <v>18</v>
      </c>
      <c r="F2844" t="n">
        <v>25.06</v>
      </c>
      <c r="G2844" t="n">
        <v>0</v>
      </c>
      <c r="H2844" t="n">
        <v>0</v>
      </c>
      <c r="I2844" s="3">
        <f>E2844+G2844+H2844</f>
        <v/>
      </c>
      <c r="J2844" s="3">
        <f>ROUND(MIN(IF(C2844="Técnico III",35,IF(C2844="Técnico II",28,IF(C2844="Técnico I",23,IF(C2844="JR",20,IF(C2844="Estágio",10,0))))),IF(C2844="Técnico III",SUMIFS($D:$D,$A:$A,$A2844,$B:$B,"&lt;&gt;Patrícia Karla de Sousa Araújo",$B:$B,"&lt;&gt;Lorena Dias de Araujo",$B:$B,"&lt;&gt;Lucas Luiz Romero")*(35/1083),IF(C2844="Técnico II",SUMIFS($D:$D,$A:$A,$A2844,$B:$B,"&lt;&gt;Patrícia Karla de Sousa Araújo",$B:$B,"&lt;&gt;Lorena Dias de Araujo",$B:$B,"&lt;&gt;Lucas Luiz Romero")*(28/1083),IF(C2844="Técnico I",SUMIFS($D:$D,$A:$A,$A2844,$B:$B,"&lt;&gt;Patrícia Karla de Sousa Araújo",$B:$B,"&lt;&gt;Lorena Dias de Araujo",$B:$B,"&lt;&gt;Lucas Luiz Romero")*(23/1083),IF(C2844="JR",SUMIFS($D:$D,$A:$A,$A2844,$B:$B,"&lt;&gt;Patrícia Karla de Sousa Araújo",$B:$B,"&lt;&gt;Lorena Dias de Araujo",$B:$B,"&lt;&gt;Lucas Luiz Romero")*(20/1083),IF(C2844="Estágio",SUMIFS($D:$D,$A:$A,$A2844,$B:$B,"&lt;&gt;Patrícia Karla de Sousa Araújo",$B:$B,"&lt;&gt;Lorena Dias de Araujo",$B:$B,"&lt;&gt;Lucas Luiz Romero")*(10/1083),0)))))),0)</f>
        <v/>
      </c>
      <c r="K2844" s="3">
        <f>I2844-J2844</f>
        <v/>
      </c>
      <c r="L2844" s="3">
        <f>IF(K2844&lt;-5,"CRÍTICO",IF(K2844&lt;0,"ATENÇÃO",IF(K2844&lt;=5,"OPORTUNO","MUITO BOM")))</f>
        <v/>
      </c>
      <c r="M2844" t="n">
        <v>17</v>
      </c>
      <c r="N2844" t="n">
        <v>98.2</v>
      </c>
      <c r="O2844" t="n">
        <v>23.37962962962963</v>
      </c>
    </row>
    <row r="2845" hidden="1">
      <c r="A2845" s="11" t="n">
        <v>46091</v>
      </c>
      <c r="B2845" t="inlineStr">
        <is>
          <t>Ana Paula Da Luz Silva Aleixo</t>
        </is>
      </c>
      <c r="C2845" t="inlineStr">
        <is>
          <t>Técnico III</t>
        </is>
      </c>
      <c r="D2845" t="n">
        <v>19</v>
      </c>
      <c r="E2845" t="n">
        <v>19</v>
      </c>
      <c r="F2845" t="n">
        <v>31.44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M2845" t="n">
        <v>17</v>
      </c>
      <c r="N2845" t="n">
        <v>97.3</v>
      </c>
      <c r="O2845" t="n">
        <v>23.84769539078156</v>
      </c>
    </row>
    <row r="2846" hidden="1">
      <c r="A2846" s="11" t="n">
        <v>46091</v>
      </c>
      <c r="B2846" t="inlineStr">
        <is>
          <t>Anna Luiza Rezende Tavares</t>
        </is>
      </c>
      <c r="C2846" t="inlineStr">
        <is>
          <t>Estágio</t>
        </is>
      </c>
      <c r="D2846" t="n">
        <v>10</v>
      </c>
      <c r="E2846" t="n">
        <v>10</v>
      </c>
      <c r="F2846" t="n">
        <v>20.57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M2846" t="n">
        <v>7</v>
      </c>
      <c r="N2846" t="n">
        <v>100</v>
      </c>
      <c r="O2846" t="n">
        <v>25.26881720430108</v>
      </c>
    </row>
    <row r="2847" hidden="1">
      <c r="A2847" s="11" t="n">
        <v>46091</v>
      </c>
      <c r="B2847" t="inlineStr">
        <is>
          <t>Brenda de Menezes Silva</t>
        </is>
      </c>
      <c r="C2847" t="inlineStr">
        <is>
          <t>Técnico II</t>
        </is>
      </c>
      <c r="D2847" t="n">
        <v>45</v>
      </c>
      <c r="E2847" t="n">
        <v>34</v>
      </c>
      <c r="F2847" t="n">
        <v>13.21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M2847" t="n">
        <v>33</v>
      </c>
      <c r="N2847" t="n">
        <v>99.31999999999999</v>
      </c>
      <c r="O2847" t="n">
        <v>22.82282282282282</v>
      </c>
    </row>
    <row r="2848" hidden="1">
      <c r="A2848" s="11" t="n">
        <v>46091</v>
      </c>
      <c r="B2848" t="inlineStr">
        <is>
          <t>Carlos Mateus Cassimiro Nunes</t>
        </is>
      </c>
      <c r="C2848" t="inlineStr">
        <is>
          <t>Técnico II</t>
        </is>
      </c>
      <c r="D2848" t="n">
        <v>15</v>
      </c>
      <c r="E2848" t="n">
        <v>15</v>
      </c>
      <c r="F2848" t="n">
        <v>48.55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M2848" t="n">
        <v>18</v>
      </c>
      <c r="N2848" t="n">
        <v>100</v>
      </c>
      <c r="O2848" t="n">
        <v>27.96610169491525</v>
      </c>
    </row>
    <row r="2849" hidden="1">
      <c r="A2849" s="11" t="n">
        <v>46091</v>
      </c>
      <c r="B2849" t="inlineStr">
        <is>
          <t>Claudio de Sousa Velasco Filho</t>
        </is>
      </c>
      <c r="C2849" t="inlineStr">
        <is>
          <t>Estágio</t>
        </is>
      </c>
      <c r="D2849" t="n">
        <v>0</v>
      </c>
      <c r="E2849" t="n">
        <v>0</v>
      </c>
      <c r="F2849" t="n">
        <v>0</v>
      </c>
      <c r="G2849" t="n">
        <v>0</v>
      </c>
      <c r="H2849" t="n">
        <v>0</v>
      </c>
      <c r="I2849" s="3" t="n">
        <v>0</v>
      </c>
      <c r="J2849" s="3" t="n">
        <v>0</v>
      </c>
      <c r="K2849" s="3" t="n">
        <v>0</v>
      </c>
      <c r="L2849" s="3">
        <f>IF(K2849&lt;-5,"CRÍTICO",IF(K2849&lt;0,"ATENÇÃO",IF(K2849&lt;=5,"OPORTUNO","MUITO BOM")))</f>
        <v/>
      </c>
      <c r="M2849" t="n">
        <v>0</v>
      </c>
      <c r="N2849" t="n">
        <v>100</v>
      </c>
      <c r="O2849" t="n">
        <v>30.43478260869566</v>
      </c>
    </row>
    <row r="2850" hidden="1">
      <c r="A2850" s="11" t="n">
        <v>46091</v>
      </c>
      <c r="B2850" t="inlineStr">
        <is>
          <t>Clessiane Pereira dos Santos</t>
        </is>
      </c>
      <c r="C2850" t="inlineStr">
        <is>
          <t>Técnico I</t>
        </is>
      </c>
      <c r="D2850" t="n">
        <v>26</v>
      </c>
      <c r="E2850" t="n">
        <v>24</v>
      </c>
      <c r="F2850" t="n">
        <v>25.42</v>
      </c>
      <c r="G2850" t="n">
        <v>0</v>
      </c>
      <c r="H2850" t="n">
        <v>0</v>
      </c>
      <c r="I2850" s="3">
        <f>E2850+G2850+H2850</f>
        <v/>
      </c>
      <c r="J2850" s="3">
        <f>ROUND(MIN(IF(C2850="Técnico III",35,IF(C2850="Técnico II",28,IF(C2850="Técnico I",23,IF(C2850="JR",20,IF(C2850="Estágio",10,0))))),IF(C2850="Técnico III",SUMIFS($D:$D,$A:$A,$A2850,$B:$B,"&lt;&gt;Patrícia Karla de Sousa Araújo",$B:$B,"&lt;&gt;Lorena Dias de Araujo",$B:$B,"&lt;&gt;Lucas Luiz Romero")*(35/1083),IF(C2850="Técnico II",SUMIFS($D:$D,$A:$A,$A2850,$B:$B,"&lt;&gt;Patrícia Karla de Sousa Araújo",$B:$B,"&lt;&gt;Lorena Dias de Araujo",$B:$B,"&lt;&gt;Lucas Luiz Romero")*(28/1083),IF(C2850="Técnico I",SUMIFS($D:$D,$A:$A,$A2850,$B:$B,"&lt;&gt;Patrícia Karla de Sousa Araújo",$B:$B,"&lt;&gt;Lorena Dias de Araujo",$B:$B,"&lt;&gt;Lucas Luiz Romero")*(23/1083),IF(C2850="JR",SUMIFS($D:$D,$A:$A,$A2850,$B:$B,"&lt;&gt;Patrícia Karla de Sousa Araújo",$B:$B,"&lt;&gt;Lorena Dias de Araujo",$B:$B,"&lt;&gt;Lucas Luiz Romero")*(20/1083),IF(C2850="Estágio",SUMIFS($D:$D,$A:$A,$A2850,$B:$B,"&lt;&gt;Patrícia Karla de Sousa Araújo",$B:$B,"&lt;&gt;Lorena Dias de Araujo",$B:$B,"&lt;&gt;Lucas Luiz Romero")*(10/1083),0)))))),0)</f>
        <v/>
      </c>
      <c r="K2850" s="3">
        <f>I2850-J2850</f>
        <v/>
      </c>
      <c r="L2850" s="3">
        <f>IF(K2850&lt;-5,"CRÍTICO",IF(K2850&lt;0,"ATENÇÃO",IF(K2850&lt;=5,"OPORTUNO","MUITO BOM")))</f>
        <v/>
      </c>
      <c r="M2850" t="n">
        <v>23</v>
      </c>
      <c r="N2850" t="n">
        <v>96.51000000000001</v>
      </c>
      <c r="O2850" t="n">
        <v>22.80285035629454</v>
      </c>
    </row>
    <row r="2851" hidden="1">
      <c r="A2851" s="11" t="n">
        <v>46091</v>
      </c>
      <c r="B2851" t="inlineStr">
        <is>
          <t>Cristiane Ramos da Silva Rocha</t>
        </is>
      </c>
      <c r="C2851" t="inlineStr">
        <is>
          <t>Técnico III</t>
        </is>
      </c>
      <c r="D2851" t="n">
        <v>16</v>
      </c>
      <c r="E2851" t="n">
        <v>15</v>
      </c>
      <c r="F2851" t="n">
        <v>22.2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M2851" t="n">
        <v>20</v>
      </c>
      <c r="N2851" t="n">
        <v>92.68000000000001</v>
      </c>
      <c r="O2851" t="n">
        <v>27.77777777777778</v>
      </c>
    </row>
    <row r="2852" hidden="1">
      <c r="A2852" s="11" t="n">
        <v>46091</v>
      </c>
      <c r="B2852" t="inlineStr">
        <is>
          <t>Damyllis Lorraine de Oliveira Gonçalves</t>
        </is>
      </c>
      <c r="C2852" t="inlineStr">
        <is>
          <t>Técnico II</t>
        </is>
      </c>
      <c r="D2852" t="n">
        <v>18</v>
      </c>
      <c r="E2852" t="n">
        <v>18</v>
      </c>
      <c r="F2852" t="n">
        <v>23.31</v>
      </c>
      <c r="G2852" t="n">
        <v>0</v>
      </c>
      <c r="H2852" t="n">
        <v>0</v>
      </c>
      <c r="I2852" s="3" t="n">
        <v>0</v>
      </c>
      <c r="J2852" s="3" t="n">
        <v>0</v>
      </c>
      <c r="K2852" s="3" t="n">
        <v>0</v>
      </c>
      <c r="L2852" s="3">
        <f>IF(K2852&lt;-5,"CRÍTICO",IF(K2852&lt;0,"ATENÇÃO",IF(K2852&lt;=5,"OPORTUNO","MUITO BOM")))</f>
        <v/>
      </c>
      <c r="M2852" t="n">
        <v>19</v>
      </c>
      <c r="N2852" t="n">
        <v>99.03</v>
      </c>
      <c r="O2852" t="n">
        <v>23.99150743099788</v>
      </c>
    </row>
    <row r="2853" hidden="1">
      <c r="A2853" s="11" t="n">
        <v>46091</v>
      </c>
      <c r="B2853" t="inlineStr">
        <is>
          <t>Daniel Gomes da Silva</t>
        </is>
      </c>
      <c r="C2853" t="inlineStr">
        <is>
          <t>Técnico I</t>
        </is>
      </c>
      <c r="D2853" t="n">
        <v>22</v>
      </c>
      <c r="E2853" t="n">
        <v>22</v>
      </c>
      <c r="F2853" t="n">
        <v>30.08</v>
      </c>
      <c r="G2853" t="n">
        <v>0</v>
      </c>
      <c r="H2853" t="n">
        <v>0</v>
      </c>
      <c r="I2853" s="3">
        <f>E2853+G2853+H2853</f>
        <v/>
      </c>
      <c r="J2853" s="3">
        <f>ROUND(MIN(IF(C2853="Técnico III",35,IF(C2853="Técnico II",28,IF(C2853="Técnico I",23,IF(C2853="JR",20,IF(C2853="Estágio",10,0))))),IF(C2853="Técnico III",SUMIFS($D:$D,$A:$A,$A2853,$B:$B,"&lt;&gt;Patrícia Karla de Sousa Araújo",$B:$B,"&lt;&gt;Lorena Dias de Araujo",$B:$B,"&lt;&gt;Lucas Luiz Romero")*(35/1083),IF(C2853="Técnico II",SUMIFS($D:$D,$A:$A,$A2853,$B:$B,"&lt;&gt;Patrícia Karla de Sousa Araújo",$B:$B,"&lt;&gt;Lorena Dias de Araujo",$B:$B,"&lt;&gt;Lucas Luiz Romero")*(28/1083),IF(C2853="Técnico I",SUMIFS($D:$D,$A:$A,$A2853,$B:$B,"&lt;&gt;Patrícia Karla de Sousa Araújo",$B:$B,"&lt;&gt;Lorena Dias de Araujo",$B:$B,"&lt;&gt;Lucas Luiz Romero")*(23/1083),IF(C2853="JR",SUMIFS($D:$D,$A:$A,$A2853,$B:$B,"&lt;&gt;Patrícia Karla de Sousa Araújo",$B:$B,"&lt;&gt;Lorena Dias de Araujo",$B:$B,"&lt;&gt;Lucas Luiz Romero")*(20/1083),IF(C2853="Estágio",SUMIFS($D:$D,$A:$A,$A2853,$B:$B,"&lt;&gt;Patrícia Karla de Sousa Araújo",$B:$B,"&lt;&gt;Lorena Dias de Araujo",$B:$B,"&lt;&gt;Lucas Luiz Romero")*(10/1083),0)))))),0)</f>
        <v/>
      </c>
      <c r="K2853" s="3">
        <f>I2853-J2853</f>
        <v/>
      </c>
      <c r="L2853" s="3">
        <f>IF(K2853&lt;-5,"CRÍTICO",IF(K2853&lt;0,"ATENÇÃO",IF(K2853&lt;=5,"OPORTUNO","MUITO BOM")))</f>
        <v/>
      </c>
      <c r="M2853" t="n">
        <v>12</v>
      </c>
      <c r="N2853" t="n">
        <v>98.41</v>
      </c>
      <c r="O2853" t="n">
        <v>28.13852813852814</v>
      </c>
    </row>
    <row r="2854" hidden="1">
      <c r="A2854" s="11" t="n">
        <v>46091</v>
      </c>
      <c r="B2854" t="inlineStr">
        <is>
          <t>Davylla Rodrigues Freitas Silva</t>
        </is>
      </c>
      <c r="C2854" t="inlineStr">
        <is>
          <t>Técnico III</t>
        </is>
      </c>
      <c r="D2854" t="n">
        <v>28</v>
      </c>
      <c r="E2854" t="n">
        <v>28</v>
      </c>
      <c r="F2854" t="n">
        <v>22.2</v>
      </c>
      <c r="G2854" t="n">
        <v>0</v>
      </c>
      <c r="H2854" t="n">
        <v>0</v>
      </c>
      <c r="I2854" s="3" t="n">
        <v>0</v>
      </c>
      <c r="J2854" s="3" t="n">
        <v>0</v>
      </c>
      <c r="K2854" s="3" t="n">
        <v>0</v>
      </c>
      <c r="L2854" s="3">
        <f>IF(K2854&lt;-5,"CRÍTICO",IF(K2854&lt;0,"ATENÇÃO",IF(K2854&lt;=5,"OPORTUNO","MUITO BOM")))</f>
        <v/>
      </c>
      <c r="M2854" t="n">
        <v>31</v>
      </c>
      <c r="N2854" t="n">
        <v>98.73</v>
      </c>
      <c r="O2854" t="n">
        <v>29.14285714285714</v>
      </c>
    </row>
    <row r="2855" hidden="1">
      <c r="A2855" s="11" t="n">
        <v>46091</v>
      </c>
      <c r="B2855" t="inlineStr">
        <is>
          <t>Emilly Caylane Costa</t>
        </is>
      </c>
      <c r="C2855" t="inlineStr">
        <is>
          <t>Estágio</t>
        </is>
      </c>
      <c r="D2855" t="n">
        <v>6</v>
      </c>
      <c r="E2855" t="n">
        <v>6</v>
      </c>
      <c r="F2855" t="n">
        <v>54.19</v>
      </c>
      <c r="G2855" t="n">
        <v>0</v>
      </c>
      <c r="H2855" t="n">
        <v>0</v>
      </c>
      <c r="I2855" s="3">
        <f>E2855+G2855+H2855</f>
        <v/>
      </c>
      <c r="J2855" s="3">
        <f>ROUND(MIN(IF(C2855="Técnico III",35,IF(C2855="Técnico II",28,IF(C2855="Técnico I",23,IF(C2855="JR",20,IF(C2855="Estágio",10,0))))),IF(C2855="Técnico III",SUMIFS($D:$D,$A:$A,$A2855,$B:$B,"&lt;&gt;Patrícia Karla de Sousa Araújo",$B:$B,"&lt;&gt;Lorena Dias de Araujo",$B:$B,"&lt;&gt;Lucas Luiz Romero")*(35/1083),IF(C2855="Técnico II",SUMIFS($D:$D,$A:$A,$A2855,$B:$B,"&lt;&gt;Patrícia Karla de Sousa Araújo",$B:$B,"&lt;&gt;Lorena Dias de Araujo",$B:$B,"&lt;&gt;Lucas Luiz Romero")*(28/1083),IF(C2855="Técnico I",SUMIFS($D:$D,$A:$A,$A2855,$B:$B,"&lt;&gt;Patrícia Karla de Sousa Araújo",$B:$B,"&lt;&gt;Lorena Dias de Araujo",$B:$B,"&lt;&gt;Lucas Luiz Romero")*(23/1083),IF(C2855="JR",SUMIFS($D:$D,$A:$A,$A2855,$B:$B,"&lt;&gt;Patrícia Karla de Sousa Araújo",$B:$B,"&lt;&gt;Lorena Dias de Araujo",$B:$B,"&lt;&gt;Lucas Luiz Romero")*(20/1083),IF(C2855="Estágio",SUMIFS($D:$D,$A:$A,$A2855,$B:$B,"&lt;&gt;Patrícia Karla de Sousa Araújo",$B:$B,"&lt;&gt;Lorena Dias de Araujo",$B:$B,"&lt;&gt;Lucas Luiz Romero")*(10/1083),0)))))),0)</f>
        <v/>
      </c>
      <c r="K2855" s="3">
        <f>I2855-J2855</f>
        <v/>
      </c>
      <c r="L2855" s="3">
        <f>IF(K2855&lt;-5,"CRÍTICO",IF(K2855&lt;0,"ATENÇÃO",IF(K2855&lt;=5,"OPORTUNO","MUITO BOM")))</f>
        <v/>
      </c>
      <c r="M2855" t="n">
        <v>5</v>
      </c>
      <c r="N2855" t="n">
        <v>90.48</v>
      </c>
      <c r="O2855" t="n">
        <v>20.68965517241379</v>
      </c>
    </row>
    <row r="2856" hidden="1">
      <c r="A2856" s="11" t="n">
        <v>46091</v>
      </c>
      <c r="B2856" t="inlineStr">
        <is>
          <t>Emilly Kamilly Medeiros Miranda</t>
        </is>
      </c>
      <c r="C2856" t="inlineStr">
        <is>
          <t>Técnico II</t>
        </is>
      </c>
      <c r="D2856" t="n">
        <v>16</v>
      </c>
      <c r="E2856" t="n">
        <v>15</v>
      </c>
      <c r="F2856" t="n">
        <v>36.4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M2856" t="n">
        <v>14</v>
      </c>
      <c r="N2856" t="n">
        <v>98.06</v>
      </c>
      <c r="O2856" t="n">
        <v>24.78991596638656</v>
      </c>
    </row>
    <row r="2857" hidden="1">
      <c r="A2857" s="11" t="n">
        <v>46091</v>
      </c>
      <c r="B2857" t="inlineStr">
        <is>
          <t>Francielson de Oliveira</t>
        </is>
      </c>
      <c r="C2857" t="inlineStr">
        <is>
          <t>Técnico III</t>
        </is>
      </c>
      <c r="D2857" t="n">
        <v>12</v>
      </c>
      <c r="E2857" t="n">
        <v>12</v>
      </c>
      <c r="F2857" t="n">
        <v>24.06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M2857" t="n">
        <v>12</v>
      </c>
      <c r="N2857" t="n">
        <v>97.78</v>
      </c>
      <c r="O2857" t="n">
        <v>25.49407114624506</v>
      </c>
    </row>
    <row r="2858" hidden="1">
      <c r="A2858" s="11" t="n">
        <v>46091</v>
      </c>
      <c r="B2858" t="inlineStr">
        <is>
          <t>Francilene Ferreira de Jesus</t>
        </is>
      </c>
      <c r="C2858" t="inlineStr">
        <is>
          <t>Técnico II</t>
        </is>
      </c>
      <c r="D2858" t="n">
        <v>16</v>
      </c>
      <c r="E2858" t="n">
        <v>15</v>
      </c>
      <c r="F2858" t="n">
        <v>45.24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M2858" t="n">
        <v>14</v>
      </c>
      <c r="N2858" t="n">
        <v>98.02</v>
      </c>
      <c r="O2858" t="n">
        <v>23.48484848484848</v>
      </c>
    </row>
    <row r="2859" hidden="1">
      <c r="A2859" s="11" t="n">
        <v>46125</v>
      </c>
      <c r="B2859" t="inlineStr">
        <is>
          <t>Gabriel Gomes de Andrade</t>
        </is>
      </c>
      <c r="C2859" t="inlineStr">
        <is>
          <t>Técnico I</t>
        </is>
      </c>
      <c r="D2859" t="n">
        <v>27</v>
      </c>
      <c r="E2859" t="n">
        <v>24</v>
      </c>
      <c r="F2859" t="n">
        <v>15.42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M2859" t="n">
        <v>22</v>
      </c>
      <c r="N2859" t="n">
        <v>99.28</v>
      </c>
      <c r="O2859" t="n">
        <v>27.68924302788844</v>
      </c>
    </row>
    <row r="2860" hidden="1">
      <c r="A2860" s="11" t="n">
        <v>46091</v>
      </c>
      <c r="B2860" t="inlineStr">
        <is>
          <t>Isabella Borges de Oliveira</t>
        </is>
      </c>
      <c r="C2860" t="inlineStr">
        <is>
          <t>Técnico II</t>
        </is>
      </c>
      <c r="D2860" t="n">
        <v>24</v>
      </c>
      <c r="E2860" t="n">
        <v>24</v>
      </c>
      <c r="F2860" t="n">
        <v>27.22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M2860" t="n">
        <v>23</v>
      </c>
      <c r="N2860" t="n">
        <v>100</v>
      </c>
      <c r="O2860" t="n">
        <v>27.04918032786885</v>
      </c>
    </row>
    <row r="2861" hidden="1">
      <c r="A2861" s="11" t="n">
        <v>46091</v>
      </c>
      <c r="B2861" t="inlineStr">
        <is>
          <t>Janaina Lima dos Reis Urany</t>
        </is>
      </c>
      <c r="C2861" t="inlineStr">
        <is>
          <t>Técnico III</t>
        </is>
      </c>
      <c r="D2861" t="n">
        <v>40</v>
      </c>
      <c r="E2861" t="n">
        <v>36</v>
      </c>
      <c r="F2861" t="n">
        <v>16.46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M2861" t="n">
        <v>35</v>
      </c>
      <c r="N2861" t="n">
        <v>97.83</v>
      </c>
      <c r="O2861" t="n">
        <v>26.31578947368421</v>
      </c>
    </row>
    <row r="2862" hidden="1">
      <c r="A2862" s="11" t="n">
        <v>46091</v>
      </c>
      <c r="B2862" t="inlineStr">
        <is>
          <t>Jaqueline Evangelista da Silva Martins</t>
        </is>
      </c>
      <c r="C2862" t="inlineStr">
        <is>
          <t>Técnico III</t>
        </is>
      </c>
      <c r="D2862" t="n">
        <v>9</v>
      </c>
      <c r="E2862" t="n">
        <v>9</v>
      </c>
      <c r="F2862" t="n">
        <v>25.5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M2862" t="n">
        <v>10</v>
      </c>
      <c r="N2862" t="n">
        <v>100</v>
      </c>
      <c r="O2862" t="n">
        <v>26.70157068062827</v>
      </c>
    </row>
    <row r="2863" hidden="1">
      <c r="A2863" s="11" t="n">
        <v>46091</v>
      </c>
      <c r="B2863" t="inlineStr">
        <is>
          <t>Jessica Faria da Silveira</t>
        </is>
      </c>
      <c r="C2863" t="inlineStr">
        <is>
          <t>Técnico II</t>
        </is>
      </c>
      <c r="D2863" t="n">
        <v>22</v>
      </c>
      <c r="E2863" t="n">
        <v>19</v>
      </c>
      <c r="F2863" t="n">
        <v>23.29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M2863" t="n">
        <v>16</v>
      </c>
      <c r="N2863" t="n">
        <v>97.47</v>
      </c>
      <c r="O2863" t="n">
        <v>22.88732394366197</v>
      </c>
    </row>
    <row r="2864" hidden="1">
      <c r="A2864" s="11" t="n">
        <v>46091</v>
      </c>
      <c r="B2864" t="inlineStr">
        <is>
          <t>Jéssica Fé Moura</t>
        </is>
      </c>
      <c r="C2864" t="inlineStr">
        <is>
          <t>Técnico III</t>
        </is>
      </c>
      <c r="D2864" t="n">
        <v>0</v>
      </c>
      <c r="E2864" t="n">
        <v>0</v>
      </c>
      <c r="F2864" t="n">
        <v>0</v>
      </c>
      <c r="G2864" t="n">
        <v>0</v>
      </c>
      <c r="H2864" t="n">
        <v>0</v>
      </c>
      <c r="I2864" s="3" t="n">
        <v>0</v>
      </c>
      <c r="J2864" s="3" t="n">
        <v>0</v>
      </c>
      <c r="K2864" s="3" t="n">
        <v>0</v>
      </c>
      <c r="L2864" s="3">
        <f>IF(K2864&lt;-5,"CRÍTICO",IF(K2864&lt;0,"ATENÇÃO",IF(K2864&lt;=5,"OPORTUNO","MUITO BOM")))</f>
        <v/>
      </c>
      <c r="M2864" t="n">
        <v>0</v>
      </c>
      <c r="N2864" t="n">
        <v>0</v>
      </c>
      <c r="O2864" t="n">
        <v>0</v>
      </c>
    </row>
    <row r="2865" hidden="1">
      <c r="A2865" s="11" t="n">
        <v>46091</v>
      </c>
      <c r="B2865" t="inlineStr">
        <is>
          <t>Karina Gonçalves Martins</t>
        </is>
      </c>
      <c r="C2865" t="inlineStr">
        <is>
          <t>JR</t>
        </is>
      </c>
      <c r="D2865" t="n">
        <v>8</v>
      </c>
      <c r="E2865" t="n">
        <v>8</v>
      </c>
      <c r="F2865" t="n">
        <v>33.2</v>
      </c>
      <c r="G2865" t="n">
        <v>0</v>
      </c>
      <c r="H2865" t="n">
        <v>0</v>
      </c>
      <c r="I2865" s="3">
        <f>E2865+G2865+H2865</f>
        <v/>
      </c>
      <c r="J2865" s="3">
        <f>ROUND(MIN(IF(C2865="Técnico III",35,IF(C2865="Técnico II",28,IF(C2865="Técnico I",23,IF(C2865="JR",20,IF(C2865="Estágio",10,0))))),IF(C2865="Técnico III",SUMIFS($D:$D,$A:$A,$A2865,$B:$B,"&lt;&gt;Patrícia Karla de Sousa Araújo",$B:$B,"&lt;&gt;Lorena Dias de Araujo",$B:$B,"&lt;&gt;Lucas Luiz Romero")*(35/1083),IF(C2865="Técnico II",SUMIFS($D:$D,$A:$A,$A2865,$B:$B,"&lt;&gt;Patrícia Karla de Sousa Araújo",$B:$B,"&lt;&gt;Lorena Dias de Araujo",$B:$B,"&lt;&gt;Lucas Luiz Romero")*(28/1083),IF(C2865="Técnico I",SUMIFS($D:$D,$A:$A,$A2865,$B:$B,"&lt;&gt;Patrícia Karla de Sousa Araújo",$B:$B,"&lt;&gt;Lorena Dias de Araujo",$B:$B,"&lt;&gt;Lucas Luiz Romero")*(23/1083),IF(C2865="JR",SUMIFS($D:$D,$A:$A,$A2865,$B:$B,"&lt;&gt;Patrícia Karla de Sousa Araújo",$B:$B,"&lt;&gt;Lorena Dias de Araujo",$B:$B,"&lt;&gt;Lucas Luiz Romero")*(20/1083),IF(C2865="Estágio",SUMIFS($D:$D,$A:$A,$A2865,$B:$B,"&lt;&gt;Patrícia Karla de Sousa Araújo",$B:$B,"&lt;&gt;Lorena Dias de Araujo",$B:$B,"&lt;&gt;Lucas Luiz Romero")*(10/1083),0)))))),0)</f>
        <v/>
      </c>
      <c r="K2865" s="3">
        <f>I2865-J2865</f>
        <v/>
      </c>
      <c r="L2865" s="3">
        <f>IF(K2865&lt;-5,"CRÍTICO",IF(K2865&lt;0,"ATENÇÃO",IF(K2865&lt;=5,"OPORTUNO","MUITO BOM")))</f>
        <v/>
      </c>
      <c r="M2865" t="n">
        <v>8</v>
      </c>
      <c r="N2865" t="n">
        <v>98.31</v>
      </c>
      <c r="O2865" t="n">
        <v>24.92012779552715</v>
      </c>
    </row>
    <row r="2866" hidden="1">
      <c r="A2866" s="11" t="n">
        <v>46091</v>
      </c>
      <c r="B2866" t="inlineStr">
        <is>
          <t>Kerollen Cristielly de Jesus Siqueira</t>
        </is>
      </c>
      <c r="C2866" t="inlineStr">
        <is>
          <t>Técnico III</t>
        </is>
      </c>
      <c r="D2866" t="n">
        <v>1</v>
      </c>
      <c r="E2866" t="n">
        <v>1</v>
      </c>
      <c r="F2866" t="n">
        <v>43.44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M2866" t="n">
        <v>14</v>
      </c>
      <c r="N2866" t="n">
        <v>96.81</v>
      </c>
      <c r="O2866" t="n">
        <v>32.36514522821577</v>
      </c>
    </row>
    <row r="2867" hidden="1">
      <c r="A2867" s="11" t="n">
        <v>46091</v>
      </c>
      <c r="B2867" t="inlineStr">
        <is>
          <t>Leandro de Souza Silva</t>
        </is>
      </c>
      <c r="C2867" t="inlineStr">
        <is>
          <t>JR</t>
        </is>
      </c>
      <c r="D2867" t="n">
        <v>16</v>
      </c>
      <c r="E2867" t="n">
        <v>12</v>
      </c>
      <c r="F2867" t="n">
        <v>25.06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M2867" t="n">
        <v>10</v>
      </c>
      <c r="N2867" t="n">
        <v>100</v>
      </c>
      <c r="O2867" t="n">
        <v>26.47058823529412</v>
      </c>
    </row>
    <row r="2868" hidden="1">
      <c r="A2868" s="11" t="n">
        <v>46091</v>
      </c>
      <c r="B2868" t="inlineStr">
        <is>
          <t>Leandro Oliveira de Sousa</t>
        </is>
      </c>
      <c r="C2868" t="inlineStr">
        <is>
          <t>Técnico III</t>
        </is>
      </c>
      <c r="D2868" t="n">
        <v>15</v>
      </c>
      <c r="E2868" t="n">
        <v>13</v>
      </c>
      <c r="F2868" t="n">
        <v>20.18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M2868" t="n">
        <v>19</v>
      </c>
      <c r="N2868" t="n">
        <v>100</v>
      </c>
      <c r="O2868" t="n">
        <v>28.49002849002849</v>
      </c>
    </row>
    <row r="2869" hidden="1">
      <c r="A2869" s="11" t="n">
        <v>46091</v>
      </c>
      <c r="B2869" t="inlineStr">
        <is>
          <t>Lizandra Gomes Duarte</t>
        </is>
      </c>
      <c r="C2869" t="inlineStr">
        <is>
          <t>Técnico II</t>
        </is>
      </c>
      <c r="D2869" t="n">
        <v>24</v>
      </c>
      <c r="E2869" t="n">
        <v>22</v>
      </c>
      <c r="F2869" t="n">
        <v>25.13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M2869" t="n">
        <v>16</v>
      </c>
      <c r="N2869" t="n">
        <v>99.14</v>
      </c>
      <c r="O2869" t="n">
        <v>27.2289156626506</v>
      </c>
    </row>
    <row r="2870" hidden="1">
      <c r="A2870" s="11" t="n">
        <v>46091</v>
      </c>
      <c r="B2870" t="inlineStr">
        <is>
          <t>Lorena Dias de Araujo</t>
        </is>
      </c>
      <c r="C2870" t="inlineStr">
        <is>
          <t>Técnico II</t>
        </is>
      </c>
      <c r="D2870" t="n">
        <v>30</v>
      </c>
      <c r="E2870" t="n">
        <v>29</v>
      </c>
      <c r="F2870" t="n">
        <v>21.51</v>
      </c>
      <c r="G2870" t="n">
        <v>0</v>
      </c>
      <c r="H2870" t="n">
        <v>0</v>
      </c>
      <c r="I2870" s="3" t="n">
        <v>0</v>
      </c>
      <c r="J2870" s="3" t="n">
        <v>0</v>
      </c>
      <c r="K2870" s="3" t="n">
        <v>0</v>
      </c>
      <c r="L2870" s="3">
        <f>IF(K2870&lt;-5,"CRÍTICO",IF(K2870&lt;0,"ATENÇÃO",IF(K2870&lt;=5,"OPORTUNO","MUITO BOM")))</f>
        <v/>
      </c>
      <c r="M2870" t="n">
        <v>27</v>
      </c>
      <c r="N2870" t="n">
        <v>97.52</v>
      </c>
      <c r="O2870" t="n">
        <v>28.2051282051282</v>
      </c>
    </row>
    <row r="2871" hidden="1">
      <c r="A2871" s="11" t="n">
        <v>46091</v>
      </c>
      <c r="B2871" t="inlineStr">
        <is>
          <t>Lucas Luiz Romero</t>
        </is>
      </c>
      <c r="C2871" t="inlineStr">
        <is>
          <t>Técnico III</t>
        </is>
      </c>
      <c r="D2871" t="n">
        <v>37</v>
      </c>
      <c r="E2871" t="n">
        <v>30</v>
      </c>
      <c r="F2871" t="n">
        <v>13.52</v>
      </c>
      <c r="G2871" t="n">
        <v>0</v>
      </c>
      <c r="H2871" t="n">
        <v>0</v>
      </c>
      <c r="I2871" s="3">
        <f>E2871+G2871+H2871</f>
        <v/>
      </c>
      <c r="J2871" s="3">
        <f>ROUND(MIN(IF(C2871="Técnico III",35,IF(C2871="Técnico II",28,IF(C2871="Técnico I",23,IF(C2871="JR",20,IF(C2871="Estágio",10,0))))),IF(C2871="Técnico III",SUMIFS($D:$D,$A:$A,$A2871,$B:$B,"&lt;&gt;Patrícia Karla de Sousa Araújo",$B:$B,"&lt;&gt;Lorena Dias de Araujo",$B:$B,"&lt;&gt;Lucas Luiz Romero")*(35/1083),IF(C2871="Técnico II",SUMIFS($D:$D,$A:$A,$A2871,$B:$B,"&lt;&gt;Patrícia Karla de Sousa Araújo",$B:$B,"&lt;&gt;Lorena Dias de Araujo",$B:$B,"&lt;&gt;Lucas Luiz Romero")*(28/1083),IF(C2871="Técnico I",SUMIFS($D:$D,$A:$A,$A2871,$B:$B,"&lt;&gt;Patrícia Karla de Sousa Araújo",$B:$B,"&lt;&gt;Lorena Dias de Araujo",$B:$B,"&lt;&gt;Lucas Luiz Romero")*(23/1083),IF(C2871="JR",SUMIFS($D:$D,$A:$A,$A2871,$B:$B,"&lt;&gt;Patrícia Karla de Sousa Araújo",$B:$B,"&lt;&gt;Lorena Dias de Araujo",$B:$B,"&lt;&gt;Lucas Luiz Romero")*(20/1083),IF(C2871="Estágio",SUMIFS($D:$D,$A:$A,$A2871,$B:$B,"&lt;&gt;Patrícia Karla de Sousa Araújo",$B:$B,"&lt;&gt;Lorena Dias de Araujo",$B:$B,"&lt;&gt;Lucas Luiz Romero")*(10/1083),0)))))),0)</f>
        <v/>
      </c>
      <c r="K2871" s="3">
        <f>I2871-J2871</f>
        <v/>
      </c>
      <c r="L2871" s="3">
        <f>IF(K2871&lt;-5,"CRÍTICO",IF(K2871&lt;0,"ATENÇÃO",IF(K2871&lt;=5,"OPORTUNO","MUITO BOM")))</f>
        <v/>
      </c>
      <c r="M2871" t="n">
        <v>17</v>
      </c>
      <c r="N2871" t="n">
        <v>90</v>
      </c>
      <c r="O2871" t="n">
        <v>24.18604651162791</v>
      </c>
    </row>
    <row r="2872" hidden="1">
      <c r="A2872" s="11" t="n">
        <v>46091</v>
      </c>
      <c r="B2872" t="inlineStr">
        <is>
          <t>Luiz Fernando de Carvalho Junior</t>
        </is>
      </c>
      <c r="C2872" t="inlineStr">
        <is>
          <t>Técnico I</t>
        </is>
      </c>
      <c r="D2872" t="n">
        <v>20</v>
      </c>
      <c r="E2872" t="n">
        <v>19</v>
      </c>
      <c r="F2872" t="n">
        <v>30.04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M2872" t="n">
        <v>17</v>
      </c>
      <c r="N2872" t="n">
        <v>98.90000000000001</v>
      </c>
      <c r="O2872" t="n">
        <v>26.7639902676399</v>
      </c>
    </row>
    <row r="2873" hidden="1">
      <c r="A2873" s="11" t="n">
        <v>46091</v>
      </c>
      <c r="B2873" t="inlineStr">
        <is>
          <t>Maria Eduarda Sousa Costa</t>
        </is>
      </c>
      <c r="C2873" t="inlineStr">
        <is>
          <t>Estágio</t>
        </is>
      </c>
      <c r="D2873" t="n">
        <v>10</v>
      </c>
      <c r="E2873" t="n">
        <v>8</v>
      </c>
      <c r="F2873" t="n">
        <v>33.5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M2873" t="n">
        <v>6</v>
      </c>
      <c r="N2873" t="n">
        <v>88.89</v>
      </c>
      <c r="O2873" t="n">
        <v>25.26315789473684</v>
      </c>
    </row>
    <row r="2874" hidden="1">
      <c r="A2874" s="11" t="n">
        <v>46091</v>
      </c>
      <c r="B2874" t="inlineStr">
        <is>
          <t>Matheus Farias De Souza</t>
        </is>
      </c>
      <c r="C2874" t="inlineStr">
        <is>
          <t>Técnico III</t>
        </is>
      </c>
      <c r="D2874" t="n">
        <v>25</v>
      </c>
      <c r="E2874" t="n">
        <v>24</v>
      </c>
      <c r="F2874" t="n">
        <v>18.29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M2874" t="n">
        <v>22</v>
      </c>
      <c r="N2874" t="n">
        <v>98.86</v>
      </c>
      <c r="O2874" t="n">
        <v>28.95927601809955</v>
      </c>
    </row>
    <row r="2875" hidden="1">
      <c r="A2875" s="11" t="n">
        <v>46091</v>
      </c>
      <c r="B2875" t="inlineStr">
        <is>
          <t>Maysa Victoria Dias Moura</t>
        </is>
      </c>
      <c r="C2875" t="inlineStr">
        <is>
          <t>Técnico III</t>
        </is>
      </c>
      <c r="D2875" t="n">
        <v>30</v>
      </c>
      <c r="E2875" t="n">
        <v>30</v>
      </c>
      <c r="F2875" t="n">
        <v>17.24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M2875" t="n">
        <v>24</v>
      </c>
      <c r="N2875" t="n">
        <v>98.06</v>
      </c>
      <c r="O2875" t="n">
        <v>22.40566037735849</v>
      </c>
    </row>
    <row r="2876" hidden="1">
      <c r="A2876" s="11" t="n">
        <v>46091</v>
      </c>
      <c r="B2876" t="inlineStr">
        <is>
          <t>Michelle G Santos</t>
        </is>
      </c>
      <c r="C2876" t="inlineStr">
        <is>
          <t>Estágio</t>
        </is>
      </c>
      <c r="D2876" t="n">
        <v>4</v>
      </c>
      <c r="E2876" t="n">
        <v>4</v>
      </c>
      <c r="F2876" t="n">
        <v>85.25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M2876" t="n">
        <v>3</v>
      </c>
      <c r="N2876" t="n">
        <v>95.83</v>
      </c>
      <c r="O2876" t="n">
        <v>25.77319587628866</v>
      </c>
    </row>
    <row r="2877" hidden="1">
      <c r="A2877" s="11" t="n">
        <v>46091</v>
      </c>
      <c r="B2877" t="inlineStr">
        <is>
          <t>Milena Sales</t>
        </is>
      </c>
      <c r="C2877" t="inlineStr">
        <is>
          <t>JR</t>
        </is>
      </c>
      <c r="D2877" t="n">
        <v>0</v>
      </c>
      <c r="E2877" t="n">
        <v>0</v>
      </c>
      <c r="F2877" t="n">
        <v>0</v>
      </c>
      <c r="G2877" t="n">
        <v>0</v>
      </c>
      <c r="H2877" t="n">
        <v>0</v>
      </c>
      <c r="I2877" s="3" t="n">
        <v>0</v>
      </c>
      <c r="J2877" s="3" t="n">
        <v>0</v>
      </c>
      <c r="K2877" s="3" t="n">
        <v>0</v>
      </c>
      <c r="L2877" s="3">
        <f>IF(K2877&lt;-5,"CRÍTICO",IF(K2877&lt;0,"ATENÇÃO",IF(K2877&lt;=5,"OPORTUNO","MUITO BOM")))</f>
        <v/>
      </c>
      <c r="M2877" t="n">
        <v>0</v>
      </c>
      <c r="N2877" t="n">
        <v>100</v>
      </c>
      <c r="O2877" t="n">
        <v>15.38461538461539</v>
      </c>
    </row>
    <row r="2878" hidden="1">
      <c r="A2878" s="11" t="n">
        <v>46091</v>
      </c>
      <c r="B2878" t="inlineStr">
        <is>
          <t>Patrícia Karla de Sousa Araújo</t>
        </is>
      </c>
      <c r="C2878" t="inlineStr">
        <is>
          <t>Técnico II</t>
        </is>
      </c>
      <c r="D2878" t="n">
        <v>22</v>
      </c>
      <c r="E2878" t="n">
        <v>22</v>
      </c>
      <c r="F2878" t="n">
        <v>24.05</v>
      </c>
      <c r="G2878" t="n">
        <v>0</v>
      </c>
      <c r="H2878" t="n">
        <v>0</v>
      </c>
      <c r="I2878" s="3">
        <f>E2878+G2878+H2878</f>
        <v/>
      </c>
      <c r="J2878" s="3">
        <f>ROUND(MIN(IF(C2878="Técnico III",35,IF(C2878="Técnico II",28,IF(C2878="Técnico I",23,IF(C2878="JR",20,IF(C2878="Estágio",10,0))))),IF(C2878="Técnico III",SUMIFS($D:$D,$A:$A,$A2878,$B:$B,"&lt;&gt;Patrícia Karla de Sousa Araújo",$B:$B,"&lt;&gt;Lorena Dias de Araujo",$B:$B,"&lt;&gt;Lucas Luiz Romero")*(35/1083),IF(C2878="Técnico II",SUMIFS($D:$D,$A:$A,$A2878,$B:$B,"&lt;&gt;Patrícia Karla de Sousa Araújo",$B:$B,"&lt;&gt;Lorena Dias de Araujo",$B:$B,"&lt;&gt;Lucas Luiz Romero")*(28/1083),IF(C2878="Técnico I",SUMIFS($D:$D,$A:$A,$A2878,$B:$B,"&lt;&gt;Patrícia Karla de Sousa Araújo",$B:$B,"&lt;&gt;Lorena Dias de Araujo",$B:$B,"&lt;&gt;Lucas Luiz Romero")*(23/1083),IF(C2878="JR",SUMIFS($D:$D,$A:$A,$A2878,$B:$B,"&lt;&gt;Patrícia Karla de Sousa Araújo",$B:$B,"&lt;&gt;Lorena Dias de Araujo",$B:$B,"&lt;&gt;Lucas Luiz Romero")*(20/1083),IF(C2878="Estágio",SUMIFS($D:$D,$A:$A,$A2878,$B:$B,"&lt;&gt;Patrícia Karla de Sousa Araújo",$B:$B,"&lt;&gt;Lorena Dias de Araujo",$B:$B,"&lt;&gt;Lucas Luiz Romero")*(10/1083),0)))))),0)</f>
        <v/>
      </c>
      <c r="K2878" s="3">
        <f>I2878-J2878</f>
        <v/>
      </c>
      <c r="L2878" s="3">
        <f>IF(K2878&lt;-5,"CRÍTICO",IF(K2878&lt;0,"ATENÇÃO",IF(K2878&lt;=5,"OPORTUNO","MUITO BOM")))</f>
        <v/>
      </c>
      <c r="M2878" t="n">
        <v>16</v>
      </c>
      <c r="N2878" t="n">
        <v>100</v>
      </c>
      <c r="O2878" t="n">
        <v>27.51479289940828</v>
      </c>
    </row>
    <row r="2879" hidden="1">
      <c r="A2879" s="11" t="n">
        <v>46091</v>
      </c>
      <c r="B2879" t="inlineStr">
        <is>
          <t>Paulo Ricardo Santos</t>
        </is>
      </c>
      <c r="C2879" t="inlineStr">
        <is>
          <t>JR</t>
        </is>
      </c>
      <c r="D2879" t="n">
        <v>7</v>
      </c>
      <c r="E2879" t="n">
        <v>6</v>
      </c>
      <c r="F2879" t="n">
        <v>48.48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M2879" t="n">
        <v>6</v>
      </c>
      <c r="N2879" t="n">
        <v>100</v>
      </c>
      <c r="O2879" t="n">
        <v>24.87562189054727</v>
      </c>
    </row>
    <row r="2880" hidden="1">
      <c r="A2880" s="11" t="n">
        <v>46091</v>
      </c>
      <c r="B2880" t="inlineStr">
        <is>
          <t>Pedro Luiz Mota Sousa</t>
        </is>
      </c>
      <c r="C2880" t="inlineStr">
        <is>
          <t>JR</t>
        </is>
      </c>
      <c r="D2880" t="n">
        <v>8</v>
      </c>
      <c r="E2880" t="n">
        <v>8</v>
      </c>
      <c r="F2880" t="n">
        <v>55.01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M2880" t="n">
        <v>8</v>
      </c>
      <c r="N2880" t="n">
        <v>100</v>
      </c>
      <c r="O2880" t="n">
        <v>28.10810810810811</v>
      </c>
    </row>
    <row r="2881" hidden="1">
      <c r="A2881" s="11" t="n">
        <v>46091</v>
      </c>
      <c r="B2881" t="inlineStr">
        <is>
          <t>Quirino Diogo Leite Torres</t>
        </is>
      </c>
      <c r="C2881" t="inlineStr">
        <is>
          <t>Estágio</t>
        </is>
      </c>
      <c r="D2881" t="n">
        <v>0</v>
      </c>
      <c r="E2881" t="n">
        <v>0</v>
      </c>
      <c r="F2881" t="n">
        <v>0</v>
      </c>
      <c r="G2881" t="n">
        <v>0</v>
      </c>
      <c r="H2881" t="n">
        <v>0</v>
      </c>
      <c r="I2881" s="3" t="n">
        <v>0</v>
      </c>
      <c r="J2881" s="3" t="n">
        <v>0</v>
      </c>
      <c r="K2881" s="3" t="n">
        <v>0</v>
      </c>
      <c r="L2881" s="3">
        <f>IF(K2881&lt;-5,"CRÍTICO",IF(K2881&lt;0,"ATENÇÃO",IF(K2881&lt;=5,"OPORTUNO","MUITO BOM")))</f>
        <v/>
      </c>
      <c r="M2881" t="n">
        <v>0</v>
      </c>
      <c r="N2881" t="n">
        <v>100</v>
      </c>
      <c r="O2881" t="n">
        <v>35</v>
      </c>
    </row>
    <row r="2882" hidden="1">
      <c r="A2882" s="11" t="n">
        <v>46091</v>
      </c>
      <c r="B2882" t="inlineStr">
        <is>
          <t>Raane Batista Matos</t>
        </is>
      </c>
      <c r="C2882" t="inlineStr">
        <is>
          <t>Técnico I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M2882" t="n">
        <v>0</v>
      </c>
      <c r="N2882" t="n">
        <v>95.34999999999999</v>
      </c>
      <c r="O2882" t="n">
        <v>28.61538461538461</v>
      </c>
    </row>
    <row r="2883" hidden="1">
      <c r="A2883" s="11" t="n">
        <v>46091</v>
      </c>
      <c r="B2883" t="inlineStr">
        <is>
          <t>Rafael Gomes de Morais</t>
        </is>
      </c>
      <c r="C2883" t="inlineStr">
        <is>
          <t>Técnico III</t>
        </is>
      </c>
      <c r="D2883" t="n">
        <v>40</v>
      </c>
      <c r="E2883" t="n">
        <v>39</v>
      </c>
      <c r="F2883" t="n">
        <v>15.33</v>
      </c>
      <c r="G2883" t="n">
        <v>0</v>
      </c>
      <c r="H2883" t="n">
        <v>0</v>
      </c>
      <c r="I2883" s="3">
        <f>E2883+G2883+H2883</f>
        <v/>
      </c>
      <c r="J2883" s="3">
        <f>ROUND(MIN(IF(C2883="Técnico III",35,IF(C2883="Técnico II",28,IF(C2883="Técnico I",23,IF(C2883="JR",20,IF(C2883="Estágio",10,0))))),IF(C2883="Técnico III",SUMIFS($D:$D,$A:$A,$A2883,$B:$B,"&lt;&gt;Patrícia Karla de Sousa Araújo",$B:$B,"&lt;&gt;Lorena Dias de Araujo",$B:$B,"&lt;&gt;Lucas Luiz Romero")*(35/1083),IF(C2883="Técnico II",SUMIFS($D:$D,$A:$A,$A2883,$B:$B,"&lt;&gt;Patrícia Karla de Sousa Araújo",$B:$B,"&lt;&gt;Lorena Dias de Araujo",$B:$B,"&lt;&gt;Lucas Luiz Romero")*(28/1083),IF(C2883="Técnico I",SUMIFS($D:$D,$A:$A,$A2883,$B:$B,"&lt;&gt;Patrícia Karla de Sousa Araújo",$B:$B,"&lt;&gt;Lorena Dias de Araujo",$B:$B,"&lt;&gt;Lucas Luiz Romero")*(23/1083),IF(C2883="JR",SUMIFS($D:$D,$A:$A,$A2883,$B:$B,"&lt;&gt;Patrícia Karla de Sousa Araújo",$B:$B,"&lt;&gt;Lorena Dias de Araujo",$B:$B,"&lt;&gt;Lucas Luiz Romero")*(20/1083),IF(C2883="Estágio",SUMIFS($D:$D,$A:$A,$A2883,$B:$B,"&lt;&gt;Patrícia Karla de Sousa Araújo",$B:$B,"&lt;&gt;Lorena Dias de Araujo",$B:$B,"&lt;&gt;Lucas Luiz Romero")*(10/1083),0)))))),0)</f>
        <v/>
      </c>
      <c r="K2883" s="3">
        <f>I2883-J2883</f>
        <v/>
      </c>
      <c r="L2883" s="3">
        <f>IF(K2883&lt;-5,"CRÍTICO",IF(K2883&lt;0,"ATENÇÃO",IF(K2883&lt;=5,"OPORTUNO","MUITO BOM")))</f>
        <v/>
      </c>
      <c r="M2883" t="n">
        <v>38</v>
      </c>
      <c r="N2883" t="n">
        <v>98.26000000000001</v>
      </c>
      <c r="O2883" t="n">
        <v>27.54491017964072</v>
      </c>
    </row>
    <row r="2884" hidden="1">
      <c r="A2884" s="11" t="n">
        <v>46091</v>
      </c>
      <c r="B2884" t="inlineStr">
        <is>
          <t>Sara Maria Monteiro Lopes</t>
        </is>
      </c>
      <c r="C2884" t="inlineStr">
        <is>
          <t>Técnico I</t>
        </is>
      </c>
      <c r="D2884" t="n">
        <v>15</v>
      </c>
      <c r="E2884" t="n">
        <v>14</v>
      </c>
      <c r="F2884" t="n">
        <v>40.23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M2884" t="n">
        <v>14</v>
      </c>
      <c r="N2884" t="n">
        <v>98.55</v>
      </c>
      <c r="O2884" t="n">
        <v>25.33783783783784</v>
      </c>
    </row>
    <row r="2885" hidden="1">
      <c r="A2885" s="11" t="n">
        <v>46091</v>
      </c>
      <c r="B2885" t="inlineStr">
        <is>
          <t>Sarah Steffanie de Lima Borges</t>
        </is>
      </c>
      <c r="C2885" t="inlineStr">
        <is>
          <t>Técnico III</t>
        </is>
      </c>
      <c r="D2885" t="n">
        <v>24</v>
      </c>
      <c r="E2885" t="n">
        <v>22</v>
      </c>
      <c r="F2885" t="n">
        <v>20.4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M2885" t="n">
        <v>18</v>
      </c>
      <c r="N2885" t="n">
        <v>98.39</v>
      </c>
      <c r="O2885" t="n">
        <v>25.56390977443609</v>
      </c>
    </row>
    <row r="2886" hidden="1">
      <c r="A2886" s="11" t="n">
        <v>46092</v>
      </c>
      <c r="B2886" t="inlineStr">
        <is>
          <t>Alisson de Freitas Silva</t>
        </is>
      </c>
      <c r="C2886" t="inlineStr">
        <is>
          <t>Técnico II</t>
        </is>
      </c>
      <c r="D2886" t="n">
        <v>43</v>
      </c>
      <c r="E2886" t="n">
        <v>33</v>
      </c>
      <c r="F2886" t="n">
        <v>13.21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M2886" t="n">
        <v>24</v>
      </c>
      <c r="N2886" t="n">
        <v>94.29000000000001</v>
      </c>
      <c r="O2886" t="n">
        <v>25.64766839378239</v>
      </c>
    </row>
    <row r="2887" hidden="1">
      <c r="A2887" s="11" t="n">
        <v>46092</v>
      </c>
      <c r="B2887" t="inlineStr">
        <is>
          <t>Amanda Moura Ferreira</t>
        </is>
      </c>
      <c r="C2887" t="inlineStr">
        <is>
          <t>Técnico III</t>
        </is>
      </c>
      <c r="D2887" t="n">
        <v>0</v>
      </c>
      <c r="E2887" t="n">
        <v>0</v>
      </c>
      <c r="F2887" t="n">
        <v>0</v>
      </c>
      <c r="G2887" t="n">
        <v>0</v>
      </c>
      <c r="H2887" t="n">
        <v>0</v>
      </c>
      <c r="I2887" s="3" t="n">
        <v>0</v>
      </c>
      <c r="J2887" s="3" t="n">
        <v>0</v>
      </c>
      <c r="K2887" s="3" t="n">
        <v>0</v>
      </c>
      <c r="L2887" s="3">
        <f>IF(K2887&lt;-5,"CRÍTICO",IF(K2887&lt;0,"ATENÇÃO",IF(K2887&lt;=5,"OPORTUNO","MUITO BOM")))</f>
        <v/>
      </c>
      <c r="M2887" t="n">
        <v>18</v>
      </c>
      <c r="N2887" t="n">
        <v>98.26000000000001</v>
      </c>
      <c r="O2887" t="n">
        <v>26.66666666666667</v>
      </c>
    </row>
    <row r="2888" hidden="1">
      <c r="A2888" s="11" t="n">
        <v>46092</v>
      </c>
      <c r="B2888" t="inlineStr">
        <is>
          <t>Ana Karollyne Souza Faria</t>
        </is>
      </c>
      <c r="C2888" t="inlineStr">
        <is>
          <t>Técnico I</t>
        </is>
      </c>
      <c r="D2888" t="n">
        <v>19</v>
      </c>
      <c r="E2888" t="n">
        <v>17</v>
      </c>
      <c r="F2888" t="n">
        <v>29.08</v>
      </c>
      <c r="G2888" t="n">
        <v>0</v>
      </c>
      <c r="H2888" t="n">
        <v>0</v>
      </c>
      <c r="I2888" s="3">
        <f>E2888+G2888+H2888</f>
        <v/>
      </c>
      <c r="J2888" s="3">
        <f>ROUND(MIN(IF(C2888="Técnico III",35,IF(C2888="Técnico II",28,IF(C2888="Técnico I",23,IF(C2888="JR",20,IF(C2888="Estágio",10,0))))),IF(C2888="Técnico III",SUMIFS($D:$D,$A:$A,$A2888,$B:$B,"&lt;&gt;Patrícia Karla de Sousa Araújo",$B:$B,"&lt;&gt;Lorena Dias de Araujo",$B:$B,"&lt;&gt;Lucas Luiz Romero")*(35/1083),IF(C2888="Técnico II",SUMIFS($D:$D,$A:$A,$A2888,$B:$B,"&lt;&gt;Patrícia Karla de Sousa Araújo",$B:$B,"&lt;&gt;Lorena Dias de Araujo",$B:$B,"&lt;&gt;Lucas Luiz Romero")*(28/1083),IF(C2888="Técnico I",SUMIFS($D:$D,$A:$A,$A2888,$B:$B,"&lt;&gt;Patrícia Karla de Sousa Araújo",$B:$B,"&lt;&gt;Lorena Dias de Araujo",$B:$B,"&lt;&gt;Lucas Luiz Romero")*(23/1083),IF(C2888="JR",SUMIFS($D:$D,$A:$A,$A2888,$B:$B,"&lt;&gt;Patrícia Karla de Sousa Araújo",$B:$B,"&lt;&gt;Lorena Dias de Araujo",$B:$B,"&lt;&gt;Lucas Luiz Romero")*(20/1083),IF(C2888="Estágio",SUMIFS($D:$D,$A:$A,$A2888,$B:$B,"&lt;&gt;Patrícia Karla de Sousa Araújo",$B:$B,"&lt;&gt;Lorena Dias de Araujo",$B:$B,"&lt;&gt;Lucas Luiz Romero")*(10/1083),0)))))),0)</f>
        <v/>
      </c>
      <c r="K2888" s="3">
        <f>I2888-J2888</f>
        <v/>
      </c>
      <c r="L2888" s="3">
        <f>IF(K2888&lt;-5,"CRÍTICO",IF(K2888&lt;0,"ATENÇÃO",IF(K2888&lt;=5,"OPORTUNO","MUITO BOM")))</f>
        <v/>
      </c>
      <c r="M2888" t="n">
        <v>16</v>
      </c>
      <c r="N2888" t="n">
        <v>98.2</v>
      </c>
      <c r="O2888" t="n">
        <v>23.37962962962963</v>
      </c>
    </row>
    <row r="2889" hidden="1">
      <c r="A2889" s="11" t="n">
        <v>46092</v>
      </c>
      <c r="B2889" t="inlineStr">
        <is>
          <t>Ana Paula Da Luz Silva Aleixo</t>
        </is>
      </c>
      <c r="C2889" t="inlineStr">
        <is>
          <t>Técnico III</t>
        </is>
      </c>
      <c r="D2889" t="n">
        <v>36</v>
      </c>
      <c r="E2889" t="n">
        <v>29</v>
      </c>
      <c r="F2889" t="n">
        <v>12.22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M2889" t="n">
        <v>24</v>
      </c>
      <c r="N2889" t="n">
        <v>97.3</v>
      </c>
      <c r="O2889" t="n">
        <v>23.84769539078156</v>
      </c>
    </row>
    <row r="2890" hidden="1">
      <c r="A2890" s="11" t="n">
        <v>46092</v>
      </c>
      <c r="B2890" t="inlineStr">
        <is>
          <t>Anna Luiza Rezende Tavares</t>
        </is>
      </c>
      <c r="C2890" t="inlineStr">
        <is>
          <t>Estágio</t>
        </is>
      </c>
      <c r="D2890" t="n">
        <v>11</v>
      </c>
      <c r="E2890" t="n">
        <v>8</v>
      </c>
      <c r="F2890" t="n">
        <v>25.38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M2890" t="n">
        <v>7</v>
      </c>
      <c r="N2890" t="n">
        <v>100</v>
      </c>
      <c r="O2890" t="n">
        <v>25.26881720430108</v>
      </c>
    </row>
    <row r="2891" hidden="1">
      <c r="A2891" s="11" t="n">
        <v>46092</v>
      </c>
      <c r="B2891" t="inlineStr">
        <is>
          <t>Brenda de Menezes Silva</t>
        </is>
      </c>
      <c r="C2891" t="inlineStr">
        <is>
          <t>Técnico II</t>
        </is>
      </c>
      <c r="D2891" t="n">
        <v>38</v>
      </c>
      <c r="E2891" t="n">
        <v>33</v>
      </c>
      <c r="F2891" t="n">
        <v>15.41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M2891" t="n">
        <v>33</v>
      </c>
      <c r="N2891" t="n">
        <v>99.31999999999999</v>
      </c>
      <c r="O2891" t="n">
        <v>22.82282282282282</v>
      </c>
    </row>
    <row r="2892" hidden="1">
      <c r="A2892" s="11" t="n">
        <v>46092</v>
      </c>
      <c r="B2892" t="inlineStr">
        <is>
          <t>Carlos Mateus Cassimiro Nunes</t>
        </is>
      </c>
      <c r="C2892" t="inlineStr">
        <is>
          <t>Técnico II</t>
        </is>
      </c>
      <c r="D2892" t="n">
        <v>11</v>
      </c>
      <c r="E2892" t="n">
        <v>11</v>
      </c>
      <c r="F2892" t="n">
        <v>33.31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M2892" t="n">
        <v>11</v>
      </c>
      <c r="N2892" t="n">
        <v>100</v>
      </c>
      <c r="O2892" t="n">
        <v>27.96610169491525</v>
      </c>
    </row>
    <row r="2893" hidden="1">
      <c r="A2893" s="11" t="n">
        <v>46092</v>
      </c>
      <c r="B2893" t="inlineStr">
        <is>
          <t>Claudio de Sousa Velasco Filho</t>
        </is>
      </c>
      <c r="C2893" t="inlineStr">
        <is>
          <t>Estágio</t>
        </is>
      </c>
      <c r="D2893" t="n">
        <v>0</v>
      </c>
      <c r="E2893" t="n">
        <v>0</v>
      </c>
      <c r="F2893" t="n">
        <v>0</v>
      </c>
      <c r="G2893" t="n">
        <v>0</v>
      </c>
      <c r="H2893" t="n">
        <v>0</v>
      </c>
      <c r="I2893" s="3" t="n">
        <v>0</v>
      </c>
      <c r="J2893" s="3" t="n">
        <v>0</v>
      </c>
      <c r="K2893" s="3" t="n">
        <v>0</v>
      </c>
      <c r="L2893" s="3">
        <f>IF(K2893&lt;-5,"CRÍTICO",IF(K2893&lt;0,"ATENÇÃO",IF(K2893&lt;=5,"OPORTUNO","MUITO BOM")))</f>
        <v/>
      </c>
      <c r="M2893" t="n">
        <v>0</v>
      </c>
      <c r="N2893" t="n">
        <v>100</v>
      </c>
      <c r="O2893" t="n">
        <v>30.43478260869566</v>
      </c>
    </row>
    <row r="2894" hidden="1">
      <c r="A2894" s="11" t="n">
        <v>46092</v>
      </c>
      <c r="B2894" t="inlineStr">
        <is>
          <t>Clessiane Pereira dos Santos</t>
        </is>
      </c>
      <c r="C2894" t="inlineStr">
        <is>
          <t>Técnico I</t>
        </is>
      </c>
      <c r="D2894" t="n">
        <v>23</v>
      </c>
      <c r="E2894" t="n">
        <v>18</v>
      </c>
      <c r="F2894" t="n">
        <v>25.53</v>
      </c>
      <c r="G2894" t="n">
        <v>0</v>
      </c>
      <c r="H2894" t="n">
        <v>0</v>
      </c>
      <c r="I2894" s="3">
        <f>E2894+G2894+H2894</f>
        <v/>
      </c>
      <c r="J2894" s="3">
        <f>ROUND(MIN(IF(C2894="Técnico III",35,IF(C2894="Técnico II",28,IF(C2894="Técnico I",23,IF(C2894="JR",20,IF(C2894="Estágio",10,0))))),IF(C2894="Técnico III",SUMIFS($D:$D,$A:$A,$A2894,$B:$B,"&lt;&gt;Patrícia Karla de Sousa Araújo",$B:$B,"&lt;&gt;Lorena Dias de Araujo",$B:$B,"&lt;&gt;Lucas Luiz Romero")*(35/1083),IF(C2894="Técnico II",SUMIFS($D:$D,$A:$A,$A2894,$B:$B,"&lt;&gt;Patrícia Karla de Sousa Araújo",$B:$B,"&lt;&gt;Lorena Dias de Araujo",$B:$B,"&lt;&gt;Lucas Luiz Romero")*(28/1083),IF(C2894="Técnico I",SUMIFS($D:$D,$A:$A,$A2894,$B:$B,"&lt;&gt;Patrícia Karla de Sousa Araújo",$B:$B,"&lt;&gt;Lorena Dias de Araujo",$B:$B,"&lt;&gt;Lucas Luiz Romero")*(23/1083),IF(C2894="JR",SUMIFS($D:$D,$A:$A,$A2894,$B:$B,"&lt;&gt;Patrícia Karla de Sousa Araújo",$B:$B,"&lt;&gt;Lorena Dias de Araujo",$B:$B,"&lt;&gt;Lucas Luiz Romero")*(20/1083),IF(C2894="Estágio",SUMIFS($D:$D,$A:$A,$A2894,$B:$B,"&lt;&gt;Patrícia Karla de Sousa Araújo",$B:$B,"&lt;&gt;Lorena Dias de Araujo",$B:$B,"&lt;&gt;Lucas Luiz Romero")*(10/1083),0)))))),0)</f>
        <v/>
      </c>
      <c r="K2894" s="3">
        <f>I2894-J2894</f>
        <v/>
      </c>
      <c r="L2894" s="3">
        <f>IF(K2894&lt;-5,"CRÍTICO",IF(K2894&lt;0,"ATENÇÃO",IF(K2894&lt;=5,"OPORTUNO","MUITO BOM")))</f>
        <v/>
      </c>
      <c r="M2894" t="n">
        <v>17</v>
      </c>
      <c r="N2894" t="n">
        <v>96.51000000000001</v>
      </c>
      <c r="O2894" t="n">
        <v>22.80285035629454</v>
      </c>
    </row>
    <row r="2895" hidden="1">
      <c r="A2895" s="11" t="n">
        <v>46092</v>
      </c>
      <c r="B2895" t="inlineStr">
        <is>
          <t>Cristiane Ramos da Silva Rocha</t>
        </is>
      </c>
      <c r="C2895" t="inlineStr">
        <is>
          <t>Técnico III</t>
        </is>
      </c>
      <c r="D2895" t="n">
        <v>0</v>
      </c>
      <c r="E2895" t="n">
        <v>0</v>
      </c>
      <c r="F2895" t="n">
        <v>0</v>
      </c>
      <c r="G2895" t="n">
        <v>0</v>
      </c>
      <c r="H2895" t="n">
        <v>0</v>
      </c>
      <c r="I2895" s="3" t="n">
        <v>0</v>
      </c>
      <c r="J2895" s="3" t="n">
        <v>0</v>
      </c>
      <c r="K2895" s="3" t="n">
        <v>0</v>
      </c>
      <c r="L2895" s="3">
        <f>IF(K2895&lt;-5,"CRÍTICO",IF(K2895&lt;0,"ATENÇÃO",IF(K2895&lt;=5,"OPORTUNO","MUITO BOM")))</f>
        <v/>
      </c>
      <c r="M2895" t="n">
        <v>12</v>
      </c>
      <c r="N2895" t="n">
        <v>92.68000000000001</v>
      </c>
      <c r="O2895" t="n">
        <v>27.77777777777778</v>
      </c>
    </row>
    <row r="2896" hidden="1">
      <c r="A2896" s="11" t="n">
        <v>46092</v>
      </c>
      <c r="B2896" t="inlineStr">
        <is>
          <t>Damyllis Lorraine de Oliveira Gonçalves</t>
        </is>
      </c>
      <c r="C2896" t="inlineStr">
        <is>
          <t>Técnico II</t>
        </is>
      </c>
      <c r="D2896" t="n">
        <v>25</v>
      </c>
      <c r="E2896" t="n">
        <v>22</v>
      </c>
      <c r="F2896" t="n">
        <v>24.08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M2896" t="n">
        <v>18</v>
      </c>
      <c r="N2896" t="n">
        <v>99.03</v>
      </c>
      <c r="O2896" t="n">
        <v>23.99150743099788</v>
      </c>
    </row>
    <row r="2897" hidden="1">
      <c r="A2897" s="11" t="n">
        <v>46092</v>
      </c>
      <c r="B2897" t="inlineStr">
        <is>
          <t>Daniel Gomes da Silva</t>
        </is>
      </c>
      <c r="C2897" t="inlineStr">
        <is>
          <t>Técnico I</t>
        </is>
      </c>
      <c r="D2897" t="n">
        <v>16</v>
      </c>
      <c r="E2897" t="n">
        <v>15</v>
      </c>
      <c r="F2897" t="n">
        <v>29.04</v>
      </c>
      <c r="G2897" t="n">
        <v>0</v>
      </c>
      <c r="H2897" t="n">
        <v>0</v>
      </c>
      <c r="I2897" s="3">
        <f>E2897+G2897+H2897</f>
        <v/>
      </c>
      <c r="J2897" s="3">
        <f>ROUND(MIN(IF(C2897="Técnico III",35,IF(C2897="Técnico II",28,IF(C2897="Técnico I",23,IF(C2897="JR",20,IF(C2897="Estágio",10,0))))),IF(C2897="Técnico III",SUMIFS($D:$D,$A:$A,$A2897,$B:$B,"&lt;&gt;Patrícia Karla de Sousa Araújo",$B:$B,"&lt;&gt;Lorena Dias de Araujo",$B:$B,"&lt;&gt;Lucas Luiz Romero")*(35/1083),IF(C2897="Técnico II",SUMIFS($D:$D,$A:$A,$A2897,$B:$B,"&lt;&gt;Patrícia Karla de Sousa Araújo",$B:$B,"&lt;&gt;Lorena Dias de Araujo",$B:$B,"&lt;&gt;Lucas Luiz Romero")*(28/1083),IF(C2897="Técnico I",SUMIFS($D:$D,$A:$A,$A2897,$B:$B,"&lt;&gt;Patrícia Karla de Sousa Araújo",$B:$B,"&lt;&gt;Lorena Dias de Araujo",$B:$B,"&lt;&gt;Lucas Luiz Romero")*(23/1083),IF(C2897="JR",SUMIFS($D:$D,$A:$A,$A2897,$B:$B,"&lt;&gt;Patrícia Karla de Sousa Araújo",$B:$B,"&lt;&gt;Lorena Dias de Araujo",$B:$B,"&lt;&gt;Lucas Luiz Romero")*(20/1083),IF(C2897="Estágio",SUMIFS($D:$D,$A:$A,$A2897,$B:$B,"&lt;&gt;Patrícia Karla de Sousa Araújo",$B:$B,"&lt;&gt;Lorena Dias de Araujo",$B:$B,"&lt;&gt;Lucas Luiz Romero")*(10/1083),0)))))),0)</f>
        <v/>
      </c>
      <c r="K2897" s="3">
        <f>I2897-J2897</f>
        <v/>
      </c>
      <c r="L2897" s="3">
        <f>IF(K2897&lt;-5,"CRÍTICO",IF(K2897&lt;0,"ATENÇÃO",IF(K2897&lt;=5,"OPORTUNO","MUITO BOM")))</f>
        <v/>
      </c>
      <c r="M2897" t="n">
        <v>11</v>
      </c>
      <c r="N2897" t="n">
        <v>98.41</v>
      </c>
      <c r="O2897" t="n">
        <v>28.13852813852814</v>
      </c>
    </row>
    <row r="2898" hidden="1">
      <c r="A2898" s="11" t="n">
        <v>46092</v>
      </c>
      <c r="B2898" t="inlineStr">
        <is>
          <t>Davylla Rodrigues Freitas Silva</t>
        </is>
      </c>
      <c r="C2898" t="inlineStr">
        <is>
          <t>Técnico III</t>
        </is>
      </c>
      <c r="D2898" t="n">
        <v>28</v>
      </c>
      <c r="E2898" t="n">
        <v>26</v>
      </c>
      <c r="F2898" t="n">
        <v>26.51</v>
      </c>
      <c r="G2898" t="n">
        <v>0</v>
      </c>
      <c r="H2898" t="n">
        <v>0</v>
      </c>
      <c r="I2898" s="3" t="n">
        <v>0</v>
      </c>
      <c r="J2898" s="3" t="n">
        <v>0</v>
      </c>
      <c r="K2898" s="3" t="n">
        <v>0</v>
      </c>
      <c r="L2898" s="3">
        <f>IF(K2898&lt;-5,"CRÍTICO",IF(K2898&lt;0,"ATENÇÃO",IF(K2898&lt;=5,"OPORTUNO","MUITO BOM")))</f>
        <v/>
      </c>
      <c r="M2898" t="n">
        <v>28</v>
      </c>
      <c r="N2898" t="n">
        <v>98.73</v>
      </c>
      <c r="O2898" t="n">
        <v>29.14285714285714</v>
      </c>
    </row>
    <row r="2899" hidden="1">
      <c r="A2899" s="11" t="n">
        <v>46092</v>
      </c>
      <c r="B2899" t="inlineStr">
        <is>
          <t>Emilly Caylane Costa</t>
        </is>
      </c>
      <c r="C2899" t="inlineStr">
        <is>
          <t>Estágio</t>
        </is>
      </c>
      <c r="D2899" t="n">
        <v>7</v>
      </c>
      <c r="E2899" t="n">
        <v>6</v>
      </c>
      <c r="F2899" t="n">
        <v>55.59</v>
      </c>
      <c r="G2899" t="n">
        <v>0</v>
      </c>
      <c r="H2899" t="n">
        <v>0</v>
      </c>
      <c r="I2899" s="3">
        <f>E2899+G2899+H2899</f>
        <v/>
      </c>
      <c r="J2899" s="3">
        <f>ROUND(MIN(IF(C2899="Técnico III",35,IF(C2899="Técnico II",28,IF(C2899="Técnico I",23,IF(C2899="JR",20,IF(C2899="Estágio",10,0))))),IF(C2899="Técnico III",SUMIFS($D:$D,$A:$A,$A2899,$B:$B,"&lt;&gt;Patrícia Karla de Sousa Araújo",$B:$B,"&lt;&gt;Lorena Dias de Araujo",$B:$B,"&lt;&gt;Lucas Luiz Romero")*(35/1083),IF(C2899="Técnico II",SUMIFS($D:$D,$A:$A,$A2899,$B:$B,"&lt;&gt;Patrícia Karla de Sousa Araújo",$B:$B,"&lt;&gt;Lorena Dias de Araujo",$B:$B,"&lt;&gt;Lucas Luiz Romero")*(28/1083),IF(C2899="Técnico I",SUMIFS($D:$D,$A:$A,$A2899,$B:$B,"&lt;&gt;Patrícia Karla de Sousa Araújo",$B:$B,"&lt;&gt;Lorena Dias de Araujo",$B:$B,"&lt;&gt;Lucas Luiz Romero")*(23/1083),IF(C2899="JR",SUMIFS($D:$D,$A:$A,$A2899,$B:$B,"&lt;&gt;Patrícia Karla de Sousa Araújo",$B:$B,"&lt;&gt;Lorena Dias de Araujo",$B:$B,"&lt;&gt;Lucas Luiz Romero")*(20/1083),IF(C2899="Estágio",SUMIFS($D:$D,$A:$A,$A2899,$B:$B,"&lt;&gt;Patrícia Karla de Sousa Araújo",$B:$B,"&lt;&gt;Lorena Dias de Araujo",$B:$B,"&lt;&gt;Lucas Luiz Romero")*(10/1083),0)))))),0)</f>
        <v/>
      </c>
      <c r="K2899" s="3">
        <f>I2899-J2899</f>
        <v/>
      </c>
      <c r="L2899" s="3">
        <f>IF(K2899&lt;-5,"CRÍTICO",IF(K2899&lt;0,"ATENÇÃO",IF(K2899&lt;=5,"OPORTUNO","MUITO BOM")))</f>
        <v/>
      </c>
      <c r="M2899" t="n">
        <v>5</v>
      </c>
      <c r="N2899" t="n">
        <v>90.48</v>
      </c>
      <c r="O2899" t="n">
        <v>20.68965517241379</v>
      </c>
    </row>
    <row r="2900" hidden="1">
      <c r="A2900" s="11" t="n">
        <v>46092</v>
      </c>
      <c r="B2900" t="inlineStr">
        <is>
          <t>Emilly Kamilly Medeiros Miranda</t>
        </is>
      </c>
      <c r="C2900" t="inlineStr">
        <is>
          <t>Técnico II</t>
        </is>
      </c>
      <c r="D2900" t="n">
        <v>23</v>
      </c>
      <c r="E2900" t="n">
        <v>16</v>
      </c>
      <c r="F2900" t="n">
        <v>19.13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M2900" t="n">
        <v>14</v>
      </c>
      <c r="N2900" t="n">
        <v>98.06</v>
      </c>
      <c r="O2900" t="n">
        <v>24.78991596638656</v>
      </c>
    </row>
    <row r="2901" hidden="1">
      <c r="A2901" s="11" t="n">
        <v>46092</v>
      </c>
      <c r="B2901" t="inlineStr">
        <is>
          <t>Francielson de Oliveira</t>
        </is>
      </c>
      <c r="C2901" t="inlineStr">
        <is>
          <t>Técnico III</t>
        </is>
      </c>
      <c r="D2901" t="n">
        <v>31</v>
      </c>
      <c r="E2901" t="n">
        <v>28</v>
      </c>
      <c r="F2901" t="n">
        <v>17.32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M2901" t="n">
        <v>26</v>
      </c>
      <c r="N2901" t="n">
        <v>97.78</v>
      </c>
      <c r="O2901" t="n">
        <v>25.49407114624506</v>
      </c>
    </row>
    <row r="2902" hidden="1">
      <c r="A2902" s="11" t="n">
        <v>46092</v>
      </c>
      <c r="B2902" t="inlineStr">
        <is>
          <t>Francilene Ferreira de Jesus</t>
        </is>
      </c>
      <c r="C2902" t="inlineStr">
        <is>
          <t>Técnico II</t>
        </is>
      </c>
      <c r="D2902" t="n">
        <v>46</v>
      </c>
      <c r="E2902" t="n">
        <v>33</v>
      </c>
      <c r="F2902" t="n">
        <v>14.02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M2902" t="n">
        <v>27</v>
      </c>
      <c r="N2902" t="n">
        <v>98.02</v>
      </c>
      <c r="O2902" t="n">
        <v>23.48484848484848</v>
      </c>
    </row>
    <row r="2903" hidden="1">
      <c r="A2903" s="11" t="n">
        <v>46126</v>
      </c>
      <c r="B2903" t="inlineStr">
        <is>
          <t>Gabriel Gomes de Andrade</t>
        </is>
      </c>
      <c r="C2903" t="inlineStr">
        <is>
          <t>Técnico I</t>
        </is>
      </c>
      <c r="D2903" t="n">
        <v>33</v>
      </c>
      <c r="E2903" t="n">
        <v>29</v>
      </c>
      <c r="F2903" t="n">
        <v>13.25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M2903" t="n">
        <v>27</v>
      </c>
      <c r="N2903" t="n">
        <v>99.28</v>
      </c>
      <c r="O2903" t="n">
        <v>27.68924302788844</v>
      </c>
    </row>
    <row r="2904" hidden="1">
      <c r="A2904" s="11" t="n">
        <v>46092</v>
      </c>
      <c r="B2904" t="inlineStr">
        <is>
          <t>Isabella Borges de Oliveira</t>
        </is>
      </c>
      <c r="C2904" t="inlineStr">
        <is>
          <t>Técnico II</t>
        </is>
      </c>
      <c r="D2904" t="n">
        <v>29</v>
      </c>
      <c r="E2904" t="n">
        <v>24</v>
      </c>
      <c r="F2904" t="n">
        <v>16.43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M2904" t="n">
        <v>20</v>
      </c>
      <c r="N2904" t="n">
        <v>100</v>
      </c>
      <c r="O2904" t="n">
        <v>27.04918032786885</v>
      </c>
    </row>
    <row r="2905" hidden="1">
      <c r="A2905" s="11" t="n">
        <v>46092</v>
      </c>
      <c r="B2905" t="inlineStr">
        <is>
          <t>Janaina Lima dos Reis Urany</t>
        </is>
      </c>
      <c r="C2905" t="inlineStr">
        <is>
          <t>Técnico III</t>
        </is>
      </c>
      <c r="D2905" t="n">
        <v>43</v>
      </c>
      <c r="E2905" t="n">
        <v>39</v>
      </c>
      <c r="F2905" t="n">
        <v>17.24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M2905" t="n">
        <v>33</v>
      </c>
      <c r="N2905" t="n">
        <v>97.83</v>
      </c>
      <c r="O2905" t="n">
        <v>26.31578947368421</v>
      </c>
    </row>
    <row r="2906" hidden="1">
      <c r="A2906" s="11" t="n">
        <v>46092</v>
      </c>
      <c r="B2906" t="inlineStr">
        <is>
          <t>Jaqueline Evangelista da Silva Martins</t>
        </is>
      </c>
      <c r="C2906" t="inlineStr">
        <is>
          <t>Técnico III</t>
        </is>
      </c>
      <c r="D2906" t="n">
        <v>0</v>
      </c>
      <c r="E2906" t="n">
        <v>0</v>
      </c>
      <c r="F2906" t="n">
        <v>0</v>
      </c>
      <c r="G2906" t="n">
        <v>0</v>
      </c>
      <c r="H2906" t="n">
        <v>0</v>
      </c>
      <c r="I2906" s="3" t="n">
        <v>0</v>
      </c>
      <c r="J2906" s="3" t="n">
        <v>0</v>
      </c>
      <c r="K2906" s="3" t="n">
        <v>0</v>
      </c>
      <c r="L2906" s="3">
        <f>IF(K2906&lt;-5,"CRÍTICO",IF(K2906&lt;0,"ATENÇÃO",IF(K2906&lt;=5,"OPORTUNO","MUITO BOM")))</f>
        <v/>
      </c>
      <c r="M2906" t="n">
        <v>6</v>
      </c>
      <c r="N2906" t="n">
        <v>100</v>
      </c>
      <c r="O2906" t="n">
        <v>26.70157068062827</v>
      </c>
    </row>
    <row r="2907" hidden="1">
      <c r="A2907" s="11" t="n">
        <v>46092</v>
      </c>
      <c r="B2907" t="inlineStr">
        <is>
          <t>Jessica Faria da Silveira</t>
        </is>
      </c>
      <c r="C2907" t="inlineStr">
        <is>
          <t>Técnico II</t>
        </is>
      </c>
      <c r="D2907" t="n">
        <v>29</v>
      </c>
      <c r="E2907" t="n">
        <v>24</v>
      </c>
      <c r="F2907" t="n">
        <v>20.36</v>
      </c>
      <c r="G2907" t="n">
        <v>0</v>
      </c>
      <c r="H2907" t="n">
        <v>0</v>
      </c>
      <c r="I2907" s="3">
        <f>E2907+G2907+H2907</f>
        <v/>
      </c>
      <c r="J2907" s="3">
        <f>ROUND(MIN(IF(C2907="Técnico III",35,IF(C2907="Técnico II",28,IF(C2907="Técnico I",23,IF(C2907="JR",20,IF(C2907="Estágio",10,0))))),IF(C2907="Técnico III",SUMIFS($D:$D,$A:$A,$A2907,$B:$B,"&lt;&gt;Patrícia Karla de Sousa Araújo",$B:$B,"&lt;&gt;Lorena Dias de Araujo",$B:$B,"&lt;&gt;Lucas Luiz Romero")*(35/1083),IF(C2907="Técnico II",SUMIFS($D:$D,$A:$A,$A2907,$B:$B,"&lt;&gt;Patrícia Karla de Sousa Araújo",$B:$B,"&lt;&gt;Lorena Dias de Araujo",$B:$B,"&lt;&gt;Lucas Luiz Romero")*(28/1083),IF(C2907="Técnico I",SUMIFS($D:$D,$A:$A,$A2907,$B:$B,"&lt;&gt;Patrícia Karla de Sousa Araújo",$B:$B,"&lt;&gt;Lorena Dias de Araujo",$B:$B,"&lt;&gt;Lucas Luiz Romero")*(23/1083),IF(C2907="JR",SUMIFS($D:$D,$A:$A,$A2907,$B:$B,"&lt;&gt;Patrícia Karla de Sousa Araújo",$B:$B,"&lt;&gt;Lorena Dias de Araujo",$B:$B,"&lt;&gt;Lucas Luiz Romero")*(20/1083),IF(C2907="Estágio",SUMIFS($D:$D,$A:$A,$A2907,$B:$B,"&lt;&gt;Patrícia Karla de Sousa Araújo",$B:$B,"&lt;&gt;Lorena Dias de Araujo",$B:$B,"&lt;&gt;Lucas Luiz Romero")*(10/1083),0)))))),0)</f>
        <v/>
      </c>
      <c r="K2907" s="3">
        <f>I2907-J2907</f>
        <v/>
      </c>
      <c r="L2907" s="3">
        <f>IF(K2907&lt;-5,"CRÍTICO",IF(K2907&lt;0,"ATENÇÃO",IF(K2907&lt;=5,"OPORTUNO","MUITO BOM")))</f>
        <v/>
      </c>
      <c r="M2907" t="n">
        <v>19</v>
      </c>
      <c r="N2907" t="n">
        <v>97.47</v>
      </c>
      <c r="O2907" t="n">
        <v>22.88732394366197</v>
      </c>
    </row>
    <row r="2908" hidden="1">
      <c r="A2908" s="11" t="n">
        <v>46092</v>
      </c>
      <c r="B2908" t="inlineStr">
        <is>
          <t>Jéssica Fé Moura</t>
        </is>
      </c>
      <c r="C2908" t="inlineStr">
        <is>
          <t>Técnico III</t>
        </is>
      </c>
      <c r="D2908" t="n">
        <v>0</v>
      </c>
      <c r="E2908" t="n">
        <v>0</v>
      </c>
      <c r="F2908" t="n">
        <v>0</v>
      </c>
      <c r="G2908" t="n">
        <v>0</v>
      </c>
      <c r="H2908" t="n">
        <v>0</v>
      </c>
      <c r="I2908" s="3" t="n">
        <v>0</v>
      </c>
      <c r="J2908" s="3" t="n">
        <v>0</v>
      </c>
      <c r="K2908" s="3" t="n">
        <v>0</v>
      </c>
      <c r="L2908" s="3">
        <f>IF(K2908&lt;-5,"CRÍTICO",IF(K2908&lt;0,"ATENÇÃO",IF(K2908&lt;=5,"OPORTUNO","MUITO BOM")))</f>
        <v/>
      </c>
      <c r="M2908" t="n">
        <v>0</v>
      </c>
      <c r="N2908" t="n">
        <v>0</v>
      </c>
      <c r="O2908" t="n">
        <v>0</v>
      </c>
    </row>
    <row r="2909" hidden="1">
      <c r="A2909" s="11" t="n">
        <v>46092</v>
      </c>
      <c r="B2909" t="inlineStr">
        <is>
          <t>Karina Gonçalves Martins</t>
        </is>
      </c>
      <c r="C2909" t="inlineStr">
        <is>
          <t>JR</t>
        </is>
      </c>
      <c r="D2909" t="n">
        <v>6</v>
      </c>
      <c r="E2909" t="n">
        <v>6</v>
      </c>
      <c r="F2909" t="n">
        <v>55.21</v>
      </c>
      <c r="G2909" t="n">
        <v>0</v>
      </c>
      <c r="H2909" t="n">
        <v>0</v>
      </c>
      <c r="I2909" s="3">
        <f>E2909+G2909+H2909</f>
        <v/>
      </c>
      <c r="J2909" s="3">
        <f>ROUND(MIN(IF(C2909="Técnico III",35,IF(C2909="Técnico II",28,IF(C2909="Técnico I",23,IF(C2909="JR",20,IF(C2909="Estágio",10,0))))),IF(C2909="Técnico III",SUMIFS($D:$D,$A:$A,$A2909,$B:$B,"&lt;&gt;Patrícia Karla de Sousa Araújo",$B:$B,"&lt;&gt;Lorena Dias de Araujo",$B:$B,"&lt;&gt;Lucas Luiz Romero")*(35/1083),IF(C2909="Técnico II",SUMIFS($D:$D,$A:$A,$A2909,$B:$B,"&lt;&gt;Patrícia Karla de Sousa Araújo",$B:$B,"&lt;&gt;Lorena Dias de Araujo",$B:$B,"&lt;&gt;Lucas Luiz Romero")*(28/1083),IF(C2909="Técnico I",SUMIFS($D:$D,$A:$A,$A2909,$B:$B,"&lt;&gt;Patrícia Karla de Sousa Araújo",$B:$B,"&lt;&gt;Lorena Dias de Araujo",$B:$B,"&lt;&gt;Lucas Luiz Romero")*(23/1083),IF(C2909="JR",SUMIFS($D:$D,$A:$A,$A2909,$B:$B,"&lt;&gt;Patrícia Karla de Sousa Araújo",$B:$B,"&lt;&gt;Lorena Dias de Araujo",$B:$B,"&lt;&gt;Lucas Luiz Romero")*(20/1083),IF(C2909="Estágio",SUMIFS($D:$D,$A:$A,$A2909,$B:$B,"&lt;&gt;Patrícia Karla de Sousa Araújo",$B:$B,"&lt;&gt;Lorena Dias de Araujo",$B:$B,"&lt;&gt;Lucas Luiz Romero")*(10/1083),0)))))),0)</f>
        <v/>
      </c>
      <c r="K2909" s="3">
        <f>I2909-J2909</f>
        <v/>
      </c>
      <c r="L2909" s="3">
        <f>IF(K2909&lt;-5,"CRÍTICO",IF(K2909&lt;0,"ATENÇÃO",IF(K2909&lt;=5,"OPORTUNO","MUITO BOM")))</f>
        <v/>
      </c>
      <c r="M2909" t="n">
        <v>6</v>
      </c>
      <c r="N2909" t="n">
        <v>98.31</v>
      </c>
      <c r="O2909" t="n">
        <v>24.92012779552715</v>
      </c>
    </row>
    <row r="2910" hidden="1">
      <c r="A2910" s="11" t="n">
        <v>46092</v>
      </c>
      <c r="B2910" t="inlineStr">
        <is>
          <t>Kerollen Cristielly de Jesus Siqueira</t>
        </is>
      </c>
      <c r="C2910" t="inlineStr">
        <is>
          <t>Técnico III</t>
        </is>
      </c>
      <c r="D2910" t="n">
        <v>0</v>
      </c>
      <c r="E2910" t="n">
        <v>0</v>
      </c>
      <c r="F2910" t="n">
        <v>0</v>
      </c>
      <c r="G2910" t="n">
        <v>0</v>
      </c>
      <c r="H2910" t="n">
        <v>0</v>
      </c>
      <c r="I2910" s="3" t="n">
        <v>0</v>
      </c>
      <c r="J2910" s="3" t="n">
        <v>0</v>
      </c>
      <c r="K2910" s="3" t="n">
        <v>0</v>
      </c>
      <c r="L2910" s="3">
        <f>IF(K2910&lt;-5,"CRÍTICO",IF(K2910&lt;0,"ATENÇÃO",IF(K2910&lt;=5,"OPORTUNO","MUITO BOM")))</f>
        <v/>
      </c>
      <c r="M2910" t="n">
        <v>1</v>
      </c>
      <c r="N2910" t="n">
        <v>96.81</v>
      </c>
      <c r="O2910" t="n">
        <v>32.36514522821577</v>
      </c>
    </row>
    <row r="2911" hidden="1">
      <c r="A2911" s="11" t="n">
        <v>46092</v>
      </c>
      <c r="B2911" t="inlineStr">
        <is>
          <t>Leandro de Souza Silva</t>
        </is>
      </c>
      <c r="C2911" t="inlineStr">
        <is>
          <t>JR</t>
        </is>
      </c>
      <c r="D2911" t="n">
        <v>12</v>
      </c>
      <c r="E2911" t="n">
        <v>11</v>
      </c>
      <c r="F2911" t="n">
        <v>45</v>
      </c>
      <c r="G2911" t="n">
        <v>0</v>
      </c>
      <c r="H2911" t="n">
        <v>0</v>
      </c>
      <c r="I2911" s="3">
        <f>E2911+G2911+H2911</f>
        <v/>
      </c>
      <c r="J2911" s="3">
        <f>ROUND(MIN(IF(C2911="Técnico III",35,IF(C2911="Técnico II",28,IF(C2911="Técnico I",23,IF(C2911="JR",20,IF(C2911="Estágio",10,0))))),IF(C2911="Técnico III",SUMIFS($D:$D,$A:$A,$A2911,$B:$B,"&lt;&gt;Patrícia Karla de Sousa Araújo",$B:$B,"&lt;&gt;Lorena Dias de Araujo",$B:$B,"&lt;&gt;Lucas Luiz Romero")*(35/1083),IF(C2911="Técnico II",SUMIFS($D:$D,$A:$A,$A2911,$B:$B,"&lt;&gt;Patrícia Karla de Sousa Araújo",$B:$B,"&lt;&gt;Lorena Dias de Araujo",$B:$B,"&lt;&gt;Lucas Luiz Romero")*(28/1083),IF(C2911="Técnico I",SUMIFS($D:$D,$A:$A,$A2911,$B:$B,"&lt;&gt;Patrícia Karla de Sousa Araújo",$B:$B,"&lt;&gt;Lorena Dias de Araujo",$B:$B,"&lt;&gt;Lucas Luiz Romero")*(23/1083),IF(C2911="JR",SUMIFS($D:$D,$A:$A,$A2911,$B:$B,"&lt;&gt;Patrícia Karla de Sousa Araújo",$B:$B,"&lt;&gt;Lorena Dias de Araujo",$B:$B,"&lt;&gt;Lucas Luiz Romero")*(20/1083),IF(C2911="Estágio",SUMIFS($D:$D,$A:$A,$A2911,$B:$B,"&lt;&gt;Patrícia Karla de Sousa Araújo",$B:$B,"&lt;&gt;Lorena Dias de Araujo",$B:$B,"&lt;&gt;Lucas Luiz Romero")*(10/1083),0)))))),0)</f>
        <v/>
      </c>
      <c r="K2911" s="3">
        <f>I2911-J2911</f>
        <v/>
      </c>
      <c r="L2911" s="3">
        <f>IF(K2911&lt;-5,"CRÍTICO",IF(K2911&lt;0,"ATENÇÃO",IF(K2911&lt;=5,"OPORTUNO","MUITO BOM")))</f>
        <v/>
      </c>
      <c r="M2911" t="n">
        <v>7</v>
      </c>
      <c r="N2911" t="n">
        <v>100</v>
      </c>
      <c r="O2911" t="n">
        <v>26.47058823529412</v>
      </c>
    </row>
    <row r="2912" hidden="1">
      <c r="A2912" s="11" t="n">
        <v>46092</v>
      </c>
      <c r="B2912" t="inlineStr">
        <is>
          <t>Leandro Oliveira de Sousa</t>
        </is>
      </c>
      <c r="C2912" t="inlineStr">
        <is>
          <t>Técnico III</t>
        </is>
      </c>
      <c r="D2912" t="n">
        <v>0</v>
      </c>
      <c r="E2912" t="n">
        <v>0</v>
      </c>
      <c r="F2912" t="n">
        <v>0</v>
      </c>
      <c r="G2912" t="n">
        <v>0</v>
      </c>
      <c r="H2912" t="n">
        <v>0</v>
      </c>
      <c r="I2912" s="3" t="n">
        <v>0</v>
      </c>
      <c r="J2912" s="3" t="n">
        <v>0</v>
      </c>
      <c r="K2912" s="3" t="n">
        <v>0</v>
      </c>
      <c r="L2912" s="3">
        <f>IF(K2912&lt;-5,"CRÍTICO",IF(K2912&lt;0,"ATENÇÃO",IF(K2912&lt;=5,"OPORTUNO","MUITO BOM")))</f>
        <v/>
      </c>
      <c r="M2912" t="n">
        <v>5</v>
      </c>
      <c r="N2912" t="n">
        <v>100</v>
      </c>
      <c r="O2912" t="n">
        <v>28.49002849002849</v>
      </c>
    </row>
    <row r="2913" hidden="1">
      <c r="A2913" s="11" t="n">
        <v>46092</v>
      </c>
      <c r="B2913" t="inlineStr">
        <is>
          <t>Lizandra Gomes Duarte</t>
        </is>
      </c>
      <c r="C2913" t="inlineStr">
        <is>
          <t>Técnico II</t>
        </is>
      </c>
      <c r="D2913" t="n">
        <v>36</v>
      </c>
      <c r="E2913" t="n">
        <v>34</v>
      </c>
      <c r="F2913" t="n">
        <v>17.37</v>
      </c>
      <c r="G2913" t="n">
        <v>0</v>
      </c>
      <c r="H2913" t="n">
        <v>0</v>
      </c>
      <c r="I2913" s="3">
        <f>E2913+G2913+H2913</f>
        <v/>
      </c>
      <c r="J2913" s="3">
        <f>ROUND(MIN(IF(C2913="Técnico III",35,IF(C2913="Técnico II",28,IF(C2913="Técnico I",23,IF(C2913="JR",20,IF(C2913="Estágio",10,0))))),IF(C2913="Técnico III",SUMIFS($D:$D,$A:$A,$A2913,$B:$B,"&lt;&gt;Patrícia Karla de Sousa Araújo",$B:$B,"&lt;&gt;Lorena Dias de Araujo",$B:$B,"&lt;&gt;Lucas Luiz Romero")*(35/1083),IF(C2913="Técnico II",SUMIFS($D:$D,$A:$A,$A2913,$B:$B,"&lt;&gt;Patrícia Karla de Sousa Araújo",$B:$B,"&lt;&gt;Lorena Dias de Araujo",$B:$B,"&lt;&gt;Lucas Luiz Romero")*(28/1083),IF(C2913="Técnico I",SUMIFS($D:$D,$A:$A,$A2913,$B:$B,"&lt;&gt;Patrícia Karla de Sousa Araújo",$B:$B,"&lt;&gt;Lorena Dias de Araujo",$B:$B,"&lt;&gt;Lucas Luiz Romero")*(23/1083),IF(C2913="JR",SUMIFS($D:$D,$A:$A,$A2913,$B:$B,"&lt;&gt;Patrícia Karla de Sousa Araújo",$B:$B,"&lt;&gt;Lorena Dias de Araujo",$B:$B,"&lt;&gt;Lucas Luiz Romero")*(20/1083),IF(C2913="Estágio",SUMIFS($D:$D,$A:$A,$A2913,$B:$B,"&lt;&gt;Patrícia Karla de Sousa Araújo",$B:$B,"&lt;&gt;Lorena Dias de Araujo",$B:$B,"&lt;&gt;Lucas Luiz Romero")*(10/1083),0)))))),0)</f>
        <v/>
      </c>
      <c r="K2913" s="3">
        <f>I2913-J2913</f>
        <v/>
      </c>
      <c r="L2913" s="3">
        <f>IF(K2913&lt;-5,"CRÍTICO",IF(K2913&lt;0,"ATENÇÃO",IF(K2913&lt;=5,"OPORTUNO","MUITO BOM")))</f>
        <v/>
      </c>
      <c r="M2913" t="n">
        <v>18</v>
      </c>
      <c r="N2913" t="n">
        <v>99.14</v>
      </c>
      <c r="O2913" t="n">
        <v>27.2289156626506</v>
      </c>
    </row>
    <row r="2914" hidden="1">
      <c r="A2914" s="11" t="n">
        <v>46092</v>
      </c>
      <c r="B2914" t="inlineStr">
        <is>
          <t>Lorena Dias de Araujo</t>
        </is>
      </c>
      <c r="C2914" t="inlineStr">
        <is>
          <t>Técnico II</t>
        </is>
      </c>
      <c r="D2914" t="n">
        <v>29</v>
      </c>
      <c r="E2914" t="n">
        <v>26</v>
      </c>
      <c r="F2914" t="n">
        <v>20.59</v>
      </c>
      <c r="G2914" t="n">
        <v>0</v>
      </c>
      <c r="H2914" t="n">
        <v>0</v>
      </c>
      <c r="I2914" s="3" t="n">
        <v>0</v>
      </c>
      <c r="J2914" s="3" t="n">
        <v>0</v>
      </c>
      <c r="K2914" s="3" t="n">
        <v>0</v>
      </c>
      <c r="L2914" s="3">
        <f>IF(K2914&lt;-5,"CRÍTICO",IF(K2914&lt;0,"ATENÇÃO",IF(K2914&lt;=5,"OPORTUNO","MUITO BOM")))</f>
        <v/>
      </c>
      <c r="M2914" t="n">
        <v>18</v>
      </c>
      <c r="N2914" t="n">
        <v>97.52</v>
      </c>
      <c r="O2914" t="n">
        <v>28.2051282051282</v>
      </c>
    </row>
    <row r="2915" hidden="1">
      <c r="A2915" s="11" t="n">
        <v>46092</v>
      </c>
      <c r="B2915" t="inlineStr">
        <is>
          <t>Lucas Luiz Romero</t>
        </is>
      </c>
      <c r="C2915" t="inlineStr">
        <is>
          <t>Técnico III</t>
        </is>
      </c>
      <c r="D2915" t="n">
        <v>60</v>
      </c>
      <c r="E2915" t="n">
        <v>50</v>
      </c>
      <c r="F2915" t="n">
        <v>12.09</v>
      </c>
      <c r="G2915" t="n">
        <v>0</v>
      </c>
      <c r="H2915" t="n">
        <v>0</v>
      </c>
      <c r="I2915" s="3">
        <f>E2915+G2915+H2915</f>
        <v/>
      </c>
      <c r="J2915" s="3">
        <f>ROUND(MIN(IF(C2915="Técnico III",35,IF(C2915="Técnico II",28,IF(C2915="Técnico I",23,IF(C2915="JR",20,IF(C2915="Estágio",10,0))))),IF(C2915="Técnico III",SUMIFS($D:$D,$A:$A,$A2915,$B:$B,"&lt;&gt;Patrícia Karla de Sousa Araújo",$B:$B,"&lt;&gt;Lorena Dias de Araujo",$B:$B,"&lt;&gt;Lucas Luiz Romero")*(35/1083),IF(C2915="Técnico II",SUMIFS($D:$D,$A:$A,$A2915,$B:$B,"&lt;&gt;Patrícia Karla de Sousa Araújo",$B:$B,"&lt;&gt;Lorena Dias de Araujo",$B:$B,"&lt;&gt;Lucas Luiz Romero")*(28/1083),IF(C2915="Técnico I",SUMIFS($D:$D,$A:$A,$A2915,$B:$B,"&lt;&gt;Patrícia Karla de Sousa Araújo",$B:$B,"&lt;&gt;Lorena Dias de Araujo",$B:$B,"&lt;&gt;Lucas Luiz Romero")*(23/1083),IF(C2915="JR",SUMIFS($D:$D,$A:$A,$A2915,$B:$B,"&lt;&gt;Patrícia Karla de Sousa Araújo",$B:$B,"&lt;&gt;Lorena Dias de Araujo",$B:$B,"&lt;&gt;Lucas Luiz Romero")*(20/1083),IF(C2915="Estágio",SUMIFS($D:$D,$A:$A,$A2915,$B:$B,"&lt;&gt;Patrícia Karla de Sousa Araújo",$B:$B,"&lt;&gt;Lorena Dias de Araujo",$B:$B,"&lt;&gt;Lucas Luiz Romero")*(10/1083),0)))))),0)</f>
        <v/>
      </c>
      <c r="K2915" s="3">
        <f>I2915-J2915</f>
        <v/>
      </c>
      <c r="L2915" s="3">
        <f>IF(K2915&lt;-5,"CRÍTICO",IF(K2915&lt;0,"ATENÇÃO",IF(K2915&lt;=5,"OPORTUNO","MUITO BOM")))</f>
        <v/>
      </c>
      <c r="M2915" t="n">
        <v>25</v>
      </c>
      <c r="N2915" t="n">
        <v>90</v>
      </c>
      <c r="O2915" t="n">
        <v>24.18604651162791</v>
      </c>
    </row>
    <row r="2916" hidden="1">
      <c r="A2916" s="11" t="n">
        <v>46092</v>
      </c>
      <c r="B2916" t="inlineStr">
        <is>
          <t>Luiz Fernando de Carvalho Junior</t>
        </is>
      </c>
      <c r="C2916" t="inlineStr">
        <is>
          <t>Técnico I</t>
        </is>
      </c>
      <c r="D2916" t="n">
        <v>15</v>
      </c>
      <c r="E2916" t="n">
        <v>14</v>
      </c>
      <c r="F2916" t="n">
        <v>38.46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M2916" t="n">
        <v>12</v>
      </c>
      <c r="N2916" t="n">
        <v>98.90000000000001</v>
      </c>
      <c r="O2916" t="n">
        <v>26.7639902676399</v>
      </c>
    </row>
    <row r="2917" hidden="1">
      <c r="A2917" s="11" t="n">
        <v>46092</v>
      </c>
      <c r="B2917" t="inlineStr">
        <is>
          <t>Maria Eduarda Sousa Costa</t>
        </is>
      </c>
      <c r="C2917" t="inlineStr">
        <is>
          <t>Estágio</t>
        </is>
      </c>
      <c r="D2917" t="n">
        <v>0</v>
      </c>
      <c r="E2917" t="n">
        <v>0</v>
      </c>
      <c r="F2917" t="n">
        <v>0</v>
      </c>
      <c r="G2917" t="n">
        <v>0</v>
      </c>
      <c r="H2917" t="n">
        <v>0</v>
      </c>
      <c r="I2917" s="3" t="n">
        <v>0</v>
      </c>
      <c r="J2917" s="3" t="n">
        <v>0</v>
      </c>
      <c r="K2917" s="3" t="n">
        <v>0</v>
      </c>
      <c r="L2917" s="3">
        <f>IF(K2917&lt;-5,"CRÍTICO",IF(K2917&lt;0,"ATENÇÃO",IF(K2917&lt;=5,"OPORTUNO","MUITO BOM")))</f>
        <v/>
      </c>
      <c r="M2917" t="n">
        <v>0</v>
      </c>
      <c r="N2917" t="n">
        <v>88.89</v>
      </c>
      <c r="O2917" t="n">
        <v>25.26315789473684</v>
      </c>
    </row>
    <row r="2918" hidden="1">
      <c r="A2918" s="11" t="n">
        <v>46092</v>
      </c>
      <c r="B2918" t="inlineStr">
        <is>
          <t>Matheus Farias De Souza</t>
        </is>
      </c>
      <c r="C2918" t="inlineStr">
        <is>
          <t>Técnico III</t>
        </is>
      </c>
      <c r="D2918" t="n">
        <v>39</v>
      </c>
      <c r="E2918" t="n">
        <v>36</v>
      </c>
      <c r="F2918" t="n">
        <v>17.07</v>
      </c>
      <c r="G2918" t="n">
        <v>0</v>
      </c>
      <c r="H2918" t="n">
        <v>0</v>
      </c>
      <c r="I2918" s="3">
        <f>E2918+G2918+H2918</f>
        <v/>
      </c>
      <c r="J2918" s="3">
        <f>ROUND(MIN(IF(C2918="Técnico III",35,IF(C2918="Técnico II",28,IF(C2918="Técnico I",23,IF(C2918="JR",20,IF(C2918="Estágio",10,0))))),IF(C2918="Técnico III",SUMIFS($D:$D,$A:$A,$A2918,$B:$B,"&lt;&gt;Patrícia Karla de Sousa Araújo",$B:$B,"&lt;&gt;Lorena Dias de Araujo",$B:$B,"&lt;&gt;Lucas Luiz Romero")*(35/1083),IF(C2918="Técnico II",SUMIFS($D:$D,$A:$A,$A2918,$B:$B,"&lt;&gt;Patrícia Karla de Sousa Araújo",$B:$B,"&lt;&gt;Lorena Dias de Araujo",$B:$B,"&lt;&gt;Lucas Luiz Romero")*(28/1083),IF(C2918="Técnico I",SUMIFS($D:$D,$A:$A,$A2918,$B:$B,"&lt;&gt;Patrícia Karla de Sousa Araújo",$B:$B,"&lt;&gt;Lorena Dias de Araujo",$B:$B,"&lt;&gt;Lucas Luiz Romero")*(23/1083),IF(C2918="JR",SUMIFS($D:$D,$A:$A,$A2918,$B:$B,"&lt;&gt;Patrícia Karla de Sousa Araújo",$B:$B,"&lt;&gt;Lorena Dias de Araujo",$B:$B,"&lt;&gt;Lucas Luiz Romero")*(20/1083),IF(C2918="Estágio",SUMIFS($D:$D,$A:$A,$A2918,$B:$B,"&lt;&gt;Patrícia Karla de Sousa Araújo",$B:$B,"&lt;&gt;Lorena Dias de Araujo",$B:$B,"&lt;&gt;Lucas Luiz Romero")*(10/1083),0)))))),0)</f>
        <v/>
      </c>
      <c r="K2918" s="3">
        <f>I2918-J2918</f>
        <v/>
      </c>
      <c r="L2918" s="3">
        <f>IF(K2918&lt;-5,"CRÍTICO",IF(K2918&lt;0,"ATENÇÃO",IF(K2918&lt;=5,"OPORTUNO","MUITO BOM")))</f>
        <v/>
      </c>
      <c r="M2918" t="n">
        <v>33</v>
      </c>
      <c r="N2918" t="n">
        <v>98.86</v>
      </c>
      <c r="O2918" t="n">
        <v>28.95927601809955</v>
      </c>
    </row>
    <row r="2919" hidden="1">
      <c r="A2919" s="11" t="n">
        <v>46092</v>
      </c>
      <c r="B2919" t="inlineStr">
        <is>
          <t>Maysa Victoria Dias Moura</t>
        </is>
      </c>
      <c r="C2919" t="inlineStr">
        <is>
          <t>Técnico III</t>
        </is>
      </c>
      <c r="D2919" t="n">
        <v>33</v>
      </c>
      <c r="E2919" t="n">
        <v>29</v>
      </c>
      <c r="F2919" t="n">
        <v>17.15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M2919" t="n">
        <v>23</v>
      </c>
      <c r="N2919" t="n">
        <v>98.06</v>
      </c>
      <c r="O2919" t="n">
        <v>22.40566037735849</v>
      </c>
    </row>
    <row r="2920" hidden="1">
      <c r="A2920" s="11" t="n">
        <v>46092</v>
      </c>
      <c r="B2920" t="inlineStr">
        <is>
          <t>Michelle G Santos</t>
        </is>
      </c>
      <c r="C2920" t="inlineStr">
        <is>
          <t>Estágio</t>
        </is>
      </c>
      <c r="D2920" t="n">
        <v>6</v>
      </c>
      <c r="E2920" t="n">
        <v>5</v>
      </c>
      <c r="F2920" t="n">
        <v>46.5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M2920" t="n">
        <v>5</v>
      </c>
      <c r="N2920" t="n">
        <v>95.83</v>
      </c>
      <c r="O2920" t="n">
        <v>25.77319587628866</v>
      </c>
    </row>
    <row r="2921" hidden="1">
      <c r="A2921" s="11" t="n">
        <v>46092</v>
      </c>
      <c r="B2921" t="inlineStr">
        <is>
          <t>Milena Sales</t>
        </is>
      </c>
      <c r="C2921" t="inlineStr">
        <is>
          <t>JR</t>
        </is>
      </c>
      <c r="D2921" t="n">
        <v>0</v>
      </c>
      <c r="E2921" t="n">
        <v>0</v>
      </c>
      <c r="F2921" t="n">
        <v>0</v>
      </c>
      <c r="G2921" t="n">
        <v>0</v>
      </c>
      <c r="H2921" t="n">
        <v>0</v>
      </c>
      <c r="I2921" s="3" t="n">
        <v>0</v>
      </c>
      <c r="J2921" s="3" t="n">
        <v>0</v>
      </c>
      <c r="K2921" s="3" t="n">
        <v>0</v>
      </c>
      <c r="L2921" s="3">
        <f>IF(K2921&lt;-5,"CRÍTICO",IF(K2921&lt;0,"ATENÇÃO",IF(K2921&lt;=5,"OPORTUNO","MUITO BOM")))</f>
        <v/>
      </c>
      <c r="M2921" t="n">
        <v>0</v>
      </c>
      <c r="N2921" t="n">
        <v>100</v>
      </c>
      <c r="O2921" t="n">
        <v>15.38461538461539</v>
      </c>
    </row>
    <row r="2922" hidden="1">
      <c r="A2922" s="11" t="n">
        <v>46092</v>
      </c>
      <c r="B2922" t="inlineStr">
        <is>
          <t>Patrícia Karla de Sousa Araújo</t>
        </is>
      </c>
      <c r="C2922" t="inlineStr">
        <is>
          <t>Técnico II</t>
        </is>
      </c>
      <c r="D2922" t="n">
        <v>12</v>
      </c>
      <c r="E2922" t="n">
        <v>11</v>
      </c>
      <c r="F2922" t="n">
        <v>20.49</v>
      </c>
      <c r="G2922" t="n">
        <v>0</v>
      </c>
      <c r="H2922" t="n">
        <v>0</v>
      </c>
      <c r="I2922" s="3">
        <f>E2922+G2922+H2922</f>
        <v/>
      </c>
      <c r="J2922" s="3">
        <f>ROUND(MIN(IF(C2922="Técnico III",35,IF(C2922="Técnico II",28,IF(C2922="Técnico I",23,IF(C2922="JR",20,IF(C2922="Estágio",10,0))))),IF(C2922="Técnico III",SUMIFS($D:$D,$A:$A,$A2922,$B:$B,"&lt;&gt;Patrícia Karla de Sousa Araújo",$B:$B,"&lt;&gt;Lorena Dias de Araujo",$B:$B,"&lt;&gt;Lucas Luiz Romero")*(35/1083),IF(C2922="Técnico II",SUMIFS($D:$D,$A:$A,$A2922,$B:$B,"&lt;&gt;Patrícia Karla de Sousa Araújo",$B:$B,"&lt;&gt;Lorena Dias de Araujo",$B:$B,"&lt;&gt;Lucas Luiz Romero")*(28/1083),IF(C2922="Técnico I",SUMIFS($D:$D,$A:$A,$A2922,$B:$B,"&lt;&gt;Patrícia Karla de Sousa Araújo",$B:$B,"&lt;&gt;Lorena Dias de Araujo",$B:$B,"&lt;&gt;Lucas Luiz Romero")*(23/1083),IF(C2922="JR",SUMIFS($D:$D,$A:$A,$A2922,$B:$B,"&lt;&gt;Patrícia Karla de Sousa Araújo",$B:$B,"&lt;&gt;Lorena Dias de Araujo",$B:$B,"&lt;&gt;Lucas Luiz Romero")*(20/1083),IF(C2922="Estágio",SUMIFS($D:$D,$A:$A,$A2922,$B:$B,"&lt;&gt;Patrícia Karla de Sousa Araújo",$B:$B,"&lt;&gt;Lorena Dias de Araujo",$B:$B,"&lt;&gt;Lucas Luiz Romero")*(10/1083),0)))))),0)</f>
        <v/>
      </c>
      <c r="K2922" s="3">
        <f>I2922-J2922</f>
        <v/>
      </c>
      <c r="L2922" s="3">
        <f>IF(K2922&lt;-5,"CRÍTICO",IF(K2922&lt;0,"ATENÇÃO",IF(K2922&lt;=5,"OPORTUNO","MUITO BOM")))</f>
        <v/>
      </c>
      <c r="M2922" t="n">
        <v>9</v>
      </c>
      <c r="N2922" t="n">
        <v>100</v>
      </c>
      <c r="O2922" t="n">
        <v>27.51479289940828</v>
      </c>
    </row>
    <row r="2923" hidden="1">
      <c r="A2923" s="11" t="n">
        <v>46092</v>
      </c>
      <c r="B2923" t="inlineStr">
        <is>
          <t>Paulo Ricardo Santos</t>
        </is>
      </c>
      <c r="C2923" t="inlineStr">
        <is>
          <t>JR</t>
        </is>
      </c>
      <c r="D2923" t="n">
        <v>9</v>
      </c>
      <c r="E2923" t="n">
        <v>8</v>
      </c>
      <c r="F2923" t="n">
        <v>40.11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M2923" t="n">
        <v>7</v>
      </c>
      <c r="N2923" t="n">
        <v>100</v>
      </c>
      <c r="O2923" t="n">
        <v>24.87562189054727</v>
      </c>
    </row>
    <row r="2924" hidden="1">
      <c r="A2924" s="11" t="n">
        <v>46092</v>
      </c>
      <c r="B2924" t="inlineStr">
        <is>
          <t>Pedro Luiz Mota Sousa</t>
        </is>
      </c>
      <c r="C2924" t="inlineStr">
        <is>
          <t>JR</t>
        </is>
      </c>
      <c r="D2924" t="n">
        <v>13</v>
      </c>
      <c r="E2924" t="n">
        <v>13</v>
      </c>
      <c r="F2924" t="n">
        <v>34.16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M2924" t="n">
        <v>10</v>
      </c>
      <c r="N2924" t="n">
        <v>100</v>
      </c>
      <c r="O2924" t="n">
        <v>28.10810810810811</v>
      </c>
    </row>
    <row r="2925" hidden="1">
      <c r="A2925" s="11" t="n">
        <v>46092</v>
      </c>
      <c r="B2925" t="inlineStr">
        <is>
          <t>Quirino Diogo Leite Torres</t>
        </is>
      </c>
      <c r="C2925" t="inlineStr">
        <is>
          <t>Estágio</t>
        </is>
      </c>
      <c r="D2925" t="n">
        <v>0</v>
      </c>
      <c r="E2925" t="n">
        <v>0</v>
      </c>
      <c r="F2925" t="n">
        <v>0</v>
      </c>
      <c r="G2925" t="n">
        <v>0</v>
      </c>
      <c r="H2925" t="n">
        <v>0</v>
      </c>
      <c r="I2925" s="3" t="n">
        <v>0</v>
      </c>
      <c r="J2925" s="3" t="n">
        <v>0</v>
      </c>
      <c r="K2925" s="3" t="n">
        <v>0</v>
      </c>
      <c r="L2925" s="3">
        <f>IF(K2925&lt;-5,"CRÍTICO",IF(K2925&lt;0,"ATENÇÃO",IF(K2925&lt;=5,"OPORTUNO","MUITO BOM")))</f>
        <v/>
      </c>
      <c r="M2925" t="n">
        <v>0</v>
      </c>
      <c r="N2925" t="n">
        <v>100</v>
      </c>
      <c r="O2925" t="n">
        <v>35</v>
      </c>
    </row>
    <row r="2926" hidden="1">
      <c r="A2926" s="11" t="n">
        <v>46092</v>
      </c>
      <c r="B2926" t="inlineStr">
        <is>
          <t>Raane Batista Matos</t>
        </is>
      </c>
      <c r="C2926" t="inlineStr">
        <is>
          <t>Técnico I</t>
        </is>
      </c>
      <c r="D2926" t="n">
        <v>34</v>
      </c>
      <c r="E2926" t="n">
        <v>27</v>
      </c>
      <c r="F2926" t="n">
        <v>22.3</v>
      </c>
      <c r="G2926" t="n">
        <v>0</v>
      </c>
      <c r="H2926" t="n">
        <v>0</v>
      </c>
      <c r="I2926" s="3">
        <f>E2926+G2926+H2926</f>
        <v/>
      </c>
      <c r="J2926" s="3">
        <f>ROUND(MIN(IF(C2926="Técnico III",35,IF(C2926="Técnico II",28,IF(C2926="Técnico I",23,IF(C2926="JR",20,IF(C2926="Estágio",10,0))))),IF(C2926="Técnico III",SUMIFS($D:$D,$A:$A,$A2926,$B:$B,"&lt;&gt;Patrícia Karla de Sousa Araújo",$B:$B,"&lt;&gt;Lorena Dias de Araujo",$B:$B,"&lt;&gt;Lucas Luiz Romero")*(35/1083),IF(C2926="Técnico II",SUMIFS($D:$D,$A:$A,$A2926,$B:$B,"&lt;&gt;Patrícia Karla de Sousa Araújo",$B:$B,"&lt;&gt;Lorena Dias de Araujo",$B:$B,"&lt;&gt;Lucas Luiz Romero")*(28/1083),IF(C2926="Técnico I",SUMIFS($D:$D,$A:$A,$A2926,$B:$B,"&lt;&gt;Patrícia Karla de Sousa Araújo",$B:$B,"&lt;&gt;Lorena Dias de Araujo",$B:$B,"&lt;&gt;Lucas Luiz Romero")*(23/1083),IF(C2926="JR",SUMIFS($D:$D,$A:$A,$A2926,$B:$B,"&lt;&gt;Patrícia Karla de Sousa Araújo",$B:$B,"&lt;&gt;Lorena Dias de Araujo",$B:$B,"&lt;&gt;Lucas Luiz Romero")*(20/1083),IF(C2926="Estágio",SUMIFS($D:$D,$A:$A,$A2926,$B:$B,"&lt;&gt;Patrícia Karla de Sousa Araújo",$B:$B,"&lt;&gt;Lorena Dias de Araujo",$B:$B,"&lt;&gt;Lucas Luiz Romero")*(10/1083),0)))))),0)</f>
        <v/>
      </c>
      <c r="K2926" s="3">
        <f>I2926-J2926</f>
        <v/>
      </c>
      <c r="L2926" s="3">
        <f>IF(K2926&lt;-5,"CRÍTICO",IF(K2926&lt;0,"ATENÇÃO",IF(K2926&lt;=5,"OPORTUNO","MUITO BOM")))</f>
        <v/>
      </c>
      <c r="M2926" t="n">
        <v>19</v>
      </c>
      <c r="N2926" t="n">
        <v>95.34999999999999</v>
      </c>
      <c r="O2926" t="n">
        <v>28.61538461538461</v>
      </c>
    </row>
    <row r="2927" hidden="1">
      <c r="A2927" s="11" t="n">
        <v>46092</v>
      </c>
      <c r="B2927" t="inlineStr">
        <is>
          <t>Rafael Gomes de Morais</t>
        </is>
      </c>
      <c r="C2927" t="inlineStr">
        <is>
          <t>Técnico III</t>
        </is>
      </c>
      <c r="D2927" t="n">
        <v>49</v>
      </c>
      <c r="E2927" t="n">
        <v>44</v>
      </c>
      <c r="F2927" t="n">
        <v>15.2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M2927" t="n">
        <v>27</v>
      </c>
      <c r="N2927" t="n">
        <v>98.26000000000001</v>
      </c>
      <c r="O2927" t="n">
        <v>27.54491017964072</v>
      </c>
    </row>
    <row r="2928" hidden="1">
      <c r="A2928" s="11" t="n">
        <v>46092</v>
      </c>
      <c r="B2928" t="inlineStr">
        <is>
          <t>Sara Maria Monteiro Lopes</t>
        </is>
      </c>
      <c r="C2928" t="inlineStr">
        <is>
          <t>Técnico I</t>
        </is>
      </c>
      <c r="D2928" t="n">
        <v>17</v>
      </c>
      <c r="E2928" t="n">
        <v>17</v>
      </c>
      <c r="F2928" t="n">
        <v>30.11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M2928" t="n">
        <v>15</v>
      </c>
      <c r="N2928" t="n">
        <v>98.55</v>
      </c>
      <c r="O2928" t="n">
        <v>25.33783783783784</v>
      </c>
    </row>
    <row r="2929" hidden="1">
      <c r="A2929" s="11" t="n">
        <v>46092</v>
      </c>
      <c r="B2929" t="inlineStr">
        <is>
          <t>Sarah Steffanie de Lima Borges</t>
        </is>
      </c>
      <c r="C2929" t="inlineStr">
        <is>
          <t>Técnico III</t>
        </is>
      </c>
      <c r="D2929" t="n">
        <v>37</v>
      </c>
      <c r="E2929" t="n">
        <v>32</v>
      </c>
      <c r="F2929" t="n">
        <v>14.03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M2929" t="n">
        <v>27</v>
      </c>
      <c r="N2929" t="n">
        <v>98.39</v>
      </c>
      <c r="O2929" t="n">
        <v>25.56390977443609</v>
      </c>
    </row>
    <row r="2930" hidden="1">
      <c r="A2930" s="11" t="n">
        <v>46093</v>
      </c>
      <c r="B2930" t="inlineStr">
        <is>
          <t>Alisson de Freitas Silva</t>
        </is>
      </c>
      <c r="C2930" t="inlineStr">
        <is>
          <t>Técnico II</t>
        </is>
      </c>
      <c r="D2930" t="n">
        <v>14</v>
      </c>
      <c r="E2930" t="n">
        <v>11</v>
      </c>
      <c r="F2930" t="n">
        <v>25.59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M2930" t="n">
        <v>8</v>
      </c>
      <c r="N2930" t="n">
        <v>94.29000000000001</v>
      </c>
      <c r="O2930" t="n">
        <v>25.64766839378239</v>
      </c>
    </row>
    <row r="2931" hidden="1">
      <c r="A2931" s="11" t="n">
        <v>46093</v>
      </c>
      <c r="B2931" t="inlineStr">
        <is>
          <t>Amanda Moura Ferreira</t>
        </is>
      </c>
      <c r="C2931" t="inlineStr">
        <is>
          <t>Técnico III</t>
        </is>
      </c>
      <c r="D2931" t="n">
        <v>0</v>
      </c>
      <c r="E2931" t="n">
        <v>0</v>
      </c>
      <c r="F2931" t="n">
        <v>0</v>
      </c>
      <c r="G2931" t="n">
        <v>0</v>
      </c>
      <c r="H2931" t="n">
        <v>0</v>
      </c>
      <c r="I2931" s="3" t="n">
        <v>0</v>
      </c>
      <c r="J2931" s="3" t="n">
        <v>0</v>
      </c>
      <c r="K2931" s="3" t="n">
        <v>0</v>
      </c>
      <c r="L2931" s="3">
        <f>IF(K2931&lt;-5,"CRÍTICO",IF(K2931&lt;0,"ATENÇÃO",IF(K2931&lt;=5,"OPORTUNO","MUITO BOM")))</f>
        <v/>
      </c>
      <c r="M2931" t="n">
        <v>22</v>
      </c>
      <c r="N2931" t="n">
        <v>98.26000000000001</v>
      </c>
      <c r="O2931" t="n">
        <v>26.66666666666667</v>
      </c>
    </row>
    <row r="2932" hidden="1">
      <c r="A2932" s="11" t="n">
        <v>46093</v>
      </c>
      <c r="B2932" t="inlineStr">
        <is>
          <t>Ana Karollyne Souza Faria</t>
        </is>
      </c>
      <c r="C2932" t="inlineStr">
        <is>
          <t>Técnico I</t>
        </is>
      </c>
      <c r="D2932" t="n">
        <v>20</v>
      </c>
      <c r="E2932" t="n">
        <v>17</v>
      </c>
      <c r="F2932" t="n">
        <v>28.43</v>
      </c>
      <c r="G2932" t="n">
        <v>0</v>
      </c>
      <c r="H2932" t="n">
        <v>0</v>
      </c>
      <c r="I2932" s="3">
        <f>E2932+G2932+H2932</f>
        <v/>
      </c>
      <c r="J2932" s="3">
        <f>ROUND(MIN(IF(C2932="Técnico III",35,IF(C2932="Técnico II",28,IF(C2932="Técnico I",23,IF(C2932="JR",20,IF(C2932="Estágio",10,0))))),IF(C2932="Técnico III",SUMIFS($D:$D,$A:$A,$A2932,$B:$B,"&lt;&gt;Patrícia Karla de Sousa Araújo",$B:$B,"&lt;&gt;Lorena Dias de Araujo",$B:$B,"&lt;&gt;Lucas Luiz Romero")*(35/1083),IF(C2932="Técnico II",SUMIFS($D:$D,$A:$A,$A2932,$B:$B,"&lt;&gt;Patrícia Karla de Sousa Araújo",$B:$B,"&lt;&gt;Lorena Dias de Araujo",$B:$B,"&lt;&gt;Lucas Luiz Romero")*(28/1083),IF(C2932="Técnico I",SUMIFS($D:$D,$A:$A,$A2932,$B:$B,"&lt;&gt;Patrícia Karla de Sousa Araújo",$B:$B,"&lt;&gt;Lorena Dias de Araujo",$B:$B,"&lt;&gt;Lucas Luiz Romero")*(23/1083),IF(C2932="JR",SUMIFS($D:$D,$A:$A,$A2932,$B:$B,"&lt;&gt;Patrícia Karla de Sousa Araújo",$B:$B,"&lt;&gt;Lorena Dias de Araujo",$B:$B,"&lt;&gt;Lucas Luiz Romero")*(20/1083),IF(C2932="Estágio",SUMIFS($D:$D,$A:$A,$A2932,$B:$B,"&lt;&gt;Patrícia Karla de Sousa Araújo",$B:$B,"&lt;&gt;Lorena Dias de Araujo",$B:$B,"&lt;&gt;Lucas Luiz Romero")*(10/1083),0)))))),0)</f>
        <v/>
      </c>
      <c r="K2932" s="3">
        <f>I2932-J2932</f>
        <v/>
      </c>
      <c r="L2932" s="3">
        <f>IF(K2932&lt;-5,"CRÍTICO",IF(K2932&lt;0,"ATENÇÃO",IF(K2932&lt;=5,"OPORTUNO","MUITO BOM")))</f>
        <v/>
      </c>
      <c r="M2932" t="n">
        <v>15</v>
      </c>
      <c r="N2932" t="n">
        <v>98.2</v>
      </c>
      <c r="O2932" t="n">
        <v>23.37962962962963</v>
      </c>
    </row>
    <row r="2933" hidden="1">
      <c r="A2933" s="11" t="n">
        <v>46093</v>
      </c>
      <c r="B2933" t="inlineStr">
        <is>
          <t>Ana Paula Da Luz Silva Aleixo</t>
        </is>
      </c>
      <c r="C2933" t="inlineStr">
        <is>
          <t>Técnico III</t>
        </is>
      </c>
      <c r="D2933" t="n">
        <v>26</v>
      </c>
      <c r="E2933" t="n">
        <v>24</v>
      </c>
      <c r="F2933" t="n">
        <v>20.03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M2933" t="n">
        <v>23</v>
      </c>
      <c r="N2933" t="n">
        <v>97.3</v>
      </c>
      <c r="O2933" t="n">
        <v>23.84769539078156</v>
      </c>
    </row>
    <row r="2934" hidden="1">
      <c r="A2934" s="11" t="n">
        <v>46093</v>
      </c>
      <c r="B2934" t="inlineStr">
        <is>
          <t>Anna Luiza Rezende Tavares</t>
        </is>
      </c>
      <c r="C2934" t="inlineStr">
        <is>
          <t>Estágio</t>
        </is>
      </c>
      <c r="D2934" t="n">
        <v>11</v>
      </c>
      <c r="E2934" t="n">
        <v>10</v>
      </c>
      <c r="F2934" t="n">
        <v>30.13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M2934" t="n">
        <v>8</v>
      </c>
      <c r="N2934" t="n">
        <v>100</v>
      </c>
      <c r="O2934" t="n">
        <v>25.26881720430108</v>
      </c>
    </row>
    <row r="2935" hidden="1">
      <c r="A2935" s="11" t="n">
        <v>46093</v>
      </c>
      <c r="B2935" t="inlineStr">
        <is>
          <t>Brenda de Menezes Silva</t>
        </is>
      </c>
      <c r="C2935" t="inlineStr">
        <is>
          <t>Técnico II</t>
        </is>
      </c>
      <c r="D2935" t="n">
        <v>37</v>
      </c>
      <c r="E2935" t="n">
        <v>35</v>
      </c>
      <c r="F2935" t="n">
        <v>18.51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M2935" t="n">
        <v>34</v>
      </c>
      <c r="N2935" t="n">
        <v>99.31999999999999</v>
      </c>
      <c r="O2935" t="n">
        <v>22.82282282282282</v>
      </c>
    </row>
    <row r="2936" hidden="1">
      <c r="A2936" s="11" t="n">
        <v>46093</v>
      </c>
      <c r="B2936" t="inlineStr">
        <is>
          <t>Carlos Mateus Cassimiro Nunes</t>
        </is>
      </c>
      <c r="C2936" t="inlineStr">
        <is>
          <t>Técnico II</t>
        </is>
      </c>
      <c r="D2936" t="n">
        <v>9</v>
      </c>
      <c r="E2936" t="n">
        <v>9</v>
      </c>
      <c r="F2936" t="n">
        <v>56.55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M2936" t="n">
        <v>13</v>
      </c>
      <c r="N2936" t="n">
        <v>100</v>
      </c>
      <c r="O2936" t="n">
        <v>27.96610169491525</v>
      </c>
    </row>
    <row r="2937" hidden="1">
      <c r="A2937" s="11" t="n">
        <v>46093</v>
      </c>
      <c r="B2937" t="inlineStr">
        <is>
          <t>Claudio de Sousa Velasco Filho</t>
        </is>
      </c>
      <c r="C2937" t="inlineStr">
        <is>
          <t>Estágio</t>
        </is>
      </c>
      <c r="D2937" t="n">
        <v>0</v>
      </c>
      <c r="E2937" t="n">
        <v>0</v>
      </c>
      <c r="F2937" t="n">
        <v>0</v>
      </c>
      <c r="G2937" t="n">
        <v>0</v>
      </c>
      <c r="H2937" t="n">
        <v>0</v>
      </c>
      <c r="I2937" s="3" t="n">
        <v>0</v>
      </c>
      <c r="J2937" s="3" t="n">
        <v>0</v>
      </c>
      <c r="K2937" s="3" t="n">
        <v>0</v>
      </c>
      <c r="L2937" s="3">
        <f>IF(K2937&lt;-5,"CRÍTICO",IF(K2937&lt;0,"ATENÇÃO",IF(K2937&lt;=5,"OPORTUNO","MUITO BOM")))</f>
        <v/>
      </c>
      <c r="M2937" t="n">
        <v>0</v>
      </c>
      <c r="N2937" t="n">
        <v>100</v>
      </c>
      <c r="O2937" t="n">
        <v>30.43478260869566</v>
      </c>
    </row>
    <row r="2938" hidden="1">
      <c r="A2938" s="11" t="n">
        <v>46093</v>
      </c>
      <c r="B2938" t="inlineStr">
        <is>
          <t>Clessiane Pereira dos Santos</t>
        </is>
      </c>
      <c r="C2938" t="inlineStr">
        <is>
          <t>Técnico I</t>
        </is>
      </c>
      <c r="D2938" t="n">
        <v>15</v>
      </c>
      <c r="E2938" t="n">
        <v>14</v>
      </c>
      <c r="F2938" t="n">
        <v>35.05</v>
      </c>
      <c r="G2938" t="n">
        <v>0</v>
      </c>
      <c r="H2938" t="n">
        <v>0</v>
      </c>
      <c r="I2938" s="3">
        <f>E2938+G2938+H2938</f>
        <v/>
      </c>
      <c r="J2938" s="3">
        <f>ROUND(MIN(IF(C2938="Técnico III",35,IF(C2938="Técnico II",28,IF(C2938="Técnico I",23,IF(C2938="JR",20,IF(C2938="Estágio",10,0))))),IF(C2938="Técnico III",SUMIFS($D:$D,$A:$A,$A2938,$B:$B,"&lt;&gt;Patrícia Karla de Sousa Araújo",$B:$B,"&lt;&gt;Lorena Dias de Araujo",$B:$B,"&lt;&gt;Lucas Luiz Romero")*(35/1083),IF(C2938="Técnico II",SUMIFS($D:$D,$A:$A,$A2938,$B:$B,"&lt;&gt;Patrícia Karla de Sousa Araújo",$B:$B,"&lt;&gt;Lorena Dias de Araujo",$B:$B,"&lt;&gt;Lucas Luiz Romero")*(28/1083),IF(C2938="Técnico I",SUMIFS($D:$D,$A:$A,$A2938,$B:$B,"&lt;&gt;Patrícia Karla de Sousa Araújo",$B:$B,"&lt;&gt;Lorena Dias de Araujo",$B:$B,"&lt;&gt;Lucas Luiz Romero")*(23/1083),IF(C2938="JR",SUMIFS($D:$D,$A:$A,$A2938,$B:$B,"&lt;&gt;Patrícia Karla de Sousa Araújo",$B:$B,"&lt;&gt;Lorena Dias de Araujo",$B:$B,"&lt;&gt;Lucas Luiz Romero")*(20/1083),IF(C2938="Estágio",SUMIFS($D:$D,$A:$A,$A2938,$B:$B,"&lt;&gt;Patrícia Karla de Sousa Araújo",$B:$B,"&lt;&gt;Lorena Dias de Araujo",$B:$B,"&lt;&gt;Lucas Luiz Romero")*(10/1083),0)))))),0)</f>
        <v/>
      </c>
      <c r="K2938" s="3">
        <f>I2938-J2938</f>
        <v/>
      </c>
      <c r="L2938" s="3">
        <f>IF(K2938&lt;-5,"CRÍTICO",IF(K2938&lt;0,"ATENÇÃO",IF(K2938&lt;=5,"OPORTUNO","MUITO BOM")))</f>
        <v/>
      </c>
      <c r="M2938" t="n">
        <v>14</v>
      </c>
      <c r="N2938" t="n">
        <v>96.51000000000001</v>
      </c>
      <c r="O2938" t="n">
        <v>22.80285035629454</v>
      </c>
    </row>
    <row r="2939" hidden="1">
      <c r="A2939" s="11" t="n">
        <v>46093</v>
      </c>
      <c r="B2939" t="inlineStr">
        <is>
          <t>Cristiane Ramos da Silva Rocha</t>
        </is>
      </c>
      <c r="C2939" t="inlineStr">
        <is>
          <t>Técnico III</t>
        </is>
      </c>
      <c r="D2939" t="n">
        <v>0</v>
      </c>
      <c r="E2939" t="n">
        <v>0</v>
      </c>
      <c r="F2939" t="n">
        <v>0</v>
      </c>
      <c r="G2939" t="n">
        <v>0</v>
      </c>
      <c r="H2939" t="n">
        <v>0</v>
      </c>
      <c r="I2939" s="3" t="n">
        <v>0</v>
      </c>
      <c r="J2939" s="3" t="n">
        <v>0</v>
      </c>
      <c r="K2939" s="3" t="n">
        <v>0</v>
      </c>
      <c r="L2939" s="3">
        <f>IF(K2939&lt;-5,"CRÍTICO",IF(K2939&lt;0,"ATENÇÃO",IF(K2939&lt;=5,"OPORTUNO","MUITO BOM")))</f>
        <v/>
      </c>
      <c r="M2939" t="n">
        <v>12</v>
      </c>
      <c r="N2939" t="n">
        <v>92.68000000000001</v>
      </c>
      <c r="O2939" t="n">
        <v>27.77777777777778</v>
      </c>
    </row>
    <row r="2940" hidden="1">
      <c r="A2940" s="11" t="n">
        <v>46093</v>
      </c>
      <c r="B2940" t="inlineStr">
        <is>
          <t>Damyllis Lorraine de Oliveira Gonçalves</t>
        </is>
      </c>
      <c r="C2940" t="inlineStr">
        <is>
          <t>Técnico II</t>
        </is>
      </c>
      <c r="D2940" t="n">
        <v>30</v>
      </c>
      <c r="E2940" t="n">
        <v>28</v>
      </c>
      <c r="F2940" t="n">
        <v>20.08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M2940" t="n">
        <v>25</v>
      </c>
      <c r="N2940" t="n">
        <v>99.03</v>
      </c>
      <c r="O2940" t="n">
        <v>23.99150743099788</v>
      </c>
    </row>
    <row r="2941" hidden="1">
      <c r="A2941" s="11" t="n">
        <v>46093</v>
      </c>
      <c r="B2941" t="inlineStr">
        <is>
          <t>Daniel Gomes da Silva</t>
        </is>
      </c>
      <c r="C2941" t="inlineStr">
        <is>
          <t>Técnico I</t>
        </is>
      </c>
      <c r="D2941" t="n">
        <v>27</v>
      </c>
      <c r="E2941" t="n">
        <v>26</v>
      </c>
      <c r="F2941" t="n">
        <v>25.51</v>
      </c>
      <c r="G2941" t="n">
        <v>0</v>
      </c>
      <c r="H2941" t="n">
        <v>0</v>
      </c>
      <c r="I2941" s="3">
        <f>E2941+G2941+H2941</f>
        <v/>
      </c>
      <c r="J2941" s="3">
        <f>ROUND(MIN(IF(C2941="Técnico III",35,IF(C2941="Técnico II",28,IF(C2941="Técnico I",23,IF(C2941="JR",20,IF(C2941="Estágio",10,0))))),IF(C2941="Técnico III",SUMIFS($D:$D,$A:$A,$A2941,$B:$B,"&lt;&gt;Patrícia Karla de Sousa Araújo",$B:$B,"&lt;&gt;Lorena Dias de Araujo",$B:$B,"&lt;&gt;Lucas Luiz Romero")*(35/1083),IF(C2941="Técnico II",SUMIFS($D:$D,$A:$A,$A2941,$B:$B,"&lt;&gt;Patrícia Karla de Sousa Araújo",$B:$B,"&lt;&gt;Lorena Dias de Araujo",$B:$B,"&lt;&gt;Lucas Luiz Romero")*(28/1083),IF(C2941="Técnico I",SUMIFS($D:$D,$A:$A,$A2941,$B:$B,"&lt;&gt;Patrícia Karla de Sousa Araújo",$B:$B,"&lt;&gt;Lorena Dias de Araujo",$B:$B,"&lt;&gt;Lucas Luiz Romero")*(23/1083),IF(C2941="JR",SUMIFS($D:$D,$A:$A,$A2941,$B:$B,"&lt;&gt;Patrícia Karla de Sousa Araújo",$B:$B,"&lt;&gt;Lorena Dias de Araujo",$B:$B,"&lt;&gt;Lucas Luiz Romero")*(20/1083),IF(C2941="Estágio",SUMIFS($D:$D,$A:$A,$A2941,$B:$B,"&lt;&gt;Patrícia Karla de Sousa Araújo",$B:$B,"&lt;&gt;Lorena Dias de Araujo",$B:$B,"&lt;&gt;Lucas Luiz Romero")*(10/1083),0)))))),0)</f>
        <v/>
      </c>
      <c r="K2941" s="3">
        <f>I2941-J2941</f>
        <v/>
      </c>
      <c r="L2941" s="3">
        <f>IF(K2941&lt;-5,"CRÍTICO",IF(K2941&lt;0,"ATENÇÃO",IF(K2941&lt;=5,"OPORTUNO","MUITO BOM")))</f>
        <v/>
      </c>
      <c r="M2941" t="n">
        <v>13</v>
      </c>
      <c r="N2941" t="n">
        <v>98.41</v>
      </c>
      <c r="O2941" t="n">
        <v>28.13852813852814</v>
      </c>
    </row>
    <row r="2942" hidden="1">
      <c r="A2942" s="11" t="n">
        <v>46093</v>
      </c>
      <c r="B2942" t="inlineStr">
        <is>
          <t>Davylla Rodrigues Freitas Silva</t>
        </is>
      </c>
      <c r="C2942" t="inlineStr">
        <is>
          <t>Técnico III</t>
        </is>
      </c>
      <c r="D2942" t="n">
        <v>29</v>
      </c>
      <c r="E2942" t="n">
        <v>28</v>
      </c>
      <c r="F2942" t="n">
        <v>25.59</v>
      </c>
      <c r="G2942" t="n">
        <v>0</v>
      </c>
      <c r="H2942" t="n">
        <v>0</v>
      </c>
      <c r="I2942" s="3" t="n">
        <v>0</v>
      </c>
      <c r="J2942" s="3" t="n">
        <v>0</v>
      </c>
      <c r="K2942" s="3" t="n">
        <v>0</v>
      </c>
      <c r="L2942" s="3">
        <f>IF(K2942&lt;-5,"CRÍTICO",IF(K2942&lt;0,"ATENÇÃO",IF(K2942&lt;=5,"OPORTUNO","MUITO BOM")))</f>
        <v/>
      </c>
      <c r="M2942" t="n">
        <v>29</v>
      </c>
      <c r="N2942" t="n">
        <v>98.73</v>
      </c>
      <c r="O2942" t="n">
        <v>29.14285714285714</v>
      </c>
    </row>
    <row r="2943" hidden="1">
      <c r="A2943" s="11" t="n">
        <v>46093</v>
      </c>
      <c r="B2943" t="inlineStr">
        <is>
          <t>Emilly Caylane Costa</t>
        </is>
      </c>
      <c r="C2943" t="inlineStr">
        <is>
          <t>Estágio</t>
        </is>
      </c>
      <c r="D2943" t="n">
        <v>10</v>
      </c>
      <c r="E2943" t="n">
        <v>9</v>
      </c>
      <c r="F2943" t="n">
        <v>37.2</v>
      </c>
      <c r="G2943" t="n">
        <v>0</v>
      </c>
      <c r="H2943" t="n">
        <v>0</v>
      </c>
      <c r="I2943" s="3">
        <f>E2943+G2943+H2943</f>
        <v/>
      </c>
      <c r="J2943" s="3">
        <f>ROUND(MIN(IF(C2943="Técnico III",35,IF(C2943="Técnico II",28,IF(C2943="Técnico I",23,IF(C2943="JR",20,IF(C2943="Estágio",10,0))))),IF(C2943="Técnico III",SUMIFS($D:$D,$A:$A,$A2943,$B:$B,"&lt;&gt;Patrícia Karla de Sousa Araújo",$B:$B,"&lt;&gt;Lorena Dias de Araujo",$B:$B,"&lt;&gt;Lucas Luiz Romero")*(35/1083),IF(C2943="Técnico II",SUMIFS($D:$D,$A:$A,$A2943,$B:$B,"&lt;&gt;Patrícia Karla de Sousa Araújo",$B:$B,"&lt;&gt;Lorena Dias de Araujo",$B:$B,"&lt;&gt;Lucas Luiz Romero")*(28/1083),IF(C2943="Técnico I",SUMIFS($D:$D,$A:$A,$A2943,$B:$B,"&lt;&gt;Patrícia Karla de Sousa Araújo",$B:$B,"&lt;&gt;Lorena Dias de Araujo",$B:$B,"&lt;&gt;Lucas Luiz Romero")*(23/1083),IF(C2943="JR",SUMIFS($D:$D,$A:$A,$A2943,$B:$B,"&lt;&gt;Patrícia Karla de Sousa Araújo",$B:$B,"&lt;&gt;Lorena Dias de Araujo",$B:$B,"&lt;&gt;Lucas Luiz Romero")*(20/1083),IF(C2943="Estágio",SUMIFS($D:$D,$A:$A,$A2943,$B:$B,"&lt;&gt;Patrícia Karla de Sousa Araújo",$B:$B,"&lt;&gt;Lorena Dias de Araujo",$B:$B,"&lt;&gt;Lucas Luiz Romero")*(10/1083),0)))))),0)</f>
        <v/>
      </c>
      <c r="K2943" s="3">
        <f>I2943-J2943</f>
        <v/>
      </c>
      <c r="L2943" s="3">
        <f>IF(K2943&lt;-5,"CRÍTICO",IF(K2943&lt;0,"ATENÇÃO",IF(K2943&lt;=5,"OPORTUNO","MUITO BOM")))</f>
        <v/>
      </c>
      <c r="M2943" t="n">
        <v>7</v>
      </c>
      <c r="N2943" t="n">
        <v>90.48</v>
      </c>
      <c r="O2943" t="n">
        <v>20.68965517241379</v>
      </c>
    </row>
    <row r="2944" hidden="1">
      <c r="A2944" s="11" t="n">
        <v>46093</v>
      </c>
      <c r="B2944" t="inlineStr">
        <is>
          <t>Emilly Kamilly Medeiros Miranda</t>
        </is>
      </c>
      <c r="C2944" t="inlineStr">
        <is>
          <t>Técnico II</t>
        </is>
      </c>
      <c r="D2944" t="n">
        <v>24</v>
      </c>
      <c r="E2944" t="n">
        <v>24</v>
      </c>
      <c r="F2944" t="n">
        <v>29.17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M2944" t="n">
        <v>19</v>
      </c>
      <c r="N2944" t="n">
        <v>98.06</v>
      </c>
      <c r="O2944" t="n">
        <v>24.78991596638656</v>
      </c>
    </row>
    <row r="2945" hidden="1">
      <c r="A2945" s="11" t="n">
        <v>46093</v>
      </c>
      <c r="B2945" t="inlineStr">
        <is>
          <t>Francielson de Oliveira</t>
        </is>
      </c>
      <c r="C2945" t="inlineStr">
        <is>
          <t>Técnico III</t>
        </is>
      </c>
      <c r="D2945" t="n">
        <v>27</v>
      </c>
      <c r="E2945" t="n">
        <v>27</v>
      </c>
      <c r="F2945" t="n">
        <v>20.31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M2945" t="n">
        <v>27</v>
      </c>
      <c r="N2945" t="n">
        <v>97.78</v>
      </c>
      <c r="O2945" t="n">
        <v>25.49407114624506</v>
      </c>
    </row>
    <row r="2946" hidden="1">
      <c r="A2946" s="11" t="n">
        <v>46093</v>
      </c>
      <c r="B2946" t="inlineStr">
        <is>
          <t>Francilene Ferreira de Jesus</t>
        </is>
      </c>
      <c r="C2946" t="inlineStr">
        <is>
          <t>Técnico II</t>
        </is>
      </c>
      <c r="D2946" t="n">
        <v>28</v>
      </c>
      <c r="E2946" t="n">
        <v>25</v>
      </c>
      <c r="F2946" t="n">
        <v>26.46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M2946" t="n">
        <v>20</v>
      </c>
      <c r="N2946" t="n">
        <v>98.02</v>
      </c>
      <c r="O2946" t="n">
        <v>23.48484848484848</v>
      </c>
    </row>
    <row r="2947" hidden="1">
      <c r="A2947" s="11" t="n">
        <v>46127</v>
      </c>
      <c r="B2947" t="inlineStr">
        <is>
          <t>Gabriel Gomes de Andrade</t>
        </is>
      </c>
      <c r="C2947" t="inlineStr">
        <is>
          <t>Técnico I</t>
        </is>
      </c>
      <c r="D2947" t="n">
        <v>44</v>
      </c>
      <c r="E2947" t="n">
        <v>38</v>
      </c>
      <c r="F2947" t="n">
        <v>12.23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M2947" t="n">
        <v>39</v>
      </c>
      <c r="N2947" t="n">
        <v>99.28</v>
      </c>
      <c r="O2947" t="n">
        <v>27.68924302788844</v>
      </c>
    </row>
    <row r="2948" hidden="1">
      <c r="A2948" s="11" t="n">
        <v>46093</v>
      </c>
      <c r="B2948" t="inlineStr">
        <is>
          <t>Isabella Borges de Oliveira</t>
        </is>
      </c>
      <c r="C2948" t="inlineStr">
        <is>
          <t>Técnico II</t>
        </is>
      </c>
      <c r="D2948" t="n">
        <v>23</v>
      </c>
      <c r="E2948" t="n">
        <v>21</v>
      </c>
      <c r="F2948" t="n">
        <v>22.1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M2948" t="n">
        <v>17</v>
      </c>
      <c r="N2948" t="n">
        <v>100</v>
      </c>
      <c r="O2948" t="n">
        <v>27.04918032786885</v>
      </c>
    </row>
    <row r="2949" hidden="1">
      <c r="A2949" s="11" t="n">
        <v>46093</v>
      </c>
      <c r="B2949" t="inlineStr">
        <is>
          <t>Janaina Lima dos Reis Urany</t>
        </is>
      </c>
      <c r="C2949" t="inlineStr">
        <is>
          <t>Técnico III</t>
        </is>
      </c>
      <c r="D2949" t="n">
        <v>46</v>
      </c>
      <c r="E2949" t="n">
        <v>42</v>
      </c>
      <c r="F2949" t="n">
        <v>11.51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M2949" t="n">
        <v>39</v>
      </c>
      <c r="N2949" t="n">
        <v>97.83</v>
      </c>
      <c r="O2949" t="n">
        <v>26.31578947368421</v>
      </c>
    </row>
    <row r="2950" hidden="1">
      <c r="A2950" s="11" t="n">
        <v>46093</v>
      </c>
      <c r="B2950" t="inlineStr">
        <is>
          <t>Jaqueline Evangelista da Silva Martins</t>
        </is>
      </c>
      <c r="C2950" t="inlineStr">
        <is>
          <t>Técnico III</t>
        </is>
      </c>
      <c r="D2950" t="n">
        <v>0</v>
      </c>
      <c r="E2950" t="n">
        <v>0</v>
      </c>
      <c r="F2950" t="n">
        <v>0</v>
      </c>
      <c r="G2950" t="n">
        <v>0</v>
      </c>
      <c r="H2950" t="n">
        <v>0</v>
      </c>
      <c r="I2950" s="3" t="n">
        <v>0</v>
      </c>
      <c r="J2950" s="3" t="n">
        <v>0</v>
      </c>
      <c r="K2950" s="3" t="n">
        <v>0</v>
      </c>
      <c r="L2950" s="3">
        <f>IF(K2950&lt;-5,"CRÍTICO",IF(K2950&lt;0,"ATENÇÃO",IF(K2950&lt;=5,"OPORTUNO","MUITO BOM")))</f>
        <v/>
      </c>
      <c r="M2950" t="n">
        <v>6</v>
      </c>
      <c r="N2950" t="n">
        <v>100</v>
      </c>
      <c r="O2950" t="n">
        <v>26.70157068062827</v>
      </c>
    </row>
    <row r="2951" hidden="1">
      <c r="A2951" s="11" t="n">
        <v>46093</v>
      </c>
      <c r="B2951" t="inlineStr">
        <is>
          <t>Jessica Faria da Silveira</t>
        </is>
      </c>
      <c r="C2951" t="inlineStr">
        <is>
          <t>Técnico II</t>
        </is>
      </c>
      <c r="D2951" t="n">
        <v>28</v>
      </c>
      <c r="E2951" t="n">
        <v>23</v>
      </c>
      <c r="F2951" t="n">
        <v>18.52</v>
      </c>
      <c r="G2951" t="n">
        <v>0</v>
      </c>
      <c r="H2951" t="n">
        <v>0</v>
      </c>
      <c r="I2951" s="3">
        <f>E2951+G2951+H2951</f>
        <v/>
      </c>
      <c r="J2951" s="3">
        <f>ROUND(MIN(IF(C2951="Técnico III",35,IF(C2951="Técnico II",28,IF(C2951="Técnico I",23,IF(C2951="JR",20,IF(C2951="Estágio",10,0))))),IF(C2951="Técnico III",SUMIFS($D:$D,$A:$A,$A2951,$B:$B,"&lt;&gt;Patrícia Karla de Sousa Araújo",$B:$B,"&lt;&gt;Lorena Dias de Araujo",$B:$B,"&lt;&gt;Lucas Luiz Romero")*(35/1083),IF(C2951="Técnico II",SUMIFS($D:$D,$A:$A,$A2951,$B:$B,"&lt;&gt;Patrícia Karla de Sousa Araújo",$B:$B,"&lt;&gt;Lorena Dias de Araujo",$B:$B,"&lt;&gt;Lucas Luiz Romero")*(28/1083),IF(C2951="Técnico I",SUMIFS($D:$D,$A:$A,$A2951,$B:$B,"&lt;&gt;Patrícia Karla de Sousa Araújo",$B:$B,"&lt;&gt;Lorena Dias de Araujo",$B:$B,"&lt;&gt;Lucas Luiz Romero")*(23/1083),IF(C2951="JR",SUMIFS($D:$D,$A:$A,$A2951,$B:$B,"&lt;&gt;Patrícia Karla de Sousa Araújo",$B:$B,"&lt;&gt;Lorena Dias de Araujo",$B:$B,"&lt;&gt;Lucas Luiz Romero")*(20/1083),IF(C2951="Estágio",SUMIFS($D:$D,$A:$A,$A2951,$B:$B,"&lt;&gt;Patrícia Karla de Sousa Araújo",$B:$B,"&lt;&gt;Lorena Dias de Araujo",$B:$B,"&lt;&gt;Lucas Luiz Romero")*(10/1083),0)))))),0)</f>
        <v/>
      </c>
      <c r="K2951" s="3">
        <f>I2951-J2951</f>
        <v/>
      </c>
      <c r="L2951" s="3">
        <f>IF(K2951&lt;-5,"CRÍTICO",IF(K2951&lt;0,"ATENÇÃO",IF(K2951&lt;=5,"OPORTUNO","MUITO BOM")))</f>
        <v/>
      </c>
      <c r="M2951" t="n">
        <v>21</v>
      </c>
      <c r="N2951" t="n">
        <v>97.47</v>
      </c>
      <c r="O2951" t="n">
        <v>22.88732394366197</v>
      </c>
    </row>
    <row r="2952" hidden="1">
      <c r="A2952" s="11" t="n">
        <v>46093</v>
      </c>
      <c r="B2952" t="inlineStr">
        <is>
          <t>Jéssica Fé Moura</t>
        </is>
      </c>
      <c r="C2952" t="inlineStr">
        <is>
          <t>Técnico III</t>
        </is>
      </c>
      <c r="D2952" t="n">
        <v>0</v>
      </c>
      <c r="E2952" t="n">
        <v>0</v>
      </c>
      <c r="F2952" t="n">
        <v>0</v>
      </c>
      <c r="G2952" t="n">
        <v>0</v>
      </c>
      <c r="H2952" t="n">
        <v>0</v>
      </c>
      <c r="I2952" s="3" t="n">
        <v>0</v>
      </c>
      <c r="J2952" s="3" t="n">
        <v>0</v>
      </c>
      <c r="K2952" s="3" t="n">
        <v>0</v>
      </c>
      <c r="L2952" s="3">
        <f>IF(K2952&lt;-5,"CRÍTICO",IF(K2952&lt;0,"ATENÇÃO",IF(K2952&lt;=5,"OPORTUNO","MUITO BOM")))</f>
        <v/>
      </c>
      <c r="M2952" t="n">
        <v>0</v>
      </c>
      <c r="N2952" t="n">
        <v>0</v>
      </c>
      <c r="O2952" t="n">
        <v>0</v>
      </c>
    </row>
    <row r="2953" hidden="1">
      <c r="A2953" s="11" t="n">
        <v>46093</v>
      </c>
      <c r="B2953" t="inlineStr">
        <is>
          <t>Karina Gonçalves Martins</t>
        </is>
      </c>
      <c r="C2953" t="inlineStr">
        <is>
          <t>JR</t>
        </is>
      </c>
      <c r="D2953" t="n">
        <v>12</v>
      </c>
      <c r="E2953" t="n">
        <v>11</v>
      </c>
      <c r="F2953" t="n">
        <v>27.26</v>
      </c>
      <c r="G2953" t="n">
        <v>0</v>
      </c>
      <c r="H2953" t="n">
        <v>0</v>
      </c>
      <c r="I2953" s="3">
        <f>E2953+G2953+H2953</f>
        <v/>
      </c>
      <c r="J2953" s="3">
        <f>ROUND(MIN(IF(C2953="Técnico III",35,IF(C2953="Técnico II",28,IF(C2953="Técnico I",23,IF(C2953="JR",20,IF(C2953="Estágio",10,0))))),IF(C2953="Técnico III",SUMIFS($D:$D,$A:$A,$A2953,$B:$B,"&lt;&gt;Patrícia Karla de Sousa Araújo",$B:$B,"&lt;&gt;Lorena Dias de Araujo",$B:$B,"&lt;&gt;Lucas Luiz Romero")*(35/1083),IF(C2953="Técnico II",SUMIFS($D:$D,$A:$A,$A2953,$B:$B,"&lt;&gt;Patrícia Karla de Sousa Araújo",$B:$B,"&lt;&gt;Lorena Dias de Araujo",$B:$B,"&lt;&gt;Lucas Luiz Romero")*(28/1083),IF(C2953="Técnico I",SUMIFS($D:$D,$A:$A,$A2953,$B:$B,"&lt;&gt;Patrícia Karla de Sousa Araújo",$B:$B,"&lt;&gt;Lorena Dias de Araujo",$B:$B,"&lt;&gt;Lucas Luiz Romero")*(23/1083),IF(C2953="JR",SUMIFS($D:$D,$A:$A,$A2953,$B:$B,"&lt;&gt;Patrícia Karla de Sousa Araújo",$B:$B,"&lt;&gt;Lorena Dias de Araujo",$B:$B,"&lt;&gt;Lucas Luiz Romero")*(20/1083),IF(C2953="Estágio",SUMIFS($D:$D,$A:$A,$A2953,$B:$B,"&lt;&gt;Patrícia Karla de Sousa Araújo",$B:$B,"&lt;&gt;Lorena Dias de Araujo",$B:$B,"&lt;&gt;Lucas Luiz Romero")*(10/1083),0)))))),0)</f>
        <v/>
      </c>
      <c r="K2953" s="3">
        <f>I2953-J2953</f>
        <v/>
      </c>
      <c r="L2953" s="3">
        <f>IF(K2953&lt;-5,"CRÍTICO",IF(K2953&lt;0,"ATENÇÃO",IF(K2953&lt;=5,"OPORTUNO","MUITO BOM")))</f>
        <v/>
      </c>
      <c r="M2953" t="n">
        <v>10</v>
      </c>
      <c r="N2953" t="n">
        <v>98.31</v>
      </c>
      <c r="O2953" t="n">
        <v>24.92012779552715</v>
      </c>
    </row>
    <row r="2954" hidden="1">
      <c r="A2954" s="11" t="n">
        <v>46093</v>
      </c>
      <c r="B2954" t="inlineStr">
        <is>
          <t>Kerollen Cristielly de Jesus Siqueira</t>
        </is>
      </c>
      <c r="C2954" t="inlineStr">
        <is>
          <t>Técnico III</t>
        </is>
      </c>
      <c r="D2954" t="n">
        <v>0</v>
      </c>
      <c r="E2954" t="n">
        <v>0</v>
      </c>
      <c r="F2954" t="n">
        <v>0</v>
      </c>
      <c r="G2954" t="n">
        <v>0</v>
      </c>
      <c r="H2954" t="n">
        <v>0</v>
      </c>
      <c r="I2954" s="3" t="n">
        <v>0</v>
      </c>
      <c r="J2954" s="3" t="n">
        <v>0</v>
      </c>
      <c r="K2954" s="3" t="n">
        <v>0</v>
      </c>
      <c r="L2954" s="3">
        <f>IF(K2954&lt;-5,"CRÍTICO",IF(K2954&lt;0,"ATENÇÃO",IF(K2954&lt;=5,"OPORTUNO","MUITO BOM")))</f>
        <v/>
      </c>
      <c r="M2954" t="n">
        <v>1</v>
      </c>
      <c r="N2954" t="n">
        <v>96.81</v>
      </c>
      <c r="O2954" t="n">
        <v>32.36514522821577</v>
      </c>
    </row>
    <row r="2955" hidden="1">
      <c r="A2955" s="11" t="n">
        <v>46093</v>
      </c>
      <c r="B2955" t="inlineStr">
        <is>
          <t>Leandro de Souza Silva</t>
        </is>
      </c>
      <c r="C2955" t="inlineStr">
        <is>
          <t>JR</t>
        </is>
      </c>
      <c r="D2955" t="n">
        <v>13</v>
      </c>
      <c r="E2955" t="n">
        <v>12</v>
      </c>
      <c r="F2955" t="n">
        <v>43.58</v>
      </c>
      <c r="G2955" t="n">
        <v>0</v>
      </c>
      <c r="H2955" t="n">
        <v>0</v>
      </c>
      <c r="I2955" s="3">
        <f>E2955+G2955+H2955</f>
        <v/>
      </c>
      <c r="J2955" s="3">
        <f>ROUND(MIN(IF(C2955="Técnico III",35,IF(C2955="Técnico II",28,IF(C2955="Técnico I",23,IF(C2955="JR",20,IF(C2955="Estágio",10,0))))),IF(C2955="Técnico III",SUMIFS($D:$D,$A:$A,$A2955,$B:$B,"&lt;&gt;Patrícia Karla de Sousa Araújo",$B:$B,"&lt;&gt;Lorena Dias de Araujo",$B:$B,"&lt;&gt;Lucas Luiz Romero")*(35/1083),IF(C2955="Técnico II",SUMIFS($D:$D,$A:$A,$A2955,$B:$B,"&lt;&gt;Patrícia Karla de Sousa Araújo",$B:$B,"&lt;&gt;Lorena Dias de Araujo",$B:$B,"&lt;&gt;Lucas Luiz Romero")*(28/1083),IF(C2955="Técnico I",SUMIFS($D:$D,$A:$A,$A2955,$B:$B,"&lt;&gt;Patrícia Karla de Sousa Araújo",$B:$B,"&lt;&gt;Lorena Dias de Araujo",$B:$B,"&lt;&gt;Lucas Luiz Romero")*(23/1083),IF(C2955="JR",SUMIFS($D:$D,$A:$A,$A2955,$B:$B,"&lt;&gt;Patrícia Karla de Sousa Araújo",$B:$B,"&lt;&gt;Lorena Dias de Araujo",$B:$B,"&lt;&gt;Lucas Luiz Romero")*(20/1083),IF(C2955="Estágio",SUMIFS($D:$D,$A:$A,$A2955,$B:$B,"&lt;&gt;Patrícia Karla de Sousa Araújo",$B:$B,"&lt;&gt;Lorena Dias de Araujo",$B:$B,"&lt;&gt;Lucas Luiz Romero")*(10/1083),0)))))),0)</f>
        <v/>
      </c>
      <c r="K2955" s="3">
        <f>I2955-J2955</f>
        <v/>
      </c>
      <c r="L2955" s="3">
        <f>IF(K2955&lt;-5,"CRÍTICO",IF(K2955&lt;0,"ATENÇÃO",IF(K2955&lt;=5,"OPORTUNO","MUITO BOM")))</f>
        <v/>
      </c>
      <c r="M2955" t="n">
        <v>7</v>
      </c>
      <c r="N2955" t="n">
        <v>100</v>
      </c>
      <c r="O2955" t="n">
        <v>26.47058823529412</v>
      </c>
    </row>
    <row r="2956" hidden="1">
      <c r="A2956" s="11" t="n">
        <v>46093</v>
      </c>
      <c r="B2956" t="inlineStr">
        <is>
          <t>Leandro Oliveira de Sousa</t>
        </is>
      </c>
      <c r="C2956" t="inlineStr">
        <is>
          <t>Técnico III</t>
        </is>
      </c>
      <c r="D2956" t="n">
        <v>0</v>
      </c>
      <c r="E2956" t="n">
        <v>0</v>
      </c>
      <c r="F2956" t="n">
        <v>0</v>
      </c>
      <c r="G2956" t="n">
        <v>0</v>
      </c>
      <c r="H2956" t="n">
        <v>0</v>
      </c>
      <c r="I2956" s="3" t="n">
        <v>0</v>
      </c>
      <c r="J2956" s="3" t="n">
        <v>0</v>
      </c>
      <c r="K2956" s="3" t="n">
        <v>0</v>
      </c>
      <c r="L2956" s="3">
        <f>IF(K2956&lt;-5,"CRÍTICO",IF(K2956&lt;0,"ATENÇÃO",IF(K2956&lt;=5,"OPORTUNO","MUITO BOM")))</f>
        <v/>
      </c>
      <c r="M2956" t="n">
        <v>8</v>
      </c>
      <c r="N2956" t="n">
        <v>100</v>
      </c>
      <c r="O2956" t="n">
        <v>28.49002849002849</v>
      </c>
    </row>
    <row r="2957" hidden="1">
      <c r="A2957" s="11" t="n">
        <v>46093</v>
      </c>
      <c r="B2957" t="inlineStr">
        <is>
          <t>Lizandra Gomes Duarte</t>
        </is>
      </c>
      <c r="C2957" t="inlineStr">
        <is>
          <t>Técnico II</t>
        </is>
      </c>
      <c r="D2957" t="n">
        <v>16</v>
      </c>
      <c r="E2957" t="n">
        <v>14</v>
      </c>
      <c r="F2957" t="n">
        <v>38.26</v>
      </c>
      <c r="G2957" t="n">
        <v>0</v>
      </c>
      <c r="H2957" t="n">
        <v>0</v>
      </c>
      <c r="I2957" s="3">
        <f>E2957+G2957+H2957</f>
        <v/>
      </c>
      <c r="J2957" s="3">
        <f>ROUND(MIN(IF(C2957="Técnico III",35,IF(C2957="Técnico II",28,IF(C2957="Técnico I",23,IF(C2957="JR",20,IF(C2957="Estágio",10,0))))),IF(C2957="Técnico III",SUMIFS($D:$D,$A:$A,$A2957,$B:$B,"&lt;&gt;Patrícia Karla de Sousa Araújo",$B:$B,"&lt;&gt;Lorena Dias de Araujo",$B:$B,"&lt;&gt;Lucas Luiz Romero")*(35/1083),IF(C2957="Técnico II",SUMIFS($D:$D,$A:$A,$A2957,$B:$B,"&lt;&gt;Patrícia Karla de Sousa Araújo",$B:$B,"&lt;&gt;Lorena Dias de Araujo",$B:$B,"&lt;&gt;Lucas Luiz Romero")*(28/1083),IF(C2957="Técnico I",SUMIFS($D:$D,$A:$A,$A2957,$B:$B,"&lt;&gt;Patrícia Karla de Sousa Araújo",$B:$B,"&lt;&gt;Lorena Dias de Araujo",$B:$B,"&lt;&gt;Lucas Luiz Romero")*(23/1083),IF(C2957="JR",SUMIFS($D:$D,$A:$A,$A2957,$B:$B,"&lt;&gt;Patrícia Karla de Sousa Araújo",$B:$B,"&lt;&gt;Lorena Dias de Araujo",$B:$B,"&lt;&gt;Lucas Luiz Romero")*(20/1083),IF(C2957="Estágio",SUMIFS($D:$D,$A:$A,$A2957,$B:$B,"&lt;&gt;Patrícia Karla de Sousa Araújo",$B:$B,"&lt;&gt;Lorena Dias de Araujo",$B:$B,"&lt;&gt;Lucas Luiz Romero")*(10/1083),0)))))),0)</f>
        <v/>
      </c>
      <c r="K2957" s="3">
        <f>I2957-J2957</f>
        <v/>
      </c>
      <c r="L2957" s="3">
        <f>IF(K2957&lt;-5,"CRÍTICO",IF(K2957&lt;0,"ATENÇÃO",IF(K2957&lt;=5,"OPORTUNO","MUITO BOM")))</f>
        <v/>
      </c>
      <c r="M2957" t="n">
        <v>14</v>
      </c>
      <c r="N2957" t="n">
        <v>99.14</v>
      </c>
      <c r="O2957" t="n">
        <v>27.2289156626506</v>
      </c>
    </row>
    <row r="2958" hidden="1">
      <c r="A2958" s="11" t="n">
        <v>46093</v>
      </c>
      <c r="B2958" t="inlineStr">
        <is>
          <t>Lorena Dias de Araujo</t>
        </is>
      </c>
      <c r="C2958" t="inlineStr">
        <is>
          <t>Técnico II</t>
        </is>
      </c>
      <c r="D2958" t="n">
        <v>16</v>
      </c>
      <c r="E2958" t="n">
        <v>16</v>
      </c>
      <c r="F2958" t="n">
        <v>33.42</v>
      </c>
      <c r="G2958" t="n">
        <v>0</v>
      </c>
      <c r="H2958" t="n">
        <v>0</v>
      </c>
      <c r="I2958" s="3" t="n">
        <v>0</v>
      </c>
      <c r="J2958" s="3" t="n">
        <v>0</v>
      </c>
      <c r="K2958" s="3" t="n">
        <v>0</v>
      </c>
      <c r="L2958" s="3">
        <f>IF(K2958&lt;-5,"CRÍTICO",IF(K2958&lt;0,"ATENÇÃO",IF(K2958&lt;=5,"OPORTUNO","MUITO BOM")))</f>
        <v/>
      </c>
      <c r="M2958" t="n">
        <v>16</v>
      </c>
      <c r="N2958" t="n">
        <v>97.52</v>
      </c>
      <c r="O2958" t="n">
        <v>28.2051282051282</v>
      </c>
    </row>
    <row r="2959" hidden="1">
      <c r="A2959" s="11" t="n">
        <v>46093</v>
      </c>
      <c r="B2959" t="inlineStr">
        <is>
          <t>Lucas Luiz Romero</t>
        </is>
      </c>
      <c r="C2959" t="inlineStr">
        <is>
          <t>Técnico III</t>
        </is>
      </c>
      <c r="D2959" t="n">
        <v>24</v>
      </c>
      <c r="E2959" t="n">
        <v>21</v>
      </c>
      <c r="F2959" t="n">
        <v>29.1</v>
      </c>
      <c r="G2959" t="n">
        <v>0</v>
      </c>
      <c r="H2959" t="n">
        <v>0</v>
      </c>
      <c r="I2959" s="3">
        <f>E2959+G2959+H2959</f>
        <v/>
      </c>
      <c r="J2959" s="3">
        <f>ROUND(MIN(IF(C2959="Técnico III",35,IF(C2959="Técnico II",28,IF(C2959="Técnico I",23,IF(C2959="JR",20,IF(C2959="Estágio",10,0))))),IF(C2959="Técnico III",SUMIFS($D:$D,$A:$A,$A2959,$B:$B,"&lt;&gt;Patrícia Karla de Sousa Araújo",$B:$B,"&lt;&gt;Lorena Dias de Araujo",$B:$B,"&lt;&gt;Lucas Luiz Romero")*(35/1083),IF(C2959="Técnico II",SUMIFS($D:$D,$A:$A,$A2959,$B:$B,"&lt;&gt;Patrícia Karla de Sousa Araújo",$B:$B,"&lt;&gt;Lorena Dias de Araujo",$B:$B,"&lt;&gt;Lucas Luiz Romero")*(28/1083),IF(C2959="Técnico I",SUMIFS($D:$D,$A:$A,$A2959,$B:$B,"&lt;&gt;Patrícia Karla de Sousa Araújo",$B:$B,"&lt;&gt;Lorena Dias de Araujo",$B:$B,"&lt;&gt;Lucas Luiz Romero")*(23/1083),IF(C2959="JR",SUMIFS($D:$D,$A:$A,$A2959,$B:$B,"&lt;&gt;Patrícia Karla de Sousa Araújo",$B:$B,"&lt;&gt;Lorena Dias de Araujo",$B:$B,"&lt;&gt;Lucas Luiz Romero")*(20/1083),IF(C2959="Estágio",SUMIFS($D:$D,$A:$A,$A2959,$B:$B,"&lt;&gt;Patrícia Karla de Sousa Araújo",$B:$B,"&lt;&gt;Lorena Dias de Araujo",$B:$B,"&lt;&gt;Lucas Luiz Romero")*(10/1083),0)))))),0)</f>
        <v/>
      </c>
      <c r="K2959" s="3">
        <f>I2959-J2959</f>
        <v/>
      </c>
      <c r="L2959" s="3">
        <f>IF(K2959&lt;-5,"CRÍTICO",IF(K2959&lt;0,"ATENÇÃO",IF(K2959&lt;=5,"OPORTUNO","MUITO BOM")))</f>
        <v/>
      </c>
      <c r="M2959" t="n">
        <v>17</v>
      </c>
      <c r="N2959" t="n">
        <v>90</v>
      </c>
      <c r="O2959" t="n">
        <v>24.18604651162791</v>
      </c>
    </row>
    <row r="2960" hidden="1">
      <c r="A2960" s="11" t="n">
        <v>46093</v>
      </c>
      <c r="B2960" t="inlineStr">
        <is>
          <t>Luiz Fernando de Carvalho Junior</t>
        </is>
      </c>
      <c r="C2960" t="inlineStr">
        <is>
          <t>Técnico I</t>
        </is>
      </c>
      <c r="D2960" t="n">
        <v>22</v>
      </c>
      <c r="E2960" t="n">
        <v>21</v>
      </c>
      <c r="F2960" t="n">
        <v>20.32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M2960" t="n">
        <v>17</v>
      </c>
      <c r="N2960" t="n">
        <v>98.90000000000001</v>
      </c>
      <c r="O2960" t="n">
        <v>26.7639902676399</v>
      </c>
    </row>
    <row r="2961" hidden="1">
      <c r="A2961" s="11" t="n">
        <v>46093</v>
      </c>
      <c r="B2961" t="inlineStr">
        <is>
          <t>Maria Eduarda Sousa Costa</t>
        </is>
      </c>
      <c r="C2961" t="inlineStr">
        <is>
          <t>Estágio</t>
        </is>
      </c>
      <c r="D2961" t="n">
        <v>4</v>
      </c>
      <c r="E2961" t="n">
        <v>4</v>
      </c>
      <c r="F2961" t="n">
        <v>85.44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M2961" t="n">
        <v>3</v>
      </c>
      <c r="N2961" t="n">
        <v>88.89</v>
      </c>
      <c r="O2961" t="n">
        <v>25.26315789473684</v>
      </c>
    </row>
    <row r="2962" hidden="1">
      <c r="A2962" s="11" t="n">
        <v>46093</v>
      </c>
      <c r="B2962" t="inlineStr">
        <is>
          <t>Matheus Farias De Souza</t>
        </is>
      </c>
      <c r="C2962" t="inlineStr">
        <is>
          <t>Técnico III</t>
        </is>
      </c>
      <c r="D2962" t="n">
        <v>25</v>
      </c>
      <c r="E2962" t="n">
        <v>25</v>
      </c>
      <c r="F2962" t="n">
        <v>20.52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M2962" t="n">
        <v>22</v>
      </c>
      <c r="N2962" t="n">
        <v>98.86</v>
      </c>
      <c r="O2962" t="n">
        <v>28.95927601809955</v>
      </c>
    </row>
    <row r="2963" hidden="1">
      <c r="A2963" s="11" t="n">
        <v>46093</v>
      </c>
      <c r="B2963" t="inlineStr">
        <is>
          <t>Maysa Victoria Dias Moura</t>
        </is>
      </c>
      <c r="C2963" t="inlineStr">
        <is>
          <t>Técnico III</t>
        </is>
      </c>
      <c r="D2963" t="n">
        <v>33</v>
      </c>
      <c r="E2963" t="n">
        <v>26</v>
      </c>
      <c r="F2963" t="n">
        <v>12.22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M2963" t="n">
        <v>22</v>
      </c>
      <c r="N2963" t="n">
        <v>98.06</v>
      </c>
      <c r="O2963" t="n">
        <v>22.40566037735849</v>
      </c>
    </row>
    <row r="2964" hidden="1">
      <c r="A2964" s="11" t="n">
        <v>46093</v>
      </c>
      <c r="B2964" t="inlineStr">
        <is>
          <t>Michelle G Santos</t>
        </is>
      </c>
      <c r="C2964" t="inlineStr">
        <is>
          <t>Estágio</t>
        </is>
      </c>
      <c r="D2964" t="n">
        <v>6</v>
      </c>
      <c r="E2964" t="n">
        <v>6</v>
      </c>
      <c r="F2964" t="n">
        <v>43.49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M2964" t="n">
        <v>3</v>
      </c>
      <c r="N2964" t="n">
        <v>95.83</v>
      </c>
      <c r="O2964" t="n">
        <v>25.77319587628866</v>
      </c>
    </row>
    <row r="2965" hidden="1">
      <c r="A2965" s="11" t="n">
        <v>46093</v>
      </c>
      <c r="B2965" t="inlineStr">
        <is>
          <t>Milena Sales</t>
        </is>
      </c>
      <c r="C2965" t="inlineStr">
        <is>
          <t>JR</t>
        </is>
      </c>
      <c r="D2965" t="n">
        <v>0</v>
      </c>
      <c r="E2965" t="n">
        <v>0</v>
      </c>
      <c r="F2965" t="n">
        <v>0</v>
      </c>
      <c r="G2965" t="n">
        <v>0</v>
      </c>
      <c r="H2965" t="n">
        <v>0</v>
      </c>
      <c r="I2965" s="3" t="n">
        <v>0</v>
      </c>
      <c r="J2965" s="3" t="n">
        <v>0</v>
      </c>
      <c r="K2965" s="3" t="n">
        <v>0</v>
      </c>
      <c r="L2965" s="3">
        <f>IF(K2965&lt;-5,"CRÍTICO",IF(K2965&lt;0,"ATENÇÃO",IF(K2965&lt;=5,"OPORTUNO","MUITO BOM")))</f>
        <v/>
      </c>
      <c r="M2965" t="n">
        <v>0</v>
      </c>
      <c r="N2965" t="n">
        <v>100</v>
      </c>
      <c r="O2965" t="n">
        <v>15.38461538461539</v>
      </c>
    </row>
    <row r="2966" hidden="1">
      <c r="A2966" s="11" t="n">
        <v>46093</v>
      </c>
      <c r="B2966" t="inlineStr">
        <is>
          <t>Patrícia Karla de Sousa Araújo</t>
        </is>
      </c>
      <c r="C2966" t="inlineStr">
        <is>
          <t>Técnico II</t>
        </is>
      </c>
      <c r="D2966" t="n">
        <v>13</v>
      </c>
      <c r="E2966" t="n">
        <v>12</v>
      </c>
      <c r="F2966" t="n">
        <v>25.35</v>
      </c>
      <c r="G2966" t="n">
        <v>0</v>
      </c>
      <c r="H2966" t="n">
        <v>0</v>
      </c>
      <c r="I2966" s="3">
        <f>E2966+G2966+H2966</f>
        <v/>
      </c>
      <c r="J2966" s="3">
        <f>ROUND(MIN(IF(C2966="Técnico III",35,IF(C2966="Técnico II",28,IF(C2966="Técnico I",23,IF(C2966="JR",20,IF(C2966="Estágio",10,0))))),IF(C2966="Técnico III",SUMIFS($D:$D,$A:$A,$A2966,$B:$B,"&lt;&gt;Patrícia Karla de Sousa Araújo",$B:$B,"&lt;&gt;Lorena Dias de Araujo",$B:$B,"&lt;&gt;Lucas Luiz Romero")*(35/1083),IF(C2966="Técnico II",SUMIFS($D:$D,$A:$A,$A2966,$B:$B,"&lt;&gt;Patrícia Karla de Sousa Araújo",$B:$B,"&lt;&gt;Lorena Dias de Araujo",$B:$B,"&lt;&gt;Lucas Luiz Romero")*(28/1083),IF(C2966="Técnico I",SUMIFS($D:$D,$A:$A,$A2966,$B:$B,"&lt;&gt;Patrícia Karla de Sousa Araújo",$B:$B,"&lt;&gt;Lorena Dias de Araujo",$B:$B,"&lt;&gt;Lucas Luiz Romero")*(23/1083),IF(C2966="JR",SUMIFS($D:$D,$A:$A,$A2966,$B:$B,"&lt;&gt;Patrícia Karla de Sousa Araújo",$B:$B,"&lt;&gt;Lorena Dias de Araujo",$B:$B,"&lt;&gt;Lucas Luiz Romero")*(20/1083),IF(C2966="Estágio",SUMIFS($D:$D,$A:$A,$A2966,$B:$B,"&lt;&gt;Patrícia Karla de Sousa Araújo",$B:$B,"&lt;&gt;Lorena Dias de Araujo",$B:$B,"&lt;&gt;Lucas Luiz Romero")*(10/1083),0)))))),0)</f>
        <v/>
      </c>
      <c r="K2966" s="3">
        <f>I2966-J2966</f>
        <v/>
      </c>
      <c r="L2966" s="3">
        <f>IF(K2966&lt;-5,"CRÍTICO",IF(K2966&lt;0,"ATENÇÃO",IF(K2966&lt;=5,"OPORTUNO","MUITO BOM")))</f>
        <v/>
      </c>
      <c r="M2966" t="n">
        <v>11</v>
      </c>
      <c r="N2966" t="n">
        <v>100</v>
      </c>
      <c r="O2966" t="n">
        <v>27.51479289940828</v>
      </c>
    </row>
    <row r="2967" hidden="1">
      <c r="A2967" s="11" t="n">
        <v>46093</v>
      </c>
      <c r="B2967" t="inlineStr">
        <is>
          <t>Paulo Ricardo Santos</t>
        </is>
      </c>
      <c r="C2967" t="inlineStr">
        <is>
          <t>JR</t>
        </is>
      </c>
      <c r="D2967" t="n">
        <v>14</v>
      </c>
      <c r="E2967" t="n">
        <v>11</v>
      </c>
      <c r="F2967" t="n">
        <v>18.59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M2967" t="n">
        <v>10</v>
      </c>
      <c r="N2967" t="n">
        <v>100</v>
      </c>
      <c r="O2967" t="n">
        <v>24.87562189054727</v>
      </c>
    </row>
    <row r="2968" hidden="1">
      <c r="A2968" s="11" t="n">
        <v>46093</v>
      </c>
      <c r="B2968" t="inlineStr">
        <is>
          <t>Pedro Luiz Mota Sousa</t>
        </is>
      </c>
      <c r="C2968" t="inlineStr">
        <is>
          <t>JR</t>
        </is>
      </c>
      <c r="D2968" t="n">
        <v>11</v>
      </c>
      <c r="E2968" t="n">
        <v>11</v>
      </c>
      <c r="F2968" t="n">
        <v>52.06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M2968" t="n">
        <v>6</v>
      </c>
      <c r="N2968" t="n">
        <v>100</v>
      </c>
      <c r="O2968" t="n">
        <v>28.10810810810811</v>
      </c>
    </row>
    <row r="2969" hidden="1">
      <c r="A2969" s="11" t="n">
        <v>46093</v>
      </c>
      <c r="B2969" t="inlineStr">
        <is>
          <t>Quirino Diogo Leite Torres</t>
        </is>
      </c>
      <c r="C2969" t="inlineStr">
        <is>
          <t>Estágio</t>
        </is>
      </c>
      <c r="D2969" t="n">
        <v>0</v>
      </c>
      <c r="E2969" t="n">
        <v>0</v>
      </c>
      <c r="F2969" t="n">
        <v>0</v>
      </c>
      <c r="G2969" t="n">
        <v>0</v>
      </c>
      <c r="H2969" t="n">
        <v>0</v>
      </c>
      <c r="I2969" s="3" t="n">
        <v>0</v>
      </c>
      <c r="J2969" s="3" t="n">
        <v>0</v>
      </c>
      <c r="K2969" s="3" t="n">
        <v>0</v>
      </c>
      <c r="L2969" s="3">
        <f>IF(K2969&lt;-5,"CRÍTICO",IF(K2969&lt;0,"ATENÇÃO",IF(K2969&lt;=5,"OPORTUNO","MUITO BOM")))</f>
        <v/>
      </c>
      <c r="M2969" t="n">
        <v>0</v>
      </c>
      <c r="N2969" t="n">
        <v>100</v>
      </c>
      <c r="O2969" t="n">
        <v>35</v>
      </c>
    </row>
    <row r="2970" hidden="1">
      <c r="A2970" s="11" t="n">
        <v>46093</v>
      </c>
      <c r="B2970" t="inlineStr">
        <is>
          <t>Raane Batista Matos</t>
        </is>
      </c>
      <c r="C2970" t="inlineStr">
        <is>
          <t>Técnico I</t>
        </is>
      </c>
      <c r="D2970" t="n">
        <v>25</v>
      </c>
      <c r="E2970" t="n">
        <v>25</v>
      </c>
      <c r="F2970" t="n">
        <v>28.46</v>
      </c>
      <c r="G2970" t="n">
        <v>0</v>
      </c>
      <c r="H2970" t="n">
        <v>0</v>
      </c>
      <c r="I2970" s="3">
        <f>E2970+G2970+H2970</f>
        <v/>
      </c>
      <c r="J2970" s="3">
        <f>ROUND(MIN(IF(C2970="Técnico III",35,IF(C2970="Técnico II",28,IF(C2970="Técnico I",23,IF(C2970="JR",20,IF(C2970="Estágio",10,0))))),IF(C2970="Técnico III",SUMIFS($D:$D,$A:$A,$A2970,$B:$B,"&lt;&gt;Patrícia Karla de Sousa Araújo",$B:$B,"&lt;&gt;Lorena Dias de Araujo",$B:$B,"&lt;&gt;Lucas Luiz Romero")*(35/1083),IF(C2970="Técnico II",SUMIFS($D:$D,$A:$A,$A2970,$B:$B,"&lt;&gt;Patrícia Karla de Sousa Araújo",$B:$B,"&lt;&gt;Lorena Dias de Araujo",$B:$B,"&lt;&gt;Lucas Luiz Romero")*(28/1083),IF(C2970="Técnico I",SUMIFS($D:$D,$A:$A,$A2970,$B:$B,"&lt;&gt;Patrícia Karla de Sousa Araújo",$B:$B,"&lt;&gt;Lorena Dias de Araujo",$B:$B,"&lt;&gt;Lucas Luiz Romero")*(23/1083),IF(C2970="JR",SUMIFS($D:$D,$A:$A,$A2970,$B:$B,"&lt;&gt;Patrícia Karla de Sousa Araújo",$B:$B,"&lt;&gt;Lorena Dias de Araujo",$B:$B,"&lt;&gt;Lucas Luiz Romero")*(20/1083),IF(C2970="Estágio",SUMIFS($D:$D,$A:$A,$A2970,$B:$B,"&lt;&gt;Patrícia Karla de Sousa Araújo",$B:$B,"&lt;&gt;Lorena Dias de Araujo",$B:$B,"&lt;&gt;Lucas Luiz Romero")*(10/1083),0)))))),0)</f>
        <v/>
      </c>
      <c r="K2970" s="3">
        <f>I2970-J2970</f>
        <v/>
      </c>
      <c r="L2970" s="3">
        <f>IF(K2970&lt;-5,"CRÍTICO",IF(K2970&lt;0,"ATENÇÃO",IF(K2970&lt;=5,"OPORTUNO","MUITO BOM")))</f>
        <v/>
      </c>
      <c r="M2970" t="n">
        <v>21</v>
      </c>
      <c r="N2970" t="n">
        <v>95.34999999999999</v>
      </c>
      <c r="O2970" t="n">
        <v>28.61538461538461</v>
      </c>
    </row>
    <row r="2971" hidden="1">
      <c r="A2971" s="11" t="n">
        <v>46093</v>
      </c>
      <c r="B2971" t="inlineStr">
        <is>
          <t>Rafael Gomes de Morais</t>
        </is>
      </c>
      <c r="C2971" t="inlineStr">
        <is>
          <t>Técnico III</t>
        </is>
      </c>
      <c r="D2971" t="n">
        <v>45</v>
      </c>
      <c r="E2971" t="n">
        <v>42</v>
      </c>
      <c r="F2971" t="n">
        <v>13.5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M2971" t="n">
        <v>34</v>
      </c>
      <c r="N2971" t="n">
        <v>98.26000000000001</v>
      </c>
      <c r="O2971" t="n">
        <v>27.54491017964072</v>
      </c>
    </row>
    <row r="2972" hidden="1">
      <c r="A2972" s="11" t="n">
        <v>46093</v>
      </c>
      <c r="B2972" t="inlineStr">
        <is>
          <t>Sara Maria Monteiro Lopes</t>
        </is>
      </c>
      <c r="C2972" t="inlineStr">
        <is>
          <t>Técnico I</t>
        </is>
      </c>
      <c r="D2972" t="n">
        <v>17</v>
      </c>
      <c r="E2972" t="n">
        <v>16</v>
      </c>
      <c r="F2972" t="n">
        <v>28.36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M2972" t="n">
        <v>16</v>
      </c>
      <c r="N2972" t="n">
        <v>98.55</v>
      </c>
      <c r="O2972" t="n">
        <v>25.33783783783784</v>
      </c>
    </row>
    <row r="2973" hidden="1">
      <c r="A2973" s="11" t="n">
        <v>46093</v>
      </c>
      <c r="B2973" t="inlineStr">
        <is>
          <t>Sarah Steffanie de Lima Borges</t>
        </is>
      </c>
      <c r="C2973" t="inlineStr">
        <is>
          <t>Técnico III</t>
        </is>
      </c>
      <c r="D2973" t="n">
        <v>40</v>
      </c>
      <c r="E2973" t="n">
        <v>35</v>
      </c>
      <c r="F2973" t="n">
        <v>15.18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M2973" t="n">
        <v>28</v>
      </c>
      <c r="N2973" t="n">
        <v>98.39</v>
      </c>
      <c r="O2973" t="n">
        <v>25.56390977443609</v>
      </c>
    </row>
    <row r="2974" hidden="1">
      <c r="A2974" s="11" t="n">
        <v>46094</v>
      </c>
      <c r="B2974" t="inlineStr">
        <is>
          <t>Alisson de Freitas Silva</t>
        </is>
      </c>
      <c r="C2974" t="inlineStr">
        <is>
          <t>Técnico II</t>
        </is>
      </c>
      <c r="D2974" t="n">
        <v>37</v>
      </c>
      <c r="E2974" t="n">
        <v>32</v>
      </c>
      <c r="F2974" t="n">
        <v>17.19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M2974" t="n">
        <v>22</v>
      </c>
      <c r="N2974" t="n">
        <v>94.29000000000001</v>
      </c>
      <c r="O2974" t="n">
        <v>25.64766839378239</v>
      </c>
    </row>
    <row r="2975" hidden="1">
      <c r="A2975" s="11" t="n">
        <v>46094</v>
      </c>
      <c r="B2975" t="inlineStr">
        <is>
          <t>Amanda Moura Ferreira</t>
        </is>
      </c>
      <c r="C2975" t="inlineStr">
        <is>
          <t>Técnico III</t>
        </is>
      </c>
      <c r="D2975" t="n">
        <v>0</v>
      </c>
      <c r="E2975" t="n">
        <v>0</v>
      </c>
      <c r="F2975" t="n">
        <v>0</v>
      </c>
      <c r="G2975" t="n">
        <v>0</v>
      </c>
      <c r="H2975" t="n">
        <v>0</v>
      </c>
      <c r="I2975" s="3" t="n">
        <v>0</v>
      </c>
      <c r="J2975" s="3" t="n">
        <v>0</v>
      </c>
      <c r="K2975" s="3" t="n">
        <v>0</v>
      </c>
      <c r="L2975" s="3">
        <f>IF(K2975&lt;-5,"CRÍTICO",IF(K2975&lt;0,"ATENÇÃO",IF(K2975&lt;=5,"OPORTUNO","MUITO BOM")))</f>
        <v/>
      </c>
      <c r="M2975" t="n">
        <v>15</v>
      </c>
      <c r="N2975" t="n">
        <v>98.26000000000001</v>
      </c>
      <c r="O2975" t="n">
        <v>26.66666666666667</v>
      </c>
    </row>
    <row r="2976" hidden="1">
      <c r="A2976" s="11" t="n">
        <v>46094</v>
      </c>
      <c r="B2976" t="inlineStr">
        <is>
          <t>Ana Karollyne Souza Faria</t>
        </is>
      </c>
      <c r="C2976" t="inlineStr">
        <is>
          <t>Técnico I</t>
        </is>
      </c>
      <c r="D2976" t="n">
        <v>19</v>
      </c>
      <c r="E2976" t="n">
        <v>18</v>
      </c>
      <c r="F2976" t="n">
        <v>27.37</v>
      </c>
      <c r="G2976" t="n">
        <v>0</v>
      </c>
      <c r="H2976" t="n">
        <v>0</v>
      </c>
      <c r="I2976" s="3">
        <f>E2976+G2976+H2976</f>
        <v/>
      </c>
      <c r="J2976" s="3">
        <f>ROUND(MIN(IF(C2976="Técnico III",35,IF(C2976="Técnico II",28,IF(C2976="Técnico I",23,IF(C2976="JR",20,IF(C2976="Estágio",10,0))))),IF(C2976="Técnico III",SUMIFS($D:$D,$A:$A,$A2976,$B:$B,"&lt;&gt;Patrícia Karla de Sousa Araújo",$B:$B,"&lt;&gt;Lorena Dias de Araujo",$B:$B,"&lt;&gt;Lucas Luiz Romero")*(35/1083),IF(C2976="Técnico II",SUMIFS($D:$D,$A:$A,$A2976,$B:$B,"&lt;&gt;Patrícia Karla de Sousa Araújo",$B:$B,"&lt;&gt;Lorena Dias de Araujo",$B:$B,"&lt;&gt;Lucas Luiz Romero")*(28/1083),IF(C2976="Técnico I",SUMIFS($D:$D,$A:$A,$A2976,$B:$B,"&lt;&gt;Patrícia Karla de Sousa Araújo",$B:$B,"&lt;&gt;Lorena Dias de Araujo",$B:$B,"&lt;&gt;Lucas Luiz Romero")*(23/1083),IF(C2976="JR",SUMIFS($D:$D,$A:$A,$A2976,$B:$B,"&lt;&gt;Patrícia Karla de Sousa Araújo",$B:$B,"&lt;&gt;Lorena Dias de Araujo",$B:$B,"&lt;&gt;Lucas Luiz Romero")*(20/1083),IF(C2976="Estágio",SUMIFS($D:$D,$A:$A,$A2976,$B:$B,"&lt;&gt;Patrícia Karla de Sousa Araújo",$B:$B,"&lt;&gt;Lorena Dias de Araujo",$B:$B,"&lt;&gt;Lucas Luiz Romero")*(10/1083),0)))))),0)</f>
        <v/>
      </c>
      <c r="K2976" s="3">
        <f>I2976-J2976</f>
        <v/>
      </c>
      <c r="L2976" s="3">
        <f>IF(K2976&lt;-5,"CRÍTICO",IF(K2976&lt;0,"ATENÇÃO",IF(K2976&lt;=5,"OPORTUNO","MUITO BOM")))</f>
        <v/>
      </c>
      <c r="M2976" t="n">
        <v>15</v>
      </c>
      <c r="N2976" t="n">
        <v>98.2</v>
      </c>
      <c r="O2976" t="n">
        <v>23.37962962962963</v>
      </c>
    </row>
    <row r="2977" hidden="1">
      <c r="A2977" s="11" t="n">
        <v>46094</v>
      </c>
      <c r="B2977" t="inlineStr">
        <is>
          <t>Ana Paula Da Luz Silva Aleixo</t>
        </is>
      </c>
      <c r="C2977" t="inlineStr">
        <is>
          <t>Técnico III</t>
        </is>
      </c>
      <c r="D2977" t="n">
        <v>22</v>
      </c>
      <c r="E2977" t="n">
        <v>21</v>
      </c>
      <c r="F2977" t="n">
        <v>28.53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M2977" t="n">
        <v>17</v>
      </c>
      <c r="N2977" t="n">
        <v>97.3</v>
      </c>
      <c r="O2977" t="n">
        <v>23.84769539078156</v>
      </c>
    </row>
    <row r="2978" hidden="1">
      <c r="A2978" s="11" t="n">
        <v>46094</v>
      </c>
      <c r="B2978" t="inlineStr">
        <is>
          <t>Anna Luiza Rezende Tavares</t>
        </is>
      </c>
      <c r="C2978" t="inlineStr">
        <is>
          <t>Estágio</t>
        </is>
      </c>
      <c r="D2978" t="n">
        <v>0</v>
      </c>
      <c r="E2978" t="n">
        <v>0</v>
      </c>
      <c r="F2978" t="n">
        <v>0</v>
      </c>
      <c r="G2978" t="n">
        <v>0</v>
      </c>
      <c r="H2978" t="n">
        <v>0</v>
      </c>
      <c r="I2978" s="3" t="n">
        <v>0</v>
      </c>
      <c r="J2978" s="3" t="n">
        <v>0</v>
      </c>
      <c r="K2978" s="3" t="n">
        <v>0</v>
      </c>
      <c r="L2978" s="3">
        <f>IF(K2978&lt;-5,"CRÍTICO",IF(K2978&lt;0,"ATENÇÃO",IF(K2978&lt;=5,"OPORTUNO","MUITO BOM")))</f>
        <v/>
      </c>
      <c r="M2978" t="n">
        <v>0</v>
      </c>
      <c r="N2978" t="n">
        <v>100</v>
      </c>
      <c r="O2978" t="n">
        <v>25.26881720430108</v>
      </c>
    </row>
    <row r="2979" hidden="1">
      <c r="A2979" s="11" t="n">
        <v>46094</v>
      </c>
      <c r="B2979" t="inlineStr">
        <is>
          <t>Brenda de Menezes Silva</t>
        </is>
      </c>
      <c r="C2979" t="inlineStr">
        <is>
          <t>Técnico II</t>
        </is>
      </c>
      <c r="D2979" t="n">
        <v>40</v>
      </c>
      <c r="E2979" t="n">
        <v>37</v>
      </c>
      <c r="F2979" t="n">
        <v>15.08</v>
      </c>
      <c r="G2979" t="n">
        <v>0</v>
      </c>
      <c r="H2979" t="n">
        <v>0</v>
      </c>
      <c r="I2979" s="3">
        <f>E2979+G2979+H2979</f>
        <v/>
      </c>
      <c r="J2979" s="3">
        <f>ROUND(MIN(IF(C2979="Técnico III",35,IF(C2979="Técnico II",28,IF(C2979="Técnico I",23,IF(C2979="JR",20,IF(C2979="Estágio",10,0))))),IF(C2979="Técnico III",SUMIFS($D:$D,$A:$A,$A2979,$B:$B,"&lt;&gt;Patrícia Karla de Sousa Araújo",$B:$B,"&lt;&gt;Lorena Dias de Araujo",$B:$B,"&lt;&gt;Lucas Luiz Romero")*(35/1083),IF(C2979="Técnico II",SUMIFS($D:$D,$A:$A,$A2979,$B:$B,"&lt;&gt;Patrícia Karla de Sousa Araújo",$B:$B,"&lt;&gt;Lorena Dias de Araujo",$B:$B,"&lt;&gt;Lucas Luiz Romero")*(28/1083),IF(C2979="Técnico I",SUMIFS($D:$D,$A:$A,$A2979,$B:$B,"&lt;&gt;Patrícia Karla de Sousa Araújo",$B:$B,"&lt;&gt;Lorena Dias de Araujo",$B:$B,"&lt;&gt;Lucas Luiz Romero")*(23/1083),IF(C2979="JR",SUMIFS($D:$D,$A:$A,$A2979,$B:$B,"&lt;&gt;Patrícia Karla de Sousa Araújo",$B:$B,"&lt;&gt;Lorena Dias de Araujo",$B:$B,"&lt;&gt;Lucas Luiz Romero")*(20/1083),IF(C2979="Estágio",SUMIFS($D:$D,$A:$A,$A2979,$B:$B,"&lt;&gt;Patrícia Karla de Sousa Araújo",$B:$B,"&lt;&gt;Lorena Dias de Araujo",$B:$B,"&lt;&gt;Lucas Luiz Romero")*(10/1083),0)))))),0)</f>
        <v/>
      </c>
      <c r="K2979" s="3">
        <f>I2979-J2979</f>
        <v/>
      </c>
      <c r="L2979" s="3">
        <f>IF(K2979&lt;-5,"CRÍTICO",IF(K2979&lt;0,"ATENÇÃO",IF(K2979&lt;=5,"OPORTUNO","MUITO BOM")))</f>
        <v/>
      </c>
      <c r="M2979" t="n">
        <v>40</v>
      </c>
      <c r="N2979" t="n">
        <v>99.31999999999999</v>
      </c>
      <c r="O2979" t="n">
        <v>22.82282282282282</v>
      </c>
    </row>
    <row r="2980" hidden="1">
      <c r="A2980" s="11" t="n">
        <v>46094</v>
      </c>
      <c r="B2980" t="inlineStr">
        <is>
          <t>Carlos Mateus Cassimiro Nunes</t>
        </is>
      </c>
      <c r="C2980" t="inlineStr">
        <is>
          <t>Técnico II</t>
        </is>
      </c>
      <c r="D2980" t="n">
        <v>16</v>
      </c>
      <c r="E2980" t="n">
        <v>16</v>
      </c>
      <c r="F2980" t="n">
        <v>38.34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M2980" t="n">
        <v>14</v>
      </c>
      <c r="N2980" t="n">
        <v>100</v>
      </c>
      <c r="O2980" t="n">
        <v>27.96610169491525</v>
      </c>
    </row>
    <row r="2981" hidden="1">
      <c r="A2981" s="11" t="n">
        <v>46094</v>
      </c>
      <c r="B2981" t="inlineStr">
        <is>
          <t>Claudio de Sousa Velasco Filho</t>
        </is>
      </c>
      <c r="C2981" t="inlineStr">
        <is>
          <t>Estágio</t>
        </is>
      </c>
      <c r="D2981" t="n">
        <v>0</v>
      </c>
      <c r="E2981" t="n">
        <v>0</v>
      </c>
      <c r="F2981" t="n">
        <v>0</v>
      </c>
      <c r="G2981" t="n">
        <v>0</v>
      </c>
      <c r="H2981" t="n">
        <v>0</v>
      </c>
      <c r="I2981" s="3" t="n">
        <v>0</v>
      </c>
      <c r="J2981" s="3" t="n">
        <v>0</v>
      </c>
      <c r="K2981" s="3" t="n">
        <v>0</v>
      </c>
      <c r="L2981" s="3">
        <f>IF(K2981&lt;-5,"CRÍTICO",IF(K2981&lt;0,"ATENÇÃO",IF(K2981&lt;=5,"OPORTUNO","MUITO BOM")))</f>
        <v/>
      </c>
      <c r="M2981" t="n">
        <v>0</v>
      </c>
      <c r="N2981" t="n">
        <v>100</v>
      </c>
      <c r="O2981" t="n">
        <v>30.43478260869566</v>
      </c>
    </row>
    <row r="2982" hidden="1">
      <c r="A2982" s="11" t="n">
        <v>46094</v>
      </c>
      <c r="B2982" t="inlineStr">
        <is>
          <t>Clessiane Pereira dos Santos</t>
        </is>
      </c>
      <c r="C2982" t="inlineStr">
        <is>
          <t>Técnico I</t>
        </is>
      </c>
      <c r="D2982" t="n">
        <v>21</v>
      </c>
      <c r="E2982" t="n">
        <v>20</v>
      </c>
      <c r="F2982" t="n">
        <v>25.22</v>
      </c>
      <c r="G2982" t="n">
        <v>0</v>
      </c>
      <c r="H2982" t="n">
        <v>0</v>
      </c>
      <c r="I2982" s="3">
        <f>E2982+G2982+H2982</f>
        <v/>
      </c>
      <c r="J2982" s="3">
        <f>ROUND(MIN(IF(C2982="Técnico III",35,IF(C2982="Técnico II",28,IF(C2982="Técnico I",23,IF(C2982="JR",20,IF(C2982="Estágio",10,0))))),IF(C2982="Técnico III",SUMIFS($D:$D,$A:$A,$A2982,$B:$B,"&lt;&gt;Patrícia Karla de Sousa Araújo",$B:$B,"&lt;&gt;Lorena Dias de Araujo",$B:$B,"&lt;&gt;Lucas Luiz Romero")*(35/1083),IF(C2982="Técnico II",SUMIFS($D:$D,$A:$A,$A2982,$B:$B,"&lt;&gt;Patrícia Karla de Sousa Araújo",$B:$B,"&lt;&gt;Lorena Dias de Araujo",$B:$B,"&lt;&gt;Lucas Luiz Romero")*(28/1083),IF(C2982="Técnico I",SUMIFS($D:$D,$A:$A,$A2982,$B:$B,"&lt;&gt;Patrícia Karla de Sousa Araújo",$B:$B,"&lt;&gt;Lorena Dias de Araujo",$B:$B,"&lt;&gt;Lucas Luiz Romero")*(23/1083),IF(C2982="JR",SUMIFS($D:$D,$A:$A,$A2982,$B:$B,"&lt;&gt;Patrícia Karla de Sousa Araújo",$B:$B,"&lt;&gt;Lorena Dias de Araujo",$B:$B,"&lt;&gt;Lucas Luiz Romero")*(20/1083),IF(C2982="Estágio",SUMIFS($D:$D,$A:$A,$A2982,$B:$B,"&lt;&gt;Patrícia Karla de Sousa Araújo",$B:$B,"&lt;&gt;Lorena Dias de Araujo",$B:$B,"&lt;&gt;Lucas Luiz Romero")*(10/1083),0)))))),0)</f>
        <v/>
      </c>
      <c r="K2982" s="3">
        <f>I2982-J2982</f>
        <v/>
      </c>
      <c r="L2982" s="3">
        <f>IF(K2982&lt;-5,"CRÍTICO",IF(K2982&lt;0,"ATENÇÃO",IF(K2982&lt;=5,"OPORTUNO","MUITO BOM")))</f>
        <v/>
      </c>
      <c r="M2982" t="n">
        <v>19</v>
      </c>
      <c r="N2982" t="n">
        <v>96.51000000000001</v>
      </c>
      <c r="O2982" t="n">
        <v>22.80285035629454</v>
      </c>
    </row>
    <row r="2983" hidden="1">
      <c r="A2983" s="11" t="n">
        <v>46094</v>
      </c>
      <c r="B2983" t="inlineStr">
        <is>
          <t>Cristiane Ramos da Silva Rocha</t>
        </is>
      </c>
      <c r="C2983" t="inlineStr">
        <is>
          <t>Técnico III</t>
        </is>
      </c>
      <c r="D2983" t="n">
        <v>0</v>
      </c>
      <c r="E2983" t="n">
        <v>0</v>
      </c>
      <c r="F2983" t="n">
        <v>0</v>
      </c>
      <c r="G2983" t="n">
        <v>0</v>
      </c>
      <c r="H2983" t="n">
        <v>0</v>
      </c>
      <c r="I2983" s="3" t="n">
        <v>0</v>
      </c>
      <c r="J2983" s="3" t="n">
        <v>0</v>
      </c>
      <c r="K2983" s="3" t="n">
        <v>0</v>
      </c>
      <c r="L2983" s="3">
        <f>IF(K2983&lt;-5,"CRÍTICO",IF(K2983&lt;0,"ATENÇÃO",IF(K2983&lt;=5,"OPORTUNO","MUITO BOM")))</f>
        <v/>
      </c>
      <c r="M2983" t="n">
        <v>6</v>
      </c>
      <c r="N2983" t="n">
        <v>92.68000000000001</v>
      </c>
      <c r="O2983" t="n">
        <v>27.77777777777778</v>
      </c>
    </row>
    <row r="2984" hidden="1">
      <c r="A2984" s="11" t="n">
        <v>46094</v>
      </c>
      <c r="B2984" t="inlineStr">
        <is>
          <t>Damyllis Lorraine de Oliveira Gonçalves</t>
        </is>
      </c>
      <c r="C2984" t="inlineStr">
        <is>
          <t>Técnico II</t>
        </is>
      </c>
      <c r="D2984" t="n">
        <v>21</v>
      </c>
      <c r="E2984" t="n">
        <v>17</v>
      </c>
      <c r="F2984" t="n">
        <v>34.19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M2984" t="n">
        <v>17</v>
      </c>
      <c r="N2984" t="n">
        <v>99.03</v>
      </c>
      <c r="O2984" t="n">
        <v>23.99150743099788</v>
      </c>
    </row>
    <row r="2985" hidden="1">
      <c r="A2985" s="11" t="n">
        <v>46094</v>
      </c>
      <c r="B2985" t="inlineStr">
        <is>
          <t>Daniel Gomes da Silva</t>
        </is>
      </c>
      <c r="C2985" t="inlineStr">
        <is>
          <t>Técnico I</t>
        </is>
      </c>
      <c r="D2985" t="n">
        <v>21</v>
      </c>
      <c r="E2985" t="n">
        <v>18</v>
      </c>
      <c r="F2985" t="n">
        <v>29.14</v>
      </c>
      <c r="G2985" t="n">
        <v>0</v>
      </c>
      <c r="H2985" t="n">
        <v>0</v>
      </c>
      <c r="I2985" s="3">
        <f>E2985+G2985+H2985</f>
        <v/>
      </c>
      <c r="J2985" s="3">
        <f>ROUND(MIN(IF(C2985="Técnico III",35,IF(C2985="Técnico II",28,IF(C2985="Técnico I",23,IF(C2985="JR",20,IF(C2985="Estágio",10,0))))),IF(C2985="Técnico III",SUMIFS($D:$D,$A:$A,$A2985,$B:$B,"&lt;&gt;Patrícia Karla de Sousa Araújo",$B:$B,"&lt;&gt;Lorena Dias de Araujo",$B:$B,"&lt;&gt;Lucas Luiz Romero")*(35/1083),IF(C2985="Técnico II",SUMIFS($D:$D,$A:$A,$A2985,$B:$B,"&lt;&gt;Patrícia Karla de Sousa Araújo",$B:$B,"&lt;&gt;Lorena Dias de Araujo",$B:$B,"&lt;&gt;Lucas Luiz Romero")*(28/1083),IF(C2985="Técnico I",SUMIFS($D:$D,$A:$A,$A2985,$B:$B,"&lt;&gt;Patrícia Karla de Sousa Araújo",$B:$B,"&lt;&gt;Lorena Dias de Araujo",$B:$B,"&lt;&gt;Lucas Luiz Romero")*(23/1083),IF(C2985="JR",SUMIFS($D:$D,$A:$A,$A2985,$B:$B,"&lt;&gt;Patrícia Karla de Sousa Araújo",$B:$B,"&lt;&gt;Lorena Dias de Araujo",$B:$B,"&lt;&gt;Lucas Luiz Romero")*(20/1083),IF(C2985="Estágio",SUMIFS($D:$D,$A:$A,$A2985,$B:$B,"&lt;&gt;Patrícia Karla de Sousa Araújo",$B:$B,"&lt;&gt;Lorena Dias de Araujo",$B:$B,"&lt;&gt;Lucas Luiz Romero")*(10/1083),0)))))),0)</f>
        <v/>
      </c>
      <c r="K2985" s="3">
        <f>I2985-J2985</f>
        <v/>
      </c>
      <c r="L2985" s="3">
        <f>IF(K2985&lt;-5,"CRÍTICO",IF(K2985&lt;0,"ATENÇÃO",IF(K2985&lt;=5,"OPORTUNO","MUITO BOM")))</f>
        <v/>
      </c>
      <c r="M2985" t="n">
        <v>11</v>
      </c>
      <c r="N2985" t="n">
        <v>98.41</v>
      </c>
      <c r="O2985" t="n">
        <v>28.13852813852814</v>
      </c>
    </row>
    <row r="2986" hidden="1">
      <c r="A2986" s="11" t="n">
        <v>46094</v>
      </c>
      <c r="B2986" t="inlineStr">
        <is>
          <t>Davylla Rodrigues Freitas Silva</t>
        </is>
      </c>
      <c r="C2986" t="inlineStr">
        <is>
          <t>Técnico III</t>
        </is>
      </c>
      <c r="D2986" t="n">
        <v>22</v>
      </c>
      <c r="E2986" t="n">
        <v>21</v>
      </c>
      <c r="F2986" t="n">
        <v>34.03</v>
      </c>
      <c r="G2986" t="n">
        <v>0</v>
      </c>
      <c r="H2986" t="n">
        <v>0</v>
      </c>
      <c r="I2986" s="3" t="n">
        <v>0</v>
      </c>
      <c r="J2986" s="3" t="n">
        <v>0</v>
      </c>
      <c r="K2986" s="3" t="n">
        <v>0</v>
      </c>
      <c r="L2986" s="3">
        <f>IF(K2986&lt;-5,"CRÍTICO",IF(K2986&lt;0,"ATENÇÃO",IF(K2986&lt;=5,"OPORTUNO","MUITO BOM")))</f>
        <v/>
      </c>
      <c r="M2986" t="n">
        <v>22</v>
      </c>
      <c r="N2986" t="n">
        <v>98.73</v>
      </c>
      <c r="O2986" t="n">
        <v>29.14285714285714</v>
      </c>
    </row>
    <row r="2987" hidden="1">
      <c r="A2987" s="11" t="n">
        <v>46094</v>
      </c>
      <c r="B2987" t="inlineStr">
        <is>
          <t>Emilly Caylane Costa</t>
        </is>
      </c>
      <c r="C2987" t="inlineStr">
        <is>
          <t>Estágio</t>
        </is>
      </c>
      <c r="D2987" t="n">
        <v>8</v>
      </c>
      <c r="E2987" t="n">
        <v>8</v>
      </c>
      <c r="F2987" t="n">
        <v>38.27</v>
      </c>
      <c r="G2987" t="n">
        <v>0</v>
      </c>
      <c r="H2987" t="n">
        <v>0</v>
      </c>
      <c r="I2987" s="3">
        <f>E2987+G2987+H2987</f>
        <v/>
      </c>
      <c r="J2987" s="3">
        <f>ROUND(MIN(IF(C2987="Técnico III",35,IF(C2987="Técnico II",28,IF(C2987="Técnico I",23,IF(C2987="JR",20,IF(C2987="Estágio",10,0))))),IF(C2987="Técnico III",SUMIFS($D:$D,$A:$A,$A2987,$B:$B,"&lt;&gt;Patrícia Karla de Sousa Araújo",$B:$B,"&lt;&gt;Lorena Dias de Araujo",$B:$B,"&lt;&gt;Lucas Luiz Romero")*(35/1083),IF(C2987="Técnico II",SUMIFS($D:$D,$A:$A,$A2987,$B:$B,"&lt;&gt;Patrícia Karla de Sousa Araújo",$B:$B,"&lt;&gt;Lorena Dias de Araujo",$B:$B,"&lt;&gt;Lucas Luiz Romero")*(28/1083),IF(C2987="Técnico I",SUMIFS($D:$D,$A:$A,$A2987,$B:$B,"&lt;&gt;Patrícia Karla de Sousa Araújo",$B:$B,"&lt;&gt;Lorena Dias de Araujo",$B:$B,"&lt;&gt;Lucas Luiz Romero")*(23/1083),IF(C2987="JR",SUMIFS($D:$D,$A:$A,$A2987,$B:$B,"&lt;&gt;Patrícia Karla de Sousa Araújo",$B:$B,"&lt;&gt;Lorena Dias de Araujo",$B:$B,"&lt;&gt;Lucas Luiz Romero")*(20/1083),IF(C2987="Estágio",SUMIFS($D:$D,$A:$A,$A2987,$B:$B,"&lt;&gt;Patrícia Karla de Sousa Araújo",$B:$B,"&lt;&gt;Lorena Dias de Araujo",$B:$B,"&lt;&gt;Lucas Luiz Romero")*(10/1083),0)))))),0)</f>
        <v/>
      </c>
      <c r="K2987" s="3">
        <f>I2987-J2987</f>
        <v/>
      </c>
      <c r="L2987" s="3">
        <f>IF(K2987&lt;-5,"CRÍTICO",IF(K2987&lt;0,"ATENÇÃO",IF(K2987&lt;=5,"OPORTUNO","MUITO BOM")))</f>
        <v/>
      </c>
      <c r="M2987" t="n">
        <v>5</v>
      </c>
      <c r="N2987" t="n">
        <v>90.48</v>
      </c>
      <c r="O2987" t="n">
        <v>20.68965517241379</v>
      </c>
    </row>
    <row r="2988" hidden="1">
      <c r="A2988" s="11" t="n">
        <v>46094</v>
      </c>
      <c r="B2988" t="inlineStr">
        <is>
          <t>Emilly Kamilly Medeiros Miranda</t>
        </is>
      </c>
      <c r="C2988" t="inlineStr">
        <is>
          <t>Técnico II</t>
        </is>
      </c>
      <c r="D2988" t="n">
        <v>14</v>
      </c>
      <c r="E2988" t="n">
        <v>13</v>
      </c>
      <c r="F2988" t="n">
        <v>27.23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M2988" t="n">
        <v>15</v>
      </c>
      <c r="N2988" t="n">
        <v>98.06</v>
      </c>
      <c r="O2988" t="n">
        <v>24.78991596638656</v>
      </c>
    </row>
    <row r="2989" hidden="1">
      <c r="A2989" s="11" t="n">
        <v>46094</v>
      </c>
      <c r="B2989" t="inlineStr">
        <is>
          <t>Francielson de Oliveira</t>
        </is>
      </c>
      <c r="C2989" t="inlineStr">
        <is>
          <t>Técnico III</t>
        </is>
      </c>
      <c r="D2989" t="n">
        <v>22</v>
      </c>
      <c r="E2989" t="n">
        <v>22</v>
      </c>
      <c r="F2989" t="n">
        <v>23.45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M2989" t="n">
        <v>24</v>
      </c>
      <c r="N2989" t="n">
        <v>97.78</v>
      </c>
      <c r="O2989" t="n">
        <v>25.49407114624506</v>
      </c>
    </row>
    <row r="2990" hidden="1">
      <c r="A2990" s="11" t="n">
        <v>46094</v>
      </c>
      <c r="B2990" t="inlineStr">
        <is>
          <t>Francilene Ferreira de Jesus</t>
        </is>
      </c>
      <c r="C2990" t="inlineStr">
        <is>
          <t>Técnico II</t>
        </is>
      </c>
      <c r="D2990" t="n">
        <v>15</v>
      </c>
      <c r="E2990" t="n">
        <v>14</v>
      </c>
      <c r="F2990" t="n">
        <v>40.17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M2990" t="n">
        <v>13</v>
      </c>
      <c r="N2990" t="n">
        <v>98.02</v>
      </c>
      <c r="O2990" t="n">
        <v>23.48484848484848</v>
      </c>
    </row>
    <row r="2991" hidden="1">
      <c r="A2991" s="11" t="n">
        <v>46128</v>
      </c>
      <c r="B2991" t="inlineStr">
        <is>
          <t>Gabriel Gomes de Andrade</t>
        </is>
      </c>
      <c r="C2991" t="inlineStr">
        <is>
          <t>Técnico I</t>
        </is>
      </c>
      <c r="D2991" t="n">
        <v>33</v>
      </c>
      <c r="E2991" t="n">
        <v>30</v>
      </c>
      <c r="F2991" t="n">
        <v>15.31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M2991" t="n">
        <v>32</v>
      </c>
      <c r="N2991" t="n">
        <v>99.28</v>
      </c>
      <c r="O2991" t="n">
        <v>27.68924302788844</v>
      </c>
    </row>
    <row r="2992" hidden="1">
      <c r="A2992" s="11" t="n">
        <v>46094</v>
      </c>
      <c r="B2992" t="inlineStr">
        <is>
          <t>Isabella Borges de Oliveira</t>
        </is>
      </c>
      <c r="C2992" t="inlineStr">
        <is>
          <t>Técnico II</t>
        </is>
      </c>
      <c r="D2992" t="n">
        <v>25</v>
      </c>
      <c r="E2992" t="n">
        <v>23</v>
      </c>
      <c r="F2992" t="n">
        <v>30.32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M2992" t="n">
        <v>22</v>
      </c>
      <c r="N2992" t="n">
        <v>100</v>
      </c>
      <c r="O2992" t="n">
        <v>27.04918032786885</v>
      </c>
    </row>
    <row r="2993" hidden="1">
      <c r="A2993" s="11" t="n">
        <v>46094</v>
      </c>
      <c r="B2993" t="inlineStr">
        <is>
          <t>Janaina Lima dos Reis Urany</t>
        </is>
      </c>
      <c r="C2993" t="inlineStr">
        <is>
          <t>Técnico III</t>
        </is>
      </c>
      <c r="D2993" t="n">
        <v>36</v>
      </c>
      <c r="E2993" t="n">
        <v>35</v>
      </c>
      <c r="F2993" t="n">
        <v>18.46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M2993" t="n">
        <v>34</v>
      </c>
      <c r="N2993" t="n">
        <v>97.83</v>
      </c>
      <c r="O2993" t="n">
        <v>26.31578947368421</v>
      </c>
    </row>
    <row r="2994" hidden="1">
      <c r="A2994" s="11" t="n">
        <v>46094</v>
      </c>
      <c r="B2994" t="inlineStr">
        <is>
          <t>Jaqueline Evangelista da Silva Martins</t>
        </is>
      </c>
      <c r="C2994" t="inlineStr">
        <is>
          <t>Técnico III</t>
        </is>
      </c>
      <c r="D2994" t="n">
        <v>0</v>
      </c>
      <c r="E2994" t="n">
        <v>0</v>
      </c>
      <c r="F2994" t="n">
        <v>0</v>
      </c>
      <c r="G2994" t="n">
        <v>0</v>
      </c>
      <c r="H2994" t="n">
        <v>0</v>
      </c>
      <c r="I2994" s="3" t="n">
        <v>0</v>
      </c>
      <c r="J2994" s="3" t="n">
        <v>0</v>
      </c>
      <c r="K2994" s="3" t="n">
        <v>0</v>
      </c>
      <c r="L2994" s="3">
        <f>IF(K2994&lt;-5,"CRÍTICO",IF(K2994&lt;0,"ATENÇÃO",IF(K2994&lt;=5,"OPORTUNO","MUITO BOM")))</f>
        <v/>
      </c>
      <c r="M2994" t="n">
        <v>8</v>
      </c>
      <c r="N2994" t="n">
        <v>100</v>
      </c>
      <c r="O2994" t="n">
        <v>26.70157068062827</v>
      </c>
    </row>
    <row r="2995" hidden="1">
      <c r="A2995" s="11" t="n">
        <v>46094</v>
      </c>
      <c r="B2995" t="inlineStr">
        <is>
          <t>Jessica Faria da Silveira</t>
        </is>
      </c>
      <c r="C2995" t="inlineStr">
        <is>
          <t>Técnico II</t>
        </is>
      </c>
      <c r="D2995" t="n">
        <v>22</v>
      </c>
      <c r="E2995" t="n">
        <v>18</v>
      </c>
      <c r="F2995" t="n">
        <v>27.05</v>
      </c>
      <c r="G2995" t="n">
        <v>0</v>
      </c>
      <c r="H2995" t="n">
        <v>0</v>
      </c>
      <c r="I2995" s="3">
        <f>E2995+G2995+H2995</f>
        <v/>
      </c>
      <c r="J2995" s="3">
        <f>ROUND(MIN(IF(C2995="Técnico III",35,IF(C2995="Técnico II",28,IF(C2995="Técnico I",23,IF(C2995="JR",20,IF(C2995="Estágio",10,0))))),IF(C2995="Técnico III",SUMIFS($D:$D,$A:$A,$A2995,$B:$B,"&lt;&gt;Patrícia Karla de Sousa Araújo",$B:$B,"&lt;&gt;Lorena Dias de Araujo",$B:$B,"&lt;&gt;Lucas Luiz Romero")*(35/1083),IF(C2995="Técnico II",SUMIFS($D:$D,$A:$A,$A2995,$B:$B,"&lt;&gt;Patrícia Karla de Sousa Araújo",$B:$B,"&lt;&gt;Lorena Dias de Araujo",$B:$B,"&lt;&gt;Lucas Luiz Romero")*(28/1083),IF(C2995="Técnico I",SUMIFS($D:$D,$A:$A,$A2995,$B:$B,"&lt;&gt;Patrícia Karla de Sousa Araújo",$B:$B,"&lt;&gt;Lorena Dias de Araujo",$B:$B,"&lt;&gt;Lucas Luiz Romero")*(23/1083),IF(C2995="JR",SUMIFS($D:$D,$A:$A,$A2995,$B:$B,"&lt;&gt;Patrícia Karla de Sousa Araújo",$B:$B,"&lt;&gt;Lorena Dias de Araujo",$B:$B,"&lt;&gt;Lucas Luiz Romero")*(20/1083),IF(C2995="Estágio",SUMIFS($D:$D,$A:$A,$A2995,$B:$B,"&lt;&gt;Patrícia Karla de Sousa Araújo",$B:$B,"&lt;&gt;Lorena Dias de Araujo",$B:$B,"&lt;&gt;Lucas Luiz Romero")*(10/1083),0)))))),0)</f>
        <v/>
      </c>
      <c r="K2995" s="3">
        <f>I2995-J2995</f>
        <v/>
      </c>
      <c r="L2995" s="3">
        <f>IF(K2995&lt;-5,"CRÍTICO",IF(K2995&lt;0,"ATENÇÃO",IF(K2995&lt;=5,"OPORTUNO","MUITO BOM")))</f>
        <v/>
      </c>
      <c r="M2995" t="n">
        <v>19</v>
      </c>
      <c r="N2995" t="n">
        <v>97.47</v>
      </c>
      <c r="O2995" t="n">
        <v>22.88732394366197</v>
      </c>
    </row>
    <row r="2996" hidden="1">
      <c r="A2996" s="11" t="n">
        <v>46094</v>
      </c>
      <c r="B2996" t="inlineStr">
        <is>
          <t>Jéssica Fé Moura</t>
        </is>
      </c>
      <c r="C2996" t="inlineStr">
        <is>
          <t>Técnico III</t>
        </is>
      </c>
      <c r="D2996" t="n">
        <v>0</v>
      </c>
      <c r="E2996" t="n">
        <v>0</v>
      </c>
      <c r="F2996" t="n">
        <v>0</v>
      </c>
      <c r="G2996" t="n">
        <v>0</v>
      </c>
      <c r="H2996" t="n">
        <v>0</v>
      </c>
      <c r="I2996" s="3" t="n">
        <v>0</v>
      </c>
      <c r="J2996" s="3" t="n">
        <v>0</v>
      </c>
      <c r="K2996" s="3" t="n">
        <v>0</v>
      </c>
      <c r="L2996" s="3">
        <f>IF(K2996&lt;-5,"CRÍTICO",IF(K2996&lt;0,"ATENÇÃO",IF(K2996&lt;=5,"OPORTUNO","MUITO BOM")))</f>
        <v/>
      </c>
      <c r="M2996" t="n">
        <v>0</v>
      </c>
      <c r="N2996" t="n">
        <v>0</v>
      </c>
      <c r="O2996" t="n">
        <v>0</v>
      </c>
    </row>
    <row r="2997" hidden="1">
      <c r="A2997" s="11" t="n">
        <v>46094</v>
      </c>
      <c r="B2997" t="inlineStr">
        <is>
          <t>Karina Gonçalves Martins</t>
        </is>
      </c>
      <c r="C2997" t="inlineStr">
        <is>
          <t>JR</t>
        </is>
      </c>
      <c r="D2997" t="n">
        <v>5</v>
      </c>
      <c r="E2997" t="n">
        <v>5</v>
      </c>
      <c r="F2997" t="n">
        <v>61.54</v>
      </c>
      <c r="G2997" t="n">
        <v>0</v>
      </c>
      <c r="H2997" t="n">
        <v>0</v>
      </c>
      <c r="I2997" s="3">
        <f>E2997+G2997+H2997</f>
        <v/>
      </c>
      <c r="J2997" s="3">
        <f>ROUND(MIN(IF(C2997="Técnico III",35,IF(C2997="Técnico II",28,IF(C2997="Técnico I",23,IF(C2997="JR",20,IF(C2997="Estágio",10,0))))),IF(C2997="Técnico III",SUMIFS($D:$D,$A:$A,$A2997,$B:$B,"&lt;&gt;Patrícia Karla de Sousa Araújo",$B:$B,"&lt;&gt;Lorena Dias de Araujo",$B:$B,"&lt;&gt;Lucas Luiz Romero")*(35/1083),IF(C2997="Técnico II",SUMIFS($D:$D,$A:$A,$A2997,$B:$B,"&lt;&gt;Patrícia Karla de Sousa Araújo",$B:$B,"&lt;&gt;Lorena Dias de Araujo",$B:$B,"&lt;&gt;Lucas Luiz Romero")*(28/1083),IF(C2997="Técnico I",SUMIFS($D:$D,$A:$A,$A2997,$B:$B,"&lt;&gt;Patrícia Karla de Sousa Araújo",$B:$B,"&lt;&gt;Lorena Dias de Araujo",$B:$B,"&lt;&gt;Lucas Luiz Romero")*(23/1083),IF(C2997="JR",SUMIFS($D:$D,$A:$A,$A2997,$B:$B,"&lt;&gt;Patrícia Karla de Sousa Araújo",$B:$B,"&lt;&gt;Lorena Dias de Araujo",$B:$B,"&lt;&gt;Lucas Luiz Romero")*(20/1083),IF(C2997="Estágio",SUMIFS($D:$D,$A:$A,$A2997,$B:$B,"&lt;&gt;Patrícia Karla de Sousa Araújo",$B:$B,"&lt;&gt;Lorena Dias de Araujo",$B:$B,"&lt;&gt;Lucas Luiz Romero")*(10/1083),0)))))),0)</f>
        <v/>
      </c>
      <c r="K2997" s="3">
        <f>I2997-J2997</f>
        <v/>
      </c>
      <c r="L2997" s="3">
        <f>IF(K2997&lt;-5,"CRÍTICO",IF(K2997&lt;0,"ATENÇÃO",IF(K2997&lt;=5,"OPORTUNO","MUITO BOM")))</f>
        <v/>
      </c>
      <c r="M2997" t="n">
        <v>5</v>
      </c>
      <c r="N2997" t="n">
        <v>98.31</v>
      </c>
      <c r="O2997" t="n">
        <v>24.92012779552715</v>
      </c>
    </row>
    <row r="2998" hidden="1">
      <c r="A2998" s="11" t="n">
        <v>46094</v>
      </c>
      <c r="B2998" t="inlineStr">
        <is>
          <t>Kerollen Cristielly de Jesus Siqueira</t>
        </is>
      </c>
      <c r="C2998" t="inlineStr">
        <is>
          <t>Técnico III</t>
        </is>
      </c>
      <c r="D2998" t="n">
        <v>0</v>
      </c>
      <c r="E2998" t="n">
        <v>0</v>
      </c>
      <c r="F2998" t="n">
        <v>0</v>
      </c>
      <c r="G2998" t="n">
        <v>0</v>
      </c>
      <c r="H2998" t="n">
        <v>0</v>
      </c>
      <c r="I2998" s="3" t="n">
        <v>0</v>
      </c>
      <c r="J2998" s="3" t="n">
        <v>0</v>
      </c>
      <c r="K2998" s="3" t="n">
        <v>0</v>
      </c>
      <c r="L2998" s="3">
        <f>IF(K2998&lt;-5,"CRÍTICO",IF(K2998&lt;0,"ATENÇÃO",IF(K2998&lt;=5,"OPORTUNO","MUITO BOM")))</f>
        <v/>
      </c>
      <c r="M2998" t="n">
        <v>0</v>
      </c>
      <c r="N2998" t="n">
        <v>96.81</v>
      </c>
      <c r="O2998" t="n">
        <v>32.36514522821577</v>
      </c>
    </row>
    <row r="2999" hidden="1">
      <c r="A2999" s="11" t="n">
        <v>46094</v>
      </c>
      <c r="B2999" t="inlineStr">
        <is>
          <t>Leandro de Souza Silva</t>
        </is>
      </c>
      <c r="C2999" t="inlineStr">
        <is>
          <t>JR</t>
        </is>
      </c>
      <c r="D2999" t="n">
        <v>18</v>
      </c>
      <c r="E2999" t="n">
        <v>14</v>
      </c>
      <c r="F2999" t="n">
        <v>19.08</v>
      </c>
      <c r="G2999" t="n">
        <v>0</v>
      </c>
      <c r="H2999" t="n">
        <v>0</v>
      </c>
      <c r="I2999" s="3">
        <f>E2999+G2999+H2999</f>
        <v/>
      </c>
      <c r="J2999" s="3">
        <f>ROUND(MIN(IF(C2999="Técnico III",35,IF(C2999="Técnico II",28,IF(C2999="Técnico I",23,IF(C2999="JR",20,IF(C2999="Estágio",10,0))))),IF(C2999="Técnico III",SUMIFS($D:$D,$A:$A,$A2999,$B:$B,"&lt;&gt;Patrícia Karla de Sousa Araújo",$B:$B,"&lt;&gt;Lorena Dias de Araujo",$B:$B,"&lt;&gt;Lucas Luiz Romero")*(35/1083),IF(C2999="Técnico II",SUMIFS($D:$D,$A:$A,$A2999,$B:$B,"&lt;&gt;Patrícia Karla de Sousa Araújo",$B:$B,"&lt;&gt;Lorena Dias de Araujo",$B:$B,"&lt;&gt;Lucas Luiz Romero")*(28/1083),IF(C2999="Técnico I",SUMIFS($D:$D,$A:$A,$A2999,$B:$B,"&lt;&gt;Patrícia Karla de Sousa Araújo",$B:$B,"&lt;&gt;Lorena Dias de Araujo",$B:$B,"&lt;&gt;Lucas Luiz Romero")*(23/1083),IF(C2999="JR",SUMIFS($D:$D,$A:$A,$A2999,$B:$B,"&lt;&gt;Patrícia Karla de Sousa Araújo",$B:$B,"&lt;&gt;Lorena Dias de Araujo",$B:$B,"&lt;&gt;Lucas Luiz Romero")*(20/1083),IF(C2999="Estágio",SUMIFS($D:$D,$A:$A,$A2999,$B:$B,"&lt;&gt;Patrícia Karla de Sousa Araújo",$B:$B,"&lt;&gt;Lorena Dias de Araujo",$B:$B,"&lt;&gt;Lucas Luiz Romero")*(10/1083),0)))))),0)</f>
        <v/>
      </c>
      <c r="K2999" s="3">
        <f>I2999-J2999</f>
        <v/>
      </c>
      <c r="L2999" s="3">
        <f>IF(K2999&lt;-5,"CRÍTICO",IF(K2999&lt;0,"ATENÇÃO",IF(K2999&lt;=5,"OPORTUNO","MUITO BOM")))</f>
        <v/>
      </c>
      <c r="M2999" t="n">
        <v>12</v>
      </c>
      <c r="N2999" t="n">
        <v>100</v>
      </c>
      <c r="O2999" t="n">
        <v>26.47058823529412</v>
      </c>
    </row>
    <row r="3000" hidden="1">
      <c r="A3000" s="11" t="n">
        <v>46094</v>
      </c>
      <c r="B3000" t="inlineStr">
        <is>
          <t>Leandro Oliveira de Sousa</t>
        </is>
      </c>
      <c r="C3000" t="inlineStr">
        <is>
          <t>Técnico III</t>
        </is>
      </c>
      <c r="D3000" t="n">
        <v>0</v>
      </c>
      <c r="E3000" t="n">
        <v>0</v>
      </c>
      <c r="F3000" t="n">
        <v>0</v>
      </c>
      <c r="G3000" t="n">
        <v>0</v>
      </c>
      <c r="H3000" t="n">
        <v>0</v>
      </c>
      <c r="I3000" s="3" t="n">
        <v>0</v>
      </c>
      <c r="J3000" s="3" t="n">
        <v>0</v>
      </c>
      <c r="K3000" s="3" t="n">
        <v>0</v>
      </c>
      <c r="L3000" s="3">
        <f>IF(K3000&lt;-5,"CRÍTICO",IF(K3000&lt;0,"ATENÇÃO",IF(K3000&lt;=5,"OPORTUNO","MUITO BOM")))</f>
        <v/>
      </c>
      <c r="M3000" t="n">
        <v>8</v>
      </c>
      <c r="N3000" t="n">
        <v>100</v>
      </c>
      <c r="O3000" t="n">
        <v>28.49002849002849</v>
      </c>
    </row>
    <row r="3001" hidden="1">
      <c r="A3001" s="11" t="n">
        <v>46094</v>
      </c>
      <c r="B3001" t="inlineStr">
        <is>
          <t>Lizandra Gomes Duarte</t>
        </is>
      </c>
      <c r="C3001" t="inlineStr">
        <is>
          <t>Técnico II</t>
        </is>
      </c>
      <c r="D3001" t="n">
        <v>33</v>
      </c>
      <c r="E3001" t="n">
        <v>30</v>
      </c>
      <c r="F3001" t="n">
        <v>15.43</v>
      </c>
      <c r="G3001" t="n">
        <v>0</v>
      </c>
      <c r="H3001" t="n">
        <v>0</v>
      </c>
      <c r="I3001" s="3">
        <f>E3001+G3001+H3001</f>
        <v/>
      </c>
      <c r="J3001" s="3">
        <f>ROUND(MIN(IF(C3001="Técnico III",35,IF(C3001="Técnico II",28,IF(C3001="Técnico I",23,IF(C3001="JR",20,IF(C3001="Estágio",10,0))))),IF(C3001="Técnico III",SUMIFS($D:$D,$A:$A,$A3001,$B:$B,"&lt;&gt;Patrícia Karla de Sousa Araújo",$B:$B,"&lt;&gt;Lorena Dias de Araujo",$B:$B,"&lt;&gt;Lucas Luiz Romero")*(35/1083),IF(C3001="Técnico II",SUMIFS($D:$D,$A:$A,$A3001,$B:$B,"&lt;&gt;Patrícia Karla de Sousa Araújo",$B:$B,"&lt;&gt;Lorena Dias de Araujo",$B:$B,"&lt;&gt;Lucas Luiz Romero")*(28/1083),IF(C3001="Técnico I",SUMIFS($D:$D,$A:$A,$A3001,$B:$B,"&lt;&gt;Patrícia Karla de Sousa Araújo",$B:$B,"&lt;&gt;Lorena Dias de Araujo",$B:$B,"&lt;&gt;Lucas Luiz Romero")*(23/1083),IF(C3001="JR",SUMIFS($D:$D,$A:$A,$A3001,$B:$B,"&lt;&gt;Patrícia Karla de Sousa Araújo",$B:$B,"&lt;&gt;Lorena Dias de Araujo",$B:$B,"&lt;&gt;Lucas Luiz Romero")*(20/1083),IF(C3001="Estágio",SUMIFS($D:$D,$A:$A,$A3001,$B:$B,"&lt;&gt;Patrícia Karla de Sousa Araújo",$B:$B,"&lt;&gt;Lorena Dias de Araujo",$B:$B,"&lt;&gt;Lucas Luiz Romero")*(10/1083),0)))))),0)</f>
        <v/>
      </c>
      <c r="K3001" s="3">
        <f>I3001-J3001</f>
        <v/>
      </c>
      <c r="L3001" s="3">
        <f>IF(K3001&lt;-5,"CRÍTICO",IF(K3001&lt;0,"ATENÇÃO",IF(K3001&lt;=5,"OPORTUNO","MUITO BOM")))</f>
        <v/>
      </c>
      <c r="M3001" t="n">
        <v>11</v>
      </c>
      <c r="N3001" t="n">
        <v>99.14</v>
      </c>
      <c r="O3001" t="n">
        <v>27.2289156626506</v>
      </c>
    </row>
    <row r="3002" hidden="1">
      <c r="A3002" s="11" t="n">
        <v>46094</v>
      </c>
      <c r="B3002" t="inlineStr">
        <is>
          <t>Lorena Dias de Araujo</t>
        </is>
      </c>
      <c r="C3002" t="inlineStr">
        <is>
          <t>Técnico II</t>
        </is>
      </c>
      <c r="D3002" t="n">
        <v>25</v>
      </c>
      <c r="E3002" t="n">
        <v>23</v>
      </c>
      <c r="F3002" t="n">
        <v>27.26</v>
      </c>
      <c r="G3002" t="n">
        <v>0</v>
      </c>
      <c r="H3002" t="n">
        <v>0</v>
      </c>
      <c r="I3002" s="3" t="n">
        <v>0</v>
      </c>
      <c r="J3002" s="3" t="n">
        <v>0</v>
      </c>
      <c r="K3002" s="3" t="n">
        <v>0</v>
      </c>
      <c r="L3002" s="3">
        <f>IF(K3002&lt;-5,"CRÍTICO",IF(K3002&lt;0,"ATENÇÃO",IF(K3002&lt;=5,"OPORTUNO","MUITO BOM")))</f>
        <v/>
      </c>
      <c r="M3002" t="n">
        <v>20</v>
      </c>
      <c r="N3002" t="n">
        <v>97.52</v>
      </c>
      <c r="O3002" t="n">
        <v>28.2051282051282</v>
      </c>
    </row>
    <row r="3003" hidden="1">
      <c r="A3003" s="11" t="n">
        <v>46094</v>
      </c>
      <c r="B3003" t="inlineStr">
        <is>
          <t>Lucas Luiz Romero</t>
        </is>
      </c>
      <c r="C3003" t="inlineStr">
        <is>
          <t>Técnico III</t>
        </is>
      </c>
      <c r="D3003" t="n">
        <v>26</v>
      </c>
      <c r="E3003" t="n">
        <v>22</v>
      </c>
      <c r="F3003" t="n">
        <v>16.52</v>
      </c>
      <c r="G3003" t="n">
        <v>0</v>
      </c>
      <c r="H3003" t="n">
        <v>0</v>
      </c>
      <c r="I3003" s="3">
        <f>E3003+G3003+H3003</f>
        <v/>
      </c>
      <c r="J3003" s="3">
        <f>ROUND(MIN(IF(C3003="Técnico III",35,IF(C3003="Técnico II",28,IF(C3003="Técnico I",23,IF(C3003="JR",20,IF(C3003="Estágio",10,0))))),IF(C3003="Técnico III",SUMIFS($D:$D,$A:$A,$A3003,$B:$B,"&lt;&gt;Patrícia Karla de Sousa Araújo",$B:$B,"&lt;&gt;Lorena Dias de Araujo",$B:$B,"&lt;&gt;Lucas Luiz Romero")*(35/1083),IF(C3003="Técnico II",SUMIFS($D:$D,$A:$A,$A3003,$B:$B,"&lt;&gt;Patrícia Karla de Sousa Araújo",$B:$B,"&lt;&gt;Lorena Dias de Araujo",$B:$B,"&lt;&gt;Lucas Luiz Romero")*(28/1083),IF(C3003="Técnico I",SUMIFS($D:$D,$A:$A,$A3003,$B:$B,"&lt;&gt;Patrícia Karla de Sousa Araújo",$B:$B,"&lt;&gt;Lorena Dias de Araujo",$B:$B,"&lt;&gt;Lucas Luiz Romero")*(23/1083),IF(C3003="JR",SUMIFS($D:$D,$A:$A,$A3003,$B:$B,"&lt;&gt;Patrícia Karla de Sousa Araújo",$B:$B,"&lt;&gt;Lorena Dias de Araujo",$B:$B,"&lt;&gt;Lucas Luiz Romero")*(20/1083),IF(C3003="Estágio",SUMIFS($D:$D,$A:$A,$A3003,$B:$B,"&lt;&gt;Patrícia Karla de Sousa Araújo",$B:$B,"&lt;&gt;Lorena Dias de Araujo",$B:$B,"&lt;&gt;Lucas Luiz Romero")*(10/1083),0)))))),0)</f>
        <v/>
      </c>
      <c r="K3003" s="3">
        <f>I3003-J3003</f>
        <v/>
      </c>
      <c r="L3003" s="3">
        <f>IF(K3003&lt;-5,"CRÍTICO",IF(K3003&lt;0,"ATENÇÃO",IF(K3003&lt;=5,"OPORTUNO","MUITO BOM")))</f>
        <v/>
      </c>
      <c r="M3003" t="n">
        <v>15</v>
      </c>
      <c r="N3003" t="n">
        <v>90</v>
      </c>
      <c r="O3003" t="n">
        <v>24.18604651162791</v>
      </c>
    </row>
    <row r="3004" hidden="1">
      <c r="A3004" s="11" t="n">
        <v>46094</v>
      </c>
      <c r="B3004" t="inlineStr">
        <is>
          <t>Luiz Fernando de Carvalho Junior</t>
        </is>
      </c>
      <c r="C3004" t="inlineStr">
        <is>
          <t>Técnico I</t>
        </is>
      </c>
      <c r="D3004" t="n">
        <v>13</v>
      </c>
      <c r="E3004" t="n">
        <v>12</v>
      </c>
      <c r="F3004" t="n">
        <v>37.32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M3004" t="n">
        <v>11</v>
      </c>
      <c r="N3004" t="n">
        <v>98.90000000000001</v>
      </c>
      <c r="O3004" t="n">
        <v>26.7639902676399</v>
      </c>
    </row>
    <row r="3005" hidden="1">
      <c r="A3005" s="11" t="n">
        <v>46094</v>
      </c>
      <c r="B3005" t="inlineStr">
        <is>
          <t>Maria Eduarda Sousa Costa</t>
        </is>
      </c>
      <c r="C3005" t="inlineStr">
        <is>
          <t>Estágio</t>
        </is>
      </c>
      <c r="D3005" t="n">
        <v>6</v>
      </c>
      <c r="E3005" t="n">
        <v>4</v>
      </c>
      <c r="F3005" t="n">
        <v>53.49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M3005" t="n">
        <v>3</v>
      </c>
      <c r="N3005" t="n">
        <v>88.89</v>
      </c>
      <c r="O3005" t="n">
        <v>25.26315789473684</v>
      </c>
    </row>
    <row r="3006" hidden="1">
      <c r="A3006" s="11" t="n">
        <v>46094</v>
      </c>
      <c r="B3006" t="inlineStr">
        <is>
          <t>Matheus Farias De Souza</t>
        </is>
      </c>
      <c r="C3006" t="inlineStr">
        <is>
          <t>Técnico III</t>
        </is>
      </c>
      <c r="D3006" t="n">
        <v>18</v>
      </c>
      <c r="E3006" t="n">
        <v>17</v>
      </c>
      <c r="F3006" t="n">
        <v>22.09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M3006" t="n">
        <v>22</v>
      </c>
      <c r="N3006" t="n">
        <v>98.86</v>
      </c>
      <c r="O3006" t="n">
        <v>28.95927601809955</v>
      </c>
    </row>
    <row r="3007" hidden="1">
      <c r="A3007" s="11" t="n">
        <v>46094</v>
      </c>
      <c r="B3007" t="inlineStr">
        <is>
          <t>Maysa Victoria Dias Moura</t>
        </is>
      </c>
      <c r="C3007" t="inlineStr">
        <is>
          <t>Técnico III</t>
        </is>
      </c>
      <c r="D3007" t="n">
        <v>32</v>
      </c>
      <c r="E3007" t="n">
        <v>28</v>
      </c>
      <c r="F3007" t="n">
        <v>15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M3007" t="n">
        <v>25</v>
      </c>
      <c r="N3007" t="n">
        <v>98.06</v>
      </c>
      <c r="O3007" t="n">
        <v>22.40566037735849</v>
      </c>
    </row>
    <row r="3008" hidden="1">
      <c r="A3008" s="11" t="n">
        <v>46094</v>
      </c>
      <c r="B3008" t="inlineStr">
        <is>
          <t>Michelle G Santos</t>
        </is>
      </c>
      <c r="C3008" t="inlineStr">
        <is>
          <t>Estágio</t>
        </is>
      </c>
      <c r="D3008" t="n">
        <v>6</v>
      </c>
      <c r="E3008" t="n">
        <v>6</v>
      </c>
      <c r="F3008" t="n">
        <v>48.34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M3008" t="n">
        <v>5</v>
      </c>
      <c r="N3008" t="n">
        <v>95.83</v>
      </c>
      <c r="O3008" t="n">
        <v>25.77319587628866</v>
      </c>
    </row>
    <row r="3009" hidden="1">
      <c r="A3009" s="11" t="n">
        <v>46094</v>
      </c>
      <c r="B3009" t="inlineStr">
        <is>
          <t>Milena Sales</t>
        </is>
      </c>
      <c r="C3009" t="inlineStr">
        <is>
          <t>JR</t>
        </is>
      </c>
      <c r="D3009" t="n">
        <v>0</v>
      </c>
      <c r="E3009" t="n">
        <v>0</v>
      </c>
      <c r="F3009" t="n">
        <v>0</v>
      </c>
      <c r="G3009" t="n">
        <v>0</v>
      </c>
      <c r="H3009" t="n">
        <v>0</v>
      </c>
      <c r="I3009" s="3" t="n">
        <v>0</v>
      </c>
      <c r="J3009" s="3" t="n">
        <v>0</v>
      </c>
      <c r="K3009" s="3" t="n">
        <v>0</v>
      </c>
      <c r="L3009" s="3">
        <f>IF(K3009&lt;-5,"CRÍTICO",IF(K3009&lt;0,"ATENÇÃO",IF(K3009&lt;=5,"OPORTUNO","MUITO BOM")))</f>
        <v/>
      </c>
      <c r="M3009" t="n">
        <v>0</v>
      </c>
      <c r="N3009" t="n">
        <v>100</v>
      </c>
      <c r="O3009" t="n">
        <v>15.38461538461539</v>
      </c>
    </row>
    <row r="3010" hidden="1">
      <c r="A3010" s="11" t="n">
        <v>46094</v>
      </c>
      <c r="B3010" t="inlineStr">
        <is>
          <t>Patrícia Karla de Sousa Araújo</t>
        </is>
      </c>
      <c r="C3010" t="inlineStr">
        <is>
          <t>Técnico II</t>
        </is>
      </c>
      <c r="D3010" t="n">
        <v>26</v>
      </c>
      <c r="E3010" t="n">
        <v>26</v>
      </c>
      <c r="F3010" t="n">
        <v>27.03</v>
      </c>
      <c r="G3010" t="n">
        <v>0</v>
      </c>
      <c r="H3010" t="n">
        <v>0</v>
      </c>
      <c r="I3010" s="3">
        <f>E3010+G3010+H3010</f>
        <v/>
      </c>
      <c r="J3010" s="3">
        <f>ROUND(MIN(IF(C3010="Técnico III",35,IF(C3010="Técnico II",28,IF(C3010="Técnico I",23,IF(C3010="JR",20,IF(C3010="Estágio",10,0))))),IF(C3010="Técnico III",SUMIFS($D:$D,$A:$A,$A3010,$B:$B,"&lt;&gt;Patrícia Karla de Sousa Araújo",$B:$B,"&lt;&gt;Lorena Dias de Araujo",$B:$B,"&lt;&gt;Lucas Luiz Romero")*(35/1083),IF(C3010="Técnico II",SUMIFS($D:$D,$A:$A,$A3010,$B:$B,"&lt;&gt;Patrícia Karla de Sousa Araújo",$B:$B,"&lt;&gt;Lorena Dias de Araujo",$B:$B,"&lt;&gt;Lucas Luiz Romero")*(28/1083),IF(C3010="Técnico I",SUMIFS($D:$D,$A:$A,$A3010,$B:$B,"&lt;&gt;Patrícia Karla de Sousa Araújo",$B:$B,"&lt;&gt;Lorena Dias de Araujo",$B:$B,"&lt;&gt;Lucas Luiz Romero")*(23/1083),IF(C3010="JR",SUMIFS($D:$D,$A:$A,$A3010,$B:$B,"&lt;&gt;Patrícia Karla de Sousa Araújo",$B:$B,"&lt;&gt;Lorena Dias de Araujo",$B:$B,"&lt;&gt;Lucas Luiz Romero")*(20/1083),IF(C3010="Estágio",SUMIFS($D:$D,$A:$A,$A3010,$B:$B,"&lt;&gt;Patrícia Karla de Sousa Araújo",$B:$B,"&lt;&gt;Lorena Dias de Araujo",$B:$B,"&lt;&gt;Lucas Luiz Romero")*(10/1083),0)))))),0)</f>
        <v/>
      </c>
      <c r="K3010" s="3">
        <f>I3010-J3010</f>
        <v/>
      </c>
      <c r="L3010" s="3">
        <f>IF(K3010&lt;-5,"CRÍTICO",IF(K3010&lt;0,"ATENÇÃO",IF(K3010&lt;=5,"OPORTUNO","MUITO BOM")))</f>
        <v/>
      </c>
      <c r="M3010" t="n">
        <v>23</v>
      </c>
      <c r="N3010" t="n">
        <v>100</v>
      </c>
      <c r="O3010" t="n">
        <v>27.51479289940828</v>
      </c>
    </row>
    <row r="3011" hidden="1">
      <c r="A3011" s="11" t="n">
        <v>46094</v>
      </c>
      <c r="B3011" t="inlineStr">
        <is>
          <t>Paulo Ricardo Santos</t>
        </is>
      </c>
      <c r="C3011" t="inlineStr">
        <is>
          <t>JR</t>
        </is>
      </c>
      <c r="D3011" t="n">
        <v>13</v>
      </c>
      <c r="E3011" t="n">
        <v>12</v>
      </c>
      <c r="F3011" t="n">
        <v>40.55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M3011" t="n">
        <v>7</v>
      </c>
      <c r="N3011" t="n">
        <v>100</v>
      </c>
      <c r="O3011" t="n">
        <v>24.87562189054727</v>
      </c>
    </row>
    <row r="3012" hidden="1">
      <c r="A3012" s="11" t="n">
        <v>46094</v>
      </c>
      <c r="B3012" t="inlineStr">
        <is>
          <t>Pedro Luiz Mota Sousa</t>
        </is>
      </c>
      <c r="C3012" t="inlineStr">
        <is>
          <t>JR</t>
        </is>
      </c>
      <c r="D3012" t="n">
        <v>14</v>
      </c>
      <c r="E3012" t="n">
        <v>14</v>
      </c>
      <c r="F3012" t="n">
        <v>43.33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M3012" t="n">
        <v>13</v>
      </c>
      <c r="N3012" t="n">
        <v>100</v>
      </c>
      <c r="O3012" t="n">
        <v>28.10810810810811</v>
      </c>
    </row>
    <row r="3013" hidden="1">
      <c r="A3013" s="11" t="n">
        <v>46094</v>
      </c>
      <c r="B3013" t="inlineStr">
        <is>
          <t>Quirino Diogo Leite Torres</t>
        </is>
      </c>
      <c r="C3013" t="inlineStr">
        <is>
          <t>Estágio</t>
        </is>
      </c>
      <c r="D3013" t="n">
        <v>0</v>
      </c>
      <c r="E3013" t="n">
        <v>0</v>
      </c>
      <c r="F3013" t="n">
        <v>0</v>
      </c>
      <c r="G3013" t="n">
        <v>0</v>
      </c>
      <c r="H3013" t="n">
        <v>0</v>
      </c>
      <c r="I3013" s="3" t="n">
        <v>0</v>
      </c>
      <c r="J3013" s="3" t="n">
        <v>0</v>
      </c>
      <c r="K3013" s="3" t="n">
        <v>0</v>
      </c>
      <c r="L3013" s="3">
        <f>IF(K3013&lt;-5,"CRÍTICO",IF(K3013&lt;0,"ATENÇÃO",IF(K3013&lt;=5,"OPORTUNO","MUITO BOM")))</f>
        <v/>
      </c>
      <c r="M3013" t="n">
        <v>0</v>
      </c>
      <c r="N3013" t="n">
        <v>100</v>
      </c>
      <c r="O3013" t="n">
        <v>35</v>
      </c>
    </row>
    <row r="3014" hidden="1">
      <c r="A3014" s="11" t="n">
        <v>46094</v>
      </c>
      <c r="B3014" t="inlineStr">
        <is>
          <t>Raane Batista Matos</t>
        </is>
      </c>
      <c r="C3014" t="inlineStr">
        <is>
          <t>Técnico I</t>
        </is>
      </c>
      <c r="D3014" t="n">
        <v>24</v>
      </c>
      <c r="E3014" t="n">
        <v>23</v>
      </c>
      <c r="F3014" t="n">
        <v>28.27</v>
      </c>
      <c r="G3014" t="n">
        <v>0</v>
      </c>
      <c r="H3014" t="n">
        <v>0</v>
      </c>
      <c r="I3014" s="3">
        <f>E3014+G3014+H3014</f>
        <v/>
      </c>
      <c r="J3014" s="3">
        <f>ROUND(MIN(IF(C3014="Técnico III",35,IF(C3014="Técnico II",28,IF(C3014="Técnico I",23,IF(C3014="JR",20,IF(C3014="Estágio",10,0))))),IF(C3014="Técnico III",SUMIFS($D:$D,$A:$A,$A3014,$B:$B,"&lt;&gt;Patrícia Karla de Sousa Araújo",$B:$B,"&lt;&gt;Lorena Dias de Araujo",$B:$B,"&lt;&gt;Lucas Luiz Romero")*(35/1083),IF(C3014="Técnico II",SUMIFS($D:$D,$A:$A,$A3014,$B:$B,"&lt;&gt;Patrícia Karla de Sousa Araújo",$B:$B,"&lt;&gt;Lorena Dias de Araujo",$B:$B,"&lt;&gt;Lucas Luiz Romero")*(28/1083),IF(C3014="Técnico I",SUMIFS($D:$D,$A:$A,$A3014,$B:$B,"&lt;&gt;Patrícia Karla de Sousa Araújo",$B:$B,"&lt;&gt;Lorena Dias de Araujo",$B:$B,"&lt;&gt;Lucas Luiz Romero")*(23/1083),IF(C3014="JR",SUMIFS($D:$D,$A:$A,$A3014,$B:$B,"&lt;&gt;Patrícia Karla de Sousa Araújo",$B:$B,"&lt;&gt;Lorena Dias de Araujo",$B:$B,"&lt;&gt;Lucas Luiz Romero")*(20/1083),IF(C3014="Estágio",SUMIFS($D:$D,$A:$A,$A3014,$B:$B,"&lt;&gt;Patrícia Karla de Sousa Araújo",$B:$B,"&lt;&gt;Lorena Dias de Araujo",$B:$B,"&lt;&gt;Lucas Luiz Romero")*(10/1083),0)))))),0)</f>
        <v/>
      </c>
      <c r="K3014" s="3">
        <f>I3014-J3014</f>
        <v/>
      </c>
      <c r="L3014" s="3">
        <f>IF(K3014&lt;-5,"CRÍTICO",IF(K3014&lt;0,"ATENÇÃO",IF(K3014&lt;=5,"OPORTUNO","MUITO BOM")))</f>
        <v/>
      </c>
      <c r="M3014" t="n">
        <v>12</v>
      </c>
      <c r="N3014" t="n">
        <v>95.34999999999999</v>
      </c>
      <c r="O3014" t="n">
        <v>28.61538461538461</v>
      </c>
    </row>
    <row r="3015" hidden="1">
      <c r="A3015" s="11" t="n">
        <v>46094</v>
      </c>
      <c r="B3015" t="inlineStr">
        <is>
          <t>Rafael Gomes de Morais</t>
        </is>
      </c>
      <c r="C3015" t="inlineStr">
        <is>
          <t>Técnico III</t>
        </is>
      </c>
      <c r="D3015" t="n">
        <v>36</v>
      </c>
      <c r="E3015" t="n">
        <v>36</v>
      </c>
      <c r="F3015" t="n">
        <v>15.38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M3015" t="n">
        <v>33</v>
      </c>
      <c r="N3015" t="n">
        <v>98.26000000000001</v>
      </c>
      <c r="O3015" t="n">
        <v>27.54491017964072</v>
      </c>
    </row>
    <row r="3016" hidden="1">
      <c r="A3016" s="11" t="n">
        <v>46094</v>
      </c>
      <c r="B3016" t="inlineStr">
        <is>
          <t>Sara Maria Monteiro Lopes</t>
        </is>
      </c>
      <c r="C3016" t="inlineStr">
        <is>
          <t>Técnico I</t>
        </is>
      </c>
      <c r="D3016" t="n">
        <v>13</v>
      </c>
      <c r="E3016" t="n">
        <v>13</v>
      </c>
      <c r="F3016" t="n">
        <v>48.32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M3016" t="n">
        <v>13</v>
      </c>
      <c r="N3016" t="n">
        <v>98.55</v>
      </c>
      <c r="O3016" t="n">
        <v>25.33783783783784</v>
      </c>
    </row>
    <row r="3017" hidden="1">
      <c r="A3017" s="11" t="n">
        <v>46094</v>
      </c>
      <c r="B3017" t="inlineStr">
        <is>
          <t>Sarah Steffanie de Lima Borges</t>
        </is>
      </c>
      <c r="C3017" t="inlineStr">
        <is>
          <t>Técnico III</t>
        </is>
      </c>
      <c r="D3017" t="n">
        <v>31</v>
      </c>
      <c r="E3017" t="n">
        <v>28</v>
      </c>
      <c r="F3017" t="n">
        <v>22.31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M3017" t="n">
        <v>25</v>
      </c>
      <c r="N3017" t="n">
        <v>98.39</v>
      </c>
      <c r="O3017" t="n">
        <v>25.56390977443609</v>
      </c>
    </row>
    <row r="3018" hidden="1">
      <c r="A3018" s="11" t="n">
        <v>46097</v>
      </c>
      <c r="B3018" t="inlineStr">
        <is>
          <t>Alisson de Freitas Silva</t>
        </is>
      </c>
      <c r="C3018" t="inlineStr">
        <is>
          <t>Técnico II</t>
        </is>
      </c>
      <c r="D3018" t="n">
        <v>33</v>
      </c>
      <c r="E3018" t="n">
        <v>27</v>
      </c>
      <c r="F3018" t="n">
        <v>14.14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M3018" t="n">
        <v>15</v>
      </c>
      <c r="N3018" t="n">
        <v>94.29000000000001</v>
      </c>
      <c r="O3018" t="n">
        <v>25.64766839378239</v>
      </c>
    </row>
    <row r="3019" hidden="1">
      <c r="A3019" s="11" t="n">
        <v>46097</v>
      </c>
      <c r="B3019" t="inlineStr">
        <is>
          <t>Amanda Moura Ferreira</t>
        </is>
      </c>
      <c r="C3019" t="inlineStr">
        <is>
          <t>Técnico III</t>
        </is>
      </c>
      <c r="D3019" t="n">
        <v>0</v>
      </c>
      <c r="E3019" t="n">
        <v>0</v>
      </c>
      <c r="F3019" t="n">
        <v>0</v>
      </c>
      <c r="G3019" t="n">
        <v>0</v>
      </c>
      <c r="H3019" t="n">
        <v>0</v>
      </c>
      <c r="I3019" s="3" t="n">
        <v>0</v>
      </c>
      <c r="J3019" s="3" t="n">
        <v>0</v>
      </c>
      <c r="K3019" s="3" t="n">
        <v>0</v>
      </c>
      <c r="L3019" s="3">
        <f>IF(K3019&lt;-5,"CRÍTICO",IF(K3019&lt;0,"ATENÇÃO",IF(K3019&lt;=5,"OPORTUNO","MUITO BOM")))</f>
        <v/>
      </c>
      <c r="M3019" t="n">
        <v>22</v>
      </c>
      <c r="N3019" t="n">
        <v>98.26000000000001</v>
      </c>
      <c r="O3019" t="n">
        <v>26.66666666666667</v>
      </c>
    </row>
    <row r="3020" hidden="1">
      <c r="A3020" s="11" t="n">
        <v>46097</v>
      </c>
      <c r="B3020" t="inlineStr">
        <is>
          <t>Ana Karollyne Souza Faria</t>
        </is>
      </c>
      <c r="C3020" t="inlineStr">
        <is>
          <t>Técnico I</t>
        </is>
      </c>
      <c r="D3020" t="n">
        <v>29</v>
      </c>
      <c r="E3020" t="n">
        <v>29</v>
      </c>
      <c r="F3020" t="n">
        <v>23.33</v>
      </c>
      <c r="G3020" t="n">
        <v>0</v>
      </c>
      <c r="H3020" t="n">
        <v>0</v>
      </c>
      <c r="I3020" s="3">
        <f>E3020+G3020+H3020</f>
        <v/>
      </c>
      <c r="J3020" s="3">
        <f>ROUND(MIN(IF(C3020="Técnico III",35,IF(C3020="Técnico II",28,IF(C3020="Técnico I",23,IF(C3020="JR",20,IF(C3020="Estágio",10,0))))),IF(C3020="Técnico III",SUMIFS($D:$D,$A:$A,$A3020,$B:$B,"&lt;&gt;Patrícia Karla de Sousa Araújo",$B:$B,"&lt;&gt;Lorena Dias de Araujo",$B:$B,"&lt;&gt;Lucas Luiz Romero")*(35/1083),IF(C3020="Técnico II",SUMIFS($D:$D,$A:$A,$A3020,$B:$B,"&lt;&gt;Patrícia Karla de Sousa Araújo",$B:$B,"&lt;&gt;Lorena Dias de Araujo",$B:$B,"&lt;&gt;Lucas Luiz Romero")*(28/1083),IF(C3020="Técnico I",SUMIFS($D:$D,$A:$A,$A3020,$B:$B,"&lt;&gt;Patrícia Karla de Sousa Araújo",$B:$B,"&lt;&gt;Lorena Dias de Araujo",$B:$B,"&lt;&gt;Lucas Luiz Romero")*(23/1083),IF(C3020="JR",SUMIFS($D:$D,$A:$A,$A3020,$B:$B,"&lt;&gt;Patrícia Karla de Sousa Araújo",$B:$B,"&lt;&gt;Lorena Dias de Araujo",$B:$B,"&lt;&gt;Lucas Luiz Romero")*(20/1083),IF(C3020="Estágio",SUMIFS($D:$D,$A:$A,$A3020,$B:$B,"&lt;&gt;Patrícia Karla de Sousa Araújo",$B:$B,"&lt;&gt;Lorena Dias de Araujo",$B:$B,"&lt;&gt;Lucas Luiz Romero")*(10/1083),0)))))),0)</f>
        <v/>
      </c>
      <c r="K3020" s="3">
        <f>I3020-J3020</f>
        <v/>
      </c>
      <c r="L3020" s="3">
        <f>IF(K3020&lt;-5,"CRÍTICO",IF(K3020&lt;0,"ATENÇÃO",IF(K3020&lt;=5,"OPORTUNO","MUITO BOM")))</f>
        <v/>
      </c>
      <c r="M3020" t="n">
        <v>30</v>
      </c>
      <c r="N3020" t="n">
        <v>98.2</v>
      </c>
      <c r="O3020" t="n">
        <v>23.37962962962963</v>
      </c>
    </row>
    <row r="3021" hidden="1">
      <c r="A3021" s="11" t="n">
        <v>46097</v>
      </c>
      <c r="B3021" t="inlineStr">
        <is>
          <t>Ana Paula Da Luz Silva Aleixo</t>
        </is>
      </c>
      <c r="C3021" t="inlineStr">
        <is>
          <t>Técnico III</t>
        </is>
      </c>
      <c r="D3021" t="n">
        <v>33</v>
      </c>
      <c r="E3021" t="n">
        <v>31</v>
      </c>
      <c r="F3021" t="n">
        <v>18.47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M3021" t="n">
        <v>23</v>
      </c>
      <c r="N3021" t="n">
        <v>97.3</v>
      </c>
      <c r="O3021" t="n">
        <v>23.84769539078156</v>
      </c>
    </row>
    <row r="3022" hidden="1">
      <c r="A3022" s="11" t="n">
        <v>46097</v>
      </c>
      <c r="B3022" t="inlineStr">
        <is>
          <t>Anna Luiza Rezende Tavares</t>
        </is>
      </c>
      <c r="C3022" t="inlineStr">
        <is>
          <t>Estágio</t>
        </is>
      </c>
      <c r="D3022" t="n">
        <v>7</v>
      </c>
      <c r="E3022" t="n">
        <v>7</v>
      </c>
      <c r="F3022" t="n">
        <v>33.53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M3022" t="n">
        <v>6</v>
      </c>
      <c r="N3022" t="n">
        <v>100</v>
      </c>
      <c r="O3022" t="n">
        <v>25.26881720430108</v>
      </c>
    </row>
    <row r="3023" hidden="1">
      <c r="A3023" s="11" t="n">
        <v>46097</v>
      </c>
      <c r="B3023" t="inlineStr">
        <is>
          <t>Brenda de Menezes Silva</t>
        </is>
      </c>
      <c r="C3023" t="inlineStr">
        <is>
          <t>Técnico II</t>
        </is>
      </c>
      <c r="D3023" t="n">
        <v>21</v>
      </c>
      <c r="E3023" t="n">
        <v>18</v>
      </c>
      <c r="F3023" t="n">
        <v>22.09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M3023" t="n">
        <v>20</v>
      </c>
      <c r="N3023" t="n">
        <v>99.31999999999999</v>
      </c>
      <c r="O3023" t="n">
        <v>22.82282282282282</v>
      </c>
    </row>
    <row r="3024" hidden="1">
      <c r="A3024" s="11" t="n">
        <v>46097</v>
      </c>
      <c r="B3024" t="inlineStr">
        <is>
          <t>Carlos Mateus Cassimiro Nunes</t>
        </is>
      </c>
      <c r="C3024" t="inlineStr">
        <is>
          <t>Técnico II</t>
        </is>
      </c>
      <c r="D3024" t="n">
        <v>19</v>
      </c>
      <c r="E3024" t="n">
        <v>19</v>
      </c>
      <c r="F3024" t="n">
        <v>30.51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M3024" t="n">
        <v>23</v>
      </c>
      <c r="N3024" t="n">
        <v>100</v>
      </c>
      <c r="O3024" t="n">
        <v>27.96610169491525</v>
      </c>
    </row>
    <row r="3025" hidden="1">
      <c r="A3025" s="11" t="n">
        <v>46097</v>
      </c>
      <c r="B3025" t="inlineStr">
        <is>
          <t>Claudio de Sousa Velasco Filho</t>
        </is>
      </c>
      <c r="C3025" t="inlineStr">
        <is>
          <t>Estágio</t>
        </is>
      </c>
      <c r="D3025" t="n">
        <v>0</v>
      </c>
      <c r="E3025" t="n">
        <v>0</v>
      </c>
      <c r="F3025" t="n">
        <v>0</v>
      </c>
      <c r="G3025" t="n">
        <v>0</v>
      </c>
      <c r="H3025" t="n">
        <v>0</v>
      </c>
      <c r="I3025" s="3" t="n">
        <v>0</v>
      </c>
      <c r="J3025" s="3" t="n">
        <v>0</v>
      </c>
      <c r="K3025" s="3" t="n">
        <v>0</v>
      </c>
      <c r="L3025" s="3">
        <f>IF(K3025&lt;-5,"CRÍTICO",IF(K3025&lt;0,"ATENÇÃO",IF(K3025&lt;=5,"OPORTUNO","MUITO BOM")))</f>
        <v/>
      </c>
      <c r="M3025" t="n">
        <v>0</v>
      </c>
      <c r="N3025" t="n">
        <v>100</v>
      </c>
      <c r="O3025" t="n">
        <v>30.43478260869566</v>
      </c>
    </row>
    <row r="3026" hidden="1">
      <c r="A3026" s="11" t="n">
        <v>46097</v>
      </c>
      <c r="B3026" t="inlineStr">
        <is>
          <t>Clessiane Pereira dos Santos</t>
        </is>
      </c>
      <c r="C3026" t="inlineStr">
        <is>
          <t>Técnico I</t>
        </is>
      </c>
      <c r="D3026" t="n">
        <v>22</v>
      </c>
      <c r="E3026" t="n">
        <v>19</v>
      </c>
      <c r="F3026" t="n">
        <v>22.23</v>
      </c>
      <c r="G3026" t="n">
        <v>0</v>
      </c>
      <c r="H3026" t="n">
        <v>0</v>
      </c>
      <c r="I3026" s="3">
        <f>E3026+G3026+H3026</f>
        <v/>
      </c>
      <c r="J3026" s="3">
        <f>ROUND(MIN(IF(C3026="Técnico III",35,IF(C3026="Técnico II",28,IF(C3026="Técnico I",23,IF(C3026="JR",20,IF(C3026="Estágio",10,0))))),IF(C3026="Técnico III",SUMIFS($D:$D,$A:$A,$A3026,$B:$B,"&lt;&gt;Patrícia Karla de Sousa Araújo",$B:$B,"&lt;&gt;Lorena Dias de Araujo",$B:$B,"&lt;&gt;Lucas Luiz Romero")*(35/1083),IF(C3026="Técnico II",SUMIFS($D:$D,$A:$A,$A3026,$B:$B,"&lt;&gt;Patrícia Karla de Sousa Araújo",$B:$B,"&lt;&gt;Lorena Dias de Araujo",$B:$B,"&lt;&gt;Lucas Luiz Romero")*(28/1083),IF(C3026="Técnico I",SUMIFS($D:$D,$A:$A,$A3026,$B:$B,"&lt;&gt;Patrícia Karla de Sousa Araújo",$B:$B,"&lt;&gt;Lorena Dias de Araujo",$B:$B,"&lt;&gt;Lucas Luiz Romero")*(23/1083),IF(C3026="JR",SUMIFS($D:$D,$A:$A,$A3026,$B:$B,"&lt;&gt;Patrícia Karla de Sousa Araújo",$B:$B,"&lt;&gt;Lorena Dias de Araujo",$B:$B,"&lt;&gt;Lucas Luiz Romero")*(20/1083),IF(C3026="Estágio",SUMIFS($D:$D,$A:$A,$A3026,$B:$B,"&lt;&gt;Patrícia Karla de Sousa Araújo",$B:$B,"&lt;&gt;Lorena Dias de Araujo",$B:$B,"&lt;&gt;Lucas Luiz Romero")*(10/1083),0)))))),0)</f>
        <v/>
      </c>
      <c r="K3026" s="3">
        <f>I3026-J3026</f>
        <v/>
      </c>
      <c r="L3026" s="3">
        <f>IF(K3026&lt;-5,"CRÍTICO",IF(K3026&lt;0,"ATENÇÃO",IF(K3026&lt;=5,"OPORTUNO","MUITO BOM")))</f>
        <v/>
      </c>
      <c r="M3026" t="n">
        <v>20</v>
      </c>
      <c r="N3026" t="n">
        <v>96.51000000000001</v>
      </c>
      <c r="O3026" t="n">
        <v>22.80285035629454</v>
      </c>
    </row>
    <row r="3027" hidden="1">
      <c r="A3027" s="11" t="n">
        <v>46097</v>
      </c>
      <c r="B3027" t="inlineStr">
        <is>
          <t>Cristiane Ramos da Silva Rocha</t>
        </is>
      </c>
      <c r="C3027" t="inlineStr">
        <is>
          <t>Técnico III</t>
        </is>
      </c>
      <c r="D3027" t="n">
        <v>31</v>
      </c>
      <c r="E3027" t="n">
        <v>27</v>
      </c>
      <c r="F3027" t="n">
        <v>13.56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M3027" t="n">
        <v>23</v>
      </c>
      <c r="N3027" t="n">
        <v>92.68000000000001</v>
      </c>
      <c r="O3027" t="n">
        <v>27.77777777777778</v>
      </c>
    </row>
    <row r="3028" hidden="1">
      <c r="A3028" s="11" t="n">
        <v>46097</v>
      </c>
      <c r="B3028" t="inlineStr">
        <is>
          <t>Damyllis Lorraine de Oliveira Gonçalves</t>
        </is>
      </c>
      <c r="C3028" t="inlineStr">
        <is>
          <t>Técnico II</t>
        </is>
      </c>
      <c r="D3028" t="n">
        <v>24</v>
      </c>
      <c r="E3028" t="n">
        <v>24</v>
      </c>
      <c r="F3028" t="n">
        <v>21.47</v>
      </c>
      <c r="G3028" t="n">
        <v>0</v>
      </c>
      <c r="H3028" t="n">
        <v>0</v>
      </c>
      <c r="I3028" s="3" t="n">
        <v>0</v>
      </c>
      <c r="J3028" s="3" t="n">
        <v>0</v>
      </c>
      <c r="K3028" s="3" t="n">
        <v>0</v>
      </c>
      <c r="L3028" s="3">
        <f>IF(K3028&lt;-5,"CRÍTICO",IF(K3028&lt;0,"ATENÇÃO",IF(K3028&lt;=5,"OPORTUNO","MUITO BOM")))</f>
        <v/>
      </c>
      <c r="M3028" t="n">
        <v>23</v>
      </c>
      <c r="N3028" t="n">
        <v>99.03</v>
      </c>
      <c r="O3028" t="n">
        <v>23.99150743099788</v>
      </c>
    </row>
    <row r="3029" hidden="1">
      <c r="A3029" s="11" t="n">
        <v>46097</v>
      </c>
      <c r="B3029" t="inlineStr">
        <is>
          <t>Daniel Gomes da Silva</t>
        </is>
      </c>
      <c r="C3029" t="inlineStr">
        <is>
          <t>Técnico I</t>
        </is>
      </c>
      <c r="D3029" t="n">
        <v>21</v>
      </c>
      <c r="E3029" t="n">
        <v>19</v>
      </c>
      <c r="F3029" t="n">
        <v>33.49</v>
      </c>
      <c r="G3029" t="n">
        <v>0</v>
      </c>
      <c r="H3029" t="n">
        <v>0</v>
      </c>
      <c r="I3029" s="3">
        <f>E3029+G3029+H3029</f>
        <v/>
      </c>
      <c r="J3029" s="3">
        <f>ROUND(MIN(IF(C3029="Técnico III",35,IF(C3029="Técnico II",28,IF(C3029="Técnico I",23,IF(C3029="JR",20,IF(C3029="Estágio",10,0))))),IF(C3029="Técnico III",SUMIFS($D:$D,$A:$A,$A3029,$B:$B,"&lt;&gt;Patrícia Karla de Sousa Araújo",$B:$B,"&lt;&gt;Lorena Dias de Araujo",$B:$B,"&lt;&gt;Lucas Luiz Romero")*(35/1083),IF(C3029="Técnico II",SUMIFS($D:$D,$A:$A,$A3029,$B:$B,"&lt;&gt;Patrícia Karla de Sousa Araújo",$B:$B,"&lt;&gt;Lorena Dias de Araujo",$B:$B,"&lt;&gt;Lucas Luiz Romero")*(28/1083),IF(C3029="Técnico I",SUMIFS($D:$D,$A:$A,$A3029,$B:$B,"&lt;&gt;Patrícia Karla de Sousa Araújo",$B:$B,"&lt;&gt;Lorena Dias de Araujo",$B:$B,"&lt;&gt;Lucas Luiz Romero")*(23/1083),IF(C3029="JR",SUMIFS($D:$D,$A:$A,$A3029,$B:$B,"&lt;&gt;Patrícia Karla de Sousa Araújo",$B:$B,"&lt;&gt;Lorena Dias de Araujo",$B:$B,"&lt;&gt;Lucas Luiz Romero")*(20/1083),IF(C3029="Estágio",SUMIFS($D:$D,$A:$A,$A3029,$B:$B,"&lt;&gt;Patrícia Karla de Sousa Araújo",$B:$B,"&lt;&gt;Lorena Dias de Araujo",$B:$B,"&lt;&gt;Lucas Luiz Romero")*(10/1083),0)))))),0)</f>
        <v/>
      </c>
      <c r="K3029" s="3">
        <f>I3029-J3029</f>
        <v/>
      </c>
      <c r="L3029" s="3">
        <f>IF(K3029&lt;-5,"CRÍTICO",IF(K3029&lt;0,"ATENÇÃO",IF(K3029&lt;=5,"OPORTUNO","MUITO BOM")))</f>
        <v/>
      </c>
      <c r="M3029" t="n">
        <v>12</v>
      </c>
      <c r="N3029" t="n">
        <v>98.41</v>
      </c>
      <c r="O3029" t="n">
        <v>28.13852813852814</v>
      </c>
    </row>
    <row r="3030" hidden="1">
      <c r="A3030" s="11" t="n">
        <v>46097</v>
      </c>
      <c r="B3030" t="inlineStr">
        <is>
          <t>Davylla Rodrigues Freitas Silva</t>
        </is>
      </c>
      <c r="C3030" t="inlineStr">
        <is>
          <t>Técnico III</t>
        </is>
      </c>
      <c r="D3030" t="n">
        <v>17</v>
      </c>
      <c r="E3030" t="n">
        <v>17</v>
      </c>
      <c r="F3030" t="n">
        <v>40.31</v>
      </c>
      <c r="G3030" t="n">
        <v>0</v>
      </c>
      <c r="H3030" t="n">
        <v>0</v>
      </c>
      <c r="I3030" s="3" t="n">
        <v>0</v>
      </c>
      <c r="J3030" s="3" t="n">
        <v>0</v>
      </c>
      <c r="K3030" s="3" t="n">
        <v>0</v>
      </c>
      <c r="L3030" s="3">
        <f>IF(K3030&lt;-5,"CRÍTICO",IF(K3030&lt;0,"ATENÇÃO",IF(K3030&lt;=5,"OPORTUNO","MUITO BOM")))</f>
        <v/>
      </c>
      <c r="M3030" t="n">
        <v>17</v>
      </c>
      <c r="N3030" t="n">
        <v>98.73</v>
      </c>
      <c r="O3030" t="n">
        <v>29.14285714285714</v>
      </c>
    </row>
    <row r="3031" hidden="1">
      <c r="A3031" s="11" t="n">
        <v>46097</v>
      </c>
      <c r="B3031" t="inlineStr">
        <is>
          <t>Emilly Caylane Costa</t>
        </is>
      </c>
      <c r="C3031" t="inlineStr">
        <is>
          <t>Estágio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M3031" t="n">
        <v>0</v>
      </c>
      <c r="N3031" t="n">
        <v>90.48</v>
      </c>
      <c r="O3031" t="n">
        <v>20.68965517241379</v>
      </c>
    </row>
    <row r="3032" hidden="1">
      <c r="A3032" s="11" t="n">
        <v>46097</v>
      </c>
      <c r="B3032" t="inlineStr">
        <is>
          <t>Emilly Kamilly Medeiros Miranda</t>
        </is>
      </c>
      <c r="C3032" t="inlineStr">
        <is>
          <t>Técnico II</t>
        </is>
      </c>
      <c r="D3032" t="n">
        <v>27</v>
      </c>
      <c r="E3032" t="n">
        <v>24</v>
      </c>
      <c r="F3032" t="n">
        <v>23.54</v>
      </c>
      <c r="G3032" t="n">
        <v>0</v>
      </c>
      <c r="H3032" t="n">
        <v>0</v>
      </c>
      <c r="I3032" s="3">
        <f>E3032+G3032+H3032</f>
        <v/>
      </c>
      <c r="J3032" s="3">
        <f>ROUND(MIN(IF(C3032="Técnico III",35,IF(C3032="Técnico II",28,IF(C3032="Técnico I",23,IF(C3032="JR",20,IF(C3032="Estágio",10,0))))),IF(C3032="Técnico III",SUMIFS($D:$D,$A:$A,$A3032,$B:$B,"&lt;&gt;Patrícia Karla de Sousa Araújo",$B:$B,"&lt;&gt;Lorena Dias de Araujo",$B:$B,"&lt;&gt;Lucas Luiz Romero")*(35/1083),IF(C3032="Técnico II",SUMIFS($D:$D,$A:$A,$A3032,$B:$B,"&lt;&gt;Patrícia Karla de Sousa Araújo",$B:$B,"&lt;&gt;Lorena Dias de Araujo",$B:$B,"&lt;&gt;Lucas Luiz Romero")*(28/1083),IF(C3032="Técnico I",SUMIFS($D:$D,$A:$A,$A3032,$B:$B,"&lt;&gt;Patrícia Karla de Sousa Araújo",$B:$B,"&lt;&gt;Lorena Dias de Araujo",$B:$B,"&lt;&gt;Lucas Luiz Romero")*(23/1083),IF(C3032="JR",SUMIFS($D:$D,$A:$A,$A3032,$B:$B,"&lt;&gt;Patrícia Karla de Sousa Araújo",$B:$B,"&lt;&gt;Lorena Dias de Araujo",$B:$B,"&lt;&gt;Lucas Luiz Romero")*(20/1083),IF(C3032="Estágio",SUMIFS($D:$D,$A:$A,$A3032,$B:$B,"&lt;&gt;Patrícia Karla de Sousa Araújo",$B:$B,"&lt;&gt;Lorena Dias de Araujo",$B:$B,"&lt;&gt;Lucas Luiz Romero")*(10/1083),0)))))),0)</f>
        <v/>
      </c>
      <c r="K3032" s="3">
        <f>I3032-J3032</f>
        <v/>
      </c>
      <c r="L3032" s="3">
        <f>IF(K3032&lt;-5,"CRÍTICO",IF(K3032&lt;0,"ATENÇÃO",IF(K3032&lt;=5,"OPORTUNO","MUITO BOM")))</f>
        <v/>
      </c>
      <c r="M3032" t="n">
        <v>22</v>
      </c>
      <c r="N3032" t="n">
        <v>98.06</v>
      </c>
      <c r="O3032" t="n">
        <v>24.78991596638656</v>
      </c>
    </row>
    <row r="3033" hidden="1">
      <c r="A3033" s="11" t="n">
        <v>46097</v>
      </c>
      <c r="B3033" t="inlineStr">
        <is>
          <t>Francielson de Oliveira</t>
        </is>
      </c>
      <c r="C3033" t="inlineStr">
        <is>
          <t>Técnico III</t>
        </is>
      </c>
      <c r="D3033" t="n">
        <v>26</v>
      </c>
      <c r="E3033" t="n">
        <v>24</v>
      </c>
      <c r="F3033" t="n">
        <v>18.45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M3033" t="n">
        <v>25</v>
      </c>
      <c r="N3033" t="n">
        <v>97.78</v>
      </c>
      <c r="O3033" t="n">
        <v>25.49407114624506</v>
      </c>
    </row>
    <row r="3034" hidden="1">
      <c r="A3034" s="11" t="n">
        <v>46097</v>
      </c>
      <c r="B3034" t="inlineStr">
        <is>
          <t>Francilene Ferreira de Jesus</t>
        </is>
      </c>
      <c r="C3034" t="inlineStr">
        <is>
          <t>Técnico II</t>
        </is>
      </c>
      <c r="D3034" t="n">
        <v>11</v>
      </c>
      <c r="E3034" t="n">
        <v>11</v>
      </c>
      <c r="F3034" t="n">
        <v>41.49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M3034" t="n">
        <v>11</v>
      </c>
      <c r="N3034" t="n">
        <v>98.02</v>
      </c>
      <c r="O3034" t="n">
        <v>23.48484848484848</v>
      </c>
    </row>
    <row r="3035" hidden="1">
      <c r="A3035" s="11" t="n">
        <v>46129</v>
      </c>
      <c r="B3035" t="inlineStr">
        <is>
          <t>Gabriel Gomes de Andrade</t>
        </is>
      </c>
      <c r="C3035" t="inlineStr">
        <is>
          <t>Técnico I</t>
        </is>
      </c>
      <c r="D3035" t="n">
        <v>24</v>
      </c>
      <c r="E3035" t="n">
        <v>21</v>
      </c>
      <c r="F3035" t="n">
        <v>17.01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M3035" t="n">
        <v>23</v>
      </c>
      <c r="N3035" t="n">
        <v>99.28</v>
      </c>
      <c r="O3035" t="n">
        <v>27.68924302788844</v>
      </c>
    </row>
    <row r="3036" hidden="1">
      <c r="A3036" s="11" t="n">
        <v>46097</v>
      </c>
      <c r="B3036" t="inlineStr">
        <is>
          <t>Isabella Borges de Oliveira</t>
        </is>
      </c>
      <c r="C3036" t="inlineStr">
        <is>
          <t>Técnico II</t>
        </is>
      </c>
      <c r="D3036" t="n">
        <v>23</v>
      </c>
      <c r="E3036" t="n">
        <v>22</v>
      </c>
      <c r="F3036" t="n">
        <v>22.16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M3036" t="n">
        <v>21</v>
      </c>
      <c r="N3036" t="n">
        <v>100</v>
      </c>
      <c r="O3036" t="n">
        <v>27.04918032786885</v>
      </c>
    </row>
    <row r="3037" hidden="1">
      <c r="A3037" s="11" t="n">
        <v>46097</v>
      </c>
      <c r="B3037" t="inlineStr">
        <is>
          <t>Janaina Lima dos Reis Urany</t>
        </is>
      </c>
      <c r="C3037" t="inlineStr">
        <is>
          <t>Técnico III</t>
        </is>
      </c>
      <c r="D3037" t="n">
        <v>50</v>
      </c>
      <c r="E3037" t="n">
        <v>44</v>
      </c>
      <c r="F3037" t="n">
        <v>11.41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M3037" t="n">
        <v>43</v>
      </c>
      <c r="N3037" t="n">
        <v>97.83</v>
      </c>
      <c r="O3037" t="n">
        <v>26.31578947368421</v>
      </c>
    </row>
    <row r="3038" hidden="1">
      <c r="A3038" s="11" t="n">
        <v>46097</v>
      </c>
      <c r="B3038" t="inlineStr">
        <is>
          <t>Jaqueline Evangelista da Silva Martins</t>
        </is>
      </c>
      <c r="C3038" t="inlineStr">
        <is>
          <t>Técnico III</t>
        </is>
      </c>
      <c r="D3038" t="n">
        <v>19</v>
      </c>
      <c r="E3038" t="n">
        <v>19</v>
      </c>
      <c r="F3038" t="n">
        <v>12.17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M3038" t="n">
        <v>16</v>
      </c>
      <c r="N3038" t="n">
        <v>100</v>
      </c>
      <c r="O3038" t="n">
        <v>26.70157068062827</v>
      </c>
    </row>
    <row r="3039" hidden="1">
      <c r="A3039" s="11" t="n">
        <v>46097</v>
      </c>
      <c r="B3039" t="inlineStr">
        <is>
          <t>Jessica Faria da Silveira</t>
        </is>
      </c>
      <c r="C3039" t="inlineStr">
        <is>
          <t>Técnico II</t>
        </is>
      </c>
      <c r="D3039" t="n">
        <v>9</v>
      </c>
      <c r="E3039" t="n">
        <v>7</v>
      </c>
      <c r="F3039" t="n">
        <v>12.08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M3039" t="n">
        <v>7</v>
      </c>
      <c r="N3039" t="n">
        <v>97.47</v>
      </c>
      <c r="O3039" t="n">
        <v>22.88732394366197</v>
      </c>
    </row>
    <row r="3040" hidden="1">
      <c r="A3040" s="11" t="n">
        <v>46097</v>
      </c>
      <c r="B3040" t="inlineStr">
        <is>
          <t>Jéssica Fé Moura</t>
        </is>
      </c>
      <c r="C3040" t="inlineStr">
        <is>
          <t>Técnico III</t>
        </is>
      </c>
      <c r="D3040" t="n">
        <v>0</v>
      </c>
      <c r="E3040" t="n">
        <v>0</v>
      </c>
      <c r="F3040" t="n">
        <v>0</v>
      </c>
      <c r="G3040" t="n">
        <v>0</v>
      </c>
      <c r="H3040" t="n">
        <v>0</v>
      </c>
      <c r="I3040" s="3" t="n">
        <v>0</v>
      </c>
      <c r="J3040" s="3" t="n">
        <v>0</v>
      </c>
      <c r="K3040" s="3" t="n">
        <v>0</v>
      </c>
      <c r="L3040" s="3">
        <f>IF(K3040&lt;-5,"CRÍTICO",IF(K3040&lt;0,"ATENÇÃO",IF(K3040&lt;=5,"OPORTUNO","MUITO BOM")))</f>
        <v/>
      </c>
      <c r="M3040" t="n">
        <v>0</v>
      </c>
      <c r="N3040" t="n">
        <v>0</v>
      </c>
      <c r="O3040" t="n">
        <v>0</v>
      </c>
    </row>
    <row r="3041" hidden="1">
      <c r="A3041" s="11" t="n">
        <v>46097</v>
      </c>
      <c r="B3041" t="inlineStr">
        <is>
          <t>Karina Gonçalves Martins</t>
        </is>
      </c>
      <c r="C3041" t="inlineStr">
        <is>
          <t>JR</t>
        </is>
      </c>
      <c r="D3041" t="n">
        <v>6</v>
      </c>
      <c r="E3041" t="n">
        <v>6</v>
      </c>
      <c r="F3041" t="n">
        <v>42.26</v>
      </c>
      <c r="G3041" t="n">
        <v>0</v>
      </c>
      <c r="H3041" t="n">
        <v>0</v>
      </c>
      <c r="I3041" s="3">
        <f>E3041+G3041+H3041</f>
        <v/>
      </c>
      <c r="J3041" s="3">
        <f>ROUND(MIN(IF(C3041="Técnico III",35,IF(C3041="Técnico II",28,IF(C3041="Técnico I",23,IF(C3041="JR",20,IF(C3041="Estágio",10,0))))),IF(C3041="Técnico III",SUMIFS($D:$D,$A:$A,$A3041,$B:$B,"&lt;&gt;Patrícia Karla de Sousa Araújo",$B:$B,"&lt;&gt;Lorena Dias de Araujo",$B:$B,"&lt;&gt;Lucas Luiz Romero")*(35/1083),IF(C3041="Técnico II",SUMIFS($D:$D,$A:$A,$A3041,$B:$B,"&lt;&gt;Patrícia Karla de Sousa Araújo",$B:$B,"&lt;&gt;Lorena Dias de Araujo",$B:$B,"&lt;&gt;Lucas Luiz Romero")*(28/1083),IF(C3041="Técnico I",SUMIFS($D:$D,$A:$A,$A3041,$B:$B,"&lt;&gt;Patrícia Karla de Sousa Araújo",$B:$B,"&lt;&gt;Lorena Dias de Araujo",$B:$B,"&lt;&gt;Lucas Luiz Romero")*(23/1083),IF(C3041="JR",SUMIFS($D:$D,$A:$A,$A3041,$B:$B,"&lt;&gt;Patrícia Karla de Sousa Araújo",$B:$B,"&lt;&gt;Lorena Dias de Araujo",$B:$B,"&lt;&gt;Lucas Luiz Romero")*(20/1083),IF(C3041="Estágio",SUMIFS($D:$D,$A:$A,$A3041,$B:$B,"&lt;&gt;Patrícia Karla de Sousa Araújo",$B:$B,"&lt;&gt;Lorena Dias de Araujo",$B:$B,"&lt;&gt;Lucas Luiz Romero")*(10/1083),0)))))),0)</f>
        <v/>
      </c>
      <c r="K3041" s="3">
        <f>I3041-J3041</f>
        <v/>
      </c>
      <c r="L3041" s="3">
        <f>IF(K3041&lt;-5,"CRÍTICO",IF(K3041&lt;0,"ATENÇÃO",IF(K3041&lt;=5,"OPORTUNO","MUITO BOM")))</f>
        <v/>
      </c>
      <c r="M3041" t="n">
        <v>6</v>
      </c>
      <c r="N3041" t="n">
        <v>98.31</v>
      </c>
      <c r="O3041" t="n">
        <v>24.92012779552715</v>
      </c>
    </row>
    <row r="3042" hidden="1">
      <c r="A3042" s="11" t="n">
        <v>46097</v>
      </c>
      <c r="B3042" t="inlineStr">
        <is>
          <t>Kerollen Cristielly de Jesus Siqueira</t>
        </is>
      </c>
      <c r="C3042" t="inlineStr">
        <is>
          <t>Técnico III</t>
        </is>
      </c>
      <c r="D3042" t="n">
        <v>3</v>
      </c>
      <c r="E3042" t="n">
        <v>3</v>
      </c>
      <c r="F3042" t="n">
        <v>13.24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M3042" t="n">
        <v>2</v>
      </c>
      <c r="N3042" t="n">
        <v>96.81</v>
      </c>
      <c r="O3042" t="n">
        <v>32.36514522821577</v>
      </c>
    </row>
    <row r="3043" hidden="1">
      <c r="A3043" s="11" t="n">
        <v>46097</v>
      </c>
      <c r="B3043" t="inlineStr">
        <is>
          <t>Leandro de Souza Silva</t>
        </is>
      </c>
      <c r="C3043" t="inlineStr">
        <is>
          <t>JR</t>
        </is>
      </c>
      <c r="D3043" t="n">
        <v>9</v>
      </c>
      <c r="E3043" t="n">
        <v>8</v>
      </c>
      <c r="F3043" t="n">
        <v>22.27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M3043" t="n">
        <v>7</v>
      </c>
      <c r="N3043" t="n">
        <v>100</v>
      </c>
      <c r="O3043" t="n">
        <v>26.47058823529412</v>
      </c>
    </row>
    <row r="3044" hidden="1">
      <c r="A3044" s="11" t="n">
        <v>46097</v>
      </c>
      <c r="B3044" t="inlineStr">
        <is>
          <t>Leandro Oliveira de Sousa</t>
        </is>
      </c>
      <c r="C3044" t="inlineStr">
        <is>
          <t>Técnico III</t>
        </is>
      </c>
      <c r="D3044" t="n">
        <v>17</v>
      </c>
      <c r="E3044" t="n">
        <v>17</v>
      </c>
      <c r="F3044" t="n">
        <v>18.47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M3044" t="n">
        <v>18</v>
      </c>
      <c r="N3044" t="n">
        <v>100</v>
      </c>
      <c r="O3044" t="n">
        <v>28.49002849002849</v>
      </c>
    </row>
    <row r="3045" hidden="1">
      <c r="A3045" s="11" t="n">
        <v>46097</v>
      </c>
      <c r="B3045" t="inlineStr">
        <is>
          <t>Lizandra Gomes Duarte</t>
        </is>
      </c>
      <c r="C3045" t="inlineStr">
        <is>
          <t>Técnico II</t>
        </is>
      </c>
      <c r="D3045" t="n">
        <v>29</v>
      </c>
      <c r="E3045" t="n">
        <v>27</v>
      </c>
      <c r="F3045" t="n">
        <v>21.55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M3045" t="n">
        <v>15</v>
      </c>
      <c r="N3045" t="n">
        <v>99.14</v>
      </c>
      <c r="O3045" t="n">
        <v>27.2289156626506</v>
      </c>
    </row>
    <row r="3046" hidden="1">
      <c r="A3046" s="11" t="n">
        <v>46097</v>
      </c>
      <c r="B3046" t="inlineStr">
        <is>
          <t>Lorena Dias de Araujo</t>
        </is>
      </c>
      <c r="C3046" t="inlineStr">
        <is>
          <t>Técnico II</t>
        </is>
      </c>
      <c r="D3046" t="n">
        <v>36</v>
      </c>
      <c r="E3046" t="n">
        <v>35</v>
      </c>
      <c r="F3046" t="n">
        <v>16.47</v>
      </c>
      <c r="G3046" t="n">
        <v>0</v>
      </c>
      <c r="H3046" t="n">
        <v>0</v>
      </c>
      <c r="I3046" s="3" t="n">
        <v>0</v>
      </c>
      <c r="J3046" s="3" t="n">
        <v>0</v>
      </c>
      <c r="K3046" s="3" t="n">
        <v>0</v>
      </c>
      <c r="L3046" s="3">
        <f>IF(K3046&lt;-5,"CRÍTICO",IF(K3046&lt;0,"ATENÇÃO",IF(K3046&lt;=5,"OPORTUNO","MUITO BOM")))</f>
        <v/>
      </c>
      <c r="M3046" t="n">
        <v>29</v>
      </c>
      <c r="N3046" t="n">
        <v>97.52</v>
      </c>
      <c r="O3046" t="n">
        <v>28.2051282051282</v>
      </c>
    </row>
    <row r="3047" hidden="1">
      <c r="A3047" s="11" t="n">
        <v>46097</v>
      </c>
      <c r="B3047" t="inlineStr">
        <is>
          <t>Lucas Luiz Romero</t>
        </is>
      </c>
      <c r="C3047" t="inlineStr">
        <is>
          <t>Técnico III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M3047" t="n">
        <v>0</v>
      </c>
      <c r="N3047" t="n">
        <v>90</v>
      </c>
      <c r="O3047" t="n">
        <v>24.18604651162791</v>
      </c>
    </row>
    <row r="3048" hidden="1">
      <c r="A3048" s="11" t="n">
        <v>46097</v>
      </c>
      <c r="B3048" t="inlineStr">
        <is>
          <t>Luiz Fernando de Carvalho Junior</t>
        </is>
      </c>
      <c r="C3048" t="inlineStr">
        <is>
          <t>Técnico I</t>
        </is>
      </c>
      <c r="D3048" t="n">
        <v>12</v>
      </c>
      <c r="E3048" t="n">
        <v>11</v>
      </c>
      <c r="F3048" t="n">
        <v>30.43</v>
      </c>
      <c r="G3048" t="n">
        <v>0</v>
      </c>
      <c r="H3048" t="n">
        <v>0</v>
      </c>
      <c r="I3048" s="3">
        <f>E3048+G3048+H3048</f>
        <v/>
      </c>
      <c r="J3048" s="3">
        <f>ROUND(MIN(IF(C3048="Técnico III",35,IF(C3048="Técnico II",28,IF(C3048="Técnico I",23,IF(C3048="JR",20,IF(C3048="Estágio",10,0))))),IF(C3048="Técnico III",SUMIFS($D:$D,$A:$A,$A3048,$B:$B,"&lt;&gt;Patrícia Karla de Sousa Araújo",$B:$B,"&lt;&gt;Lorena Dias de Araujo",$B:$B,"&lt;&gt;Lucas Luiz Romero")*(35/1083),IF(C3048="Técnico II",SUMIFS($D:$D,$A:$A,$A3048,$B:$B,"&lt;&gt;Patrícia Karla de Sousa Araújo",$B:$B,"&lt;&gt;Lorena Dias de Araujo",$B:$B,"&lt;&gt;Lucas Luiz Romero")*(28/1083),IF(C3048="Técnico I",SUMIFS($D:$D,$A:$A,$A3048,$B:$B,"&lt;&gt;Patrícia Karla de Sousa Araújo",$B:$B,"&lt;&gt;Lorena Dias de Araujo",$B:$B,"&lt;&gt;Lucas Luiz Romero")*(23/1083),IF(C3048="JR",SUMIFS($D:$D,$A:$A,$A3048,$B:$B,"&lt;&gt;Patrícia Karla de Sousa Araújo",$B:$B,"&lt;&gt;Lorena Dias de Araujo",$B:$B,"&lt;&gt;Lucas Luiz Romero")*(20/1083),IF(C3048="Estágio",SUMIFS($D:$D,$A:$A,$A3048,$B:$B,"&lt;&gt;Patrícia Karla de Sousa Araújo",$B:$B,"&lt;&gt;Lorena Dias de Araujo",$B:$B,"&lt;&gt;Lucas Luiz Romero")*(10/1083),0)))))),0)</f>
        <v/>
      </c>
      <c r="K3048" s="3">
        <f>I3048-J3048</f>
        <v/>
      </c>
      <c r="L3048" s="3">
        <f>IF(K3048&lt;-5,"CRÍTICO",IF(K3048&lt;0,"ATENÇÃO",IF(K3048&lt;=5,"OPORTUNO","MUITO BOM")))</f>
        <v/>
      </c>
      <c r="M3048" t="n">
        <v>9</v>
      </c>
      <c r="N3048" t="n">
        <v>98.90000000000001</v>
      </c>
      <c r="O3048" t="n">
        <v>26.7639902676399</v>
      </c>
    </row>
    <row r="3049" hidden="1">
      <c r="A3049" s="11" t="n">
        <v>46097</v>
      </c>
      <c r="B3049" t="inlineStr">
        <is>
          <t>Maria Eduarda Sousa Costa</t>
        </is>
      </c>
      <c r="C3049" t="inlineStr">
        <is>
          <t>Estágio</t>
        </is>
      </c>
      <c r="D3049" t="n">
        <v>7</v>
      </c>
      <c r="E3049" t="n">
        <v>7</v>
      </c>
      <c r="F3049" t="n">
        <v>54.04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M3049" t="n">
        <v>4</v>
      </c>
      <c r="N3049" t="n">
        <v>88.89</v>
      </c>
      <c r="O3049" t="n">
        <v>25.26315789473684</v>
      </c>
    </row>
    <row r="3050" hidden="1">
      <c r="A3050" s="11" t="n">
        <v>46097</v>
      </c>
      <c r="B3050" t="inlineStr">
        <is>
          <t>Matheus Farias De Souza</t>
        </is>
      </c>
      <c r="C3050" t="inlineStr">
        <is>
          <t>Técnico III</t>
        </is>
      </c>
      <c r="D3050" t="n">
        <v>31</v>
      </c>
      <c r="E3050" t="n">
        <v>29</v>
      </c>
      <c r="F3050" t="n">
        <v>17.25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M3050" t="n">
        <v>31</v>
      </c>
      <c r="N3050" t="n">
        <v>98.86</v>
      </c>
      <c r="O3050" t="n">
        <v>28.95927601809955</v>
      </c>
    </row>
    <row r="3051" hidden="1">
      <c r="A3051" s="11" t="n">
        <v>46097</v>
      </c>
      <c r="B3051" t="inlineStr">
        <is>
          <t>Maysa Victoria Dias Moura</t>
        </is>
      </c>
      <c r="C3051" t="inlineStr">
        <is>
          <t>Técnico III</t>
        </is>
      </c>
      <c r="D3051" t="n">
        <v>33</v>
      </c>
      <c r="E3051" t="n">
        <v>30</v>
      </c>
      <c r="F3051" t="n">
        <v>18.29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M3051" t="n">
        <v>29</v>
      </c>
      <c r="N3051" t="n">
        <v>98.06</v>
      </c>
      <c r="O3051" t="n">
        <v>22.40566037735849</v>
      </c>
    </row>
    <row r="3052" hidden="1">
      <c r="A3052" s="11" t="n">
        <v>46097</v>
      </c>
      <c r="B3052" t="inlineStr">
        <is>
          <t>Michelle G Santos</t>
        </is>
      </c>
      <c r="C3052" t="inlineStr">
        <is>
          <t>Estágio</t>
        </is>
      </c>
      <c r="D3052" t="n">
        <v>4</v>
      </c>
      <c r="E3052" t="n">
        <v>4</v>
      </c>
      <c r="F3052" t="n">
        <v>77.19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M3052" t="n">
        <v>2</v>
      </c>
      <c r="N3052" t="n">
        <v>95.83</v>
      </c>
      <c r="O3052" t="n">
        <v>25.77319587628866</v>
      </c>
    </row>
    <row r="3053" hidden="1">
      <c r="A3053" s="11" t="n">
        <v>46097</v>
      </c>
      <c r="B3053" t="inlineStr">
        <is>
          <t>Milena Sales</t>
        </is>
      </c>
      <c r="C3053" t="inlineStr">
        <is>
          <t>JR</t>
        </is>
      </c>
      <c r="D3053" t="n">
        <v>0</v>
      </c>
      <c r="E3053" t="n">
        <v>0</v>
      </c>
      <c r="F3053" t="n">
        <v>0</v>
      </c>
      <c r="G3053" t="n">
        <v>0</v>
      </c>
      <c r="H3053" t="n">
        <v>0</v>
      </c>
      <c r="I3053" s="3" t="n">
        <v>0</v>
      </c>
      <c r="J3053" s="3" t="n">
        <v>0</v>
      </c>
      <c r="K3053" s="3" t="n">
        <v>0</v>
      </c>
      <c r="L3053" s="3">
        <f>IF(K3053&lt;-5,"CRÍTICO",IF(K3053&lt;0,"ATENÇÃO",IF(K3053&lt;=5,"OPORTUNO","MUITO BOM")))</f>
        <v/>
      </c>
      <c r="M3053" t="n">
        <v>0</v>
      </c>
      <c r="N3053" t="n">
        <v>100</v>
      </c>
      <c r="O3053" t="n">
        <v>15.38461538461539</v>
      </c>
    </row>
    <row r="3054" hidden="1">
      <c r="A3054" s="11" t="n">
        <v>46097</v>
      </c>
      <c r="B3054" t="inlineStr">
        <is>
          <t>Patrícia Karla de Sousa Araújo</t>
        </is>
      </c>
      <c r="C3054" t="inlineStr">
        <is>
          <t>Técnico II</t>
        </is>
      </c>
      <c r="D3054" t="n">
        <v>3</v>
      </c>
      <c r="E3054" t="n">
        <v>3</v>
      </c>
      <c r="F3054" t="n">
        <v>40.22</v>
      </c>
      <c r="G3054" t="n">
        <v>0</v>
      </c>
      <c r="H3054" t="n">
        <v>0</v>
      </c>
      <c r="I3054" s="3">
        <f>E3054+G3054+H3054</f>
        <v/>
      </c>
      <c r="J3054" s="3">
        <f>ROUND(MIN(IF(C3054="Técnico III",35,IF(C3054="Técnico II",28,IF(C3054="Técnico I",23,IF(C3054="JR",20,IF(C3054="Estágio",10,0))))),IF(C3054="Técnico III",SUMIFS($D:$D,$A:$A,$A3054,$B:$B,"&lt;&gt;Patrícia Karla de Sousa Araújo",$B:$B,"&lt;&gt;Lorena Dias de Araujo",$B:$B,"&lt;&gt;Lucas Luiz Romero")*(35/1083),IF(C3054="Técnico II",SUMIFS($D:$D,$A:$A,$A3054,$B:$B,"&lt;&gt;Patrícia Karla de Sousa Araújo",$B:$B,"&lt;&gt;Lorena Dias de Araujo",$B:$B,"&lt;&gt;Lucas Luiz Romero")*(28/1083),IF(C3054="Técnico I",SUMIFS($D:$D,$A:$A,$A3054,$B:$B,"&lt;&gt;Patrícia Karla de Sousa Araújo",$B:$B,"&lt;&gt;Lorena Dias de Araujo",$B:$B,"&lt;&gt;Lucas Luiz Romero")*(23/1083),IF(C3054="JR",SUMIFS($D:$D,$A:$A,$A3054,$B:$B,"&lt;&gt;Patrícia Karla de Sousa Araújo",$B:$B,"&lt;&gt;Lorena Dias de Araujo",$B:$B,"&lt;&gt;Lucas Luiz Romero")*(20/1083),IF(C3054="Estágio",SUMIFS($D:$D,$A:$A,$A3054,$B:$B,"&lt;&gt;Patrícia Karla de Sousa Araújo",$B:$B,"&lt;&gt;Lorena Dias de Araujo",$B:$B,"&lt;&gt;Lucas Luiz Romero")*(10/1083),0)))))),0)</f>
        <v/>
      </c>
      <c r="K3054" s="3">
        <f>I3054-J3054</f>
        <v/>
      </c>
      <c r="L3054" s="3">
        <f>IF(K3054&lt;-5,"CRÍTICO",IF(K3054&lt;0,"ATENÇÃO",IF(K3054&lt;=5,"OPORTUNO","MUITO BOM")))</f>
        <v/>
      </c>
      <c r="M3054" t="n">
        <v>3</v>
      </c>
      <c r="N3054" t="n">
        <v>100</v>
      </c>
      <c r="O3054" t="n">
        <v>27.51479289940828</v>
      </c>
    </row>
    <row r="3055" hidden="1">
      <c r="A3055" s="11" t="n">
        <v>46097</v>
      </c>
      <c r="B3055" t="inlineStr">
        <is>
          <t>Paulo Ricardo Santos</t>
        </is>
      </c>
      <c r="C3055" t="inlineStr">
        <is>
          <t>JR</t>
        </is>
      </c>
      <c r="D3055" t="n">
        <v>4</v>
      </c>
      <c r="E3055" t="n">
        <v>3</v>
      </c>
      <c r="F3055" t="n">
        <v>53.39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M3055" t="n">
        <v>5</v>
      </c>
      <c r="N3055" t="n">
        <v>100</v>
      </c>
      <c r="O3055" t="n">
        <v>24.87562189054727</v>
      </c>
    </row>
    <row r="3056" hidden="1">
      <c r="A3056" s="11" t="n">
        <v>46097</v>
      </c>
      <c r="B3056" t="inlineStr">
        <is>
          <t>Pedro Luiz Mota Sousa</t>
        </is>
      </c>
      <c r="C3056" t="inlineStr">
        <is>
          <t>JR</t>
        </is>
      </c>
      <c r="D3056" t="n">
        <v>8</v>
      </c>
      <c r="E3056" t="n">
        <v>6</v>
      </c>
      <c r="F3056" t="n">
        <v>38.26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M3056" t="n">
        <v>6</v>
      </c>
      <c r="N3056" t="n">
        <v>100</v>
      </c>
      <c r="O3056" t="n">
        <v>28.10810810810811</v>
      </c>
    </row>
    <row r="3057" hidden="1">
      <c r="A3057" s="11" t="n">
        <v>46097</v>
      </c>
      <c r="B3057" t="inlineStr">
        <is>
          <t>Quirino Diogo Leite Torres</t>
        </is>
      </c>
      <c r="C3057" t="inlineStr">
        <is>
          <t>Estágio</t>
        </is>
      </c>
      <c r="D3057" t="n">
        <v>0</v>
      </c>
      <c r="E3057" t="n">
        <v>0</v>
      </c>
      <c r="F3057" t="n">
        <v>0</v>
      </c>
      <c r="G3057" t="n">
        <v>0</v>
      </c>
      <c r="H3057" t="n">
        <v>0</v>
      </c>
      <c r="I3057" s="3" t="n">
        <v>0</v>
      </c>
      <c r="J3057" s="3" t="n">
        <v>0</v>
      </c>
      <c r="K3057" s="3" t="n">
        <v>0</v>
      </c>
      <c r="L3057" s="3">
        <f>IF(K3057&lt;-5,"CRÍTICO",IF(K3057&lt;0,"ATENÇÃO",IF(K3057&lt;=5,"OPORTUNO","MUITO BOM")))</f>
        <v/>
      </c>
      <c r="M3057" t="n">
        <v>0</v>
      </c>
      <c r="N3057" t="n">
        <v>100</v>
      </c>
      <c r="O3057" t="n">
        <v>35</v>
      </c>
    </row>
    <row r="3058" hidden="1">
      <c r="A3058" s="11" t="n">
        <v>46097</v>
      </c>
      <c r="B3058" t="inlineStr">
        <is>
          <t>Raane Batista Matos</t>
        </is>
      </c>
      <c r="C3058" t="inlineStr">
        <is>
          <t>Técnico I</t>
        </is>
      </c>
      <c r="D3058" t="n">
        <v>15</v>
      </c>
      <c r="E3058" t="n">
        <v>14</v>
      </c>
      <c r="F3058" t="n">
        <v>26.4</v>
      </c>
      <c r="G3058" t="n">
        <v>0</v>
      </c>
      <c r="H3058" t="n">
        <v>0</v>
      </c>
      <c r="I3058" s="3">
        <f>E3058+G3058+H3058</f>
        <v/>
      </c>
      <c r="J3058" s="3">
        <f>ROUND(MIN(IF(C3058="Técnico III",35,IF(C3058="Técnico II",28,IF(C3058="Técnico I",23,IF(C3058="JR",20,IF(C3058="Estágio",10,0))))),IF(C3058="Técnico III",SUMIFS($D:$D,$A:$A,$A3058,$B:$B,"&lt;&gt;Patrícia Karla de Sousa Araújo",$B:$B,"&lt;&gt;Lorena Dias de Araujo",$B:$B,"&lt;&gt;Lucas Luiz Romero")*(35/1083),IF(C3058="Técnico II",SUMIFS($D:$D,$A:$A,$A3058,$B:$B,"&lt;&gt;Patrícia Karla de Sousa Araújo",$B:$B,"&lt;&gt;Lorena Dias de Araujo",$B:$B,"&lt;&gt;Lucas Luiz Romero")*(28/1083),IF(C3058="Técnico I",SUMIFS($D:$D,$A:$A,$A3058,$B:$B,"&lt;&gt;Patrícia Karla de Sousa Araújo",$B:$B,"&lt;&gt;Lorena Dias de Araujo",$B:$B,"&lt;&gt;Lucas Luiz Romero")*(23/1083),IF(C3058="JR",SUMIFS($D:$D,$A:$A,$A3058,$B:$B,"&lt;&gt;Patrícia Karla de Sousa Araújo",$B:$B,"&lt;&gt;Lorena Dias de Araujo",$B:$B,"&lt;&gt;Lucas Luiz Romero")*(20/1083),IF(C3058="Estágio",SUMIFS($D:$D,$A:$A,$A3058,$B:$B,"&lt;&gt;Patrícia Karla de Sousa Araújo",$B:$B,"&lt;&gt;Lorena Dias de Araujo",$B:$B,"&lt;&gt;Lucas Luiz Romero")*(10/1083),0)))))),0)</f>
        <v/>
      </c>
      <c r="K3058" s="3">
        <f>I3058-J3058</f>
        <v/>
      </c>
      <c r="L3058" s="3">
        <f>IF(K3058&lt;-5,"CRÍTICO",IF(K3058&lt;0,"ATENÇÃO",IF(K3058&lt;=5,"OPORTUNO","MUITO BOM")))</f>
        <v/>
      </c>
      <c r="M3058" t="n">
        <v>11</v>
      </c>
      <c r="N3058" t="n">
        <v>95.34999999999999</v>
      </c>
      <c r="O3058" t="n">
        <v>28.61538461538461</v>
      </c>
    </row>
    <row r="3059" hidden="1">
      <c r="A3059" s="11" t="n">
        <v>46097</v>
      </c>
      <c r="B3059" t="inlineStr">
        <is>
          <t>Rafael Gomes de Morais</t>
        </is>
      </c>
      <c r="C3059" t="inlineStr">
        <is>
          <t>Técnico III</t>
        </is>
      </c>
      <c r="D3059" t="n">
        <v>37</v>
      </c>
      <c r="E3059" t="n">
        <v>32</v>
      </c>
      <c r="F3059" t="n">
        <v>14.09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M3059" t="n">
        <v>29</v>
      </c>
      <c r="N3059" t="n">
        <v>98.26000000000001</v>
      </c>
      <c r="O3059" t="n">
        <v>27.54491017964072</v>
      </c>
    </row>
    <row r="3060" hidden="1">
      <c r="A3060" s="11" t="n">
        <v>46097</v>
      </c>
      <c r="B3060" t="inlineStr">
        <is>
          <t>Sara Maria Monteiro Lopes</t>
        </is>
      </c>
      <c r="C3060" t="inlineStr">
        <is>
          <t>Técnico I</t>
        </is>
      </c>
      <c r="D3060" t="n">
        <v>15</v>
      </c>
      <c r="E3060" t="n">
        <v>15</v>
      </c>
      <c r="F3060" t="n">
        <v>37.07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M3060" t="n">
        <v>13</v>
      </c>
      <c r="N3060" t="n">
        <v>98.55</v>
      </c>
      <c r="O3060" t="n">
        <v>25.33783783783784</v>
      </c>
    </row>
    <row r="3061" hidden="1">
      <c r="A3061" s="11" t="n">
        <v>46097</v>
      </c>
      <c r="B3061" t="inlineStr">
        <is>
          <t>Sarah Steffanie de Lima Borges</t>
        </is>
      </c>
      <c r="C3061" t="inlineStr">
        <is>
          <t>Técnico III</t>
        </is>
      </c>
      <c r="D3061" t="n">
        <v>28</v>
      </c>
      <c r="E3061" t="n">
        <v>28</v>
      </c>
      <c r="F3061" t="n">
        <v>17.19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M3061" t="n">
        <v>25</v>
      </c>
      <c r="N3061" t="n">
        <v>98.39</v>
      </c>
      <c r="O3061" t="n">
        <v>25.56390977443609</v>
      </c>
    </row>
    <row r="3062" hidden="1">
      <c r="A3062" s="11" t="n">
        <v>46098</v>
      </c>
      <c r="B3062" t="inlineStr">
        <is>
          <t>Alisson de Freitas Silva</t>
        </is>
      </c>
      <c r="C3062" t="inlineStr">
        <is>
          <t>Técnico II</t>
        </is>
      </c>
      <c r="D3062" t="n">
        <v>31</v>
      </c>
      <c r="E3062" t="n">
        <v>27</v>
      </c>
      <c r="F3062" t="n">
        <v>16.56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M3062" t="n">
        <v>19</v>
      </c>
      <c r="N3062" t="n">
        <v>94.29000000000001</v>
      </c>
      <c r="O3062" t="n">
        <v>25.64766839378239</v>
      </c>
    </row>
    <row r="3063" hidden="1">
      <c r="A3063" s="11" t="n">
        <v>46098</v>
      </c>
      <c r="B3063" t="inlineStr">
        <is>
          <t>Amanda Moura Ferreira</t>
        </is>
      </c>
      <c r="C3063" t="inlineStr">
        <is>
          <t>Técnico III</t>
        </is>
      </c>
      <c r="D3063" t="n">
        <v>0</v>
      </c>
      <c r="E3063" t="n">
        <v>0</v>
      </c>
      <c r="F3063" t="n">
        <v>0</v>
      </c>
      <c r="G3063" t="n">
        <v>0</v>
      </c>
      <c r="H3063" t="n">
        <v>0</v>
      </c>
      <c r="I3063" s="3" t="n">
        <v>0</v>
      </c>
      <c r="J3063" s="3" t="n">
        <v>0</v>
      </c>
      <c r="K3063" s="3" t="n">
        <v>0</v>
      </c>
      <c r="L3063" s="3">
        <f>IF(K3063&lt;-5,"CRÍTICO",IF(K3063&lt;0,"ATENÇÃO",IF(K3063&lt;=5,"OPORTUNO","MUITO BOM")))</f>
        <v/>
      </c>
      <c r="M3063" t="n">
        <v>24</v>
      </c>
      <c r="N3063" t="n">
        <v>98.26000000000001</v>
      </c>
      <c r="O3063" t="n">
        <v>26.66666666666667</v>
      </c>
    </row>
    <row r="3064" hidden="1">
      <c r="A3064" s="11" t="n">
        <v>46098</v>
      </c>
      <c r="B3064" t="inlineStr">
        <is>
          <t>Ana Karollyne Souza Faria</t>
        </is>
      </c>
      <c r="C3064" t="inlineStr">
        <is>
          <t>Técnico I</t>
        </is>
      </c>
      <c r="D3064" t="n">
        <v>13</v>
      </c>
      <c r="E3064" t="n">
        <v>12</v>
      </c>
      <c r="F3064" t="n">
        <v>29.12</v>
      </c>
      <c r="G3064" t="n">
        <v>0</v>
      </c>
      <c r="H3064" t="n">
        <v>0</v>
      </c>
      <c r="I3064" s="3">
        <f>E3064+G3064+H3064</f>
        <v/>
      </c>
      <c r="J3064" s="3">
        <f>ROUND(MIN(IF(C3064="Técnico III",35,IF(C3064="Técnico II",28,IF(C3064="Técnico I",23,IF(C3064="JR",20,IF(C3064="Estágio",10,0))))),IF(C3064="Técnico III",SUMIFS($D:$D,$A:$A,$A3064,$B:$B,"&lt;&gt;Patrícia Karla de Sousa Araújo",$B:$B,"&lt;&gt;Lorena Dias de Araujo",$B:$B,"&lt;&gt;Lucas Luiz Romero")*(35/1083),IF(C3064="Técnico II",SUMIFS($D:$D,$A:$A,$A3064,$B:$B,"&lt;&gt;Patrícia Karla de Sousa Araújo",$B:$B,"&lt;&gt;Lorena Dias de Araujo",$B:$B,"&lt;&gt;Lucas Luiz Romero")*(28/1083),IF(C3064="Técnico I",SUMIFS($D:$D,$A:$A,$A3064,$B:$B,"&lt;&gt;Patrícia Karla de Sousa Araújo",$B:$B,"&lt;&gt;Lorena Dias de Araujo",$B:$B,"&lt;&gt;Lucas Luiz Romero")*(23/1083),IF(C3064="JR",SUMIFS($D:$D,$A:$A,$A3064,$B:$B,"&lt;&gt;Patrícia Karla de Sousa Araújo",$B:$B,"&lt;&gt;Lorena Dias de Araujo",$B:$B,"&lt;&gt;Lucas Luiz Romero")*(20/1083),IF(C3064="Estágio",SUMIFS($D:$D,$A:$A,$A3064,$B:$B,"&lt;&gt;Patrícia Karla de Sousa Araújo",$B:$B,"&lt;&gt;Lorena Dias de Araujo",$B:$B,"&lt;&gt;Lucas Luiz Romero")*(10/1083),0)))))),0)</f>
        <v/>
      </c>
      <c r="K3064" s="3">
        <f>I3064-J3064</f>
        <v/>
      </c>
      <c r="L3064" s="3">
        <f>IF(K3064&lt;-5,"CRÍTICO",IF(K3064&lt;0,"ATENÇÃO",IF(K3064&lt;=5,"OPORTUNO","MUITO BOM")))</f>
        <v/>
      </c>
      <c r="M3064" t="n">
        <v>13</v>
      </c>
      <c r="N3064" t="n">
        <v>98.2</v>
      </c>
      <c r="O3064" t="n">
        <v>23.37962962962963</v>
      </c>
    </row>
    <row r="3065" hidden="1">
      <c r="A3065" s="11" t="n">
        <v>46098</v>
      </c>
      <c r="B3065" t="inlineStr">
        <is>
          <t>Ana Paula Da Luz Silva Aleixo</t>
        </is>
      </c>
      <c r="C3065" t="inlineStr">
        <is>
          <t>Técnico III</t>
        </is>
      </c>
      <c r="D3065" t="n">
        <v>30</v>
      </c>
      <c r="E3065" t="n">
        <v>27</v>
      </c>
      <c r="F3065" t="n">
        <v>20.36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M3065" t="n">
        <v>28</v>
      </c>
      <c r="N3065" t="n">
        <v>97.3</v>
      </c>
      <c r="O3065" t="n">
        <v>23.84769539078156</v>
      </c>
    </row>
    <row r="3066" hidden="1">
      <c r="A3066" s="11" t="n">
        <v>46098</v>
      </c>
      <c r="B3066" t="inlineStr">
        <is>
          <t>Anna Luiza Rezende Tavares</t>
        </is>
      </c>
      <c r="C3066" t="inlineStr">
        <is>
          <t>Estágio</t>
        </is>
      </c>
      <c r="D3066" t="n">
        <v>18</v>
      </c>
      <c r="E3066" t="n">
        <v>15</v>
      </c>
      <c r="F3066" t="n">
        <v>20.54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M3066" t="n">
        <v>13</v>
      </c>
      <c r="N3066" t="n">
        <v>100</v>
      </c>
      <c r="O3066" t="n">
        <v>25.26881720430108</v>
      </c>
    </row>
    <row r="3067" hidden="1">
      <c r="A3067" s="11" t="n">
        <v>46098</v>
      </c>
      <c r="B3067" t="inlineStr">
        <is>
          <t>Brenda de Menezes Silva</t>
        </is>
      </c>
      <c r="C3067" t="inlineStr">
        <is>
          <t>Técnico II</t>
        </is>
      </c>
      <c r="D3067" t="n">
        <v>40</v>
      </c>
      <c r="E3067" t="n">
        <v>35</v>
      </c>
      <c r="F3067" t="n">
        <v>15.36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M3067" t="n">
        <v>30</v>
      </c>
      <c r="N3067" t="n">
        <v>99.31999999999999</v>
      </c>
      <c r="O3067" t="n">
        <v>22.82282282282282</v>
      </c>
    </row>
    <row r="3068" hidden="1">
      <c r="A3068" s="11" t="n">
        <v>46098</v>
      </c>
      <c r="B3068" t="inlineStr">
        <is>
          <t>Carlos Mateus Cassimiro Nunes</t>
        </is>
      </c>
      <c r="C3068" t="inlineStr">
        <is>
          <t>Técnico II</t>
        </is>
      </c>
      <c r="D3068" t="n">
        <v>4</v>
      </c>
      <c r="E3068" t="n">
        <v>4</v>
      </c>
      <c r="F3068" t="n">
        <v>17.18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M3068" t="n">
        <v>5</v>
      </c>
      <c r="N3068" t="n">
        <v>100</v>
      </c>
      <c r="O3068" t="n">
        <v>27.96610169491525</v>
      </c>
    </row>
    <row r="3069" hidden="1">
      <c r="A3069" s="11" t="n">
        <v>46098</v>
      </c>
      <c r="B3069" t="inlineStr">
        <is>
          <t>Claudio de Sousa Velasco Filho</t>
        </is>
      </c>
      <c r="C3069" t="inlineStr">
        <is>
          <t>Estágio</t>
        </is>
      </c>
      <c r="D3069" t="n">
        <v>0</v>
      </c>
      <c r="E3069" t="n">
        <v>0</v>
      </c>
      <c r="F3069" t="n">
        <v>0</v>
      </c>
      <c r="G3069" t="n">
        <v>0</v>
      </c>
      <c r="H3069" t="n">
        <v>0</v>
      </c>
      <c r="I3069" s="3" t="n">
        <v>0</v>
      </c>
      <c r="J3069" s="3" t="n">
        <v>0</v>
      </c>
      <c r="K3069" s="3" t="n">
        <v>0</v>
      </c>
      <c r="L3069" s="3">
        <f>IF(K3069&lt;-5,"CRÍTICO",IF(K3069&lt;0,"ATENÇÃO",IF(K3069&lt;=5,"OPORTUNO","MUITO BOM")))</f>
        <v/>
      </c>
      <c r="M3069" t="n">
        <v>0</v>
      </c>
      <c r="N3069" t="n">
        <v>100</v>
      </c>
      <c r="O3069" t="n">
        <v>30.43478260869566</v>
      </c>
    </row>
    <row r="3070" hidden="1">
      <c r="A3070" s="11" t="n">
        <v>46098</v>
      </c>
      <c r="B3070" t="inlineStr">
        <is>
          <t>Clessiane Pereira dos Santos</t>
        </is>
      </c>
      <c r="C3070" t="inlineStr">
        <is>
          <t>Técnico I</t>
        </is>
      </c>
      <c r="D3070" t="n">
        <v>24</v>
      </c>
      <c r="E3070" t="n">
        <v>24</v>
      </c>
      <c r="F3070" t="n">
        <v>20.29</v>
      </c>
      <c r="G3070" t="n">
        <v>0</v>
      </c>
      <c r="H3070" t="n">
        <v>0</v>
      </c>
      <c r="I3070" s="3">
        <f>E3070+G3070+H3070</f>
        <v/>
      </c>
      <c r="J3070" s="3">
        <f>ROUND(MIN(IF(C3070="Técnico III",35,IF(C3070="Técnico II",28,IF(C3070="Técnico I",23,IF(C3070="JR",20,IF(C3070="Estágio",10,0))))),IF(C3070="Técnico III",SUMIFS($D:$D,$A:$A,$A3070,$B:$B,"&lt;&gt;Patrícia Karla de Sousa Araújo",$B:$B,"&lt;&gt;Lorena Dias de Araujo",$B:$B,"&lt;&gt;Lucas Luiz Romero")*(35/1083),IF(C3070="Técnico II",SUMIFS($D:$D,$A:$A,$A3070,$B:$B,"&lt;&gt;Patrícia Karla de Sousa Araújo",$B:$B,"&lt;&gt;Lorena Dias de Araujo",$B:$B,"&lt;&gt;Lucas Luiz Romero")*(28/1083),IF(C3070="Técnico I",SUMIFS($D:$D,$A:$A,$A3070,$B:$B,"&lt;&gt;Patrícia Karla de Sousa Araújo",$B:$B,"&lt;&gt;Lorena Dias de Araujo",$B:$B,"&lt;&gt;Lucas Luiz Romero")*(23/1083),IF(C3070="JR",SUMIFS($D:$D,$A:$A,$A3070,$B:$B,"&lt;&gt;Patrícia Karla de Sousa Araújo",$B:$B,"&lt;&gt;Lorena Dias de Araujo",$B:$B,"&lt;&gt;Lucas Luiz Romero")*(20/1083),IF(C3070="Estágio",SUMIFS($D:$D,$A:$A,$A3070,$B:$B,"&lt;&gt;Patrícia Karla de Sousa Araújo",$B:$B,"&lt;&gt;Lorena Dias de Araujo",$B:$B,"&lt;&gt;Lucas Luiz Romero")*(10/1083),0)))))),0)</f>
        <v/>
      </c>
      <c r="K3070" s="3">
        <f>I3070-J3070</f>
        <v/>
      </c>
      <c r="L3070" s="3">
        <f>IF(K3070&lt;-5,"CRÍTICO",IF(K3070&lt;0,"ATENÇÃO",IF(K3070&lt;=5,"OPORTUNO","MUITO BOM")))</f>
        <v/>
      </c>
      <c r="M3070" t="n">
        <v>22</v>
      </c>
      <c r="N3070" t="n">
        <v>96.51000000000001</v>
      </c>
      <c r="O3070" t="n">
        <v>22.80285035629454</v>
      </c>
    </row>
    <row r="3071" hidden="1">
      <c r="A3071" s="11" t="n">
        <v>46098</v>
      </c>
      <c r="B3071" t="inlineStr">
        <is>
          <t>Cristiane Ramos da Silva Rocha</t>
        </is>
      </c>
      <c r="C3071" t="inlineStr">
        <is>
          <t>Técnico III</t>
        </is>
      </c>
      <c r="D3071" t="n">
        <v>0</v>
      </c>
      <c r="E3071" t="n">
        <v>0</v>
      </c>
      <c r="F3071" t="n">
        <v>0</v>
      </c>
      <c r="G3071" t="n">
        <v>0</v>
      </c>
      <c r="H3071" t="n">
        <v>0</v>
      </c>
      <c r="I3071" s="3" t="n">
        <v>0</v>
      </c>
      <c r="J3071" s="3" t="n">
        <v>0</v>
      </c>
      <c r="K3071" s="3" t="n">
        <v>0</v>
      </c>
      <c r="L3071" s="3">
        <f>IF(K3071&lt;-5,"CRÍTICO",IF(K3071&lt;0,"ATENÇÃO",IF(K3071&lt;=5,"OPORTUNO","MUITO BOM")))</f>
        <v/>
      </c>
      <c r="M3071" t="n">
        <v>9</v>
      </c>
      <c r="N3071" t="n">
        <v>92.68000000000001</v>
      </c>
      <c r="O3071" t="n">
        <v>27.77777777777778</v>
      </c>
    </row>
    <row r="3072" hidden="1">
      <c r="A3072" s="11" t="n">
        <v>46098</v>
      </c>
      <c r="B3072" t="inlineStr">
        <is>
          <t>Damyllis Lorraine de Oliveira Gonçalves</t>
        </is>
      </c>
      <c r="C3072" t="inlineStr">
        <is>
          <t>Técnico II</t>
        </is>
      </c>
      <c r="D3072" t="n">
        <v>29</v>
      </c>
      <c r="E3072" t="n">
        <v>26</v>
      </c>
      <c r="F3072" t="n">
        <v>21.42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M3072" t="n">
        <v>26</v>
      </c>
      <c r="N3072" t="n">
        <v>99.03</v>
      </c>
      <c r="O3072" t="n">
        <v>23.99150743099788</v>
      </c>
    </row>
    <row r="3073" hidden="1">
      <c r="A3073" s="11" t="n">
        <v>46098</v>
      </c>
      <c r="B3073" t="inlineStr">
        <is>
          <t>Daniel Gomes da Silva</t>
        </is>
      </c>
      <c r="C3073" t="inlineStr">
        <is>
          <t>Técnico I</t>
        </is>
      </c>
      <c r="D3073" t="n">
        <v>24</v>
      </c>
      <c r="E3073" t="n">
        <v>22</v>
      </c>
      <c r="F3073" t="n">
        <v>25.58</v>
      </c>
      <c r="G3073" t="n">
        <v>0</v>
      </c>
      <c r="H3073" t="n">
        <v>0</v>
      </c>
      <c r="I3073" s="3">
        <f>E3073+G3073+H3073</f>
        <v/>
      </c>
      <c r="J3073" s="3">
        <f>ROUND(MIN(IF(C3073="Técnico III",35,IF(C3073="Técnico II",28,IF(C3073="Técnico I",23,IF(C3073="JR",20,IF(C3073="Estágio",10,0))))),IF(C3073="Técnico III",SUMIFS($D:$D,$A:$A,$A3073,$B:$B,"&lt;&gt;Patrícia Karla de Sousa Araújo",$B:$B,"&lt;&gt;Lorena Dias de Araujo",$B:$B,"&lt;&gt;Lucas Luiz Romero")*(35/1083),IF(C3073="Técnico II",SUMIFS($D:$D,$A:$A,$A3073,$B:$B,"&lt;&gt;Patrícia Karla de Sousa Araújo",$B:$B,"&lt;&gt;Lorena Dias de Araujo",$B:$B,"&lt;&gt;Lucas Luiz Romero")*(28/1083),IF(C3073="Técnico I",SUMIFS($D:$D,$A:$A,$A3073,$B:$B,"&lt;&gt;Patrícia Karla de Sousa Araújo",$B:$B,"&lt;&gt;Lorena Dias de Araujo",$B:$B,"&lt;&gt;Lucas Luiz Romero")*(23/1083),IF(C3073="JR",SUMIFS($D:$D,$A:$A,$A3073,$B:$B,"&lt;&gt;Patrícia Karla de Sousa Araújo",$B:$B,"&lt;&gt;Lorena Dias de Araujo",$B:$B,"&lt;&gt;Lucas Luiz Romero")*(20/1083),IF(C3073="Estágio",SUMIFS($D:$D,$A:$A,$A3073,$B:$B,"&lt;&gt;Patrícia Karla de Sousa Araújo",$B:$B,"&lt;&gt;Lorena Dias de Araujo",$B:$B,"&lt;&gt;Lucas Luiz Romero")*(10/1083),0)))))),0)</f>
        <v/>
      </c>
      <c r="K3073" s="3">
        <f>I3073-J3073</f>
        <v/>
      </c>
      <c r="L3073" s="3">
        <f>IF(K3073&lt;-5,"CRÍTICO",IF(K3073&lt;0,"ATENÇÃO",IF(K3073&lt;=5,"OPORTUNO","MUITO BOM")))</f>
        <v/>
      </c>
      <c r="M3073" t="n">
        <v>13</v>
      </c>
      <c r="N3073" t="n">
        <v>98.41</v>
      </c>
      <c r="O3073" t="n">
        <v>28.13852813852814</v>
      </c>
    </row>
    <row r="3074" hidden="1">
      <c r="A3074" s="11" t="n">
        <v>46098</v>
      </c>
      <c r="B3074" t="inlineStr">
        <is>
          <t>Davylla Rodrigues Freitas Silva</t>
        </is>
      </c>
      <c r="C3074" t="inlineStr">
        <is>
          <t>Técnico III</t>
        </is>
      </c>
      <c r="D3074" t="n">
        <v>20</v>
      </c>
      <c r="E3074" t="n">
        <v>20</v>
      </c>
      <c r="F3074" t="n">
        <v>31.55</v>
      </c>
      <c r="G3074" t="n">
        <v>0</v>
      </c>
      <c r="H3074" t="n">
        <v>0</v>
      </c>
      <c r="I3074" s="3" t="n">
        <v>0</v>
      </c>
      <c r="J3074" s="3" t="n">
        <v>0</v>
      </c>
      <c r="K3074" s="3" t="n">
        <v>0</v>
      </c>
      <c r="L3074" s="3">
        <f>IF(K3074&lt;-5,"CRÍTICO",IF(K3074&lt;0,"ATENÇÃO",IF(K3074&lt;=5,"OPORTUNO","MUITO BOM")))</f>
        <v/>
      </c>
      <c r="M3074" t="n">
        <v>20</v>
      </c>
      <c r="N3074" t="n">
        <v>98.73</v>
      </c>
      <c r="O3074" t="n">
        <v>29.14285714285714</v>
      </c>
    </row>
    <row r="3075" hidden="1">
      <c r="A3075" s="11" t="n">
        <v>46098</v>
      </c>
      <c r="B3075" t="inlineStr">
        <is>
          <t>Emilly Caylane Costa</t>
        </is>
      </c>
      <c r="C3075" t="inlineStr">
        <is>
          <t>Estágio</t>
        </is>
      </c>
      <c r="D3075" t="n">
        <v>9</v>
      </c>
      <c r="E3075" t="n">
        <v>8</v>
      </c>
      <c r="F3075" t="n">
        <v>43.36</v>
      </c>
      <c r="G3075" t="n">
        <v>0</v>
      </c>
      <c r="H3075" t="n">
        <v>0</v>
      </c>
      <c r="I3075" s="3">
        <f>E3075+G3075+H3075</f>
        <v/>
      </c>
      <c r="J3075" s="3">
        <f>ROUND(MIN(IF(C3075="Técnico III",35,IF(C3075="Técnico II",28,IF(C3075="Técnico I",23,IF(C3075="JR",20,IF(C3075="Estágio",10,0))))),IF(C3075="Técnico III",SUMIFS($D:$D,$A:$A,$A3075,$B:$B,"&lt;&gt;Patrícia Karla de Sousa Araújo",$B:$B,"&lt;&gt;Lorena Dias de Araujo",$B:$B,"&lt;&gt;Lucas Luiz Romero")*(35/1083),IF(C3075="Técnico II",SUMIFS($D:$D,$A:$A,$A3075,$B:$B,"&lt;&gt;Patrícia Karla de Sousa Araújo",$B:$B,"&lt;&gt;Lorena Dias de Araujo",$B:$B,"&lt;&gt;Lucas Luiz Romero")*(28/1083),IF(C3075="Técnico I",SUMIFS($D:$D,$A:$A,$A3075,$B:$B,"&lt;&gt;Patrícia Karla de Sousa Araújo",$B:$B,"&lt;&gt;Lorena Dias de Araujo",$B:$B,"&lt;&gt;Lucas Luiz Romero")*(23/1083),IF(C3075="JR",SUMIFS($D:$D,$A:$A,$A3075,$B:$B,"&lt;&gt;Patrícia Karla de Sousa Araújo",$B:$B,"&lt;&gt;Lorena Dias de Araujo",$B:$B,"&lt;&gt;Lucas Luiz Romero")*(20/1083),IF(C3075="Estágio",SUMIFS($D:$D,$A:$A,$A3075,$B:$B,"&lt;&gt;Patrícia Karla de Sousa Araújo",$B:$B,"&lt;&gt;Lorena Dias de Araujo",$B:$B,"&lt;&gt;Lucas Luiz Romero")*(10/1083),0)))))),0)</f>
        <v/>
      </c>
      <c r="K3075" s="3">
        <f>I3075-J3075</f>
        <v/>
      </c>
      <c r="L3075" s="3">
        <f>IF(K3075&lt;-5,"CRÍTICO",IF(K3075&lt;0,"ATENÇÃO",IF(K3075&lt;=5,"OPORTUNO","MUITO BOM")))</f>
        <v/>
      </c>
      <c r="M3075" t="n">
        <v>5</v>
      </c>
      <c r="N3075" t="n">
        <v>90.48</v>
      </c>
      <c r="O3075" t="n">
        <v>20.68965517241379</v>
      </c>
    </row>
    <row r="3076" hidden="1">
      <c r="A3076" s="11" t="n">
        <v>46098</v>
      </c>
      <c r="B3076" t="inlineStr">
        <is>
          <t>Emilly Kamilly Medeiros Miranda</t>
        </is>
      </c>
      <c r="C3076" t="inlineStr">
        <is>
          <t>Técnico II</t>
        </is>
      </c>
      <c r="D3076" t="n">
        <v>25</v>
      </c>
      <c r="E3076" t="n">
        <v>25</v>
      </c>
      <c r="F3076" t="n">
        <v>20.08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M3076" t="n">
        <v>25</v>
      </c>
      <c r="N3076" t="n">
        <v>98.06</v>
      </c>
      <c r="O3076" t="n">
        <v>24.78991596638656</v>
      </c>
    </row>
    <row r="3077" hidden="1">
      <c r="A3077" s="11" t="n">
        <v>46098</v>
      </c>
      <c r="B3077" t="inlineStr">
        <is>
          <t>Francielson de Oliveira</t>
        </is>
      </c>
      <c r="C3077" t="inlineStr">
        <is>
          <t>Técnico III</t>
        </is>
      </c>
      <c r="D3077" t="n">
        <v>29</v>
      </c>
      <c r="E3077" t="n">
        <v>29</v>
      </c>
      <c r="F3077" t="n">
        <v>20.37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M3077" t="n">
        <v>27</v>
      </c>
      <c r="N3077" t="n">
        <v>97.78</v>
      </c>
      <c r="O3077" t="n">
        <v>25.49407114624506</v>
      </c>
    </row>
    <row r="3078" hidden="1">
      <c r="A3078" s="11" t="n">
        <v>46098</v>
      </c>
      <c r="B3078" t="inlineStr">
        <is>
          <t>Francilene Ferreira de Jesus</t>
        </is>
      </c>
      <c r="C3078" t="inlineStr">
        <is>
          <t>Técnico II</t>
        </is>
      </c>
      <c r="D3078" t="n">
        <v>21</v>
      </c>
      <c r="E3078" t="n">
        <v>20</v>
      </c>
      <c r="F3078" t="n">
        <v>18.32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M3078" t="n">
        <v>18</v>
      </c>
      <c r="N3078" t="n">
        <v>98.02</v>
      </c>
      <c r="O3078" t="n">
        <v>23.48484848484848</v>
      </c>
    </row>
    <row r="3079" hidden="1">
      <c r="A3079" s="11" t="n">
        <v>46132</v>
      </c>
      <c r="B3079" t="inlineStr">
        <is>
          <t>Gabriel Gomes de Andrade</t>
        </is>
      </c>
      <c r="C3079" t="inlineStr">
        <is>
          <t>Técnico I</t>
        </is>
      </c>
      <c r="D3079" t="n">
        <v>10</v>
      </c>
      <c r="E3079" t="n">
        <v>9</v>
      </c>
      <c r="F3079" t="n">
        <v>23.48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M3079" t="n">
        <v>11</v>
      </c>
      <c r="N3079" t="n">
        <v>99.28</v>
      </c>
      <c r="O3079" t="n">
        <v>27.68924302788844</v>
      </c>
    </row>
    <row r="3080" hidden="1">
      <c r="A3080" s="11" t="n">
        <v>46098</v>
      </c>
      <c r="B3080" t="inlineStr">
        <is>
          <t>Isabella Borges de Oliveira</t>
        </is>
      </c>
      <c r="C3080" t="inlineStr">
        <is>
          <t>Técnico II</t>
        </is>
      </c>
      <c r="D3080" t="n">
        <v>33</v>
      </c>
      <c r="E3080" t="n">
        <v>31</v>
      </c>
      <c r="F3080" t="n">
        <v>14.06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M3080" t="n">
        <v>26</v>
      </c>
      <c r="N3080" t="n">
        <v>100</v>
      </c>
      <c r="O3080" t="n">
        <v>27.04918032786885</v>
      </c>
    </row>
    <row r="3081" hidden="1">
      <c r="A3081" s="11" t="n">
        <v>46098</v>
      </c>
      <c r="B3081" t="inlineStr">
        <is>
          <t>Janaina Lima dos Reis Urany</t>
        </is>
      </c>
      <c r="C3081" t="inlineStr">
        <is>
          <t>Técnico III</t>
        </is>
      </c>
      <c r="D3081" t="n">
        <v>45</v>
      </c>
      <c r="E3081" t="n">
        <v>39</v>
      </c>
      <c r="F3081" t="n">
        <v>15.06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M3081" t="n">
        <v>38</v>
      </c>
      <c r="N3081" t="n">
        <v>97.83</v>
      </c>
      <c r="O3081" t="n">
        <v>26.31578947368421</v>
      </c>
    </row>
    <row r="3082" hidden="1">
      <c r="A3082" s="11" t="n">
        <v>46098</v>
      </c>
      <c r="B3082" t="inlineStr">
        <is>
          <t>Jaqueline Evangelista da Silva Martins</t>
        </is>
      </c>
      <c r="C3082" t="inlineStr">
        <is>
          <t>Técnico III</t>
        </is>
      </c>
      <c r="D3082" t="n">
        <v>9</v>
      </c>
      <c r="E3082" t="n">
        <v>8</v>
      </c>
      <c r="F3082" t="n">
        <v>18.23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M3082" t="n">
        <v>16</v>
      </c>
      <c r="N3082" t="n">
        <v>100</v>
      </c>
      <c r="O3082" t="n">
        <v>26.70157068062827</v>
      </c>
    </row>
    <row r="3083" hidden="1">
      <c r="A3083" s="11" t="n">
        <v>46098</v>
      </c>
      <c r="B3083" t="inlineStr">
        <is>
          <t>Jessica Faria da Silveira</t>
        </is>
      </c>
      <c r="C3083" t="inlineStr">
        <is>
          <t>Técnico II</t>
        </is>
      </c>
      <c r="D3083" t="n">
        <v>29</v>
      </c>
      <c r="E3083" t="n">
        <v>26</v>
      </c>
      <c r="F3083" t="n">
        <v>20.14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M3083" t="n">
        <v>24</v>
      </c>
      <c r="N3083" t="n">
        <v>97.47</v>
      </c>
      <c r="O3083" t="n">
        <v>22.88732394366197</v>
      </c>
    </row>
    <row r="3084" hidden="1">
      <c r="A3084" s="11" t="n">
        <v>46098</v>
      </c>
      <c r="B3084" t="inlineStr">
        <is>
          <t>Jéssica Fé Moura</t>
        </is>
      </c>
      <c r="C3084" t="inlineStr">
        <is>
          <t>Técnico III</t>
        </is>
      </c>
      <c r="D3084" t="n">
        <v>0</v>
      </c>
      <c r="E3084" t="n">
        <v>0</v>
      </c>
      <c r="F3084" t="n">
        <v>0</v>
      </c>
      <c r="G3084" t="n">
        <v>0</v>
      </c>
      <c r="H3084" t="n">
        <v>0</v>
      </c>
      <c r="I3084" s="3" t="n">
        <v>0</v>
      </c>
      <c r="J3084" s="3" t="n">
        <v>0</v>
      </c>
      <c r="K3084" s="3" t="n">
        <v>0</v>
      </c>
      <c r="L3084" s="3">
        <f>IF(K3084&lt;-5,"CRÍTICO",IF(K3084&lt;0,"ATENÇÃO",IF(K3084&lt;=5,"OPORTUNO","MUITO BOM")))</f>
        <v/>
      </c>
      <c r="M3084" t="n">
        <v>0</v>
      </c>
      <c r="N3084" t="n">
        <v>0</v>
      </c>
      <c r="O3084" t="n">
        <v>0</v>
      </c>
    </row>
    <row r="3085" hidden="1">
      <c r="A3085" s="11" t="n">
        <v>46098</v>
      </c>
      <c r="B3085" t="inlineStr">
        <is>
          <t>Karina Gonçalves Martins</t>
        </is>
      </c>
      <c r="C3085" t="inlineStr">
        <is>
          <t>JR</t>
        </is>
      </c>
      <c r="D3085" t="n">
        <v>8</v>
      </c>
      <c r="E3085" t="n">
        <v>6</v>
      </c>
      <c r="F3085" t="n">
        <v>32.02</v>
      </c>
      <c r="G3085" t="n">
        <v>0</v>
      </c>
      <c r="H3085" t="n">
        <v>0</v>
      </c>
      <c r="I3085" s="3">
        <f>E3085+G3085+H3085</f>
        <v/>
      </c>
      <c r="J3085" s="3">
        <f>ROUND(MIN(IF(C3085="Técnico III",35,IF(C3085="Técnico II",28,IF(C3085="Técnico I",23,IF(C3085="JR",20,IF(C3085="Estágio",10,0))))),IF(C3085="Técnico III",SUMIFS($D:$D,$A:$A,$A3085,$B:$B,"&lt;&gt;Patrícia Karla de Sousa Araújo",$B:$B,"&lt;&gt;Lorena Dias de Araujo",$B:$B,"&lt;&gt;Lucas Luiz Romero")*(35/1083),IF(C3085="Técnico II",SUMIFS($D:$D,$A:$A,$A3085,$B:$B,"&lt;&gt;Patrícia Karla de Sousa Araújo",$B:$B,"&lt;&gt;Lorena Dias de Araujo",$B:$B,"&lt;&gt;Lucas Luiz Romero")*(28/1083),IF(C3085="Técnico I",SUMIFS($D:$D,$A:$A,$A3085,$B:$B,"&lt;&gt;Patrícia Karla de Sousa Araújo",$B:$B,"&lt;&gt;Lorena Dias de Araujo",$B:$B,"&lt;&gt;Lucas Luiz Romero")*(23/1083),IF(C3085="JR",SUMIFS($D:$D,$A:$A,$A3085,$B:$B,"&lt;&gt;Patrícia Karla de Sousa Araújo",$B:$B,"&lt;&gt;Lorena Dias de Araujo",$B:$B,"&lt;&gt;Lucas Luiz Romero")*(20/1083),IF(C3085="Estágio",SUMIFS($D:$D,$A:$A,$A3085,$B:$B,"&lt;&gt;Patrícia Karla de Sousa Araújo",$B:$B,"&lt;&gt;Lorena Dias de Araujo",$B:$B,"&lt;&gt;Lucas Luiz Romero")*(10/1083),0)))))),0)</f>
        <v/>
      </c>
      <c r="K3085" s="3">
        <f>I3085-J3085</f>
        <v/>
      </c>
      <c r="L3085" s="3">
        <f>IF(K3085&lt;-5,"CRÍTICO",IF(K3085&lt;0,"ATENÇÃO",IF(K3085&lt;=5,"OPORTUNO","MUITO BOM")))</f>
        <v/>
      </c>
      <c r="M3085" t="n">
        <v>7</v>
      </c>
      <c r="N3085" t="n">
        <v>98.31</v>
      </c>
      <c r="O3085" t="n">
        <v>24.92012779552715</v>
      </c>
    </row>
    <row r="3086" hidden="1">
      <c r="A3086" s="11" t="n">
        <v>46098</v>
      </c>
      <c r="B3086" t="inlineStr">
        <is>
          <t>Kerollen Cristielly de Jesus Siqueira</t>
        </is>
      </c>
      <c r="C3086" t="inlineStr">
        <is>
          <t>Técnico III</t>
        </is>
      </c>
      <c r="D3086" t="n">
        <v>1</v>
      </c>
      <c r="E3086" t="n">
        <v>1</v>
      </c>
      <c r="F3086" t="n">
        <v>10.12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M3086" t="n">
        <v>2</v>
      </c>
      <c r="N3086" t="n">
        <v>96.81</v>
      </c>
      <c r="O3086" t="n">
        <v>32.36514522821577</v>
      </c>
    </row>
    <row r="3087" hidden="1">
      <c r="A3087" s="11" t="n">
        <v>46098</v>
      </c>
      <c r="B3087" t="inlineStr">
        <is>
          <t>Leandro de Souza Silva</t>
        </is>
      </c>
      <c r="C3087" t="inlineStr">
        <is>
          <t>JR</t>
        </is>
      </c>
      <c r="D3087" t="n">
        <v>10</v>
      </c>
      <c r="E3087" t="n">
        <v>9</v>
      </c>
      <c r="F3087" t="n">
        <v>35.33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M3087" t="n">
        <v>8</v>
      </c>
      <c r="N3087" t="n">
        <v>100</v>
      </c>
      <c r="O3087" t="n">
        <v>26.47058823529412</v>
      </c>
    </row>
    <row r="3088" hidden="1">
      <c r="A3088" s="11" t="n">
        <v>46098</v>
      </c>
      <c r="B3088" t="inlineStr">
        <is>
          <t>Leandro Oliveira de Sousa</t>
        </is>
      </c>
      <c r="C3088" t="inlineStr">
        <is>
          <t>Técnico III</t>
        </is>
      </c>
      <c r="D3088" t="n">
        <v>18</v>
      </c>
      <c r="E3088" t="n">
        <v>18</v>
      </c>
      <c r="F3088" t="n">
        <v>25.22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M3088" t="n">
        <v>16</v>
      </c>
      <c r="N3088" t="n">
        <v>100</v>
      </c>
      <c r="O3088" t="n">
        <v>28.49002849002849</v>
      </c>
    </row>
    <row r="3089" hidden="1">
      <c r="A3089" s="11" t="n">
        <v>46098</v>
      </c>
      <c r="B3089" t="inlineStr">
        <is>
          <t>Lizandra Gomes Duarte</t>
        </is>
      </c>
      <c r="C3089" t="inlineStr">
        <is>
          <t>Técnico II</t>
        </is>
      </c>
      <c r="D3089" t="n">
        <v>38</v>
      </c>
      <c r="E3089" t="n">
        <v>36</v>
      </c>
      <c r="F3089" t="n">
        <v>20.03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M3089" t="n">
        <v>40</v>
      </c>
      <c r="N3089" t="n">
        <v>99.14</v>
      </c>
      <c r="O3089" t="n">
        <v>27.2289156626506</v>
      </c>
    </row>
    <row r="3090" hidden="1">
      <c r="A3090" s="11" t="n">
        <v>46098</v>
      </c>
      <c r="B3090" t="inlineStr">
        <is>
          <t>Lorena Dias de Araujo</t>
        </is>
      </c>
      <c r="C3090" t="inlineStr">
        <is>
          <t>Técnico II</t>
        </is>
      </c>
      <c r="D3090" t="n">
        <v>22</v>
      </c>
      <c r="E3090" t="n">
        <v>21</v>
      </c>
      <c r="F3090" t="n">
        <v>23.56</v>
      </c>
      <c r="G3090" t="n">
        <v>0</v>
      </c>
      <c r="H3090" t="n">
        <v>0</v>
      </c>
      <c r="I3090" s="3" t="n">
        <v>0</v>
      </c>
      <c r="J3090" s="3" t="n">
        <v>0</v>
      </c>
      <c r="K3090" s="3" t="n">
        <v>0</v>
      </c>
      <c r="L3090" s="3">
        <f>IF(K3090&lt;-5,"CRÍTICO",IF(K3090&lt;0,"ATENÇÃO",IF(K3090&lt;=5,"OPORTUNO","MUITO BOM")))</f>
        <v/>
      </c>
      <c r="M3090" t="n">
        <v>22</v>
      </c>
      <c r="N3090" t="n">
        <v>97.52</v>
      </c>
      <c r="O3090" t="n">
        <v>28.2051282051282</v>
      </c>
    </row>
    <row r="3091" hidden="1">
      <c r="A3091" s="11" t="n">
        <v>46098</v>
      </c>
      <c r="B3091" t="inlineStr">
        <is>
          <t>Lucas Luiz Romero</t>
        </is>
      </c>
      <c r="C3091" t="inlineStr">
        <is>
          <t>Técnico III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M3091" t="n">
        <v>0</v>
      </c>
      <c r="N3091" t="n">
        <v>90</v>
      </c>
      <c r="O3091" t="n">
        <v>24.18604651162791</v>
      </c>
    </row>
    <row r="3092" hidden="1">
      <c r="A3092" s="11" t="n">
        <v>46098</v>
      </c>
      <c r="B3092" t="inlineStr">
        <is>
          <t>Luiz Fernando de Carvalho Junior</t>
        </is>
      </c>
      <c r="C3092" t="inlineStr">
        <is>
          <t>Técnico I</t>
        </is>
      </c>
      <c r="D3092" t="n">
        <v>16</v>
      </c>
      <c r="E3092" t="n">
        <v>16</v>
      </c>
      <c r="F3092" t="n">
        <v>33.57</v>
      </c>
      <c r="G3092" t="n">
        <v>0</v>
      </c>
      <c r="H3092" t="n">
        <v>0</v>
      </c>
      <c r="I3092" s="3">
        <f>E3092+G3092+H3092</f>
        <v/>
      </c>
      <c r="J3092" s="3">
        <f>ROUND(MIN(IF(C3092="Técnico III",35,IF(C3092="Técnico II",28,IF(C3092="Técnico I",23,IF(C3092="JR",20,IF(C3092="Estágio",10,0))))),IF(C3092="Técnico III",SUMIFS($D:$D,$A:$A,$A3092,$B:$B,"&lt;&gt;Patrícia Karla de Sousa Araújo",$B:$B,"&lt;&gt;Lorena Dias de Araujo",$B:$B,"&lt;&gt;Lucas Luiz Romero")*(35/1083),IF(C3092="Técnico II",SUMIFS($D:$D,$A:$A,$A3092,$B:$B,"&lt;&gt;Patrícia Karla de Sousa Araújo",$B:$B,"&lt;&gt;Lorena Dias de Araujo",$B:$B,"&lt;&gt;Lucas Luiz Romero")*(28/1083),IF(C3092="Técnico I",SUMIFS($D:$D,$A:$A,$A3092,$B:$B,"&lt;&gt;Patrícia Karla de Sousa Araújo",$B:$B,"&lt;&gt;Lorena Dias de Araujo",$B:$B,"&lt;&gt;Lucas Luiz Romero")*(23/1083),IF(C3092="JR",SUMIFS($D:$D,$A:$A,$A3092,$B:$B,"&lt;&gt;Patrícia Karla de Sousa Araújo",$B:$B,"&lt;&gt;Lorena Dias de Araujo",$B:$B,"&lt;&gt;Lucas Luiz Romero")*(20/1083),IF(C3092="Estágio",SUMIFS($D:$D,$A:$A,$A3092,$B:$B,"&lt;&gt;Patrícia Karla de Sousa Araújo",$B:$B,"&lt;&gt;Lorena Dias de Araujo",$B:$B,"&lt;&gt;Lucas Luiz Romero")*(10/1083),0)))))),0)</f>
        <v/>
      </c>
      <c r="K3092" s="3">
        <f>I3092-J3092</f>
        <v/>
      </c>
      <c r="L3092" s="3">
        <f>IF(K3092&lt;-5,"CRÍTICO",IF(K3092&lt;0,"ATENÇÃO",IF(K3092&lt;=5,"OPORTUNO","MUITO BOM")))</f>
        <v/>
      </c>
      <c r="M3092" t="n">
        <v>16</v>
      </c>
      <c r="N3092" t="n">
        <v>98.90000000000001</v>
      </c>
      <c r="O3092" t="n">
        <v>26.7639902676399</v>
      </c>
    </row>
    <row r="3093" hidden="1">
      <c r="A3093" s="11" t="n">
        <v>46098</v>
      </c>
      <c r="B3093" t="inlineStr">
        <is>
          <t>Maria Eduarda Sousa Costa</t>
        </is>
      </c>
      <c r="C3093" t="inlineStr">
        <is>
          <t>Estágio</t>
        </is>
      </c>
      <c r="D3093" t="n">
        <v>8</v>
      </c>
      <c r="E3093" t="n">
        <v>8</v>
      </c>
      <c r="F3093" t="n">
        <v>38.31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M3093" t="n">
        <v>7</v>
      </c>
      <c r="N3093" t="n">
        <v>88.89</v>
      </c>
      <c r="O3093" t="n">
        <v>25.26315789473684</v>
      </c>
    </row>
    <row r="3094" hidden="1">
      <c r="A3094" s="11" t="n">
        <v>46098</v>
      </c>
      <c r="B3094" t="inlineStr">
        <is>
          <t>Matheus Farias De Souza</t>
        </is>
      </c>
      <c r="C3094" t="inlineStr">
        <is>
          <t>Técnico III</t>
        </is>
      </c>
      <c r="D3094" t="n">
        <v>34</v>
      </c>
      <c r="E3094" t="n">
        <v>32</v>
      </c>
      <c r="F3094" t="n">
        <v>17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M3094" t="n">
        <v>30</v>
      </c>
      <c r="N3094" t="n">
        <v>98.86</v>
      </c>
      <c r="O3094" t="n">
        <v>28.95927601809955</v>
      </c>
    </row>
    <row r="3095" hidden="1">
      <c r="A3095" s="11" t="n">
        <v>46098</v>
      </c>
      <c r="B3095" t="inlineStr">
        <is>
          <t>Maysa Victoria Dias Moura</t>
        </is>
      </c>
      <c r="C3095" t="inlineStr">
        <is>
          <t>Técnico III</t>
        </is>
      </c>
      <c r="D3095" t="n">
        <v>2</v>
      </c>
      <c r="E3095" t="n">
        <v>2</v>
      </c>
      <c r="F3095" t="n">
        <v>5.24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M3095" t="n">
        <v>1</v>
      </c>
      <c r="N3095" t="n">
        <v>98.06</v>
      </c>
      <c r="O3095" t="n">
        <v>22.40566037735849</v>
      </c>
    </row>
    <row r="3096" hidden="1">
      <c r="A3096" s="11" t="n">
        <v>46098</v>
      </c>
      <c r="B3096" t="inlineStr">
        <is>
          <t>Michelle G Santos</t>
        </is>
      </c>
      <c r="C3096" t="inlineStr">
        <is>
          <t>Estágio</t>
        </is>
      </c>
      <c r="D3096" t="n">
        <v>0</v>
      </c>
      <c r="E3096" t="n">
        <v>0</v>
      </c>
      <c r="F3096" t="n">
        <v>0</v>
      </c>
      <c r="G3096" t="n">
        <v>0</v>
      </c>
      <c r="H3096" t="n">
        <v>0</v>
      </c>
      <c r="I3096" s="3" t="n">
        <v>0</v>
      </c>
      <c r="J3096" s="3" t="n">
        <v>0</v>
      </c>
      <c r="K3096" s="3" t="n">
        <v>0</v>
      </c>
      <c r="L3096" s="3">
        <f>IF(K3096&lt;-5,"CRÍTICO",IF(K3096&lt;0,"ATENÇÃO",IF(K3096&lt;=5,"OPORTUNO","MUITO BOM")))</f>
        <v/>
      </c>
      <c r="M3096" t="n">
        <v>0</v>
      </c>
      <c r="N3096" t="n">
        <v>95.83</v>
      </c>
      <c r="O3096" t="n">
        <v>25.77319587628866</v>
      </c>
    </row>
    <row r="3097" hidden="1">
      <c r="A3097" s="11" t="n">
        <v>46098</v>
      </c>
      <c r="B3097" t="inlineStr">
        <is>
          <t>Milena Sales</t>
        </is>
      </c>
      <c r="C3097" t="inlineStr">
        <is>
          <t>JR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M3097" t="n">
        <v>0</v>
      </c>
      <c r="N3097" t="n">
        <v>100</v>
      </c>
      <c r="O3097" t="n">
        <v>15.38461538461539</v>
      </c>
    </row>
    <row r="3098" hidden="1">
      <c r="A3098" s="11" t="n">
        <v>46098</v>
      </c>
      <c r="B3098" t="inlineStr">
        <is>
          <t>Patrícia Karla de Sousa Araújo</t>
        </is>
      </c>
      <c r="C3098" t="inlineStr">
        <is>
          <t>Técnico II</t>
        </is>
      </c>
      <c r="D3098" t="n">
        <v>36</v>
      </c>
      <c r="E3098" t="n">
        <v>33</v>
      </c>
      <c r="F3098" t="n">
        <v>18.33</v>
      </c>
      <c r="G3098" t="n">
        <v>0</v>
      </c>
      <c r="H3098" t="n">
        <v>0</v>
      </c>
      <c r="I3098" s="3">
        <f>E3098+G3098+H3098</f>
        <v/>
      </c>
      <c r="J3098" s="3">
        <f>ROUND(MIN(IF(C3098="Técnico III",35,IF(C3098="Técnico II",28,IF(C3098="Técnico I",23,IF(C3098="JR",20,IF(C3098="Estágio",10,0))))),IF(C3098="Técnico III",SUMIFS($D:$D,$A:$A,$A3098,$B:$B,"&lt;&gt;Patrícia Karla de Sousa Araújo",$B:$B,"&lt;&gt;Lorena Dias de Araujo",$B:$B,"&lt;&gt;Lucas Luiz Romero")*(35/1083),IF(C3098="Técnico II",SUMIFS($D:$D,$A:$A,$A3098,$B:$B,"&lt;&gt;Patrícia Karla de Sousa Araújo",$B:$B,"&lt;&gt;Lorena Dias de Araujo",$B:$B,"&lt;&gt;Lucas Luiz Romero")*(28/1083),IF(C3098="Técnico I",SUMIFS($D:$D,$A:$A,$A3098,$B:$B,"&lt;&gt;Patrícia Karla de Sousa Araújo",$B:$B,"&lt;&gt;Lorena Dias de Araujo",$B:$B,"&lt;&gt;Lucas Luiz Romero")*(23/1083),IF(C3098="JR",SUMIFS($D:$D,$A:$A,$A3098,$B:$B,"&lt;&gt;Patrícia Karla de Sousa Araújo",$B:$B,"&lt;&gt;Lorena Dias de Araujo",$B:$B,"&lt;&gt;Lucas Luiz Romero")*(20/1083),IF(C3098="Estágio",SUMIFS($D:$D,$A:$A,$A3098,$B:$B,"&lt;&gt;Patrícia Karla de Sousa Araújo",$B:$B,"&lt;&gt;Lorena Dias de Araujo",$B:$B,"&lt;&gt;Lucas Luiz Romero")*(10/1083),0)))))),0)</f>
        <v/>
      </c>
      <c r="K3098" s="3">
        <f>I3098-J3098</f>
        <v/>
      </c>
      <c r="L3098" s="3">
        <f>IF(K3098&lt;-5,"CRÍTICO",IF(K3098&lt;0,"ATENÇÃO",IF(K3098&lt;=5,"OPORTUNO","MUITO BOM")))</f>
        <v/>
      </c>
      <c r="M3098" t="n">
        <v>29</v>
      </c>
      <c r="N3098" t="n">
        <v>100</v>
      </c>
      <c r="O3098" t="n">
        <v>27.51479289940828</v>
      </c>
    </row>
    <row r="3099" hidden="1">
      <c r="A3099" s="11" t="n">
        <v>46098</v>
      </c>
      <c r="B3099" t="inlineStr">
        <is>
          <t>Paulo Ricardo Santos</t>
        </is>
      </c>
      <c r="C3099" t="inlineStr">
        <is>
          <t>JR</t>
        </is>
      </c>
      <c r="D3099" t="n">
        <v>14</v>
      </c>
      <c r="E3099" t="n">
        <v>14</v>
      </c>
      <c r="F3099" t="n">
        <v>25.2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M3099" t="n">
        <v>11</v>
      </c>
      <c r="N3099" t="n">
        <v>100</v>
      </c>
      <c r="O3099" t="n">
        <v>24.87562189054727</v>
      </c>
    </row>
    <row r="3100" hidden="1">
      <c r="A3100" s="11" t="n">
        <v>46098</v>
      </c>
      <c r="B3100" t="inlineStr">
        <is>
          <t>Pedro Luiz Mota Sousa</t>
        </is>
      </c>
      <c r="C3100" t="inlineStr">
        <is>
          <t>JR</t>
        </is>
      </c>
      <c r="D3100" t="n">
        <v>16</v>
      </c>
      <c r="E3100" t="n">
        <v>15</v>
      </c>
      <c r="F3100" t="n">
        <v>33.22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M3100" t="n">
        <v>12</v>
      </c>
      <c r="N3100" t="n">
        <v>100</v>
      </c>
      <c r="O3100" t="n">
        <v>28.10810810810811</v>
      </c>
    </row>
    <row r="3101" hidden="1">
      <c r="A3101" s="11" t="n">
        <v>46098</v>
      </c>
      <c r="B3101" t="inlineStr">
        <is>
          <t>Quirino Diogo Leite Torres</t>
        </is>
      </c>
      <c r="C3101" t="inlineStr">
        <is>
          <t>Estágio</t>
        </is>
      </c>
      <c r="D3101" t="n">
        <v>0</v>
      </c>
      <c r="E3101" t="n">
        <v>0</v>
      </c>
      <c r="F3101" t="n">
        <v>0</v>
      </c>
      <c r="G3101" t="n">
        <v>0</v>
      </c>
      <c r="H3101" t="n">
        <v>0</v>
      </c>
      <c r="I3101" s="3" t="n">
        <v>0</v>
      </c>
      <c r="J3101" s="3" t="n">
        <v>0</v>
      </c>
      <c r="K3101" s="3" t="n">
        <v>0</v>
      </c>
      <c r="L3101" s="3">
        <f>IF(K3101&lt;-5,"CRÍTICO",IF(K3101&lt;0,"ATENÇÃO",IF(K3101&lt;=5,"OPORTUNO","MUITO BOM")))</f>
        <v/>
      </c>
      <c r="M3101" t="n">
        <v>0</v>
      </c>
      <c r="N3101" t="n">
        <v>100</v>
      </c>
      <c r="O3101" t="n">
        <v>35</v>
      </c>
    </row>
    <row r="3102" hidden="1">
      <c r="A3102" s="11" t="n">
        <v>46098</v>
      </c>
      <c r="B3102" t="inlineStr">
        <is>
          <t>Raane Batista Matos</t>
        </is>
      </c>
      <c r="C3102" t="inlineStr">
        <is>
          <t>Técnico I</t>
        </is>
      </c>
      <c r="D3102" t="n">
        <v>19</v>
      </c>
      <c r="E3102" t="n">
        <v>19</v>
      </c>
      <c r="F3102" t="n">
        <v>33.4</v>
      </c>
      <c r="G3102" t="n">
        <v>0</v>
      </c>
      <c r="H3102" t="n">
        <v>0</v>
      </c>
      <c r="I3102" s="3">
        <f>E3102+G3102+H3102</f>
        <v/>
      </c>
      <c r="J3102" s="3">
        <f>ROUND(MIN(IF(C3102="Técnico III",35,IF(C3102="Técnico II",28,IF(C3102="Técnico I",23,IF(C3102="JR",20,IF(C3102="Estágio",10,0))))),IF(C3102="Técnico III",SUMIFS($D:$D,$A:$A,$A3102,$B:$B,"&lt;&gt;Patrícia Karla de Sousa Araújo",$B:$B,"&lt;&gt;Lorena Dias de Araujo",$B:$B,"&lt;&gt;Lucas Luiz Romero")*(35/1083),IF(C3102="Técnico II",SUMIFS($D:$D,$A:$A,$A3102,$B:$B,"&lt;&gt;Patrícia Karla de Sousa Araújo",$B:$B,"&lt;&gt;Lorena Dias de Araujo",$B:$B,"&lt;&gt;Lucas Luiz Romero")*(28/1083),IF(C3102="Técnico I",SUMIFS($D:$D,$A:$A,$A3102,$B:$B,"&lt;&gt;Patrícia Karla de Sousa Araújo",$B:$B,"&lt;&gt;Lorena Dias de Araujo",$B:$B,"&lt;&gt;Lucas Luiz Romero")*(23/1083),IF(C3102="JR",SUMIFS($D:$D,$A:$A,$A3102,$B:$B,"&lt;&gt;Patrícia Karla de Sousa Araújo",$B:$B,"&lt;&gt;Lorena Dias de Araujo",$B:$B,"&lt;&gt;Lucas Luiz Romero")*(20/1083),IF(C3102="Estágio",SUMIFS($D:$D,$A:$A,$A3102,$B:$B,"&lt;&gt;Patrícia Karla de Sousa Araújo",$B:$B,"&lt;&gt;Lorena Dias de Araujo",$B:$B,"&lt;&gt;Lucas Luiz Romero")*(10/1083),0)))))),0)</f>
        <v/>
      </c>
      <c r="K3102" s="3">
        <f>I3102-J3102</f>
        <v/>
      </c>
      <c r="L3102" s="3">
        <f>IF(K3102&lt;-5,"CRÍTICO",IF(K3102&lt;0,"ATENÇÃO",IF(K3102&lt;=5,"OPORTUNO","MUITO BOM")))</f>
        <v/>
      </c>
      <c r="M3102" t="n">
        <v>14</v>
      </c>
      <c r="N3102" t="n">
        <v>95.34999999999999</v>
      </c>
      <c r="O3102" t="n">
        <v>28.61538461538461</v>
      </c>
    </row>
    <row r="3103" hidden="1">
      <c r="A3103" s="11" t="n">
        <v>46098</v>
      </c>
      <c r="B3103" t="inlineStr">
        <is>
          <t>Rafael Gomes de Morais</t>
        </is>
      </c>
      <c r="C3103" t="inlineStr">
        <is>
          <t>Técnico III</t>
        </is>
      </c>
      <c r="D3103" t="n">
        <v>37</v>
      </c>
      <c r="E3103" t="n">
        <v>37</v>
      </c>
      <c r="F3103" t="n">
        <v>15.07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M3103" t="n">
        <v>27</v>
      </c>
      <c r="N3103" t="n">
        <v>98.26000000000001</v>
      </c>
      <c r="O3103" t="n">
        <v>27.54491017964072</v>
      </c>
    </row>
    <row r="3104" hidden="1">
      <c r="A3104" s="11" t="n">
        <v>46098</v>
      </c>
      <c r="B3104" t="inlineStr">
        <is>
          <t>Sara Maria Monteiro Lopes</t>
        </is>
      </c>
      <c r="C3104" t="inlineStr">
        <is>
          <t>Técnico I</t>
        </is>
      </c>
      <c r="D3104" t="n">
        <v>10</v>
      </c>
      <c r="E3104" t="n">
        <v>10</v>
      </c>
      <c r="F3104" t="n">
        <v>48.4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M3104" t="n">
        <v>10</v>
      </c>
      <c r="N3104" t="n">
        <v>98.55</v>
      </c>
      <c r="O3104" t="n">
        <v>25.33783783783784</v>
      </c>
    </row>
    <row r="3105" hidden="1">
      <c r="A3105" s="11" t="n">
        <v>46098</v>
      </c>
      <c r="B3105" t="inlineStr">
        <is>
          <t>Sarah Steffanie de Lima Borges</t>
        </is>
      </c>
      <c r="C3105" t="inlineStr">
        <is>
          <t>Técnico III</t>
        </is>
      </c>
      <c r="D3105" t="n">
        <v>27</v>
      </c>
      <c r="E3105" t="n">
        <v>26</v>
      </c>
      <c r="F3105" t="n">
        <v>21.43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M3105" t="n">
        <v>23</v>
      </c>
      <c r="N3105" t="n">
        <v>98.39</v>
      </c>
      <c r="O3105" t="n">
        <v>25.56390977443609</v>
      </c>
    </row>
    <row r="3106" hidden="1">
      <c r="A3106" s="11" t="n">
        <v>46099</v>
      </c>
      <c r="B3106" t="inlineStr">
        <is>
          <t>Alisson de Freitas Silva</t>
        </is>
      </c>
      <c r="C3106" t="inlineStr">
        <is>
          <t>Técnico II</t>
        </is>
      </c>
      <c r="D3106" t="n">
        <v>25</v>
      </c>
      <c r="E3106" t="n">
        <v>24</v>
      </c>
      <c r="F3106" t="n">
        <v>18.42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M3106" t="n">
        <v>18</v>
      </c>
      <c r="N3106" t="n">
        <v>94.29000000000001</v>
      </c>
      <c r="O3106" t="n">
        <v>25.64766839378239</v>
      </c>
    </row>
    <row r="3107" hidden="1">
      <c r="A3107" s="11" t="n">
        <v>46099</v>
      </c>
      <c r="B3107" t="inlineStr">
        <is>
          <t>Amanda Moura Ferreira</t>
        </is>
      </c>
      <c r="C3107" t="inlineStr">
        <is>
          <t>Técnico III</t>
        </is>
      </c>
      <c r="D3107" t="n">
        <v>0</v>
      </c>
      <c r="E3107" t="n">
        <v>0</v>
      </c>
      <c r="F3107" t="n">
        <v>0</v>
      </c>
      <c r="G3107" t="n">
        <v>0</v>
      </c>
      <c r="H3107" t="n">
        <v>0</v>
      </c>
      <c r="I3107" s="3" t="n">
        <v>0</v>
      </c>
      <c r="J3107" s="3" t="n">
        <v>0</v>
      </c>
      <c r="K3107" s="3" t="n">
        <v>0</v>
      </c>
      <c r="L3107" s="3">
        <f>IF(K3107&lt;-5,"CRÍTICO",IF(K3107&lt;0,"ATENÇÃO",IF(K3107&lt;=5,"OPORTUNO","MUITO BOM")))</f>
        <v/>
      </c>
      <c r="M3107" t="n">
        <v>24</v>
      </c>
      <c r="N3107" t="n">
        <v>98.26000000000001</v>
      </c>
      <c r="O3107" t="n">
        <v>26.66666666666667</v>
      </c>
    </row>
    <row r="3108" hidden="1">
      <c r="A3108" s="11" t="n">
        <v>46099</v>
      </c>
      <c r="B3108" t="inlineStr">
        <is>
          <t>Ana Karollyne Souza Faria</t>
        </is>
      </c>
      <c r="C3108" t="inlineStr">
        <is>
          <t>Técnico I</t>
        </is>
      </c>
      <c r="D3108" t="n">
        <v>7</v>
      </c>
      <c r="E3108" t="n">
        <v>7</v>
      </c>
      <c r="F3108" t="n">
        <v>36.57</v>
      </c>
      <c r="G3108" t="n">
        <v>0</v>
      </c>
      <c r="H3108" t="n">
        <v>0</v>
      </c>
      <c r="I3108" s="3">
        <f>E3108+G3108+H3108</f>
        <v/>
      </c>
      <c r="J3108" s="3">
        <f>ROUND(MIN(IF(C3108="Técnico III",35,IF(C3108="Técnico II",28,IF(C3108="Técnico I",23,IF(C3108="JR",20,IF(C3108="Estágio",10,0))))),IF(C3108="Técnico III",SUMIFS($D:$D,$A:$A,$A3108,$B:$B,"&lt;&gt;Patrícia Karla de Sousa Araújo",$B:$B,"&lt;&gt;Lorena Dias de Araujo",$B:$B,"&lt;&gt;Lucas Luiz Romero")*(35/1083),IF(C3108="Técnico II",SUMIFS($D:$D,$A:$A,$A3108,$B:$B,"&lt;&gt;Patrícia Karla de Sousa Araújo",$B:$B,"&lt;&gt;Lorena Dias de Araujo",$B:$B,"&lt;&gt;Lucas Luiz Romero")*(28/1083),IF(C3108="Técnico I",SUMIFS($D:$D,$A:$A,$A3108,$B:$B,"&lt;&gt;Patrícia Karla de Sousa Araújo",$B:$B,"&lt;&gt;Lorena Dias de Araujo",$B:$B,"&lt;&gt;Lucas Luiz Romero")*(23/1083),IF(C3108="JR",SUMIFS($D:$D,$A:$A,$A3108,$B:$B,"&lt;&gt;Patrícia Karla de Sousa Araújo",$B:$B,"&lt;&gt;Lorena Dias de Araujo",$B:$B,"&lt;&gt;Lucas Luiz Romero")*(20/1083),IF(C3108="Estágio",SUMIFS($D:$D,$A:$A,$A3108,$B:$B,"&lt;&gt;Patrícia Karla de Sousa Araújo",$B:$B,"&lt;&gt;Lorena Dias de Araujo",$B:$B,"&lt;&gt;Lucas Luiz Romero")*(10/1083),0)))))),0)</f>
        <v/>
      </c>
      <c r="K3108" s="3">
        <f>I3108-J3108</f>
        <v/>
      </c>
      <c r="L3108" s="3">
        <f>IF(K3108&lt;-5,"CRÍTICO",IF(K3108&lt;0,"ATENÇÃO",IF(K3108&lt;=5,"OPORTUNO","MUITO BOM")))</f>
        <v/>
      </c>
      <c r="M3108" t="n">
        <v>9</v>
      </c>
      <c r="N3108" t="n">
        <v>98.2</v>
      </c>
      <c r="O3108" t="n">
        <v>23.37962962962963</v>
      </c>
    </row>
    <row r="3109" hidden="1">
      <c r="A3109" s="11" t="n">
        <v>46099</v>
      </c>
      <c r="B3109" t="inlineStr">
        <is>
          <t>Ana Paula Da Luz Silva Aleixo</t>
        </is>
      </c>
      <c r="C3109" t="inlineStr">
        <is>
          <t>Técnico III</t>
        </is>
      </c>
      <c r="D3109" t="n">
        <v>28</v>
      </c>
      <c r="E3109" t="n">
        <v>28</v>
      </c>
      <c r="F3109" t="n">
        <v>20.21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M3109" t="n">
        <v>25</v>
      </c>
      <c r="N3109" t="n">
        <v>97.3</v>
      </c>
      <c r="O3109" t="n">
        <v>23.84769539078156</v>
      </c>
    </row>
    <row r="3110" hidden="1">
      <c r="A3110" s="11" t="n">
        <v>46099</v>
      </c>
      <c r="B3110" t="inlineStr">
        <is>
          <t>Anna Luiza Rezende Tavares</t>
        </is>
      </c>
      <c r="C3110" t="inlineStr">
        <is>
          <t>Estágio</t>
        </is>
      </c>
      <c r="D3110" t="n">
        <v>8</v>
      </c>
      <c r="E3110" t="n">
        <v>8</v>
      </c>
      <c r="F3110" t="n">
        <v>45.29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M3110" t="n">
        <v>5</v>
      </c>
      <c r="N3110" t="n">
        <v>100</v>
      </c>
      <c r="O3110" t="n">
        <v>25.26881720430108</v>
      </c>
    </row>
    <row r="3111" hidden="1">
      <c r="A3111" s="11" t="n">
        <v>46099</v>
      </c>
      <c r="B3111" t="inlineStr">
        <is>
          <t>Brenda de Menezes Silva</t>
        </is>
      </c>
      <c r="C3111" t="inlineStr">
        <is>
          <t>Técnico II</t>
        </is>
      </c>
      <c r="D3111" t="n">
        <v>31</v>
      </c>
      <c r="E3111" t="n">
        <v>26</v>
      </c>
      <c r="F3111" t="n">
        <v>18.32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M3111" t="n">
        <v>24</v>
      </c>
      <c r="N3111" t="n">
        <v>99.31999999999999</v>
      </c>
      <c r="O3111" t="n">
        <v>22.82282282282282</v>
      </c>
    </row>
    <row r="3112" hidden="1">
      <c r="A3112" s="11" t="n">
        <v>46099</v>
      </c>
      <c r="B3112" t="inlineStr">
        <is>
          <t>Carlos Mateus Cassimiro Nunes</t>
        </is>
      </c>
      <c r="C3112" t="inlineStr">
        <is>
          <t>Técnico II</t>
        </is>
      </c>
      <c r="D3112" t="n">
        <v>17</v>
      </c>
      <c r="E3112" t="n">
        <v>16</v>
      </c>
      <c r="F3112" t="n">
        <v>18.24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M3112" t="n">
        <v>16</v>
      </c>
      <c r="N3112" t="n">
        <v>100</v>
      </c>
      <c r="O3112" t="n">
        <v>27.96610169491525</v>
      </c>
    </row>
    <row r="3113" hidden="1">
      <c r="A3113" s="11" t="n">
        <v>46099</v>
      </c>
      <c r="B3113" t="inlineStr">
        <is>
          <t>Claudio de Sousa Velasco Filho</t>
        </is>
      </c>
      <c r="C3113" t="inlineStr">
        <is>
          <t>Estágio</t>
        </is>
      </c>
      <c r="D3113" t="n">
        <v>0</v>
      </c>
      <c r="E3113" t="n">
        <v>0</v>
      </c>
      <c r="F3113" t="n">
        <v>0</v>
      </c>
      <c r="G3113" t="n">
        <v>0</v>
      </c>
      <c r="H3113" t="n">
        <v>0</v>
      </c>
      <c r="I3113" s="3" t="n">
        <v>0</v>
      </c>
      <c r="J3113" s="3" t="n">
        <v>0</v>
      </c>
      <c r="K3113" s="3" t="n">
        <v>0</v>
      </c>
      <c r="L3113" s="3">
        <f>IF(K3113&lt;-5,"CRÍTICO",IF(K3113&lt;0,"ATENÇÃO",IF(K3113&lt;=5,"OPORTUNO","MUITO BOM")))</f>
        <v/>
      </c>
      <c r="M3113" t="n">
        <v>0</v>
      </c>
      <c r="N3113" t="n">
        <v>100</v>
      </c>
      <c r="O3113" t="n">
        <v>30.43478260869566</v>
      </c>
    </row>
    <row r="3114" hidden="1">
      <c r="A3114" s="11" t="n">
        <v>46099</v>
      </c>
      <c r="B3114" t="inlineStr">
        <is>
          <t>Clessiane Pereira dos Santos</t>
        </is>
      </c>
      <c r="C3114" t="inlineStr">
        <is>
          <t>Técnico I</t>
        </is>
      </c>
      <c r="D3114" t="n">
        <v>19</v>
      </c>
      <c r="E3114" t="n">
        <v>19</v>
      </c>
      <c r="F3114" t="n">
        <v>32.01</v>
      </c>
      <c r="G3114" t="n">
        <v>0</v>
      </c>
      <c r="H3114" t="n">
        <v>0</v>
      </c>
      <c r="I3114" s="3">
        <f>E3114+G3114+H3114</f>
        <v/>
      </c>
      <c r="J3114" s="3">
        <f>ROUND(MIN(IF(C3114="Técnico III",35,IF(C3114="Técnico II",28,IF(C3114="Técnico I",23,IF(C3114="JR",20,IF(C3114="Estágio",10,0))))),IF(C3114="Técnico III",SUMIFS($D:$D,$A:$A,$A3114,$B:$B,"&lt;&gt;Patrícia Karla de Sousa Araújo",$B:$B,"&lt;&gt;Lorena Dias de Araujo",$B:$B,"&lt;&gt;Lucas Luiz Romero")*(35/1083),IF(C3114="Técnico II",SUMIFS($D:$D,$A:$A,$A3114,$B:$B,"&lt;&gt;Patrícia Karla de Sousa Araújo",$B:$B,"&lt;&gt;Lorena Dias de Araujo",$B:$B,"&lt;&gt;Lucas Luiz Romero")*(28/1083),IF(C3114="Técnico I",SUMIFS($D:$D,$A:$A,$A3114,$B:$B,"&lt;&gt;Patrícia Karla de Sousa Araújo",$B:$B,"&lt;&gt;Lorena Dias de Araujo",$B:$B,"&lt;&gt;Lucas Luiz Romero")*(23/1083),IF(C3114="JR",SUMIFS($D:$D,$A:$A,$A3114,$B:$B,"&lt;&gt;Patrícia Karla de Sousa Araújo",$B:$B,"&lt;&gt;Lorena Dias de Araujo",$B:$B,"&lt;&gt;Lucas Luiz Romero")*(20/1083),IF(C3114="Estágio",SUMIFS($D:$D,$A:$A,$A3114,$B:$B,"&lt;&gt;Patrícia Karla de Sousa Araújo",$B:$B,"&lt;&gt;Lorena Dias de Araujo",$B:$B,"&lt;&gt;Lucas Luiz Romero")*(10/1083),0)))))),0)</f>
        <v/>
      </c>
      <c r="K3114" s="3">
        <f>I3114-J3114</f>
        <v/>
      </c>
      <c r="L3114" s="3">
        <f>IF(K3114&lt;-5,"CRÍTICO",IF(K3114&lt;0,"ATENÇÃO",IF(K3114&lt;=5,"OPORTUNO","MUITO BOM")))</f>
        <v/>
      </c>
      <c r="M3114" t="n">
        <v>14</v>
      </c>
      <c r="N3114" t="n">
        <v>96.51000000000001</v>
      </c>
      <c r="O3114" t="n">
        <v>22.80285035629454</v>
      </c>
    </row>
    <row r="3115" hidden="1">
      <c r="A3115" s="11" t="n">
        <v>46099</v>
      </c>
      <c r="B3115" t="inlineStr">
        <is>
          <t>Cristiane Ramos da Silva Rocha</t>
        </is>
      </c>
      <c r="C3115" t="inlineStr">
        <is>
          <t>Técnico III</t>
        </is>
      </c>
      <c r="D3115" t="n">
        <v>0</v>
      </c>
      <c r="E3115" t="n">
        <v>0</v>
      </c>
      <c r="F3115" t="n">
        <v>0</v>
      </c>
      <c r="G3115" t="n">
        <v>0</v>
      </c>
      <c r="H3115" t="n">
        <v>0</v>
      </c>
      <c r="I3115" s="3" t="n">
        <v>0</v>
      </c>
      <c r="J3115" s="3" t="n">
        <v>0</v>
      </c>
      <c r="K3115" s="3" t="n">
        <v>0</v>
      </c>
      <c r="L3115" s="3">
        <f>IF(K3115&lt;-5,"CRÍTICO",IF(K3115&lt;0,"ATENÇÃO",IF(K3115&lt;=5,"OPORTUNO","MUITO BOM")))</f>
        <v/>
      </c>
      <c r="M3115" t="n">
        <v>9</v>
      </c>
      <c r="N3115" t="n">
        <v>92.68000000000001</v>
      </c>
      <c r="O3115" t="n">
        <v>27.77777777777778</v>
      </c>
    </row>
    <row r="3116" hidden="1">
      <c r="A3116" s="11" t="n">
        <v>46099</v>
      </c>
      <c r="B3116" t="inlineStr">
        <is>
          <t>Damyllis Lorraine de Oliveira Gonçalves</t>
        </is>
      </c>
      <c r="C3116" t="inlineStr">
        <is>
          <t>Técnico II</t>
        </is>
      </c>
      <c r="D3116" t="n">
        <v>25</v>
      </c>
      <c r="E3116" t="n">
        <v>24</v>
      </c>
      <c r="F3116" t="n">
        <v>24.13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M3116" t="n">
        <v>22</v>
      </c>
      <c r="N3116" t="n">
        <v>99.03</v>
      </c>
      <c r="O3116" t="n">
        <v>23.99150743099788</v>
      </c>
    </row>
    <row r="3117" hidden="1">
      <c r="A3117" s="11" t="n">
        <v>46099</v>
      </c>
      <c r="B3117" t="inlineStr">
        <is>
          <t>Daniel Gomes da Silva</t>
        </is>
      </c>
      <c r="C3117" t="inlineStr">
        <is>
          <t>Técnico I</t>
        </is>
      </c>
      <c r="D3117" t="n">
        <v>12</v>
      </c>
      <c r="E3117" t="n">
        <v>12</v>
      </c>
      <c r="F3117" t="n">
        <v>25.21</v>
      </c>
      <c r="G3117" t="n">
        <v>0</v>
      </c>
      <c r="H3117" t="n">
        <v>0</v>
      </c>
      <c r="I3117" s="3">
        <f>E3117+G3117+H3117</f>
        <v/>
      </c>
      <c r="J3117" s="3">
        <f>ROUND(MIN(IF(C3117="Técnico III",35,IF(C3117="Técnico II",28,IF(C3117="Técnico I",23,IF(C3117="JR",20,IF(C3117="Estágio",10,0))))),IF(C3117="Técnico III",SUMIFS($D:$D,$A:$A,$A3117,$B:$B,"&lt;&gt;Patrícia Karla de Sousa Araújo",$B:$B,"&lt;&gt;Lorena Dias de Araujo",$B:$B,"&lt;&gt;Lucas Luiz Romero")*(35/1083),IF(C3117="Técnico II",SUMIFS($D:$D,$A:$A,$A3117,$B:$B,"&lt;&gt;Patrícia Karla de Sousa Araújo",$B:$B,"&lt;&gt;Lorena Dias de Araujo",$B:$B,"&lt;&gt;Lucas Luiz Romero")*(28/1083),IF(C3117="Técnico I",SUMIFS($D:$D,$A:$A,$A3117,$B:$B,"&lt;&gt;Patrícia Karla de Sousa Araújo",$B:$B,"&lt;&gt;Lorena Dias de Araujo",$B:$B,"&lt;&gt;Lucas Luiz Romero")*(23/1083),IF(C3117="JR",SUMIFS($D:$D,$A:$A,$A3117,$B:$B,"&lt;&gt;Patrícia Karla de Sousa Araújo",$B:$B,"&lt;&gt;Lorena Dias de Araujo",$B:$B,"&lt;&gt;Lucas Luiz Romero")*(20/1083),IF(C3117="Estágio",SUMIFS($D:$D,$A:$A,$A3117,$B:$B,"&lt;&gt;Patrícia Karla de Sousa Araújo",$B:$B,"&lt;&gt;Lorena Dias de Araujo",$B:$B,"&lt;&gt;Lucas Luiz Romero")*(10/1083),0)))))),0)</f>
        <v/>
      </c>
      <c r="K3117" s="3">
        <f>I3117-J3117</f>
        <v/>
      </c>
      <c r="L3117" s="3">
        <f>IF(K3117&lt;-5,"CRÍTICO",IF(K3117&lt;0,"ATENÇÃO",IF(K3117&lt;=5,"OPORTUNO","MUITO BOM")))</f>
        <v/>
      </c>
      <c r="M3117" t="n">
        <v>8</v>
      </c>
      <c r="N3117" t="n">
        <v>98.41</v>
      </c>
      <c r="O3117" t="n">
        <v>28.13852813852814</v>
      </c>
    </row>
    <row r="3118" hidden="1">
      <c r="A3118" s="11" t="n">
        <v>46099</v>
      </c>
      <c r="B3118" t="inlineStr">
        <is>
          <t>Davylla Rodrigues Freitas Silva</t>
        </is>
      </c>
      <c r="C3118" t="inlineStr">
        <is>
          <t>Técnico III</t>
        </is>
      </c>
      <c r="D3118" t="n">
        <v>19</v>
      </c>
      <c r="E3118" t="n">
        <v>18</v>
      </c>
      <c r="F3118" t="n">
        <v>38.28</v>
      </c>
      <c r="G3118" t="n">
        <v>0</v>
      </c>
      <c r="H3118" t="n">
        <v>0</v>
      </c>
      <c r="I3118" s="3" t="n">
        <v>0</v>
      </c>
      <c r="J3118" s="3" t="n">
        <v>0</v>
      </c>
      <c r="K3118" s="3" t="n">
        <v>0</v>
      </c>
      <c r="L3118" s="3">
        <f>IF(K3118&lt;-5,"CRÍTICO",IF(K3118&lt;0,"ATENÇÃO",IF(K3118&lt;=5,"OPORTUNO","MUITO BOM")))</f>
        <v/>
      </c>
      <c r="M3118" t="n">
        <v>17</v>
      </c>
      <c r="N3118" t="n">
        <v>98.73</v>
      </c>
      <c r="O3118" t="n">
        <v>29.14285714285714</v>
      </c>
    </row>
    <row r="3119" hidden="1">
      <c r="A3119" s="11" t="n">
        <v>46099</v>
      </c>
      <c r="B3119" t="inlineStr">
        <is>
          <t>Emilly Caylane Costa</t>
        </is>
      </c>
      <c r="C3119" t="inlineStr">
        <is>
          <t>Estágio</t>
        </is>
      </c>
      <c r="D3119" t="n">
        <v>6</v>
      </c>
      <c r="E3119" t="n">
        <v>6</v>
      </c>
      <c r="F3119" t="n">
        <v>52.09</v>
      </c>
      <c r="G3119" t="n">
        <v>0</v>
      </c>
      <c r="H3119" t="n">
        <v>0</v>
      </c>
      <c r="I3119" s="3">
        <f>E3119+G3119+H3119</f>
        <v/>
      </c>
      <c r="J3119" s="3">
        <f>ROUND(MIN(IF(C3119="Técnico III",35,IF(C3119="Técnico II",28,IF(C3119="Técnico I",23,IF(C3119="JR",20,IF(C3119="Estágio",10,0))))),IF(C3119="Técnico III",SUMIFS($D:$D,$A:$A,$A3119,$B:$B,"&lt;&gt;Patrícia Karla de Sousa Araújo",$B:$B,"&lt;&gt;Lorena Dias de Araujo",$B:$B,"&lt;&gt;Lucas Luiz Romero")*(35/1083),IF(C3119="Técnico II",SUMIFS($D:$D,$A:$A,$A3119,$B:$B,"&lt;&gt;Patrícia Karla de Sousa Araújo",$B:$B,"&lt;&gt;Lorena Dias de Araujo",$B:$B,"&lt;&gt;Lucas Luiz Romero")*(28/1083),IF(C3119="Técnico I",SUMIFS($D:$D,$A:$A,$A3119,$B:$B,"&lt;&gt;Patrícia Karla de Sousa Araújo",$B:$B,"&lt;&gt;Lorena Dias de Araujo",$B:$B,"&lt;&gt;Lucas Luiz Romero")*(23/1083),IF(C3119="JR",SUMIFS($D:$D,$A:$A,$A3119,$B:$B,"&lt;&gt;Patrícia Karla de Sousa Araújo",$B:$B,"&lt;&gt;Lorena Dias de Araujo",$B:$B,"&lt;&gt;Lucas Luiz Romero")*(20/1083),IF(C3119="Estágio",SUMIFS($D:$D,$A:$A,$A3119,$B:$B,"&lt;&gt;Patrícia Karla de Sousa Araújo",$B:$B,"&lt;&gt;Lorena Dias de Araujo",$B:$B,"&lt;&gt;Lucas Luiz Romero")*(10/1083),0)))))),0)</f>
        <v/>
      </c>
      <c r="K3119" s="3">
        <f>I3119-J3119</f>
        <v/>
      </c>
      <c r="L3119" s="3">
        <f>IF(K3119&lt;-5,"CRÍTICO",IF(K3119&lt;0,"ATENÇÃO",IF(K3119&lt;=5,"OPORTUNO","MUITO BOM")))</f>
        <v/>
      </c>
      <c r="M3119" t="n">
        <v>4</v>
      </c>
      <c r="N3119" t="n">
        <v>90.48</v>
      </c>
      <c r="O3119" t="n">
        <v>20.68965517241379</v>
      </c>
    </row>
    <row r="3120" hidden="1">
      <c r="A3120" s="11" t="n">
        <v>46099</v>
      </c>
      <c r="B3120" t="inlineStr">
        <is>
          <t>Emilly Kamilly Medeiros Miranda</t>
        </is>
      </c>
      <c r="C3120" t="inlineStr">
        <is>
          <t>Técnico II</t>
        </is>
      </c>
      <c r="D3120" t="n">
        <v>29</v>
      </c>
      <c r="E3120" t="n">
        <v>25</v>
      </c>
      <c r="F3120" t="n">
        <v>20.57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M3120" t="n">
        <v>28</v>
      </c>
      <c r="N3120" t="n">
        <v>98.06</v>
      </c>
      <c r="O3120" t="n">
        <v>24.78991596638656</v>
      </c>
    </row>
    <row r="3121" hidden="1">
      <c r="A3121" s="11" t="n">
        <v>46099</v>
      </c>
      <c r="B3121" t="inlineStr">
        <is>
          <t>Francielson de Oliveira</t>
        </is>
      </c>
      <c r="C3121" t="inlineStr">
        <is>
          <t>Técnico III</t>
        </is>
      </c>
      <c r="D3121" t="n">
        <v>31</v>
      </c>
      <c r="E3121" t="n">
        <v>30</v>
      </c>
      <c r="F3121" t="n">
        <v>14.14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M3121" t="n">
        <v>29</v>
      </c>
      <c r="N3121" t="n">
        <v>97.78</v>
      </c>
      <c r="O3121" t="n">
        <v>25.49407114624506</v>
      </c>
    </row>
    <row r="3122" hidden="1">
      <c r="A3122" s="11" t="n">
        <v>46099</v>
      </c>
      <c r="B3122" t="inlineStr">
        <is>
          <t>Francilene Ferreira de Jesus</t>
        </is>
      </c>
      <c r="C3122" t="inlineStr">
        <is>
          <t>Técnico II</t>
        </is>
      </c>
      <c r="D3122" t="n">
        <v>28</v>
      </c>
      <c r="E3122" t="n">
        <v>24</v>
      </c>
      <c r="F3122" t="n">
        <v>23.54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M3122" t="n">
        <v>22</v>
      </c>
      <c r="N3122" t="n">
        <v>98.02</v>
      </c>
      <c r="O3122" t="n">
        <v>23.48484848484848</v>
      </c>
    </row>
    <row r="3123" hidden="1">
      <c r="A3123" s="11" t="n">
        <v>46134</v>
      </c>
      <c r="B3123" t="inlineStr">
        <is>
          <t>Gabriel Gomes de Andrade</t>
        </is>
      </c>
      <c r="C3123" t="inlineStr">
        <is>
          <t>Técnico I</t>
        </is>
      </c>
      <c r="D3123" t="n">
        <v>20</v>
      </c>
      <c r="E3123" t="n">
        <v>18</v>
      </c>
      <c r="F3123" t="n">
        <v>27.29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M3123" t="n">
        <v>15</v>
      </c>
      <c r="N3123" t="n">
        <v>99.28</v>
      </c>
      <c r="O3123" t="n">
        <v>27.68924302788844</v>
      </c>
    </row>
    <row r="3124" hidden="1">
      <c r="A3124" s="11" t="n">
        <v>46099</v>
      </c>
      <c r="B3124" t="inlineStr">
        <is>
          <t>Isabella Borges de Oliveira</t>
        </is>
      </c>
      <c r="C3124" t="inlineStr">
        <is>
          <t>Técnico II</t>
        </is>
      </c>
      <c r="D3124" t="n">
        <v>29</v>
      </c>
      <c r="E3124" t="n">
        <v>27</v>
      </c>
      <c r="F3124" t="n">
        <v>17.32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M3124" t="n">
        <v>24</v>
      </c>
      <c r="N3124" t="n">
        <v>100</v>
      </c>
      <c r="O3124" t="n">
        <v>27.04918032786885</v>
      </c>
    </row>
    <row r="3125" hidden="1">
      <c r="A3125" s="11" t="n">
        <v>46099</v>
      </c>
      <c r="B3125" t="inlineStr">
        <is>
          <t>Janaina Lima dos Reis Urany</t>
        </is>
      </c>
      <c r="C3125" t="inlineStr">
        <is>
          <t>Técnico III</t>
        </is>
      </c>
      <c r="D3125" t="n">
        <v>43</v>
      </c>
      <c r="E3125" t="n">
        <v>40</v>
      </c>
      <c r="F3125" t="n">
        <v>16.5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M3125" t="n">
        <v>35</v>
      </c>
      <c r="N3125" t="n">
        <v>97.83</v>
      </c>
      <c r="O3125" t="n">
        <v>26.31578947368421</v>
      </c>
    </row>
    <row r="3126" hidden="1">
      <c r="A3126" s="11" t="n">
        <v>46099</v>
      </c>
      <c r="B3126" t="inlineStr">
        <is>
          <t>Jaqueline Evangelista da Silva Martins</t>
        </is>
      </c>
      <c r="C3126" t="inlineStr">
        <is>
          <t>Técnico III</t>
        </is>
      </c>
      <c r="D3126" t="n">
        <v>0</v>
      </c>
      <c r="E3126" t="n">
        <v>0</v>
      </c>
      <c r="F3126" t="n">
        <v>0</v>
      </c>
      <c r="G3126" t="n">
        <v>0</v>
      </c>
      <c r="H3126" t="n">
        <v>0</v>
      </c>
      <c r="I3126" s="3" t="n">
        <v>0</v>
      </c>
      <c r="J3126" s="3" t="n">
        <v>0</v>
      </c>
      <c r="K3126" s="3" t="n">
        <v>0</v>
      </c>
      <c r="L3126" s="3">
        <f>IF(K3126&lt;-5,"CRÍTICO",IF(K3126&lt;0,"ATENÇÃO",IF(K3126&lt;=5,"OPORTUNO","MUITO BOM")))</f>
        <v/>
      </c>
      <c r="M3126" t="n">
        <v>7</v>
      </c>
      <c r="N3126" t="n">
        <v>100</v>
      </c>
      <c r="O3126" t="n">
        <v>26.70157068062827</v>
      </c>
    </row>
    <row r="3127" hidden="1">
      <c r="A3127" s="11" t="n">
        <v>46099</v>
      </c>
      <c r="B3127" t="inlineStr">
        <is>
          <t>Jessica Faria da Silveira</t>
        </is>
      </c>
      <c r="C3127" t="inlineStr">
        <is>
          <t>Técnico II</t>
        </is>
      </c>
      <c r="D3127" t="n">
        <v>19</v>
      </c>
      <c r="E3127" t="n">
        <v>16</v>
      </c>
      <c r="F3127" t="n">
        <v>32.33</v>
      </c>
      <c r="G3127" t="n">
        <v>0</v>
      </c>
      <c r="H3127" t="n">
        <v>0</v>
      </c>
      <c r="I3127" s="3">
        <f>E3127+G3127+H3127</f>
        <v/>
      </c>
      <c r="J3127" s="3">
        <f>ROUND(MIN(IF(C3127="Técnico III",35,IF(C3127="Técnico II",28,IF(C3127="Técnico I",23,IF(C3127="JR",20,IF(C3127="Estágio",10,0))))),IF(C3127="Técnico III",SUMIFS($D:$D,$A:$A,$A3127,$B:$B,"&lt;&gt;Patrícia Karla de Sousa Araújo",$B:$B,"&lt;&gt;Lorena Dias de Araujo",$B:$B,"&lt;&gt;Lucas Luiz Romero")*(35/1083),IF(C3127="Técnico II",SUMIFS($D:$D,$A:$A,$A3127,$B:$B,"&lt;&gt;Patrícia Karla de Sousa Araújo",$B:$B,"&lt;&gt;Lorena Dias de Araujo",$B:$B,"&lt;&gt;Lucas Luiz Romero")*(28/1083),IF(C3127="Técnico I",SUMIFS($D:$D,$A:$A,$A3127,$B:$B,"&lt;&gt;Patrícia Karla de Sousa Araújo",$B:$B,"&lt;&gt;Lorena Dias de Araujo",$B:$B,"&lt;&gt;Lucas Luiz Romero")*(23/1083),IF(C3127="JR",SUMIFS($D:$D,$A:$A,$A3127,$B:$B,"&lt;&gt;Patrícia Karla de Sousa Araújo",$B:$B,"&lt;&gt;Lorena Dias de Araujo",$B:$B,"&lt;&gt;Lucas Luiz Romero")*(20/1083),IF(C3127="Estágio",SUMIFS($D:$D,$A:$A,$A3127,$B:$B,"&lt;&gt;Patrícia Karla de Sousa Araújo",$B:$B,"&lt;&gt;Lorena Dias de Araujo",$B:$B,"&lt;&gt;Lucas Luiz Romero")*(10/1083),0)))))),0)</f>
        <v/>
      </c>
      <c r="K3127" s="3">
        <f>I3127-J3127</f>
        <v/>
      </c>
      <c r="L3127" s="3">
        <f>IF(K3127&lt;-5,"CRÍTICO",IF(K3127&lt;0,"ATENÇÃO",IF(K3127&lt;=5,"OPORTUNO","MUITO BOM")))</f>
        <v/>
      </c>
      <c r="M3127" t="n">
        <v>16</v>
      </c>
      <c r="N3127" t="n">
        <v>97.47</v>
      </c>
      <c r="O3127" t="n">
        <v>22.88732394366197</v>
      </c>
    </row>
    <row r="3128" hidden="1">
      <c r="A3128" s="11" t="n">
        <v>46099</v>
      </c>
      <c r="B3128" t="inlineStr">
        <is>
          <t>Jéssica Fé Moura</t>
        </is>
      </c>
      <c r="C3128" t="inlineStr">
        <is>
          <t>Técnico III</t>
        </is>
      </c>
      <c r="D3128" t="n">
        <v>0</v>
      </c>
      <c r="E3128" t="n">
        <v>0</v>
      </c>
      <c r="F3128" t="n">
        <v>0</v>
      </c>
      <c r="G3128" t="n">
        <v>0</v>
      </c>
      <c r="H3128" t="n">
        <v>0</v>
      </c>
      <c r="I3128" s="3" t="n">
        <v>0</v>
      </c>
      <c r="J3128" s="3" t="n">
        <v>0</v>
      </c>
      <c r="K3128" s="3" t="n">
        <v>0</v>
      </c>
      <c r="L3128" s="3">
        <f>IF(K3128&lt;-5,"CRÍTICO",IF(K3128&lt;0,"ATENÇÃO",IF(K3128&lt;=5,"OPORTUNO","MUITO BOM")))</f>
        <v/>
      </c>
      <c r="M3128" t="n">
        <v>0</v>
      </c>
      <c r="N3128" t="n">
        <v>0</v>
      </c>
      <c r="O3128" t="n">
        <v>0</v>
      </c>
    </row>
    <row r="3129" hidden="1">
      <c r="A3129" s="11" t="n">
        <v>46099</v>
      </c>
      <c r="B3129" t="inlineStr">
        <is>
          <t>Karina Gonçalves Martins</t>
        </is>
      </c>
      <c r="C3129" t="inlineStr">
        <is>
          <t>JR</t>
        </is>
      </c>
      <c r="D3129" t="n">
        <v>19</v>
      </c>
      <c r="E3129" t="n">
        <v>18</v>
      </c>
      <c r="F3129" t="n">
        <v>30.2</v>
      </c>
      <c r="G3129" t="n">
        <v>0</v>
      </c>
      <c r="H3129" t="n">
        <v>0</v>
      </c>
      <c r="I3129" s="3">
        <f>E3129+G3129+H3129</f>
        <v/>
      </c>
      <c r="J3129" s="3">
        <f>ROUND(MIN(IF(C3129="Técnico III",35,IF(C3129="Técnico II",28,IF(C3129="Técnico I",23,IF(C3129="JR",20,IF(C3129="Estágio",10,0))))),IF(C3129="Técnico III",SUMIFS($D:$D,$A:$A,$A3129,$B:$B,"&lt;&gt;Patrícia Karla de Sousa Araújo",$B:$B,"&lt;&gt;Lorena Dias de Araujo",$B:$B,"&lt;&gt;Lucas Luiz Romero")*(35/1083),IF(C3129="Técnico II",SUMIFS($D:$D,$A:$A,$A3129,$B:$B,"&lt;&gt;Patrícia Karla de Sousa Araújo",$B:$B,"&lt;&gt;Lorena Dias de Araujo",$B:$B,"&lt;&gt;Lucas Luiz Romero")*(28/1083),IF(C3129="Técnico I",SUMIFS($D:$D,$A:$A,$A3129,$B:$B,"&lt;&gt;Patrícia Karla de Sousa Araújo",$B:$B,"&lt;&gt;Lorena Dias de Araujo",$B:$B,"&lt;&gt;Lucas Luiz Romero")*(23/1083),IF(C3129="JR",SUMIFS($D:$D,$A:$A,$A3129,$B:$B,"&lt;&gt;Patrícia Karla de Sousa Araújo",$B:$B,"&lt;&gt;Lorena Dias de Araujo",$B:$B,"&lt;&gt;Lucas Luiz Romero")*(20/1083),IF(C3129="Estágio",SUMIFS($D:$D,$A:$A,$A3129,$B:$B,"&lt;&gt;Patrícia Karla de Sousa Araújo",$B:$B,"&lt;&gt;Lorena Dias de Araujo",$B:$B,"&lt;&gt;Lucas Luiz Romero")*(10/1083),0)))))),0)</f>
        <v/>
      </c>
      <c r="K3129" s="3">
        <f>I3129-J3129</f>
        <v/>
      </c>
      <c r="L3129" s="3">
        <f>IF(K3129&lt;-5,"CRÍTICO",IF(K3129&lt;0,"ATENÇÃO",IF(K3129&lt;=5,"OPORTUNO","MUITO BOM")))</f>
        <v/>
      </c>
      <c r="M3129" t="n">
        <v>14</v>
      </c>
      <c r="N3129" t="n">
        <v>98.31</v>
      </c>
      <c r="O3129" t="n">
        <v>24.92012779552715</v>
      </c>
    </row>
    <row r="3130" hidden="1">
      <c r="A3130" s="11" t="n">
        <v>46099</v>
      </c>
      <c r="B3130" t="inlineStr">
        <is>
          <t>Kerollen Cristielly de Jesus Siqueira</t>
        </is>
      </c>
      <c r="C3130" t="inlineStr">
        <is>
          <t>Técnico III</t>
        </is>
      </c>
      <c r="D3130" t="n">
        <v>11</v>
      </c>
      <c r="E3130" t="n">
        <v>7</v>
      </c>
      <c r="F3130" t="n">
        <v>14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M3130" t="n">
        <v>8</v>
      </c>
      <c r="N3130" t="n">
        <v>96.81</v>
      </c>
      <c r="O3130" t="n">
        <v>32.36514522821577</v>
      </c>
    </row>
    <row r="3131" hidden="1">
      <c r="A3131" s="11" t="n">
        <v>46099</v>
      </c>
      <c r="B3131" t="inlineStr">
        <is>
          <t>Leandro de Souza Silva</t>
        </is>
      </c>
      <c r="C3131" t="inlineStr">
        <is>
          <t>JR</t>
        </is>
      </c>
      <c r="D3131" t="n">
        <v>16</v>
      </c>
      <c r="E3131" t="n">
        <v>16</v>
      </c>
      <c r="F3131" t="n">
        <v>24.14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M3131" t="n">
        <v>7</v>
      </c>
      <c r="N3131" t="n">
        <v>100</v>
      </c>
      <c r="O3131" t="n">
        <v>26.47058823529412</v>
      </c>
    </row>
    <row r="3132" hidden="1">
      <c r="A3132" s="11" t="n">
        <v>46099</v>
      </c>
      <c r="B3132" t="inlineStr">
        <is>
          <t>Leandro Oliveira de Sousa</t>
        </is>
      </c>
      <c r="C3132" t="inlineStr">
        <is>
          <t>Técnico III</t>
        </is>
      </c>
      <c r="D3132" t="n">
        <v>18</v>
      </c>
      <c r="E3132" t="n">
        <v>18</v>
      </c>
      <c r="F3132" t="n">
        <v>30.43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M3132" t="n">
        <v>16</v>
      </c>
      <c r="N3132" t="n">
        <v>100</v>
      </c>
      <c r="O3132" t="n">
        <v>28.49002849002849</v>
      </c>
    </row>
    <row r="3133" hidden="1">
      <c r="A3133" s="11" t="n">
        <v>46099</v>
      </c>
      <c r="B3133" t="inlineStr">
        <is>
          <t>Lizandra Gomes Duarte</t>
        </is>
      </c>
      <c r="C3133" t="inlineStr">
        <is>
          <t>Técnico II</t>
        </is>
      </c>
      <c r="D3133" t="n">
        <v>29</v>
      </c>
      <c r="E3133" t="n">
        <v>29</v>
      </c>
      <c r="F3133" t="n">
        <v>23.43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M3133" t="n">
        <v>31</v>
      </c>
      <c r="N3133" t="n">
        <v>99.14</v>
      </c>
      <c r="O3133" t="n">
        <v>27.2289156626506</v>
      </c>
    </row>
    <row r="3134" hidden="1">
      <c r="A3134" s="11" t="n">
        <v>46099</v>
      </c>
      <c r="B3134" t="inlineStr">
        <is>
          <t>Lorena Dias de Araujo</t>
        </is>
      </c>
      <c r="C3134" t="inlineStr">
        <is>
          <t>Técnico II</t>
        </is>
      </c>
      <c r="D3134" t="n">
        <v>34</v>
      </c>
      <c r="E3134" t="n">
        <v>31</v>
      </c>
      <c r="F3134" t="n">
        <v>23.5</v>
      </c>
      <c r="G3134" t="n">
        <v>0</v>
      </c>
      <c r="H3134" t="n">
        <v>0</v>
      </c>
      <c r="I3134" s="3" t="n">
        <v>0</v>
      </c>
      <c r="J3134" s="3" t="n">
        <v>0</v>
      </c>
      <c r="K3134" s="3" t="n">
        <v>0</v>
      </c>
      <c r="L3134" s="3">
        <f>IF(K3134&lt;-5,"CRÍTICO",IF(K3134&lt;0,"ATENÇÃO",IF(K3134&lt;=5,"OPORTUNO","MUITO BOM")))</f>
        <v/>
      </c>
      <c r="M3134" t="n">
        <v>26</v>
      </c>
      <c r="N3134" t="n">
        <v>97.52</v>
      </c>
      <c r="O3134" t="n">
        <v>28.2051282051282</v>
      </c>
    </row>
    <row r="3135" hidden="1">
      <c r="A3135" s="11" t="n">
        <v>46099</v>
      </c>
      <c r="B3135" t="inlineStr">
        <is>
          <t>Lucas Luiz Romero</t>
        </is>
      </c>
      <c r="C3135" t="inlineStr">
        <is>
          <t>Técnico III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M3135" t="n">
        <v>0</v>
      </c>
      <c r="N3135" t="n">
        <v>90</v>
      </c>
      <c r="O3135" t="n">
        <v>24.18604651162791</v>
      </c>
    </row>
    <row r="3136" hidden="1">
      <c r="A3136" s="11" t="n">
        <v>46099</v>
      </c>
      <c r="B3136" t="inlineStr">
        <is>
          <t>Luiz Fernando de Carvalho Junior</t>
        </is>
      </c>
      <c r="C3136" t="inlineStr">
        <is>
          <t>Técnico I</t>
        </is>
      </c>
      <c r="D3136" t="n">
        <v>19</v>
      </c>
      <c r="E3136" t="n">
        <v>19</v>
      </c>
      <c r="F3136" t="n">
        <v>24.11</v>
      </c>
      <c r="G3136" t="n">
        <v>0</v>
      </c>
      <c r="H3136" t="n">
        <v>0</v>
      </c>
      <c r="I3136" s="3">
        <f>E3136+G3136+H3136</f>
        <v/>
      </c>
      <c r="J3136" s="3">
        <f>ROUND(MIN(IF(C3136="Técnico III",35,IF(C3136="Técnico II",28,IF(C3136="Técnico I",23,IF(C3136="JR",20,IF(C3136="Estágio",10,0))))),IF(C3136="Técnico III",SUMIFS($D:$D,$A:$A,$A3136,$B:$B,"&lt;&gt;Patrícia Karla de Sousa Araújo",$B:$B,"&lt;&gt;Lorena Dias de Araujo",$B:$B,"&lt;&gt;Lucas Luiz Romero")*(35/1083),IF(C3136="Técnico II",SUMIFS($D:$D,$A:$A,$A3136,$B:$B,"&lt;&gt;Patrícia Karla de Sousa Araújo",$B:$B,"&lt;&gt;Lorena Dias de Araujo",$B:$B,"&lt;&gt;Lucas Luiz Romero")*(28/1083),IF(C3136="Técnico I",SUMIFS($D:$D,$A:$A,$A3136,$B:$B,"&lt;&gt;Patrícia Karla de Sousa Araújo",$B:$B,"&lt;&gt;Lorena Dias de Araujo",$B:$B,"&lt;&gt;Lucas Luiz Romero")*(23/1083),IF(C3136="JR",SUMIFS($D:$D,$A:$A,$A3136,$B:$B,"&lt;&gt;Patrícia Karla de Sousa Araújo",$B:$B,"&lt;&gt;Lorena Dias de Araujo",$B:$B,"&lt;&gt;Lucas Luiz Romero")*(20/1083),IF(C3136="Estágio",SUMIFS($D:$D,$A:$A,$A3136,$B:$B,"&lt;&gt;Patrícia Karla de Sousa Araújo",$B:$B,"&lt;&gt;Lorena Dias de Araujo",$B:$B,"&lt;&gt;Lucas Luiz Romero")*(10/1083),0)))))),0)</f>
        <v/>
      </c>
      <c r="K3136" s="3">
        <f>I3136-J3136</f>
        <v/>
      </c>
      <c r="L3136" s="3">
        <f>IF(K3136&lt;-5,"CRÍTICO",IF(K3136&lt;0,"ATENÇÃO",IF(K3136&lt;=5,"OPORTUNO","MUITO BOM")))</f>
        <v/>
      </c>
      <c r="M3136" t="n">
        <v>17</v>
      </c>
      <c r="N3136" t="n">
        <v>98.90000000000001</v>
      </c>
      <c r="O3136" t="n">
        <v>26.7639902676399</v>
      </c>
    </row>
    <row r="3137" hidden="1">
      <c r="A3137" s="11" t="n">
        <v>46099</v>
      </c>
      <c r="B3137" t="inlineStr">
        <is>
          <t>Maria Eduarda Sousa Costa</t>
        </is>
      </c>
      <c r="C3137" t="inlineStr">
        <is>
          <t>Estágio</t>
        </is>
      </c>
      <c r="D3137" t="n">
        <v>4</v>
      </c>
      <c r="E3137" t="n">
        <v>4</v>
      </c>
      <c r="F3137" t="n">
        <v>67.31999999999999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M3137" t="n">
        <v>4</v>
      </c>
      <c r="N3137" t="n">
        <v>88.89</v>
      </c>
      <c r="O3137" t="n">
        <v>25.26315789473684</v>
      </c>
    </row>
    <row r="3138" hidden="1">
      <c r="A3138" s="11" t="n">
        <v>46099</v>
      </c>
      <c r="B3138" t="inlineStr">
        <is>
          <t>Matheus Farias De Souza</t>
        </is>
      </c>
      <c r="C3138" t="inlineStr">
        <is>
          <t>Técnico III</t>
        </is>
      </c>
      <c r="D3138" t="n">
        <v>32</v>
      </c>
      <c r="E3138" t="n">
        <v>31</v>
      </c>
      <c r="F3138" t="n">
        <v>17.18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M3138" t="n">
        <v>33</v>
      </c>
      <c r="N3138" t="n">
        <v>98.86</v>
      </c>
      <c r="O3138" t="n">
        <v>28.95927601809955</v>
      </c>
    </row>
    <row r="3139" hidden="1">
      <c r="A3139" s="11" t="n">
        <v>46099</v>
      </c>
      <c r="B3139" t="inlineStr">
        <is>
          <t>Maysa Victoria Dias Moura</t>
        </is>
      </c>
      <c r="C3139" t="inlineStr">
        <is>
          <t>Técnico III</t>
        </is>
      </c>
      <c r="D3139" t="n">
        <v>4</v>
      </c>
      <c r="E3139" t="n">
        <v>3</v>
      </c>
      <c r="F3139" t="n">
        <v>66.43000000000001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M3139" t="n">
        <v>3</v>
      </c>
      <c r="N3139" t="n">
        <v>98.06</v>
      </c>
      <c r="O3139" t="n">
        <v>22.40566037735849</v>
      </c>
    </row>
    <row r="3140" hidden="1">
      <c r="A3140" s="11" t="n">
        <v>46099</v>
      </c>
      <c r="B3140" t="inlineStr">
        <is>
          <t>Michelle G Santos</t>
        </is>
      </c>
      <c r="C3140" t="inlineStr">
        <is>
          <t>Estágio</t>
        </is>
      </c>
      <c r="D3140" t="n">
        <v>6</v>
      </c>
      <c r="E3140" t="n">
        <v>6</v>
      </c>
      <c r="F3140" t="n">
        <v>94.02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M3140" t="n">
        <v>3</v>
      </c>
      <c r="N3140" t="n">
        <v>95.83</v>
      </c>
      <c r="O3140" t="n">
        <v>25.77319587628866</v>
      </c>
    </row>
    <row r="3141" hidden="1">
      <c r="A3141" s="11" t="n">
        <v>46099</v>
      </c>
      <c r="B3141" t="inlineStr">
        <is>
          <t>Milena Sales</t>
        </is>
      </c>
      <c r="C3141" t="inlineStr">
        <is>
          <t>JR</t>
        </is>
      </c>
      <c r="D3141" t="n">
        <v>0</v>
      </c>
      <c r="E3141" t="n">
        <v>0</v>
      </c>
      <c r="F3141" t="n">
        <v>0</v>
      </c>
      <c r="G3141" t="n">
        <v>0</v>
      </c>
      <c r="H3141" t="n">
        <v>0</v>
      </c>
      <c r="I3141" s="3" t="n">
        <v>0</v>
      </c>
      <c r="J3141" s="3" t="n">
        <v>0</v>
      </c>
      <c r="K3141" s="3" t="n">
        <v>0</v>
      </c>
      <c r="L3141" s="3">
        <f>IF(K3141&lt;-5,"CRÍTICO",IF(K3141&lt;0,"ATENÇÃO",IF(K3141&lt;=5,"OPORTUNO","MUITO BOM")))</f>
        <v/>
      </c>
      <c r="M3141" t="n">
        <v>0</v>
      </c>
      <c r="N3141" t="n">
        <v>100</v>
      </c>
      <c r="O3141" t="n">
        <v>15.38461538461539</v>
      </c>
    </row>
    <row r="3142" hidden="1">
      <c r="A3142" s="11" t="n">
        <v>46099</v>
      </c>
      <c r="B3142" t="inlineStr">
        <is>
          <t>Patrícia Karla de Sousa Araújo</t>
        </is>
      </c>
      <c r="C3142" t="inlineStr">
        <is>
          <t>Técnico II</t>
        </is>
      </c>
      <c r="D3142" t="n">
        <v>16</v>
      </c>
      <c r="E3142" t="n">
        <v>12</v>
      </c>
      <c r="F3142" t="n">
        <v>16.43</v>
      </c>
      <c r="G3142" t="n">
        <v>0</v>
      </c>
      <c r="H3142" t="n">
        <v>0</v>
      </c>
      <c r="I3142" s="3">
        <f>E3142+G3142+H3142</f>
        <v/>
      </c>
      <c r="J3142" s="3">
        <f>ROUND(MIN(IF(C3142="Técnico III",35,IF(C3142="Técnico II",28,IF(C3142="Técnico I",23,IF(C3142="JR",20,IF(C3142="Estágio",10,0))))),IF(C3142="Técnico III",SUMIFS($D:$D,$A:$A,$A3142,$B:$B,"&lt;&gt;Patrícia Karla de Sousa Araújo",$B:$B,"&lt;&gt;Lorena Dias de Araujo",$B:$B,"&lt;&gt;Lucas Luiz Romero")*(35/1083),IF(C3142="Técnico II",SUMIFS($D:$D,$A:$A,$A3142,$B:$B,"&lt;&gt;Patrícia Karla de Sousa Araújo",$B:$B,"&lt;&gt;Lorena Dias de Araujo",$B:$B,"&lt;&gt;Lucas Luiz Romero")*(28/1083),IF(C3142="Técnico I",SUMIFS($D:$D,$A:$A,$A3142,$B:$B,"&lt;&gt;Patrícia Karla de Sousa Araújo",$B:$B,"&lt;&gt;Lorena Dias de Araujo",$B:$B,"&lt;&gt;Lucas Luiz Romero")*(23/1083),IF(C3142="JR",SUMIFS($D:$D,$A:$A,$A3142,$B:$B,"&lt;&gt;Patrícia Karla de Sousa Araújo",$B:$B,"&lt;&gt;Lorena Dias de Araujo",$B:$B,"&lt;&gt;Lucas Luiz Romero")*(20/1083),IF(C3142="Estágio",SUMIFS($D:$D,$A:$A,$A3142,$B:$B,"&lt;&gt;Patrícia Karla de Sousa Araújo",$B:$B,"&lt;&gt;Lorena Dias de Araujo",$B:$B,"&lt;&gt;Lucas Luiz Romero")*(10/1083),0)))))),0)</f>
        <v/>
      </c>
      <c r="K3142" s="3">
        <f>I3142-J3142</f>
        <v/>
      </c>
      <c r="L3142" s="3">
        <f>IF(K3142&lt;-5,"CRÍTICO",IF(K3142&lt;0,"ATENÇÃO",IF(K3142&lt;=5,"OPORTUNO","MUITO BOM")))</f>
        <v/>
      </c>
      <c r="M3142" t="n">
        <v>10</v>
      </c>
      <c r="N3142" t="n">
        <v>100</v>
      </c>
      <c r="O3142" t="n">
        <v>27.51479289940828</v>
      </c>
    </row>
    <row r="3143" hidden="1">
      <c r="A3143" s="11" t="n">
        <v>46099</v>
      </c>
      <c r="B3143" t="inlineStr">
        <is>
          <t>Paulo Ricardo Santos</t>
        </is>
      </c>
      <c r="C3143" t="inlineStr">
        <is>
          <t>JR</t>
        </is>
      </c>
      <c r="D3143" t="n">
        <v>12</v>
      </c>
      <c r="E3143" t="n">
        <v>12</v>
      </c>
      <c r="F3143" t="n">
        <v>25.18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M3143" t="n">
        <v>9</v>
      </c>
      <c r="N3143" t="n">
        <v>100</v>
      </c>
      <c r="O3143" t="n">
        <v>24.87562189054727</v>
      </c>
    </row>
    <row r="3144" hidden="1">
      <c r="A3144" s="11" t="n">
        <v>46099</v>
      </c>
      <c r="B3144" t="inlineStr">
        <is>
          <t>Pedro Luiz Mota Sousa</t>
        </is>
      </c>
      <c r="C3144" t="inlineStr">
        <is>
          <t>JR</t>
        </is>
      </c>
      <c r="D3144" t="n">
        <v>11</v>
      </c>
      <c r="E3144" t="n">
        <v>11</v>
      </c>
      <c r="F3144" t="n">
        <v>42.15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M3144" t="n">
        <v>10</v>
      </c>
      <c r="N3144" t="n">
        <v>100</v>
      </c>
      <c r="O3144" t="n">
        <v>28.10810810810811</v>
      </c>
    </row>
    <row r="3145" hidden="1">
      <c r="A3145" s="11" t="n">
        <v>46099</v>
      </c>
      <c r="B3145" t="inlineStr">
        <is>
          <t>Quirino Diogo Leite Torres</t>
        </is>
      </c>
      <c r="C3145" t="inlineStr">
        <is>
          <t>Estágio</t>
        </is>
      </c>
      <c r="D3145" t="n">
        <v>0</v>
      </c>
      <c r="E3145" t="n">
        <v>0</v>
      </c>
      <c r="F3145" t="n">
        <v>0</v>
      </c>
      <c r="G3145" t="n">
        <v>0</v>
      </c>
      <c r="H3145" t="n">
        <v>0</v>
      </c>
      <c r="I3145" s="3" t="n">
        <v>0</v>
      </c>
      <c r="J3145" s="3" t="n">
        <v>0</v>
      </c>
      <c r="K3145" s="3" t="n">
        <v>0</v>
      </c>
      <c r="L3145" s="3">
        <f>IF(K3145&lt;-5,"CRÍTICO",IF(K3145&lt;0,"ATENÇÃO",IF(K3145&lt;=5,"OPORTUNO","MUITO BOM")))</f>
        <v/>
      </c>
      <c r="M3145" t="n">
        <v>0</v>
      </c>
      <c r="N3145" t="n">
        <v>100</v>
      </c>
      <c r="O3145" t="n">
        <v>35</v>
      </c>
    </row>
    <row r="3146" hidden="1">
      <c r="A3146" s="11" t="n">
        <v>46099</v>
      </c>
      <c r="B3146" t="inlineStr">
        <is>
          <t>Raane Batista Matos</t>
        </is>
      </c>
      <c r="C3146" t="inlineStr">
        <is>
          <t>Técnico I</t>
        </is>
      </c>
      <c r="D3146" t="n">
        <v>18</v>
      </c>
      <c r="E3146" t="n">
        <v>18</v>
      </c>
      <c r="F3146" t="n">
        <v>36.41</v>
      </c>
      <c r="G3146" t="n">
        <v>0</v>
      </c>
      <c r="H3146" t="n">
        <v>0</v>
      </c>
      <c r="I3146" s="3">
        <f>E3146+G3146+H3146</f>
        <v/>
      </c>
      <c r="J3146" s="3">
        <f>ROUND(MIN(IF(C3146="Técnico III",35,IF(C3146="Técnico II",28,IF(C3146="Técnico I",23,IF(C3146="JR",20,IF(C3146="Estágio",10,0))))),IF(C3146="Técnico III",SUMIFS($D:$D,$A:$A,$A3146,$B:$B,"&lt;&gt;Patrícia Karla de Sousa Araújo",$B:$B,"&lt;&gt;Lorena Dias de Araujo",$B:$B,"&lt;&gt;Lucas Luiz Romero")*(35/1083),IF(C3146="Técnico II",SUMIFS($D:$D,$A:$A,$A3146,$B:$B,"&lt;&gt;Patrícia Karla de Sousa Araújo",$B:$B,"&lt;&gt;Lorena Dias de Araujo",$B:$B,"&lt;&gt;Lucas Luiz Romero")*(28/1083),IF(C3146="Técnico I",SUMIFS($D:$D,$A:$A,$A3146,$B:$B,"&lt;&gt;Patrícia Karla de Sousa Araújo",$B:$B,"&lt;&gt;Lorena Dias de Araujo",$B:$B,"&lt;&gt;Lucas Luiz Romero")*(23/1083),IF(C3146="JR",SUMIFS($D:$D,$A:$A,$A3146,$B:$B,"&lt;&gt;Patrícia Karla de Sousa Araújo",$B:$B,"&lt;&gt;Lorena Dias de Araujo",$B:$B,"&lt;&gt;Lucas Luiz Romero")*(20/1083),IF(C3146="Estágio",SUMIFS($D:$D,$A:$A,$A3146,$B:$B,"&lt;&gt;Patrícia Karla de Sousa Araújo",$B:$B,"&lt;&gt;Lorena Dias de Araujo",$B:$B,"&lt;&gt;Lucas Luiz Romero")*(10/1083),0)))))),0)</f>
        <v/>
      </c>
      <c r="K3146" s="3">
        <f>I3146-J3146</f>
        <v/>
      </c>
      <c r="L3146" s="3">
        <f>IF(K3146&lt;-5,"CRÍTICO",IF(K3146&lt;0,"ATENÇÃO",IF(K3146&lt;=5,"OPORTUNO","MUITO BOM")))</f>
        <v/>
      </c>
      <c r="M3146" t="n">
        <v>13</v>
      </c>
      <c r="N3146" t="n">
        <v>95.34999999999999</v>
      </c>
      <c r="O3146" t="n">
        <v>28.61538461538461</v>
      </c>
    </row>
    <row r="3147" hidden="1">
      <c r="A3147" s="11" t="n">
        <v>46099</v>
      </c>
      <c r="B3147" t="inlineStr">
        <is>
          <t>Rafael Gomes de Morais</t>
        </is>
      </c>
      <c r="C3147" t="inlineStr">
        <is>
          <t>Técnico III</t>
        </is>
      </c>
      <c r="D3147" t="n">
        <v>35</v>
      </c>
      <c r="E3147" t="n">
        <v>34</v>
      </c>
      <c r="F3147" t="n">
        <v>14.11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M3147" t="n">
        <v>32</v>
      </c>
      <c r="N3147" t="n">
        <v>98.26000000000001</v>
      </c>
      <c r="O3147" t="n">
        <v>27.54491017964072</v>
      </c>
    </row>
    <row r="3148" hidden="1">
      <c r="A3148" s="11" t="n">
        <v>46099</v>
      </c>
      <c r="B3148" t="inlineStr">
        <is>
          <t>Sara Maria Monteiro Lopes</t>
        </is>
      </c>
      <c r="C3148" t="inlineStr">
        <is>
          <t>Técnico I</t>
        </is>
      </c>
      <c r="D3148" t="n">
        <v>12</v>
      </c>
      <c r="E3148" t="n">
        <v>12</v>
      </c>
      <c r="F3148" t="n">
        <v>38.48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M3148" t="n">
        <v>10</v>
      </c>
      <c r="N3148" t="n">
        <v>98.55</v>
      </c>
      <c r="O3148" t="n">
        <v>25.33783783783784</v>
      </c>
    </row>
    <row r="3149" hidden="1">
      <c r="A3149" s="11" t="n">
        <v>46099</v>
      </c>
      <c r="B3149" t="inlineStr">
        <is>
          <t>Sarah Steffanie de Lima Borges</t>
        </is>
      </c>
      <c r="C3149" t="inlineStr">
        <is>
          <t>Técnico III</t>
        </is>
      </c>
      <c r="D3149" t="n">
        <v>27</v>
      </c>
      <c r="E3149" t="n">
        <v>27</v>
      </c>
      <c r="F3149" t="n">
        <v>17.32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M3149" t="n">
        <v>22</v>
      </c>
      <c r="N3149" t="n">
        <v>98.39</v>
      </c>
      <c r="O3149" t="n">
        <v>25.56390977443609</v>
      </c>
    </row>
    <row r="3150" hidden="1">
      <c r="A3150" s="11" t="n">
        <v>46100</v>
      </c>
      <c r="B3150" t="inlineStr">
        <is>
          <t>Alisson de Freitas Silva</t>
        </is>
      </c>
      <c r="C3150" t="inlineStr">
        <is>
          <t>Técnico II</t>
        </is>
      </c>
      <c r="D3150" t="n">
        <v>24</v>
      </c>
      <c r="E3150" t="n">
        <v>20</v>
      </c>
      <c r="F3150" t="n">
        <v>20.02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M3150" t="n">
        <v>12</v>
      </c>
      <c r="N3150" t="n">
        <v>94.29000000000001</v>
      </c>
      <c r="O3150" t="n">
        <v>25.64766839378239</v>
      </c>
    </row>
    <row r="3151" hidden="1">
      <c r="A3151" s="11" t="n">
        <v>46100</v>
      </c>
      <c r="B3151" t="inlineStr">
        <is>
          <t>Amanda Moura Ferreira</t>
        </is>
      </c>
      <c r="C3151" t="inlineStr">
        <is>
          <t>Técnico III</t>
        </is>
      </c>
      <c r="D3151" t="n">
        <v>0</v>
      </c>
      <c r="E3151" t="n">
        <v>0</v>
      </c>
      <c r="F3151" t="n">
        <v>0</v>
      </c>
      <c r="G3151" t="n">
        <v>0</v>
      </c>
      <c r="H3151" t="n">
        <v>0</v>
      </c>
      <c r="I3151" s="3" t="n">
        <v>0</v>
      </c>
      <c r="J3151" s="3" t="n">
        <v>0</v>
      </c>
      <c r="K3151" s="3" t="n">
        <v>0</v>
      </c>
      <c r="L3151" s="3">
        <f>IF(K3151&lt;-5,"CRÍTICO",IF(K3151&lt;0,"ATENÇÃO",IF(K3151&lt;=5,"OPORTUNO","MUITO BOM")))</f>
        <v/>
      </c>
      <c r="M3151" t="n">
        <v>10</v>
      </c>
      <c r="N3151" t="n">
        <v>98.26000000000001</v>
      </c>
      <c r="O3151" t="n">
        <v>26.66666666666667</v>
      </c>
    </row>
    <row r="3152" hidden="1">
      <c r="A3152" s="11" t="n">
        <v>46100</v>
      </c>
      <c r="B3152" t="inlineStr">
        <is>
          <t>Ana Karollyne Souza Faria</t>
        </is>
      </c>
      <c r="C3152" t="inlineStr">
        <is>
          <t>Técnico I</t>
        </is>
      </c>
      <c r="D3152" t="n">
        <v>43</v>
      </c>
      <c r="E3152" t="n">
        <v>40</v>
      </c>
      <c r="F3152" t="n">
        <v>13.56</v>
      </c>
      <c r="G3152" t="n">
        <v>0</v>
      </c>
      <c r="H3152" t="n">
        <v>0</v>
      </c>
      <c r="I3152" s="3">
        <f>E3152+G3152+H3152</f>
        <v/>
      </c>
      <c r="J3152" s="3">
        <f>ROUND(MIN(IF(C3152="Técnico III",35,IF(C3152="Técnico II",28,IF(C3152="Técnico I",23,IF(C3152="JR",20,IF(C3152="Estágio",10,0))))),IF(C3152="Técnico III",SUMIFS($D:$D,$A:$A,$A3152,$B:$B,"&lt;&gt;Patrícia Karla de Sousa Araújo",$B:$B,"&lt;&gt;Lorena Dias de Araujo",$B:$B,"&lt;&gt;Lucas Luiz Romero")*(35/1083),IF(C3152="Técnico II",SUMIFS($D:$D,$A:$A,$A3152,$B:$B,"&lt;&gt;Patrícia Karla de Sousa Araújo",$B:$B,"&lt;&gt;Lorena Dias de Araujo",$B:$B,"&lt;&gt;Lucas Luiz Romero")*(28/1083),IF(C3152="Técnico I",SUMIFS($D:$D,$A:$A,$A3152,$B:$B,"&lt;&gt;Patrícia Karla de Sousa Araújo",$B:$B,"&lt;&gt;Lorena Dias de Araujo",$B:$B,"&lt;&gt;Lucas Luiz Romero")*(23/1083),IF(C3152="JR",SUMIFS($D:$D,$A:$A,$A3152,$B:$B,"&lt;&gt;Patrícia Karla de Sousa Araújo",$B:$B,"&lt;&gt;Lorena Dias de Araujo",$B:$B,"&lt;&gt;Lucas Luiz Romero")*(20/1083),IF(C3152="Estágio",SUMIFS($D:$D,$A:$A,$A3152,$B:$B,"&lt;&gt;Patrícia Karla de Sousa Araújo",$B:$B,"&lt;&gt;Lorena Dias de Araujo",$B:$B,"&lt;&gt;Lucas Luiz Romero")*(10/1083),0)))))),0)</f>
        <v/>
      </c>
      <c r="K3152" s="3">
        <f>I3152-J3152</f>
        <v/>
      </c>
      <c r="L3152" s="3">
        <f>IF(K3152&lt;-5,"CRÍTICO",IF(K3152&lt;0,"ATENÇÃO",IF(K3152&lt;=5,"OPORTUNO","MUITO BOM")))</f>
        <v/>
      </c>
      <c r="M3152" t="n">
        <v>39</v>
      </c>
      <c r="N3152" t="n">
        <v>98.2</v>
      </c>
      <c r="O3152" t="n">
        <v>23.37962962962963</v>
      </c>
    </row>
    <row r="3153" hidden="1">
      <c r="A3153" s="11" t="n">
        <v>46100</v>
      </c>
      <c r="B3153" t="inlineStr">
        <is>
          <t>Ana Paula Da Luz Silva Aleixo</t>
        </is>
      </c>
      <c r="C3153" t="inlineStr">
        <is>
          <t>Técnico III</t>
        </is>
      </c>
      <c r="D3153" t="n">
        <v>9</v>
      </c>
      <c r="E3153" t="n">
        <v>8</v>
      </c>
      <c r="F3153" t="n">
        <v>18.37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M3153" t="n">
        <v>9</v>
      </c>
      <c r="N3153" t="n">
        <v>97.3</v>
      </c>
      <c r="O3153" t="n">
        <v>23.84769539078156</v>
      </c>
    </row>
    <row r="3154" hidden="1">
      <c r="A3154" s="11" t="n">
        <v>46100</v>
      </c>
      <c r="B3154" t="inlineStr">
        <is>
          <t>Anna Luiza Rezende Tavares</t>
        </is>
      </c>
      <c r="C3154" t="inlineStr">
        <is>
          <t>Estágio</t>
        </is>
      </c>
      <c r="D3154" t="n">
        <v>15</v>
      </c>
      <c r="E3154" t="n">
        <v>15</v>
      </c>
      <c r="F3154" t="n">
        <v>25.19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M3154" t="n">
        <v>11</v>
      </c>
      <c r="N3154" t="n">
        <v>100</v>
      </c>
      <c r="O3154" t="n">
        <v>25.26881720430108</v>
      </c>
    </row>
    <row r="3155" hidden="1">
      <c r="A3155" s="11" t="n">
        <v>46100</v>
      </c>
      <c r="B3155" t="inlineStr">
        <is>
          <t>Brenda de Menezes Silva</t>
        </is>
      </c>
      <c r="C3155" t="inlineStr">
        <is>
          <t>Técnico II</t>
        </is>
      </c>
      <c r="D3155" t="n">
        <v>27</v>
      </c>
      <c r="E3155" t="n">
        <v>22</v>
      </c>
      <c r="F3155" t="n">
        <v>15.16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M3155" t="n">
        <v>22</v>
      </c>
      <c r="N3155" t="n">
        <v>99.31999999999999</v>
      </c>
      <c r="O3155" t="n">
        <v>22.82282282282282</v>
      </c>
    </row>
    <row r="3156" hidden="1">
      <c r="A3156" s="11" t="n">
        <v>46100</v>
      </c>
      <c r="B3156" t="inlineStr">
        <is>
          <t>Carlos Mateus Cassimiro Nunes</t>
        </is>
      </c>
      <c r="C3156" t="inlineStr">
        <is>
          <t>Técnico II</t>
        </is>
      </c>
      <c r="D3156" t="n">
        <v>27</v>
      </c>
      <c r="E3156" t="n">
        <v>24</v>
      </c>
      <c r="F3156" t="n">
        <v>25.5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M3156" t="n">
        <v>24</v>
      </c>
      <c r="N3156" t="n">
        <v>100</v>
      </c>
      <c r="O3156" t="n">
        <v>27.96610169491525</v>
      </c>
    </row>
    <row r="3157" hidden="1">
      <c r="A3157" s="11" t="n">
        <v>46100</v>
      </c>
      <c r="B3157" t="inlineStr">
        <is>
          <t>Claudio de Sousa Velasco Filho</t>
        </is>
      </c>
      <c r="C3157" t="inlineStr">
        <is>
          <t>Estágio</t>
        </is>
      </c>
      <c r="D3157" t="n">
        <v>0</v>
      </c>
      <c r="E3157" t="n">
        <v>0</v>
      </c>
      <c r="F3157" t="n">
        <v>0</v>
      </c>
      <c r="G3157" t="n">
        <v>0</v>
      </c>
      <c r="H3157" t="n">
        <v>0</v>
      </c>
      <c r="I3157" s="3" t="n">
        <v>0</v>
      </c>
      <c r="J3157" s="3" t="n">
        <v>0</v>
      </c>
      <c r="K3157" s="3" t="n">
        <v>0</v>
      </c>
      <c r="L3157" s="3">
        <f>IF(K3157&lt;-5,"CRÍTICO",IF(K3157&lt;0,"ATENÇÃO",IF(K3157&lt;=5,"OPORTUNO","MUITO BOM")))</f>
        <v/>
      </c>
      <c r="M3157" t="n">
        <v>0</v>
      </c>
      <c r="N3157" t="n">
        <v>100</v>
      </c>
      <c r="O3157" t="n">
        <v>30.43478260869566</v>
      </c>
    </row>
    <row r="3158" hidden="1">
      <c r="A3158" s="11" t="n">
        <v>46100</v>
      </c>
      <c r="B3158" t="inlineStr">
        <is>
          <t>Clessiane Pereira dos Santos</t>
        </is>
      </c>
      <c r="C3158" t="inlineStr">
        <is>
          <t>Técnico I</t>
        </is>
      </c>
      <c r="D3158" t="n">
        <v>32</v>
      </c>
      <c r="E3158" t="n">
        <v>28</v>
      </c>
      <c r="F3158" t="n">
        <v>20.14</v>
      </c>
      <c r="G3158" t="n">
        <v>0</v>
      </c>
      <c r="H3158" t="n">
        <v>0</v>
      </c>
      <c r="I3158" s="3">
        <f>E3158+G3158+H3158</f>
        <v/>
      </c>
      <c r="J3158" s="3">
        <f>ROUND(MIN(IF(C3158="Técnico III",35,IF(C3158="Técnico II",28,IF(C3158="Técnico I",23,IF(C3158="JR",20,IF(C3158="Estágio",10,0))))),IF(C3158="Técnico III",SUMIFS($D:$D,$A:$A,$A3158,$B:$B,"&lt;&gt;Patrícia Karla de Sousa Araújo",$B:$B,"&lt;&gt;Lorena Dias de Araujo",$B:$B,"&lt;&gt;Lucas Luiz Romero")*(35/1083),IF(C3158="Técnico II",SUMIFS($D:$D,$A:$A,$A3158,$B:$B,"&lt;&gt;Patrícia Karla de Sousa Araújo",$B:$B,"&lt;&gt;Lorena Dias de Araujo",$B:$B,"&lt;&gt;Lucas Luiz Romero")*(28/1083),IF(C3158="Técnico I",SUMIFS($D:$D,$A:$A,$A3158,$B:$B,"&lt;&gt;Patrícia Karla de Sousa Araújo",$B:$B,"&lt;&gt;Lorena Dias de Araujo",$B:$B,"&lt;&gt;Lucas Luiz Romero")*(23/1083),IF(C3158="JR",SUMIFS($D:$D,$A:$A,$A3158,$B:$B,"&lt;&gt;Patrícia Karla de Sousa Araújo",$B:$B,"&lt;&gt;Lorena Dias de Araujo",$B:$B,"&lt;&gt;Lucas Luiz Romero")*(20/1083),IF(C3158="Estágio",SUMIFS($D:$D,$A:$A,$A3158,$B:$B,"&lt;&gt;Patrícia Karla de Sousa Araújo",$B:$B,"&lt;&gt;Lorena Dias de Araujo",$B:$B,"&lt;&gt;Lucas Luiz Romero")*(10/1083),0)))))),0)</f>
        <v/>
      </c>
      <c r="K3158" s="3">
        <f>I3158-J3158</f>
        <v/>
      </c>
      <c r="L3158" s="3">
        <f>IF(K3158&lt;-5,"CRÍTICO",IF(K3158&lt;0,"ATENÇÃO",IF(K3158&lt;=5,"OPORTUNO","MUITO BOM")))</f>
        <v/>
      </c>
      <c r="M3158" t="n">
        <v>26</v>
      </c>
      <c r="N3158" t="n">
        <v>96.51000000000001</v>
      </c>
      <c r="O3158" t="n">
        <v>22.80285035629454</v>
      </c>
    </row>
    <row r="3159" hidden="1">
      <c r="A3159" s="11" t="n">
        <v>46100</v>
      </c>
      <c r="B3159" t="inlineStr">
        <is>
          <t>Cristiane Ramos da Silva Rocha</t>
        </is>
      </c>
      <c r="C3159" t="inlineStr">
        <is>
          <t>Técnico III</t>
        </is>
      </c>
      <c r="D3159" t="n">
        <v>0</v>
      </c>
      <c r="E3159" t="n">
        <v>0</v>
      </c>
      <c r="F3159" t="n">
        <v>0</v>
      </c>
      <c r="G3159" t="n">
        <v>0</v>
      </c>
      <c r="H3159" t="n">
        <v>0</v>
      </c>
      <c r="I3159" s="3" t="n">
        <v>0</v>
      </c>
      <c r="J3159" s="3" t="n">
        <v>0</v>
      </c>
      <c r="K3159" s="3" t="n">
        <v>0</v>
      </c>
      <c r="L3159" s="3">
        <f>IF(K3159&lt;-5,"CRÍTICO",IF(K3159&lt;0,"ATENÇÃO",IF(K3159&lt;=5,"OPORTUNO","MUITO BOM")))</f>
        <v/>
      </c>
      <c r="M3159" t="n">
        <v>10</v>
      </c>
      <c r="N3159" t="n">
        <v>92.68000000000001</v>
      </c>
      <c r="O3159" t="n">
        <v>27.77777777777778</v>
      </c>
    </row>
    <row r="3160" hidden="1">
      <c r="A3160" s="11" t="n">
        <v>46100</v>
      </c>
      <c r="B3160" t="inlineStr">
        <is>
          <t>Damyllis Lorraine de Oliveira Gonçalves</t>
        </is>
      </c>
      <c r="C3160" t="inlineStr">
        <is>
          <t>Técnico II</t>
        </is>
      </c>
      <c r="D3160" t="n">
        <v>20</v>
      </c>
      <c r="E3160" t="n">
        <v>19</v>
      </c>
      <c r="F3160" t="n">
        <v>21.43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M3160" t="n">
        <v>17</v>
      </c>
      <c r="N3160" t="n">
        <v>99.03</v>
      </c>
      <c r="O3160" t="n">
        <v>23.99150743099788</v>
      </c>
    </row>
    <row r="3161" hidden="1">
      <c r="A3161" s="11" t="n">
        <v>46100</v>
      </c>
      <c r="B3161" t="inlineStr">
        <is>
          <t>Daniel Gomes da Silva</t>
        </is>
      </c>
      <c r="C3161" t="inlineStr">
        <is>
          <t>Técnico I</t>
        </is>
      </c>
      <c r="D3161" t="n">
        <v>21</v>
      </c>
      <c r="E3161" t="n">
        <v>21</v>
      </c>
      <c r="F3161" t="n">
        <v>27.08</v>
      </c>
      <c r="G3161" t="n">
        <v>0</v>
      </c>
      <c r="H3161" t="n">
        <v>0</v>
      </c>
      <c r="I3161" s="3">
        <f>E3161+G3161+H3161</f>
        <v/>
      </c>
      <c r="J3161" s="3">
        <f>ROUND(MIN(IF(C3161="Técnico III",35,IF(C3161="Técnico II",28,IF(C3161="Técnico I",23,IF(C3161="JR",20,IF(C3161="Estágio",10,0))))),IF(C3161="Técnico III",SUMIFS($D:$D,$A:$A,$A3161,$B:$B,"&lt;&gt;Patrícia Karla de Sousa Araújo",$B:$B,"&lt;&gt;Lorena Dias de Araujo",$B:$B,"&lt;&gt;Lucas Luiz Romero")*(35/1083),IF(C3161="Técnico II",SUMIFS($D:$D,$A:$A,$A3161,$B:$B,"&lt;&gt;Patrícia Karla de Sousa Araújo",$B:$B,"&lt;&gt;Lorena Dias de Araujo",$B:$B,"&lt;&gt;Lucas Luiz Romero")*(28/1083),IF(C3161="Técnico I",SUMIFS($D:$D,$A:$A,$A3161,$B:$B,"&lt;&gt;Patrícia Karla de Sousa Araújo",$B:$B,"&lt;&gt;Lorena Dias de Araujo",$B:$B,"&lt;&gt;Lucas Luiz Romero")*(23/1083),IF(C3161="JR",SUMIFS($D:$D,$A:$A,$A3161,$B:$B,"&lt;&gt;Patrícia Karla de Sousa Araújo",$B:$B,"&lt;&gt;Lorena Dias de Araujo",$B:$B,"&lt;&gt;Lucas Luiz Romero")*(20/1083),IF(C3161="Estágio",SUMIFS($D:$D,$A:$A,$A3161,$B:$B,"&lt;&gt;Patrícia Karla de Sousa Araújo",$B:$B,"&lt;&gt;Lorena Dias de Araujo",$B:$B,"&lt;&gt;Lucas Luiz Romero")*(10/1083),0)))))),0)</f>
        <v/>
      </c>
      <c r="K3161" s="3">
        <f>I3161-J3161</f>
        <v/>
      </c>
      <c r="L3161" s="3">
        <f>IF(K3161&lt;-5,"CRÍTICO",IF(K3161&lt;0,"ATENÇÃO",IF(K3161&lt;=5,"OPORTUNO","MUITO BOM")))</f>
        <v/>
      </c>
      <c r="M3161" t="n">
        <v>9</v>
      </c>
      <c r="N3161" t="n">
        <v>98.41</v>
      </c>
      <c r="O3161" t="n">
        <v>28.13852813852814</v>
      </c>
    </row>
    <row r="3162" hidden="1">
      <c r="A3162" s="11" t="n">
        <v>46100</v>
      </c>
      <c r="B3162" t="inlineStr">
        <is>
          <t>Davylla Rodrigues Freitas Silva</t>
        </is>
      </c>
      <c r="C3162" t="inlineStr">
        <is>
          <t>Técnico III</t>
        </is>
      </c>
      <c r="D3162" t="n">
        <v>22</v>
      </c>
      <c r="E3162" t="n">
        <v>21</v>
      </c>
      <c r="F3162" t="n">
        <v>30.31</v>
      </c>
      <c r="G3162" t="n">
        <v>0</v>
      </c>
      <c r="H3162" t="n">
        <v>0</v>
      </c>
      <c r="I3162" s="3" t="n">
        <v>0</v>
      </c>
      <c r="J3162" s="3" t="n">
        <v>0</v>
      </c>
      <c r="K3162" s="3" t="n">
        <v>0</v>
      </c>
      <c r="L3162" s="3">
        <f>IF(K3162&lt;-5,"CRÍTICO",IF(K3162&lt;0,"ATENÇÃO",IF(K3162&lt;=5,"OPORTUNO","MUITO BOM")))</f>
        <v/>
      </c>
      <c r="M3162" t="n">
        <v>22</v>
      </c>
      <c r="N3162" t="n">
        <v>98.73</v>
      </c>
      <c r="O3162" t="n">
        <v>29.14285714285714</v>
      </c>
    </row>
    <row r="3163" hidden="1">
      <c r="A3163" s="11" t="n">
        <v>46100</v>
      </c>
      <c r="B3163" t="inlineStr">
        <is>
          <t>Emilly Caylane Costa</t>
        </is>
      </c>
      <c r="C3163" t="inlineStr">
        <is>
          <t>Estágio</t>
        </is>
      </c>
      <c r="D3163" t="n">
        <v>8</v>
      </c>
      <c r="E3163" t="n">
        <v>8</v>
      </c>
      <c r="F3163" t="n">
        <v>46.58</v>
      </c>
      <c r="G3163" t="n">
        <v>0</v>
      </c>
      <c r="H3163" t="n">
        <v>0</v>
      </c>
      <c r="I3163" s="3">
        <f>E3163+G3163+H3163</f>
        <v/>
      </c>
      <c r="J3163" s="3">
        <f>ROUND(MIN(IF(C3163="Técnico III",35,IF(C3163="Técnico II",28,IF(C3163="Técnico I",23,IF(C3163="JR",20,IF(C3163="Estágio",10,0))))),IF(C3163="Técnico III",SUMIFS($D:$D,$A:$A,$A3163,$B:$B,"&lt;&gt;Patrícia Karla de Sousa Araújo",$B:$B,"&lt;&gt;Lorena Dias de Araujo",$B:$B,"&lt;&gt;Lucas Luiz Romero")*(35/1083),IF(C3163="Técnico II",SUMIFS($D:$D,$A:$A,$A3163,$B:$B,"&lt;&gt;Patrícia Karla de Sousa Araújo",$B:$B,"&lt;&gt;Lorena Dias de Araujo",$B:$B,"&lt;&gt;Lucas Luiz Romero")*(28/1083),IF(C3163="Técnico I",SUMIFS($D:$D,$A:$A,$A3163,$B:$B,"&lt;&gt;Patrícia Karla de Sousa Araújo",$B:$B,"&lt;&gt;Lorena Dias de Araujo",$B:$B,"&lt;&gt;Lucas Luiz Romero")*(23/1083),IF(C3163="JR",SUMIFS($D:$D,$A:$A,$A3163,$B:$B,"&lt;&gt;Patrícia Karla de Sousa Araújo",$B:$B,"&lt;&gt;Lorena Dias de Araujo",$B:$B,"&lt;&gt;Lucas Luiz Romero")*(20/1083),IF(C3163="Estágio",SUMIFS($D:$D,$A:$A,$A3163,$B:$B,"&lt;&gt;Patrícia Karla de Sousa Araújo",$B:$B,"&lt;&gt;Lorena Dias de Araujo",$B:$B,"&lt;&gt;Lucas Luiz Romero")*(10/1083),0)))))),0)</f>
        <v/>
      </c>
      <c r="K3163" s="3">
        <f>I3163-J3163</f>
        <v/>
      </c>
      <c r="L3163" s="3">
        <f>IF(K3163&lt;-5,"CRÍTICO",IF(K3163&lt;0,"ATENÇÃO",IF(K3163&lt;=5,"OPORTUNO","MUITO BOM")))</f>
        <v/>
      </c>
      <c r="M3163" t="n">
        <v>6</v>
      </c>
      <c r="N3163" t="n">
        <v>90.48</v>
      </c>
      <c r="O3163" t="n">
        <v>20.68965517241379</v>
      </c>
    </row>
    <row r="3164" hidden="1">
      <c r="A3164" s="11" t="n">
        <v>46100</v>
      </c>
      <c r="B3164" t="inlineStr">
        <is>
          <t>Emilly Kamilly Medeiros Miranda</t>
        </is>
      </c>
      <c r="C3164" t="inlineStr">
        <is>
          <t>Técnico II</t>
        </is>
      </c>
      <c r="D3164" t="n">
        <v>21</v>
      </c>
      <c r="E3164" t="n">
        <v>19</v>
      </c>
      <c r="F3164" t="n">
        <v>15.13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M3164" t="n">
        <v>16</v>
      </c>
      <c r="N3164" t="n">
        <v>98.06</v>
      </c>
      <c r="O3164" t="n">
        <v>24.78991596638656</v>
      </c>
    </row>
    <row r="3165" hidden="1">
      <c r="A3165" s="11" t="n">
        <v>46100</v>
      </c>
      <c r="B3165" t="inlineStr">
        <is>
          <t>Francielson de Oliveira</t>
        </is>
      </c>
      <c r="C3165" t="inlineStr">
        <is>
          <t>Técnico III</t>
        </is>
      </c>
      <c r="D3165" t="n">
        <v>29</v>
      </c>
      <c r="E3165" t="n">
        <v>27</v>
      </c>
      <c r="F3165" t="n">
        <v>17.38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M3165" t="n">
        <v>23</v>
      </c>
      <c r="N3165" t="n">
        <v>97.78</v>
      </c>
      <c r="O3165" t="n">
        <v>25.49407114624506</v>
      </c>
    </row>
    <row r="3166" hidden="1">
      <c r="A3166" s="11" t="n">
        <v>46100</v>
      </c>
      <c r="B3166" t="inlineStr">
        <is>
          <t>Francilene Ferreira de Jesus</t>
        </is>
      </c>
      <c r="C3166" t="inlineStr">
        <is>
          <t>Técnico II</t>
        </is>
      </c>
      <c r="D3166" t="n">
        <v>17</v>
      </c>
      <c r="E3166" t="n">
        <v>15</v>
      </c>
      <c r="F3166" t="n">
        <v>22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M3166" t="n">
        <v>10</v>
      </c>
      <c r="N3166" t="n">
        <v>98.02</v>
      </c>
      <c r="O3166" t="n">
        <v>23.48484848484848</v>
      </c>
    </row>
    <row r="3167" hidden="1">
      <c r="A3167" s="11" t="n">
        <v>46135</v>
      </c>
      <c r="B3167" t="inlineStr">
        <is>
          <t>Gabriel Gomes de Andrade</t>
        </is>
      </c>
      <c r="C3167" t="inlineStr">
        <is>
          <t>Técnico I</t>
        </is>
      </c>
      <c r="D3167" t="n">
        <v>23</v>
      </c>
      <c r="E3167" t="n">
        <v>21</v>
      </c>
      <c r="F3167" t="n">
        <v>17.05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M3167" t="n">
        <v>18</v>
      </c>
      <c r="N3167" t="n">
        <v>99.28</v>
      </c>
      <c r="O3167" t="n">
        <v>27.68924302788844</v>
      </c>
    </row>
    <row r="3168" hidden="1">
      <c r="A3168" s="11" t="n">
        <v>46100</v>
      </c>
      <c r="B3168" t="inlineStr">
        <is>
          <t>Isabella Borges de Oliveira</t>
        </is>
      </c>
      <c r="C3168" t="inlineStr">
        <is>
          <t>Técnico II</t>
        </is>
      </c>
      <c r="D3168" t="n">
        <v>23</v>
      </c>
      <c r="E3168" t="n">
        <v>22</v>
      </c>
      <c r="F3168" t="n">
        <v>27.1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M3168" t="n">
        <v>18</v>
      </c>
      <c r="N3168" t="n">
        <v>100</v>
      </c>
      <c r="O3168" t="n">
        <v>27.04918032786885</v>
      </c>
    </row>
    <row r="3169" hidden="1">
      <c r="A3169" s="11" t="n">
        <v>46100</v>
      </c>
      <c r="B3169" t="inlineStr">
        <is>
          <t>Janaina Lima dos Reis Urany</t>
        </is>
      </c>
      <c r="C3169" t="inlineStr">
        <is>
          <t>Técnico III</t>
        </is>
      </c>
      <c r="D3169" t="n">
        <v>45</v>
      </c>
      <c r="E3169" t="n">
        <v>41</v>
      </c>
      <c r="F3169" t="n">
        <v>14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M3169" t="n">
        <v>33</v>
      </c>
      <c r="N3169" t="n">
        <v>97.83</v>
      </c>
      <c r="O3169" t="n">
        <v>26.31578947368421</v>
      </c>
    </row>
    <row r="3170" hidden="1">
      <c r="A3170" s="11" t="n">
        <v>46100</v>
      </c>
      <c r="B3170" t="inlineStr">
        <is>
          <t>Jaqueline Evangelista da Silva Martins</t>
        </is>
      </c>
      <c r="C3170" t="inlineStr">
        <is>
          <t>Técnico III</t>
        </is>
      </c>
      <c r="D3170" t="n">
        <v>1</v>
      </c>
      <c r="E3170" t="n">
        <v>1</v>
      </c>
      <c r="F3170" t="n">
        <v>20.21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M3170" t="n">
        <v>8</v>
      </c>
      <c r="N3170" t="n">
        <v>100</v>
      </c>
      <c r="O3170" t="n">
        <v>26.70157068062827</v>
      </c>
    </row>
    <row r="3171" hidden="1">
      <c r="A3171" s="11" t="n">
        <v>46100</v>
      </c>
      <c r="B3171" t="inlineStr">
        <is>
          <t>Jessica Faria da Silveira</t>
        </is>
      </c>
      <c r="C3171" t="inlineStr">
        <is>
          <t>Técnico II</t>
        </is>
      </c>
      <c r="D3171" t="n">
        <v>2</v>
      </c>
      <c r="E3171" t="n">
        <v>2</v>
      </c>
      <c r="F3171" t="n">
        <v>20.13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M3171" t="n">
        <v>1</v>
      </c>
      <c r="N3171" t="n">
        <v>97.47</v>
      </c>
      <c r="O3171" t="n">
        <v>22.88732394366197</v>
      </c>
    </row>
    <row r="3172" hidden="1">
      <c r="A3172" s="11" t="n">
        <v>46100</v>
      </c>
      <c r="B3172" t="inlineStr">
        <is>
          <t>Jéssica Fé Moura</t>
        </is>
      </c>
      <c r="C3172" t="inlineStr">
        <is>
          <t>Técnico III</t>
        </is>
      </c>
      <c r="D3172" t="n">
        <v>0</v>
      </c>
      <c r="E3172" t="n">
        <v>0</v>
      </c>
      <c r="F3172" t="n">
        <v>0</v>
      </c>
      <c r="G3172" t="n">
        <v>0</v>
      </c>
      <c r="H3172" t="n">
        <v>0</v>
      </c>
      <c r="I3172" s="3" t="n">
        <v>0</v>
      </c>
      <c r="J3172" s="3" t="n">
        <v>0</v>
      </c>
      <c r="K3172" s="3" t="n">
        <v>0</v>
      </c>
      <c r="L3172" s="3">
        <f>IF(K3172&lt;-5,"CRÍTICO",IF(K3172&lt;0,"ATENÇÃO",IF(K3172&lt;=5,"OPORTUNO","MUITO BOM")))</f>
        <v/>
      </c>
      <c r="M3172" t="n">
        <v>0</v>
      </c>
      <c r="N3172" t="n">
        <v>0</v>
      </c>
      <c r="O3172" t="n">
        <v>0</v>
      </c>
    </row>
    <row r="3173" hidden="1">
      <c r="A3173" s="11" t="n">
        <v>46100</v>
      </c>
      <c r="B3173" t="inlineStr">
        <is>
          <t>Karina Gonçalves Martins</t>
        </is>
      </c>
      <c r="C3173" t="inlineStr">
        <is>
          <t>JR</t>
        </is>
      </c>
      <c r="D3173" t="n">
        <v>20</v>
      </c>
      <c r="E3173" t="n">
        <v>19</v>
      </c>
      <c r="F3173" t="n">
        <v>33.43</v>
      </c>
      <c r="G3173" t="n">
        <v>0</v>
      </c>
      <c r="H3173" t="n">
        <v>0</v>
      </c>
      <c r="I3173" s="3">
        <f>E3173+G3173+H3173</f>
        <v/>
      </c>
      <c r="J3173" s="3">
        <f>ROUND(MIN(IF(C3173="Técnico III",35,IF(C3173="Técnico II",28,IF(C3173="Técnico I",23,IF(C3173="JR",20,IF(C3173="Estágio",10,0))))),IF(C3173="Técnico III",SUMIFS($D:$D,$A:$A,$A3173,$B:$B,"&lt;&gt;Patrícia Karla de Sousa Araújo",$B:$B,"&lt;&gt;Lorena Dias de Araujo",$B:$B,"&lt;&gt;Lucas Luiz Romero")*(35/1083),IF(C3173="Técnico II",SUMIFS($D:$D,$A:$A,$A3173,$B:$B,"&lt;&gt;Patrícia Karla de Sousa Araújo",$B:$B,"&lt;&gt;Lorena Dias de Araujo",$B:$B,"&lt;&gt;Lucas Luiz Romero")*(28/1083),IF(C3173="Técnico I",SUMIFS($D:$D,$A:$A,$A3173,$B:$B,"&lt;&gt;Patrícia Karla de Sousa Araújo",$B:$B,"&lt;&gt;Lorena Dias de Araujo",$B:$B,"&lt;&gt;Lucas Luiz Romero")*(23/1083),IF(C3173="JR",SUMIFS($D:$D,$A:$A,$A3173,$B:$B,"&lt;&gt;Patrícia Karla de Sousa Araújo",$B:$B,"&lt;&gt;Lorena Dias de Araujo",$B:$B,"&lt;&gt;Lucas Luiz Romero")*(20/1083),IF(C3173="Estágio",SUMIFS($D:$D,$A:$A,$A3173,$B:$B,"&lt;&gt;Patrícia Karla de Sousa Araújo",$B:$B,"&lt;&gt;Lorena Dias de Araujo",$B:$B,"&lt;&gt;Lucas Luiz Romero")*(10/1083),0)))))),0)</f>
        <v/>
      </c>
      <c r="K3173" s="3">
        <f>I3173-J3173</f>
        <v/>
      </c>
      <c r="L3173" s="3">
        <f>IF(K3173&lt;-5,"CRÍTICO",IF(K3173&lt;0,"ATENÇÃO",IF(K3173&lt;=5,"OPORTUNO","MUITO BOM")))</f>
        <v/>
      </c>
      <c r="M3173" t="n">
        <v>18</v>
      </c>
      <c r="N3173" t="n">
        <v>98.31</v>
      </c>
      <c r="O3173" t="n">
        <v>24.92012779552715</v>
      </c>
    </row>
    <row r="3174" hidden="1">
      <c r="A3174" s="11" t="n">
        <v>46100</v>
      </c>
      <c r="B3174" t="inlineStr">
        <is>
          <t>Kerollen Cristielly de Jesus Siqueira</t>
        </is>
      </c>
      <c r="C3174" t="inlineStr">
        <is>
          <t>Técnico III</t>
        </is>
      </c>
      <c r="D3174" t="n">
        <v>19</v>
      </c>
      <c r="E3174" t="n">
        <v>18</v>
      </c>
      <c r="F3174" t="n">
        <v>31.46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M3174" t="n">
        <v>18</v>
      </c>
      <c r="N3174" t="n">
        <v>96.81</v>
      </c>
      <c r="O3174" t="n">
        <v>32.36514522821577</v>
      </c>
    </row>
    <row r="3175" hidden="1">
      <c r="A3175" s="11" t="n">
        <v>46100</v>
      </c>
      <c r="B3175" t="inlineStr">
        <is>
          <t>Leandro de Souza Silva</t>
        </is>
      </c>
      <c r="C3175" t="inlineStr">
        <is>
          <t>JR</t>
        </is>
      </c>
      <c r="D3175" t="n">
        <v>13</v>
      </c>
      <c r="E3175" t="n">
        <v>13</v>
      </c>
      <c r="F3175" t="n">
        <v>40.06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M3175" t="n">
        <v>8</v>
      </c>
      <c r="N3175" t="n">
        <v>100</v>
      </c>
      <c r="O3175" t="n">
        <v>26.47058823529412</v>
      </c>
    </row>
    <row r="3176" hidden="1">
      <c r="A3176" s="11" t="n">
        <v>46100</v>
      </c>
      <c r="B3176" t="inlineStr">
        <is>
          <t>Leandro Oliveira de Sousa</t>
        </is>
      </c>
      <c r="C3176" t="inlineStr">
        <is>
          <t>Técnico III</t>
        </is>
      </c>
      <c r="D3176" t="n">
        <v>15</v>
      </c>
      <c r="E3176" t="n">
        <v>14</v>
      </c>
      <c r="F3176" t="n">
        <v>30.42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M3176" t="n">
        <v>13</v>
      </c>
      <c r="N3176" t="n">
        <v>100</v>
      </c>
      <c r="O3176" t="n">
        <v>28.49002849002849</v>
      </c>
    </row>
    <row r="3177" hidden="1">
      <c r="A3177" s="11" t="n">
        <v>46100</v>
      </c>
      <c r="B3177" t="inlineStr">
        <is>
          <t>Lizandra Gomes Duarte</t>
        </is>
      </c>
      <c r="C3177" t="inlineStr">
        <is>
          <t>Técnico II</t>
        </is>
      </c>
      <c r="D3177" t="n">
        <v>19</v>
      </c>
      <c r="E3177" t="n">
        <v>18</v>
      </c>
      <c r="F3177" t="n">
        <v>32.37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M3177" t="n">
        <v>10</v>
      </c>
      <c r="N3177" t="n">
        <v>99.14</v>
      </c>
      <c r="O3177" t="n">
        <v>27.2289156626506</v>
      </c>
    </row>
    <row r="3178" hidden="1">
      <c r="A3178" s="11" t="n">
        <v>46100</v>
      </c>
      <c r="B3178" t="inlineStr">
        <is>
          <t>Lorena Dias de Araujo</t>
        </is>
      </c>
      <c r="C3178" t="inlineStr">
        <is>
          <t>Técnico II</t>
        </is>
      </c>
      <c r="D3178" t="n">
        <v>25</v>
      </c>
      <c r="E3178" t="n">
        <v>24</v>
      </c>
      <c r="F3178" t="n">
        <v>25.3</v>
      </c>
      <c r="G3178" t="n">
        <v>0</v>
      </c>
      <c r="H3178" t="n">
        <v>0</v>
      </c>
      <c r="I3178" s="3" t="n">
        <v>0</v>
      </c>
      <c r="J3178" s="3" t="n">
        <v>0</v>
      </c>
      <c r="K3178" s="3" t="n">
        <v>0</v>
      </c>
      <c r="L3178" s="3">
        <f>IF(K3178&lt;-5,"CRÍTICO",IF(K3178&lt;0,"ATENÇÃO",IF(K3178&lt;=5,"OPORTUNO","MUITO BOM")))</f>
        <v/>
      </c>
      <c r="M3178" t="n">
        <v>20</v>
      </c>
      <c r="N3178" t="n">
        <v>97.52</v>
      </c>
      <c r="O3178" t="n">
        <v>28.2051282051282</v>
      </c>
    </row>
    <row r="3179" hidden="1">
      <c r="A3179" s="11" t="n">
        <v>46100</v>
      </c>
      <c r="B3179" t="inlineStr">
        <is>
          <t>Lucas Luiz Romero</t>
        </is>
      </c>
      <c r="C3179" t="inlineStr">
        <is>
          <t>Técnico III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M3179" t="n">
        <v>0</v>
      </c>
      <c r="N3179" t="n">
        <v>90</v>
      </c>
      <c r="O3179" t="n">
        <v>24.18604651162791</v>
      </c>
    </row>
    <row r="3180" hidden="1">
      <c r="A3180" s="11" t="n">
        <v>46100</v>
      </c>
      <c r="B3180" t="inlineStr">
        <is>
          <t>Luiz Fernando de Carvalho Junior</t>
        </is>
      </c>
      <c r="C3180" t="inlineStr">
        <is>
          <t>Técnico I</t>
        </is>
      </c>
      <c r="D3180" t="n">
        <v>18</v>
      </c>
      <c r="E3180" t="n">
        <v>17</v>
      </c>
      <c r="F3180" t="n">
        <v>25.47</v>
      </c>
      <c r="G3180" t="n">
        <v>0</v>
      </c>
      <c r="H3180" t="n">
        <v>0</v>
      </c>
      <c r="I3180" s="3">
        <f>E3180+G3180+H3180</f>
        <v/>
      </c>
      <c r="J3180" s="3">
        <f>ROUND(MIN(IF(C3180="Técnico III",35,IF(C3180="Técnico II",28,IF(C3180="Técnico I",23,IF(C3180="JR",20,IF(C3180="Estágio",10,0))))),IF(C3180="Técnico III",SUMIFS($D:$D,$A:$A,$A3180,$B:$B,"&lt;&gt;Patrícia Karla de Sousa Araújo",$B:$B,"&lt;&gt;Lorena Dias de Araujo",$B:$B,"&lt;&gt;Lucas Luiz Romero")*(35/1083),IF(C3180="Técnico II",SUMIFS($D:$D,$A:$A,$A3180,$B:$B,"&lt;&gt;Patrícia Karla de Sousa Araújo",$B:$B,"&lt;&gt;Lorena Dias de Araujo",$B:$B,"&lt;&gt;Lucas Luiz Romero")*(28/1083),IF(C3180="Técnico I",SUMIFS($D:$D,$A:$A,$A3180,$B:$B,"&lt;&gt;Patrícia Karla de Sousa Araújo",$B:$B,"&lt;&gt;Lorena Dias de Araujo",$B:$B,"&lt;&gt;Lucas Luiz Romero")*(23/1083),IF(C3180="JR",SUMIFS($D:$D,$A:$A,$A3180,$B:$B,"&lt;&gt;Patrícia Karla de Sousa Araújo",$B:$B,"&lt;&gt;Lorena Dias de Araujo",$B:$B,"&lt;&gt;Lucas Luiz Romero")*(20/1083),IF(C3180="Estágio",SUMIFS($D:$D,$A:$A,$A3180,$B:$B,"&lt;&gt;Patrícia Karla de Sousa Araújo",$B:$B,"&lt;&gt;Lorena Dias de Araujo",$B:$B,"&lt;&gt;Lucas Luiz Romero")*(10/1083),0)))))),0)</f>
        <v/>
      </c>
      <c r="K3180" s="3">
        <f>I3180-J3180</f>
        <v/>
      </c>
      <c r="L3180" s="3">
        <f>IF(K3180&lt;-5,"CRÍTICO",IF(K3180&lt;0,"ATENÇÃO",IF(K3180&lt;=5,"OPORTUNO","MUITO BOM")))</f>
        <v/>
      </c>
      <c r="M3180" t="n">
        <v>12</v>
      </c>
      <c r="N3180" t="n">
        <v>98.90000000000001</v>
      </c>
      <c r="O3180" t="n">
        <v>26.7639902676399</v>
      </c>
    </row>
    <row r="3181" hidden="1">
      <c r="A3181" s="11" t="n">
        <v>46100</v>
      </c>
      <c r="B3181" t="inlineStr">
        <is>
          <t>Maria Eduarda Sousa Costa</t>
        </is>
      </c>
      <c r="C3181" t="inlineStr">
        <is>
          <t>Estágio</t>
        </is>
      </c>
      <c r="D3181" t="n">
        <v>0</v>
      </c>
      <c r="E3181" t="n">
        <v>0</v>
      </c>
      <c r="F3181" t="n">
        <v>0</v>
      </c>
      <c r="G3181" t="n">
        <v>0</v>
      </c>
      <c r="H3181" t="n">
        <v>0</v>
      </c>
      <c r="I3181" s="3" t="n">
        <v>0</v>
      </c>
      <c r="J3181" s="3" t="n">
        <v>0</v>
      </c>
      <c r="K3181" s="3" t="n">
        <v>0</v>
      </c>
      <c r="L3181" s="3">
        <f>IF(K3181&lt;-5,"CRÍTICO",IF(K3181&lt;0,"ATENÇÃO",IF(K3181&lt;=5,"OPORTUNO","MUITO BOM")))</f>
        <v/>
      </c>
      <c r="M3181" t="n">
        <v>0</v>
      </c>
      <c r="N3181" t="n">
        <v>88.89</v>
      </c>
      <c r="O3181" t="n">
        <v>25.26315789473684</v>
      </c>
    </row>
    <row r="3182" hidden="1">
      <c r="A3182" s="11" t="n">
        <v>46100</v>
      </c>
      <c r="B3182" t="inlineStr">
        <is>
          <t>Matheus Farias De Souza</t>
        </is>
      </c>
      <c r="C3182" t="inlineStr">
        <is>
          <t>Técnico III</t>
        </is>
      </c>
      <c r="D3182" t="n">
        <v>34</v>
      </c>
      <c r="E3182" t="n">
        <v>30</v>
      </c>
      <c r="F3182" t="n">
        <v>20.07</v>
      </c>
      <c r="G3182" t="n">
        <v>0</v>
      </c>
      <c r="H3182" t="n">
        <v>0</v>
      </c>
      <c r="I3182" s="3">
        <f>E3182+G3182+H3182</f>
        <v/>
      </c>
      <c r="J3182" s="3">
        <f>ROUND(MIN(IF(C3182="Técnico III",35,IF(C3182="Técnico II",28,IF(C3182="Técnico I",23,IF(C3182="JR",20,IF(C3182="Estágio",10,0))))),IF(C3182="Técnico III",SUMIFS($D:$D,$A:$A,$A3182,$B:$B,"&lt;&gt;Patrícia Karla de Sousa Araújo",$B:$B,"&lt;&gt;Lorena Dias de Araujo",$B:$B,"&lt;&gt;Lucas Luiz Romero")*(35/1083),IF(C3182="Técnico II",SUMIFS($D:$D,$A:$A,$A3182,$B:$B,"&lt;&gt;Patrícia Karla de Sousa Araújo",$B:$B,"&lt;&gt;Lorena Dias de Araujo",$B:$B,"&lt;&gt;Lucas Luiz Romero")*(28/1083),IF(C3182="Técnico I",SUMIFS($D:$D,$A:$A,$A3182,$B:$B,"&lt;&gt;Patrícia Karla de Sousa Araújo",$B:$B,"&lt;&gt;Lorena Dias de Araujo",$B:$B,"&lt;&gt;Lucas Luiz Romero")*(23/1083),IF(C3182="JR",SUMIFS($D:$D,$A:$A,$A3182,$B:$B,"&lt;&gt;Patrícia Karla de Sousa Araújo",$B:$B,"&lt;&gt;Lorena Dias de Araujo",$B:$B,"&lt;&gt;Lucas Luiz Romero")*(20/1083),IF(C3182="Estágio",SUMIFS($D:$D,$A:$A,$A3182,$B:$B,"&lt;&gt;Patrícia Karla de Sousa Araújo",$B:$B,"&lt;&gt;Lorena Dias de Araujo",$B:$B,"&lt;&gt;Lucas Luiz Romero")*(10/1083),0)))))),0)</f>
        <v/>
      </c>
      <c r="K3182" s="3">
        <f>I3182-J3182</f>
        <v/>
      </c>
      <c r="L3182" s="3">
        <f>IF(K3182&lt;-5,"CRÍTICO",IF(K3182&lt;0,"ATENÇÃO",IF(K3182&lt;=5,"OPORTUNO","MUITO BOM")))</f>
        <v/>
      </c>
      <c r="M3182" t="n">
        <v>28</v>
      </c>
      <c r="N3182" t="n">
        <v>98.86</v>
      </c>
      <c r="O3182" t="n">
        <v>28.95927601809955</v>
      </c>
    </row>
    <row r="3183" hidden="1">
      <c r="A3183" s="11" t="n">
        <v>46100</v>
      </c>
      <c r="B3183" t="inlineStr">
        <is>
          <t>Maysa Victoria Dias Moura</t>
        </is>
      </c>
      <c r="C3183" t="inlineStr">
        <is>
          <t>Técnico III</t>
        </is>
      </c>
      <c r="D3183" t="n">
        <v>0</v>
      </c>
      <c r="E3183" t="n">
        <v>0</v>
      </c>
      <c r="F3183" t="n">
        <v>0</v>
      </c>
      <c r="G3183" t="n">
        <v>0</v>
      </c>
      <c r="H3183" t="n">
        <v>0</v>
      </c>
      <c r="I3183" s="3" t="n">
        <v>0</v>
      </c>
      <c r="J3183" s="3" t="n">
        <v>0</v>
      </c>
      <c r="K3183" s="3" t="n">
        <v>0</v>
      </c>
      <c r="L3183" s="3">
        <f>IF(K3183&lt;-5,"CRÍTICO",IF(K3183&lt;0,"ATENÇÃO",IF(K3183&lt;=5,"OPORTUNO","MUITO BOM")))</f>
        <v/>
      </c>
      <c r="M3183" t="n">
        <v>0</v>
      </c>
      <c r="N3183" t="n">
        <v>98.06</v>
      </c>
      <c r="O3183" t="n">
        <v>22.40566037735849</v>
      </c>
    </row>
    <row r="3184" hidden="1">
      <c r="A3184" s="11" t="n">
        <v>46100</v>
      </c>
      <c r="B3184" t="inlineStr">
        <is>
          <t>Michelle G Santos</t>
        </is>
      </c>
      <c r="C3184" t="inlineStr">
        <is>
          <t>Estágio</t>
        </is>
      </c>
      <c r="D3184" t="n">
        <v>6</v>
      </c>
      <c r="E3184" t="n">
        <v>6</v>
      </c>
      <c r="F3184" t="n">
        <v>48.35</v>
      </c>
      <c r="G3184" t="n">
        <v>0</v>
      </c>
      <c r="H3184" t="n">
        <v>0</v>
      </c>
      <c r="I3184" s="3">
        <f>E3184+G3184+H3184</f>
        <v/>
      </c>
      <c r="J3184" s="3">
        <f>ROUND(MIN(IF(C3184="Técnico III",35,IF(C3184="Técnico II",28,IF(C3184="Técnico I",23,IF(C3184="JR",20,IF(C3184="Estágio",10,0))))),IF(C3184="Técnico III",SUMIFS($D:$D,$A:$A,$A3184,$B:$B,"&lt;&gt;Patrícia Karla de Sousa Araújo",$B:$B,"&lt;&gt;Lorena Dias de Araujo",$B:$B,"&lt;&gt;Lucas Luiz Romero")*(35/1083),IF(C3184="Técnico II",SUMIFS($D:$D,$A:$A,$A3184,$B:$B,"&lt;&gt;Patrícia Karla de Sousa Araújo",$B:$B,"&lt;&gt;Lorena Dias de Araujo",$B:$B,"&lt;&gt;Lucas Luiz Romero")*(28/1083),IF(C3184="Técnico I",SUMIFS($D:$D,$A:$A,$A3184,$B:$B,"&lt;&gt;Patrícia Karla de Sousa Araújo",$B:$B,"&lt;&gt;Lorena Dias de Araujo",$B:$B,"&lt;&gt;Lucas Luiz Romero")*(23/1083),IF(C3184="JR",SUMIFS($D:$D,$A:$A,$A3184,$B:$B,"&lt;&gt;Patrícia Karla de Sousa Araújo",$B:$B,"&lt;&gt;Lorena Dias de Araujo",$B:$B,"&lt;&gt;Lucas Luiz Romero")*(20/1083),IF(C3184="Estágio",SUMIFS($D:$D,$A:$A,$A3184,$B:$B,"&lt;&gt;Patrícia Karla de Sousa Araújo",$B:$B,"&lt;&gt;Lorena Dias de Araujo",$B:$B,"&lt;&gt;Lucas Luiz Romero")*(10/1083),0)))))),0)</f>
        <v/>
      </c>
      <c r="K3184" s="3">
        <f>I3184-J3184</f>
        <v/>
      </c>
      <c r="L3184" s="3">
        <f>IF(K3184&lt;-5,"CRÍTICO",IF(K3184&lt;0,"ATENÇÃO",IF(K3184&lt;=5,"OPORTUNO","MUITO BOM")))</f>
        <v/>
      </c>
      <c r="M3184" t="n">
        <v>4</v>
      </c>
      <c r="N3184" t="n">
        <v>95.83</v>
      </c>
      <c r="O3184" t="n">
        <v>25.77319587628866</v>
      </c>
    </row>
    <row r="3185" hidden="1">
      <c r="A3185" s="11" t="n">
        <v>46100</v>
      </c>
      <c r="B3185" t="inlineStr">
        <is>
          <t>Milena Sales</t>
        </is>
      </c>
      <c r="C3185" t="inlineStr">
        <is>
          <t>JR</t>
        </is>
      </c>
      <c r="D3185" t="n">
        <v>0</v>
      </c>
      <c r="E3185" t="n">
        <v>0</v>
      </c>
      <c r="F3185" t="n">
        <v>0</v>
      </c>
      <c r="G3185" t="n">
        <v>0</v>
      </c>
      <c r="H3185" t="n">
        <v>0</v>
      </c>
      <c r="I3185" s="3" t="n">
        <v>0</v>
      </c>
      <c r="J3185" s="3" t="n">
        <v>0</v>
      </c>
      <c r="K3185" s="3" t="n">
        <v>0</v>
      </c>
      <c r="L3185" s="3">
        <f>IF(K3185&lt;-5,"CRÍTICO",IF(K3185&lt;0,"ATENÇÃO",IF(K3185&lt;=5,"OPORTUNO","MUITO BOM")))</f>
        <v/>
      </c>
      <c r="M3185" t="n">
        <v>0</v>
      </c>
      <c r="N3185" t="n">
        <v>100</v>
      </c>
      <c r="O3185" t="n">
        <v>15.38461538461539</v>
      </c>
    </row>
    <row r="3186" hidden="1">
      <c r="A3186" s="11" t="n">
        <v>46100</v>
      </c>
      <c r="B3186" t="inlineStr">
        <is>
          <t>Patrícia Karla de Sousa Araújo</t>
        </is>
      </c>
      <c r="C3186" t="inlineStr">
        <is>
          <t>Técnico II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M3186" t="n">
        <v>0</v>
      </c>
      <c r="N3186" t="n">
        <v>100</v>
      </c>
      <c r="O3186" t="n">
        <v>27.51479289940828</v>
      </c>
    </row>
    <row r="3187" hidden="1">
      <c r="A3187" s="11" t="n">
        <v>46100</v>
      </c>
      <c r="B3187" t="inlineStr">
        <is>
          <t>Paulo Ricardo Santos</t>
        </is>
      </c>
      <c r="C3187" t="inlineStr">
        <is>
          <t>JR</t>
        </is>
      </c>
      <c r="D3187" t="n">
        <v>12</v>
      </c>
      <c r="E3187" t="n">
        <v>12</v>
      </c>
      <c r="F3187" t="n">
        <v>27.16</v>
      </c>
      <c r="G3187" t="n">
        <v>0</v>
      </c>
      <c r="H3187" t="n">
        <v>0</v>
      </c>
      <c r="I3187" s="3">
        <f>E3187+G3187+H3187</f>
        <v/>
      </c>
      <c r="J3187" s="3">
        <f>ROUND(MIN(IF(C3187="Técnico III",35,IF(C3187="Técnico II",28,IF(C3187="Técnico I",23,IF(C3187="JR",20,IF(C3187="Estágio",10,0))))),IF(C3187="Técnico III",SUMIFS($D:$D,$A:$A,$A3187,$B:$B,"&lt;&gt;Patrícia Karla de Sousa Araújo",$B:$B,"&lt;&gt;Lorena Dias de Araujo",$B:$B,"&lt;&gt;Lucas Luiz Romero")*(35/1083),IF(C3187="Técnico II",SUMIFS($D:$D,$A:$A,$A3187,$B:$B,"&lt;&gt;Patrícia Karla de Sousa Araújo",$B:$B,"&lt;&gt;Lorena Dias de Araujo",$B:$B,"&lt;&gt;Lucas Luiz Romero")*(28/1083),IF(C3187="Técnico I",SUMIFS($D:$D,$A:$A,$A3187,$B:$B,"&lt;&gt;Patrícia Karla de Sousa Araújo",$B:$B,"&lt;&gt;Lorena Dias de Araujo",$B:$B,"&lt;&gt;Lucas Luiz Romero")*(23/1083),IF(C3187="JR",SUMIFS($D:$D,$A:$A,$A3187,$B:$B,"&lt;&gt;Patrícia Karla de Sousa Araújo",$B:$B,"&lt;&gt;Lorena Dias de Araujo",$B:$B,"&lt;&gt;Lucas Luiz Romero")*(20/1083),IF(C3187="Estágio",SUMIFS($D:$D,$A:$A,$A3187,$B:$B,"&lt;&gt;Patrícia Karla de Sousa Araújo",$B:$B,"&lt;&gt;Lorena Dias de Araujo",$B:$B,"&lt;&gt;Lucas Luiz Romero")*(10/1083),0)))))),0)</f>
        <v/>
      </c>
      <c r="K3187" s="3">
        <f>I3187-J3187</f>
        <v/>
      </c>
      <c r="L3187" s="3">
        <f>IF(K3187&lt;-5,"CRÍTICO",IF(K3187&lt;0,"ATENÇÃO",IF(K3187&lt;=5,"OPORTUNO","MUITO BOM")))</f>
        <v/>
      </c>
      <c r="M3187" t="n">
        <v>9</v>
      </c>
      <c r="N3187" t="n">
        <v>100</v>
      </c>
      <c r="O3187" t="n">
        <v>24.87562189054727</v>
      </c>
    </row>
    <row r="3188" hidden="1">
      <c r="A3188" s="11" t="n">
        <v>46100</v>
      </c>
      <c r="B3188" t="inlineStr">
        <is>
          <t>Pedro Luiz Mota Sousa</t>
        </is>
      </c>
      <c r="C3188" t="inlineStr">
        <is>
          <t>JR</t>
        </is>
      </c>
      <c r="D3188" t="n">
        <v>8</v>
      </c>
      <c r="E3188" t="n">
        <v>8</v>
      </c>
      <c r="F3188" t="n">
        <v>52.08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M3188" t="n">
        <v>7</v>
      </c>
      <c r="N3188" t="n">
        <v>100</v>
      </c>
      <c r="O3188" t="n">
        <v>28.10810810810811</v>
      </c>
    </row>
    <row r="3189" hidden="1">
      <c r="A3189" s="11" t="n">
        <v>46100</v>
      </c>
      <c r="B3189" t="inlineStr">
        <is>
          <t>Quirino Diogo Leite Torres</t>
        </is>
      </c>
      <c r="C3189" t="inlineStr">
        <is>
          <t>Estágio</t>
        </is>
      </c>
      <c r="D3189" t="n">
        <v>0</v>
      </c>
      <c r="E3189" t="n">
        <v>0</v>
      </c>
      <c r="F3189" t="n">
        <v>0</v>
      </c>
      <c r="G3189" t="n">
        <v>0</v>
      </c>
      <c r="H3189" t="n">
        <v>0</v>
      </c>
      <c r="I3189" s="3" t="n">
        <v>0</v>
      </c>
      <c r="J3189" s="3" t="n">
        <v>0</v>
      </c>
      <c r="K3189" s="3" t="n">
        <v>0</v>
      </c>
      <c r="L3189" s="3">
        <f>IF(K3189&lt;-5,"CRÍTICO",IF(K3189&lt;0,"ATENÇÃO",IF(K3189&lt;=5,"OPORTUNO","MUITO BOM")))</f>
        <v/>
      </c>
      <c r="M3189" t="n">
        <v>0</v>
      </c>
      <c r="N3189" t="n">
        <v>100</v>
      </c>
      <c r="O3189" t="n">
        <v>35</v>
      </c>
    </row>
    <row r="3190" hidden="1">
      <c r="A3190" s="11" t="n">
        <v>46100</v>
      </c>
      <c r="B3190" t="inlineStr">
        <is>
          <t>Raane Batista Matos</t>
        </is>
      </c>
      <c r="C3190" t="inlineStr">
        <is>
          <t>Técnico I</t>
        </is>
      </c>
      <c r="D3190" t="n">
        <v>26</v>
      </c>
      <c r="E3190" t="n">
        <v>25</v>
      </c>
      <c r="F3190" t="n">
        <v>25.22</v>
      </c>
      <c r="G3190" t="n">
        <v>0</v>
      </c>
      <c r="H3190" t="n">
        <v>0</v>
      </c>
      <c r="I3190" s="3">
        <f>E3190+G3190+H3190</f>
        <v/>
      </c>
      <c r="J3190" s="3">
        <f>ROUND(MIN(IF(C3190="Técnico III",35,IF(C3190="Técnico II",28,IF(C3190="Técnico I",23,IF(C3190="JR",20,IF(C3190="Estágio",10,0))))),IF(C3190="Técnico III",SUMIFS($D:$D,$A:$A,$A3190,$B:$B,"&lt;&gt;Patrícia Karla de Sousa Araújo",$B:$B,"&lt;&gt;Lorena Dias de Araujo",$B:$B,"&lt;&gt;Lucas Luiz Romero")*(35/1083),IF(C3190="Técnico II",SUMIFS($D:$D,$A:$A,$A3190,$B:$B,"&lt;&gt;Patrícia Karla de Sousa Araújo",$B:$B,"&lt;&gt;Lorena Dias de Araujo",$B:$B,"&lt;&gt;Lucas Luiz Romero")*(28/1083),IF(C3190="Técnico I",SUMIFS($D:$D,$A:$A,$A3190,$B:$B,"&lt;&gt;Patrícia Karla de Sousa Araújo",$B:$B,"&lt;&gt;Lorena Dias de Araujo",$B:$B,"&lt;&gt;Lucas Luiz Romero")*(23/1083),IF(C3190="JR",SUMIFS($D:$D,$A:$A,$A3190,$B:$B,"&lt;&gt;Patrícia Karla de Sousa Araújo",$B:$B,"&lt;&gt;Lorena Dias de Araujo",$B:$B,"&lt;&gt;Lucas Luiz Romero")*(20/1083),IF(C3190="Estágio",SUMIFS($D:$D,$A:$A,$A3190,$B:$B,"&lt;&gt;Patrícia Karla de Sousa Araújo",$B:$B,"&lt;&gt;Lorena Dias de Araujo",$B:$B,"&lt;&gt;Lucas Luiz Romero")*(10/1083),0)))))),0)</f>
        <v/>
      </c>
      <c r="K3190" s="3">
        <f>I3190-J3190</f>
        <v/>
      </c>
      <c r="L3190" s="3">
        <f>IF(K3190&lt;-5,"CRÍTICO",IF(K3190&lt;0,"ATENÇÃO",IF(K3190&lt;=5,"OPORTUNO","MUITO BOM")))</f>
        <v/>
      </c>
      <c r="M3190" t="n">
        <v>21</v>
      </c>
      <c r="N3190" t="n">
        <v>95.34999999999999</v>
      </c>
      <c r="O3190" t="n">
        <v>28.61538461538461</v>
      </c>
    </row>
    <row r="3191" hidden="1">
      <c r="A3191" s="11" t="n">
        <v>46100</v>
      </c>
      <c r="B3191" t="inlineStr">
        <is>
          <t>Rafael Gomes de Morais</t>
        </is>
      </c>
      <c r="C3191" t="inlineStr">
        <is>
          <t>Técnico III</t>
        </is>
      </c>
      <c r="D3191" t="n">
        <v>43</v>
      </c>
      <c r="E3191" t="n">
        <v>38</v>
      </c>
      <c r="F3191" t="n">
        <v>12.18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M3191" t="n">
        <v>33</v>
      </c>
      <c r="N3191" t="n">
        <v>98.26000000000001</v>
      </c>
      <c r="O3191" t="n">
        <v>27.54491017964072</v>
      </c>
    </row>
    <row r="3192" hidden="1">
      <c r="A3192" s="11" t="n">
        <v>46100</v>
      </c>
      <c r="B3192" t="inlineStr">
        <is>
          <t>Sara Maria Monteiro Lopes</t>
        </is>
      </c>
      <c r="C3192" t="inlineStr">
        <is>
          <t>Técnico I</t>
        </is>
      </c>
      <c r="D3192" t="n">
        <v>17</v>
      </c>
      <c r="E3192" t="n">
        <v>17</v>
      </c>
      <c r="F3192" t="n">
        <v>32.04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M3192" t="n">
        <v>18</v>
      </c>
      <c r="N3192" t="n">
        <v>98.55</v>
      </c>
      <c r="O3192" t="n">
        <v>25.33783783783784</v>
      </c>
    </row>
    <row r="3193" hidden="1">
      <c r="A3193" s="11" t="n">
        <v>46100</v>
      </c>
      <c r="B3193" t="inlineStr">
        <is>
          <t>Sarah Steffanie de Lima Borges</t>
        </is>
      </c>
      <c r="C3193" t="inlineStr">
        <is>
          <t>Técnico III</t>
        </is>
      </c>
      <c r="D3193" t="n">
        <v>29</v>
      </c>
      <c r="E3193" t="n">
        <v>27</v>
      </c>
      <c r="F3193" t="n">
        <v>22.19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M3193" t="n">
        <v>20</v>
      </c>
      <c r="N3193" t="n">
        <v>98.39</v>
      </c>
      <c r="O3193" t="n">
        <v>25.56390977443609</v>
      </c>
    </row>
    <row r="3194" hidden="1">
      <c r="A3194" s="11" t="n">
        <v>46101</v>
      </c>
      <c r="B3194" t="inlineStr">
        <is>
          <t>Alisson de Freitas Silva</t>
        </is>
      </c>
      <c r="C3194" t="inlineStr">
        <is>
          <t>Técnico II</t>
        </is>
      </c>
      <c r="D3194" t="n">
        <v>18</v>
      </c>
      <c r="E3194" t="n">
        <v>12</v>
      </c>
      <c r="F3194" t="n">
        <v>15.4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M3194" t="n">
        <v>14</v>
      </c>
      <c r="N3194" t="n">
        <v>94.29000000000001</v>
      </c>
      <c r="O3194" t="n">
        <v>25.64766839378239</v>
      </c>
    </row>
    <row r="3195" hidden="1">
      <c r="A3195" s="11" t="n">
        <v>46101</v>
      </c>
      <c r="B3195" t="inlineStr">
        <is>
          <t>Amanda Moura Ferreira</t>
        </is>
      </c>
      <c r="C3195" t="inlineStr">
        <is>
          <t>Técnico III</t>
        </is>
      </c>
      <c r="D3195" t="n">
        <v>0</v>
      </c>
      <c r="E3195" t="n">
        <v>0</v>
      </c>
      <c r="F3195" t="n">
        <v>0</v>
      </c>
      <c r="G3195" t="n">
        <v>0</v>
      </c>
      <c r="H3195" t="n">
        <v>0</v>
      </c>
      <c r="I3195" s="3" t="n">
        <v>0</v>
      </c>
      <c r="J3195" s="3" t="n">
        <v>0</v>
      </c>
      <c r="K3195" s="3" t="n">
        <v>0</v>
      </c>
      <c r="L3195" s="3">
        <f>IF(K3195&lt;-5,"CRÍTICO",IF(K3195&lt;0,"ATENÇÃO",IF(K3195&lt;=5,"OPORTUNO","MUITO BOM")))</f>
        <v/>
      </c>
      <c r="M3195" t="n">
        <v>7</v>
      </c>
      <c r="N3195" t="n">
        <v>98.26000000000001</v>
      </c>
      <c r="O3195" t="n">
        <v>26.66666666666667</v>
      </c>
    </row>
    <row r="3196" hidden="1">
      <c r="A3196" s="11" t="n">
        <v>46101</v>
      </c>
      <c r="B3196" t="inlineStr">
        <is>
          <t>Ana Karollyne Souza Faria</t>
        </is>
      </c>
      <c r="C3196" t="inlineStr">
        <is>
          <t>Técnico I</t>
        </is>
      </c>
      <c r="D3196" t="n">
        <v>18</v>
      </c>
      <c r="E3196" t="n">
        <v>18</v>
      </c>
      <c r="F3196" t="n">
        <v>20.48</v>
      </c>
      <c r="G3196" t="n">
        <v>0</v>
      </c>
      <c r="H3196" t="n">
        <v>0</v>
      </c>
      <c r="I3196" s="3">
        <f>E3196+G3196+H3196</f>
        <v/>
      </c>
      <c r="J3196" s="3">
        <f>ROUND(MIN(IF(C3196="Técnico III",35,IF(C3196="Técnico II",28,IF(C3196="Técnico I",23,IF(C3196="JR",20,IF(C3196="Estágio",10,0))))),IF(C3196="Técnico III",SUMIFS($D:$D,$A:$A,$A3196,$B:$B,"&lt;&gt;Patrícia Karla de Sousa Araújo",$B:$B,"&lt;&gt;Lorena Dias de Araujo",$B:$B,"&lt;&gt;Lucas Luiz Romero")*(35/1083),IF(C3196="Técnico II",SUMIFS($D:$D,$A:$A,$A3196,$B:$B,"&lt;&gt;Patrícia Karla de Sousa Araújo",$B:$B,"&lt;&gt;Lorena Dias de Araujo",$B:$B,"&lt;&gt;Lucas Luiz Romero")*(28/1083),IF(C3196="Técnico I",SUMIFS($D:$D,$A:$A,$A3196,$B:$B,"&lt;&gt;Patrícia Karla de Sousa Araújo",$B:$B,"&lt;&gt;Lorena Dias de Araujo",$B:$B,"&lt;&gt;Lucas Luiz Romero")*(23/1083),IF(C3196="JR",SUMIFS($D:$D,$A:$A,$A3196,$B:$B,"&lt;&gt;Patrícia Karla de Sousa Araújo",$B:$B,"&lt;&gt;Lorena Dias de Araujo",$B:$B,"&lt;&gt;Lucas Luiz Romero")*(20/1083),IF(C3196="Estágio",SUMIFS($D:$D,$A:$A,$A3196,$B:$B,"&lt;&gt;Patrícia Karla de Sousa Araújo",$B:$B,"&lt;&gt;Lorena Dias de Araujo",$B:$B,"&lt;&gt;Lucas Luiz Romero")*(10/1083),0)))))),0)</f>
        <v/>
      </c>
      <c r="K3196" s="3">
        <f>I3196-J3196</f>
        <v/>
      </c>
      <c r="L3196" s="3">
        <f>IF(K3196&lt;-5,"CRÍTICO",IF(K3196&lt;0,"ATENÇÃO",IF(K3196&lt;=5,"OPORTUNO","MUITO BOM")))</f>
        <v/>
      </c>
      <c r="M3196" t="n">
        <v>14</v>
      </c>
      <c r="N3196" t="n">
        <v>98.2</v>
      </c>
      <c r="O3196" t="n">
        <v>23.37962962962963</v>
      </c>
    </row>
    <row r="3197" hidden="1">
      <c r="A3197" s="11" t="n">
        <v>46101</v>
      </c>
      <c r="B3197" t="inlineStr">
        <is>
          <t>Ana Paula Da Luz Silva Aleixo</t>
        </is>
      </c>
      <c r="C3197" t="inlineStr">
        <is>
          <t>Técnico III</t>
        </is>
      </c>
      <c r="D3197" t="n">
        <v>22</v>
      </c>
      <c r="E3197" t="n">
        <v>21</v>
      </c>
      <c r="F3197" t="n">
        <v>23.54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M3197" t="n">
        <v>17</v>
      </c>
      <c r="N3197" t="n">
        <v>97.3</v>
      </c>
      <c r="O3197" t="n">
        <v>23.84769539078156</v>
      </c>
    </row>
    <row r="3198" hidden="1">
      <c r="A3198" s="11" t="n">
        <v>46101</v>
      </c>
      <c r="B3198" t="inlineStr">
        <is>
          <t>Anna Luiza Rezende Tavares</t>
        </is>
      </c>
      <c r="C3198" t="inlineStr">
        <is>
          <t>Estágio</t>
        </is>
      </c>
      <c r="D3198" t="n">
        <v>10</v>
      </c>
      <c r="E3198" t="n">
        <v>10</v>
      </c>
      <c r="F3198" t="n">
        <v>32.38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M3198" t="n">
        <v>9</v>
      </c>
      <c r="N3198" t="n">
        <v>100</v>
      </c>
      <c r="O3198" t="n">
        <v>25.26881720430108</v>
      </c>
    </row>
    <row r="3199" hidden="1">
      <c r="A3199" s="11" t="n">
        <v>46101</v>
      </c>
      <c r="B3199" t="inlineStr">
        <is>
          <t>Brenda de Menezes Silva</t>
        </is>
      </c>
      <c r="C3199" t="inlineStr">
        <is>
          <t>Técnico II</t>
        </is>
      </c>
      <c r="D3199" t="n">
        <v>14</v>
      </c>
      <c r="E3199" t="n">
        <v>12</v>
      </c>
      <c r="F3199" t="n">
        <v>24.18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M3199" t="n">
        <v>12</v>
      </c>
      <c r="N3199" t="n">
        <v>99.31999999999999</v>
      </c>
      <c r="O3199" t="n">
        <v>22.82282282282282</v>
      </c>
    </row>
    <row r="3200" hidden="1">
      <c r="A3200" s="11" t="n">
        <v>46101</v>
      </c>
      <c r="B3200" t="inlineStr">
        <is>
          <t>Carlos Mateus Cassimiro Nunes</t>
        </is>
      </c>
      <c r="C3200" t="inlineStr">
        <is>
          <t>Técnico II</t>
        </is>
      </c>
      <c r="D3200" t="n">
        <v>25</v>
      </c>
      <c r="E3200" t="n">
        <v>24</v>
      </c>
      <c r="F3200" t="n">
        <v>29.11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M3200" t="n">
        <v>23</v>
      </c>
      <c r="N3200" t="n">
        <v>100</v>
      </c>
      <c r="O3200" t="n">
        <v>27.96610169491525</v>
      </c>
    </row>
    <row r="3201" hidden="1">
      <c r="A3201" s="11" t="n">
        <v>46101</v>
      </c>
      <c r="B3201" t="inlineStr">
        <is>
          <t>Claudio de Sousa Velasco Filho</t>
        </is>
      </c>
      <c r="C3201" t="inlineStr">
        <is>
          <t>Estágio</t>
        </is>
      </c>
      <c r="D3201" t="n">
        <v>0</v>
      </c>
      <c r="E3201" t="n">
        <v>0</v>
      </c>
      <c r="F3201" t="n">
        <v>0</v>
      </c>
      <c r="G3201" t="n">
        <v>0</v>
      </c>
      <c r="H3201" t="n">
        <v>0</v>
      </c>
      <c r="I3201" s="3" t="n">
        <v>0</v>
      </c>
      <c r="J3201" s="3" t="n">
        <v>0</v>
      </c>
      <c r="K3201" s="3" t="n">
        <v>0</v>
      </c>
      <c r="L3201" s="3">
        <f>IF(K3201&lt;-5,"CRÍTICO",IF(K3201&lt;0,"ATENÇÃO",IF(K3201&lt;=5,"OPORTUNO","MUITO BOM")))</f>
        <v/>
      </c>
      <c r="M3201" t="n">
        <v>0</v>
      </c>
      <c r="N3201" t="n">
        <v>100</v>
      </c>
      <c r="O3201" t="n">
        <v>30.43478260869566</v>
      </c>
    </row>
    <row r="3202" hidden="1">
      <c r="A3202" s="11" t="n">
        <v>46101</v>
      </c>
      <c r="B3202" t="inlineStr">
        <is>
          <t>Clessiane Pereira dos Santos</t>
        </is>
      </c>
      <c r="C3202" t="inlineStr">
        <is>
          <t>Técnico I</t>
        </is>
      </c>
      <c r="D3202" t="n">
        <v>25</v>
      </c>
      <c r="E3202" t="n">
        <v>23</v>
      </c>
      <c r="F3202" t="n">
        <v>20.24</v>
      </c>
      <c r="G3202" t="n">
        <v>0</v>
      </c>
      <c r="H3202" t="n">
        <v>0</v>
      </c>
      <c r="I3202" s="3">
        <f>E3202+G3202+H3202</f>
        <v/>
      </c>
      <c r="J3202" s="3">
        <f>ROUND(MIN(IF(C3202="Técnico III",35,IF(C3202="Técnico II",28,IF(C3202="Técnico I",23,IF(C3202="JR",20,IF(C3202="Estágio",10,0))))),IF(C3202="Técnico III",SUMIFS($D:$D,$A:$A,$A3202,$B:$B,"&lt;&gt;Patrícia Karla de Sousa Araújo",$B:$B,"&lt;&gt;Lorena Dias de Araujo",$B:$B,"&lt;&gt;Lucas Luiz Romero")*(35/1083),IF(C3202="Técnico II",SUMIFS($D:$D,$A:$A,$A3202,$B:$B,"&lt;&gt;Patrícia Karla de Sousa Araújo",$B:$B,"&lt;&gt;Lorena Dias de Araujo",$B:$B,"&lt;&gt;Lucas Luiz Romero")*(28/1083),IF(C3202="Técnico I",SUMIFS($D:$D,$A:$A,$A3202,$B:$B,"&lt;&gt;Patrícia Karla de Sousa Araújo",$B:$B,"&lt;&gt;Lorena Dias de Araujo",$B:$B,"&lt;&gt;Lucas Luiz Romero")*(23/1083),IF(C3202="JR",SUMIFS($D:$D,$A:$A,$A3202,$B:$B,"&lt;&gt;Patrícia Karla de Sousa Araújo",$B:$B,"&lt;&gt;Lorena Dias de Araujo",$B:$B,"&lt;&gt;Lucas Luiz Romero")*(20/1083),IF(C3202="Estágio",SUMIFS($D:$D,$A:$A,$A3202,$B:$B,"&lt;&gt;Patrícia Karla de Sousa Araújo",$B:$B,"&lt;&gt;Lorena Dias de Araujo",$B:$B,"&lt;&gt;Lucas Luiz Romero")*(10/1083),0)))))),0)</f>
        <v/>
      </c>
      <c r="K3202" s="3">
        <f>I3202-J3202</f>
        <v/>
      </c>
      <c r="L3202" s="3">
        <f>IF(K3202&lt;-5,"CRÍTICO",IF(K3202&lt;0,"ATENÇÃO",IF(K3202&lt;=5,"OPORTUNO","MUITO BOM")))</f>
        <v/>
      </c>
      <c r="M3202" t="n">
        <v>20</v>
      </c>
      <c r="N3202" t="n">
        <v>96.51000000000001</v>
      </c>
      <c r="O3202" t="n">
        <v>22.80285035629454</v>
      </c>
    </row>
    <row r="3203" hidden="1">
      <c r="A3203" s="11" t="n">
        <v>46101</v>
      </c>
      <c r="B3203" t="inlineStr">
        <is>
          <t>Cristiane Ramos da Silva Rocha</t>
        </is>
      </c>
      <c r="C3203" t="inlineStr">
        <is>
          <t>Técnico III</t>
        </is>
      </c>
      <c r="D3203" t="n">
        <v>0</v>
      </c>
      <c r="E3203" t="n">
        <v>0</v>
      </c>
      <c r="F3203" t="n">
        <v>0</v>
      </c>
      <c r="G3203" t="n">
        <v>0</v>
      </c>
      <c r="H3203" t="n">
        <v>0</v>
      </c>
      <c r="I3203" s="3" t="n">
        <v>0</v>
      </c>
      <c r="J3203" s="3" t="n">
        <v>0</v>
      </c>
      <c r="K3203" s="3" t="n">
        <v>0</v>
      </c>
      <c r="L3203" s="3">
        <f>IF(K3203&lt;-5,"CRÍTICO",IF(K3203&lt;0,"ATENÇÃO",IF(K3203&lt;=5,"OPORTUNO","MUITO BOM")))</f>
        <v/>
      </c>
      <c r="M3203" t="n">
        <v>0</v>
      </c>
      <c r="N3203" t="n">
        <v>92.68000000000001</v>
      </c>
      <c r="O3203" t="n">
        <v>27.77777777777778</v>
      </c>
    </row>
    <row r="3204" hidden="1">
      <c r="A3204" s="11" t="n">
        <v>46101</v>
      </c>
      <c r="B3204" t="inlineStr">
        <is>
          <t>Damyllis Lorraine de Oliveira Gonçalves</t>
        </is>
      </c>
      <c r="C3204" t="inlineStr">
        <is>
          <t>Técnico II</t>
        </is>
      </c>
      <c r="D3204" t="n">
        <v>30</v>
      </c>
      <c r="E3204" t="n">
        <v>27</v>
      </c>
      <c r="F3204" t="n">
        <v>22.12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M3204" t="n">
        <v>24</v>
      </c>
      <c r="N3204" t="n">
        <v>99.03</v>
      </c>
      <c r="O3204" t="n">
        <v>23.99150743099788</v>
      </c>
    </row>
    <row r="3205" hidden="1">
      <c r="A3205" s="11" t="n">
        <v>46101</v>
      </c>
      <c r="B3205" t="inlineStr">
        <is>
          <t>Daniel Gomes da Silva</t>
        </is>
      </c>
      <c r="C3205" t="inlineStr">
        <is>
          <t>Técnico I</t>
        </is>
      </c>
      <c r="D3205" t="n">
        <v>24</v>
      </c>
      <c r="E3205" t="n">
        <v>22</v>
      </c>
      <c r="F3205" t="n">
        <v>24.01</v>
      </c>
      <c r="G3205" t="n">
        <v>0</v>
      </c>
      <c r="H3205" t="n">
        <v>0</v>
      </c>
      <c r="I3205" s="3">
        <f>E3205+G3205+H3205</f>
        <v/>
      </c>
      <c r="J3205" s="3">
        <f>ROUND(MIN(IF(C3205="Técnico III",35,IF(C3205="Técnico II",28,IF(C3205="Técnico I",23,IF(C3205="JR",20,IF(C3205="Estágio",10,0))))),IF(C3205="Técnico III",SUMIFS($D:$D,$A:$A,$A3205,$B:$B,"&lt;&gt;Patrícia Karla de Sousa Araújo",$B:$B,"&lt;&gt;Lorena Dias de Araujo",$B:$B,"&lt;&gt;Lucas Luiz Romero")*(35/1083),IF(C3205="Técnico II",SUMIFS($D:$D,$A:$A,$A3205,$B:$B,"&lt;&gt;Patrícia Karla de Sousa Araújo",$B:$B,"&lt;&gt;Lorena Dias de Araujo",$B:$B,"&lt;&gt;Lucas Luiz Romero")*(28/1083),IF(C3205="Técnico I",SUMIFS($D:$D,$A:$A,$A3205,$B:$B,"&lt;&gt;Patrícia Karla de Sousa Araújo",$B:$B,"&lt;&gt;Lorena Dias de Araujo",$B:$B,"&lt;&gt;Lucas Luiz Romero")*(23/1083),IF(C3205="JR",SUMIFS($D:$D,$A:$A,$A3205,$B:$B,"&lt;&gt;Patrícia Karla de Sousa Araújo",$B:$B,"&lt;&gt;Lorena Dias de Araujo",$B:$B,"&lt;&gt;Lucas Luiz Romero")*(20/1083),IF(C3205="Estágio",SUMIFS($D:$D,$A:$A,$A3205,$B:$B,"&lt;&gt;Patrícia Karla de Sousa Araújo",$B:$B,"&lt;&gt;Lorena Dias de Araujo",$B:$B,"&lt;&gt;Lucas Luiz Romero")*(10/1083),0)))))),0)</f>
        <v/>
      </c>
      <c r="K3205" s="3">
        <f>I3205-J3205</f>
        <v/>
      </c>
      <c r="L3205" s="3">
        <f>IF(K3205&lt;-5,"CRÍTICO",IF(K3205&lt;0,"ATENÇÃO",IF(K3205&lt;=5,"OPORTUNO","MUITO BOM")))</f>
        <v/>
      </c>
      <c r="M3205" t="n">
        <v>12</v>
      </c>
      <c r="N3205" t="n">
        <v>98.41</v>
      </c>
      <c r="O3205" t="n">
        <v>28.13852813852814</v>
      </c>
    </row>
    <row r="3206" hidden="1">
      <c r="A3206" s="11" t="n">
        <v>46101</v>
      </c>
      <c r="B3206" t="inlineStr">
        <is>
          <t>Davylla Rodrigues Freitas Silva</t>
        </is>
      </c>
      <c r="C3206" t="inlineStr">
        <is>
          <t>Técnico III</t>
        </is>
      </c>
      <c r="D3206" t="n">
        <v>18</v>
      </c>
      <c r="E3206" t="n">
        <v>18</v>
      </c>
      <c r="F3206" t="n">
        <v>30.39</v>
      </c>
      <c r="G3206" t="n">
        <v>0</v>
      </c>
      <c r="H3206" t="n">
        <v>0</v>
      </c>
      <c r="I3206" s="3" t="n">
        <v>0</v>
      </c>
      <c r="J3206" s="3" t="n">
        <v>0</v>
      </c>
      <c r="K3206" s="3" t="n">
        <v>0</v>
      </c>
      <c r="L3206" s="3">
        <f>IF(K3206&lt;-5,"CRÍTICO",IF(K3206&lt;0,"ATENÇÃO",IF(K3206&lt;=5,"OPORTUNO","MUITO BOM")))</f>
        <v/>
      </c>
      <c r="M3206" t="n">
        <v>22</v>
      </c>
      <c r="N3206" t="n">
        <v>98.73</v>
      </c>
      <c r="O3206" t="n">
        <v>29.14285714285714</v>
      </c>
    </row>
    <row r="3207" hidden="1">
      <c r="A3207" s="11" t="n">
        <v>46101</v>
      </c>
      <c r="B3207" t="inlineStr">
        <is>
          <t>Emilly Caylane Costa</t>
        </is>
      </c>
      <c r="C3207" t="inlineStr">
        <is>
          <t>Estágio</t>
        </is>
      </c>
      <c r="D3207" t="n">
        <v>8</v>
      </c>
      <c r="E3207" t="n">
        <v>8</v>
      </c>
      <c r="F3207" t="n">
        <v>44.17</v>
      </c>
      <c r="G3207" t="n">
        <v>0</v>
      </c>
      <c r="H3207" t="n">
        <v>0</v>
      </c>
      <c r="I3207" s="3">
        <f>E3207+G3207+H3207</f>
        <v/>
      </c>
      <c r="J3207" s="3">
        <f>ROUND(MIN(IF(C3207="Técnico III",35,IF(C3207="Técnico II",28,IF(C3207="Técnico I",23,IF(C3207="JR",20,IF(C3207="Estágio",10,0))))),IF(C3207="Técnico III",SUMIFS($D:$D,$A:$A,$A3207,$B:$B,"&lt;&gt;Patrícia Karla de Sousa Araújo",$B:$B,"&lt;&gt;Lorena Dias de Araujo",$B:$B,"&lt;&gt;Lucas Luiz Romero")*(35/1083),IF(C3207="Técnico II",SUMIFS($D:$D,$A:$A,$A3207,$B:$B,"&lt;&gt;Patrícia Karla de Sousa Araújo",$B:$B,"&lt;&gt;Lorena Dias de Araujo",$B:$B,"&lt;&gt;Lucas Luiz Romero")*(28/1083),IF(C3207="Técnico I",SUMIFS($D:$D,$A:$A,$A3207,$B:$B,"&lt;&gt;Patrícia Karla de Sousa Araújo",$B:$B,"&lt;&gt;Lorena Dias de Araujo",$B:$B,"&lt;&gt;Lucas Luiz Romero")*(23/1083),IF(C3207="JR",SUMIFS($D:$D,$A:$A,$A3207,$B:$B,"&lt;&gt;Patrícia Karla de Sousa Araújo",$B:$B,"&lt;&gt;Lorena Dias de Araujo",$B:$B,"&lt;&gt;Lucas Luiz Romero")*(20/1083),IF(C3207="Estágio",SUMIFS($D:$D,$A:$A,$A3207,$B:$B,"&lt;&gt;Patrícia Karla de Sousa Araújo",$B:$B,"&lt;&gt;Lorena Dias de Araujo",$B:$B,"&lt;&gt;Lucas Luiz Romero")*(10/1083),0)))))),0)</f>
        <v/>
      </c>
      <c r="K3207" s="3">
        <f>I3207-J3207</f>
        <v/>
      </c>
      <c r="L3207" s="3">
        <f>IF(K3207&lt;-5,"CRÍTICO",IF(K3207&lt;0,"ATENÇÃO",IF(K3207&lt;=5,"OPORTUNO","MUITO BOM")))</f>
        <v/>
      </c>
      <c r="M3207" t="n">
        <v>7</v>
      </c>
      <c r="N3207" t="n">
        <v>90.48</v>
      </c>
      <c r="O3207" t="n">
        <v>20.68965517241379</v>
      </c>
    </row>
    <row r="3208" hidden="1">
      <c r="A3208" s="11" t="n">
        <v>46101</v>
      </c>
      <c r="B3208" t="inlineStr">
        <is>
          <t>Emilly Kamilly Medeiros Miranda</t>
        </is>
      </c>
      <c r="C3208" t="inlineStr">
        <is>
          <t>Técnico II</t>
        </is>
      </c>
      <c r="D3208" t="n">
        <v>17</v>
      </c>
      <c r="E3208" t="n">
        <v>15</v>
      </c>
      <c r="F3208" t="n">
        <v>25.32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M3208" t="n">
        <v>11</v>
      </c>
      <c r="N3208" t="n">
        <v>98.06</v>
      </c>
      <c r="O3208" t="n">
        <v>24.78991596638656</v>
      </c>
    </row>
    <row r="3209" hidden="1">
      <c r="A3209" s="11" t="n">
        <v>46101</v>
      </c>
      <c r="B3209" t="inlineStr">
        <is>
          <t>Francielson de Oliveira</t>
        </is>
      </c>
      <c r="C3209" t="inlineStr">
        <is>
          <t>Técnico III</t>
        </is>
      </c>
      <c r="D3209" t="n">
        <v>27</v>
      </c>
      <c r="E3209" t="n">
        <v>27</v>
      </c>
      <c r="F3209" t="n">
        <v>18.4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M3209" t="n">
        <v>28</v>
      </c>
      <c r="N3209" t="n">
        <v>97.78</v>
      </c>
      <c r="O3209" t="n">
        <v>25.49407114624506</v>
      </c>
    </row>
    <row r="3210" hidden="1">
      <c r="A3210" s="11" t="n">
        <v>46101</v>
      </c>
      <c r="B3210" t="inlineStr">
        <is>
          <t>Francilene Ferreira de Jesus</t>
        </is>
      </c>
      <c r="C3210" t="inlineStr">
        <is>
          <t>Técnico II</t>
        </is>
      </c>
      <c r="D3210" t="n">
        <v>12</v>
      </c>
      <c r="E3210" t="n">
        <v>10</v>
      </c>
      <c r="F3210" t="n">
        <v>35.19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M3210" t="n">
        <v>10</v>
      </c>
      <c r="N3210" t="n">
        <v>98.02</v>
      </c>
      <c r="O3210" t="n">
        <v>23.48484848484848</v>
      </c>
    </row>
    <row r="3211" hidden="1">
      <c r="A3211" s="11" t="n">
        <v>46136</v>
      </c>
      <c r="B3211" t="inlineStr">
        <is>
          <t>Gabriel Gomes de Andrade</t>
        </is>
      </c>
      <c r="C3211" t="inlineStr">
        <is>
          <t>Técnico I</t>
        </is>
      </c>
      <c r="D3211" t="n">
        <v>16</v>
      </c>
      <c r="E3211" t="n">
        <v>15</v>
      </c>
      <c r="F3211" t="n">
        <v>24.14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M3211" t="n">
        <v>21</v>
      </c>
      <c r="N3211" t="n">
        <v>99.28</v>
      </c>
      <c r="O3211" t="n">
        <v>27.68924302788844</v>
      </c>
    </row>
    <row r="3212" hidden="1">
      <c r="A3212" s="11" t="n">
        <v>46101</v>
      </c>
      <c r="B3212" t="inlineStr">
        <is>
          <t>Isabella Borges de Oliveira</t>
        </is>
      </c>
      <c r="C3212" t="inlineStr">
        <is>
          <t>Técnico II</t>
        </is>
      </c>
      <c r="D3212" t="n">
        <v>29</v>
      </c>
      <c r="E3212" t="n">
        <v>28</v>
      </c>
      <c r="F3212" t="n">
        <v>20.32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M3212" t="n">
        <v>27</v>
      </c>
      <c r="N3212" t="n">
        <v>100</v>
      </c>
      <c r="O3212" t="n">
        <v>27.04918032786885</v>
      </c>
    </row>
    <row r="3213" hidden="1">
      <c r="A3213" s="11" t="n">
        <v>46101</v>
      </c>
      <c r="B3213" t="inlineStr">
        <is>
          <t>Janaina Lima dos Reis Urany</t>
        </is>
      </c>
      <c r="C3213" t="inlineStr">
        <is>
          <t>Técnico III</t>
        </is>
      </c>
      <c r="D3213" t="n">
        <v>39</v>
      </c>
      <c r="E3213" t="n">
        <v>38</v>
      </c>
      <c r="F3213" t="n">
        <v>16.5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M3213" t="n">
        <v>33</v>
      </c>
      <c r="N3213" t="n">
        <v>97.83</v>
      </c>
      <c r="O3213" t="n">
        <v>26.31578947368421</v>
      </c>
    </row>
    <row r="3214" hidden="1">
      <c r="A3214" s="11" t="n">
        <v>46101</v>
      </c>
      <c r="B3214" t="inlineStr">
        <is>
          <t>Jaqueline Evangelista da Silva Martins</t>
        </is>
      </c>
      <c r="C3214" t="inlineStr">
        <is>
          <t>Técnico III</t>
        </is>
      </c>
      <c r="D3214" t="n">
        <v>3</v>
      </c>
      <c r="E3214" t="n">
        <v>3</v>
      </c>
      <c r="F3214" t="n">
        <v>4.02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M3214" t="n">
        <v>9</v>
      </c>
      <c r="N3214" t="n">
        <v>100</v>
      </c>
      <c r="O3214" t="n">
        <v>26.70157068062827</v>
      </c>
    </row>
    <row r="3215" hidden="1">
      <c r="A3215" s="11" t="n">
        <v>46101</v>
      </c>
      <c r="B3215" t="inlineStr">
        <is>
          <t>Jessica Faria da Silveira</t>
        </is>
      </c>
      <c r="C3215" t="inlineStr">
        <is>
          <t>Técnico II</t>
        </is>
      </c>
      <c r="D3215" t="n">
        <v>0</v>
      </c>
      <c r="E3215" t="n">
        <v>0</v>
      </c>
      <c r="F3215" t="n">
        <v>0</v>
      </c>
      <c r="G3215" t="n">
        <v>0</v>
      </c>
      <c r="H3215" t="n">
        <v>0</v>
      </c>
      <c r="I3215" s="3" t="n">
        <v>0</v>
      </c>
      <c r="J3215" s="3" t="n">
        <v>0</v>
      </c>
      <c r="K3215" s="3" t="n">
        <v>0</v>
      </c>
      <c r="L3215" s="3">
        <f>IF(K3215&lt;-5,"CRÍTICO",IF(K3215&lt;0,"ATENÇÃO",IF(K3215&lt;=5,"OPORTUNO","MUITO BOM")))</f>
        <v/>
      </c>
      <c r="M3215" t="n">
        <v>0</v>
      </c>
      <c r="N3215" t="n">
        <v>97.47</v>
      </c>
      <c r="O3215" t="n">
        <v>22.88732394366197</v>
      </c>
    </row>
    <row r="3216" hidden="1">
      <c r="A3216" s="11" t="n">
        <v>46101</v>
      </c>
      <c r="B3216" t="inlineStr">
        <is>
          <t>Jéssica Fé Moura</t>
        </is>
      </c>
      <c r="C3216" t="inlineStr">
        <is>
          <t>Técnico III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M3216" t="n">
        <v>0</v>
      </c>
      <c r="N3216" t="n">
        <v>0</v>
      </c>
      <c r="O3216" t="n">
        <v>0</v>
      </c>
    </row>
    <row r="3217" hidden="1">
      <c r="A3217" s="11" t="n">
        <v>46101</v>
      </c>
      <c r="B3217" t="inlineStr">
        <is>
          <t>Karina Gonçalves Martins</t>
        </is>
      </c>
      <c r="C3217" t="inlineStr">
        <is>
          <t>JR</t>
        </is>
      </c>
      <c r="D3217" t="n">
        <v>23</v>
      </c>
      <c r="E3217" t="n">
        <v>22</v>
      </c>
      <c r="F3217" t="n">
        <v>26.4</v>
      </c>
      <c r="G3217" t="n">
        <v>0</v>
      </c>
      <c r="H3217" t="n">
        <v>0</v>
      </c>
      <c r="I3217" s="3">
        <f>E3217+G3217+H3217</f>
        <v/>
      </c>
      <c r="J3217" s="3">
        <f>ROUND(MIN(IF(C3217="Técnico III",35,IF(C3217="Técnico II",28,IF(C3217="Técnico I",23,IF(C3217="JR",20,IF(C3217="Estágio",10,0))))),IF(C3217="Técnico III",SUMIFS($D:$D,$A:$A,$A3217,$B:$B,"&lt;&gt;Patrícia Karla de Sousa Araújo",$B:$B,"&lt;&gt;Lorena Dias de Araujo",$B:$B,"&lt;&gt;Lucas Luiz Romero")*(35/1083),IF(C3217="Técnico II",SUMIFS($D:$D,$A:$A,$A3217,$B:$B,"&lt;&gt;Patrícia Karla de Sousa Araújo",$B:$B,"&lt;&gt;Lorena Dias de Araujo",$B:$B,"&lt;&gt;Lucas Luiz Romero")*(28/1083),IF(C3217="Técnico I",SUMIFS($D:$D,$A:$A,$A3217,$B:$B,"&lt;&gt;Patrícia Karla de Sousa Araújo",$B:$B,"&lt;&gt;Lorena Dias de Araujo",$B:$B,"&lt;&gt;Lucas Luiz Romero")*(23/1083),IF(C3217="JR",SUMIFS($D:$D,$A:$A,$A3217,$B:$B,"&lt;&gt;Patrícia Karla de Sousa Araújo",$B:$B,"&lt;&gt;Lorena Dias de Araujo",$B:$B,"&lt;&gt;Lucas Luiz Romero")*(20/1083),IF(C3217="Estágio",SUMIFS($D:$D,$A:$A,$A3217,$B:$B,"&lt;&gt;Patrícia Karla de Sousa Araújo",$B:$B,"&lt;&gt;Lorena Dias de Araujo",$B:$B,"&lt;&gt;Lucas Luiz Romero")*(10/1083),0)))))),0)</f>
        <v/>
      </c>
      <c r="K3217" s="3">
        <f>I3217-J3217</f>
        <v/>
      </c>
      <c r="L3217" s="3">
        <f>IF(K3217&lt;-5,"CRÍTICO",IF(K3217&lt;0,"ATENÇÃO",IF(K3217&lt;=5,"OPORTUNO","MUITO BOM")))</f>
        <v/>
      </c>
      <c r="M3217" t="n">
        <v>23</v>
      </c>
      <c r="N3217" t="n">
        <v>98.31</v>
      </c>
      <c r="O3217" t="n">
        <v>24.92012779552715</v>
      </c>
    </row>
    <row r="3218" hidden="1">
      <c r="A3218" s="11" t="n">
        <v>46101</v>
      </c>
      <c r="B3218" t="inlineStr">
        <is>
          <t>Kerollen Cristielly de Jesus Siqueira</t>
        </is>
      </c>
      <c r="C3218" t="inlineStr">
        <is>
          <t>Técnico III</t>
        </is>
      </c>
      <c r="D3218" t="n">
        <v>5</v>
      </c>
      <c r="E3218" t="n">
        <v>5</v>
      </c>
      <c r="F3218" t="n">
        <v>44.14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M3218" t="n">
        <v>5</v>
      </c>
      <c r="N3218" t="n">
        <v>96.81</v>
      </c>
      <c r="O3218" t="n">
        <v>32.36514522821577</v>
      </c>
    </row>
    <row r="3219" hidden="1">
      <c r="A3219" s="11" t="n">
        <v>46101</v>
      </c>
      <c r="B3219" t="inlineStr">
        <is>
          <t>Leandro de Souza Silva</t>
        </is>
      </c>
      <c r="C3219" t="inlineStr">
        <is>
          <t>JR</t>
        </is>
      </c>
      <c r="D3219" t="n">
        <v>15</v>
      </c>
      <c r="E3219" t="n">
        <v>12</v>
      </c>
      <c r="F3219" t="n">
        <v>32.02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M3219" t="n">
        <v>6</v>
      </c>
      <c r="N3219" t="n">
        <v>100</v>
      </c>
      <c r="O3219" t="n">
        <v>26.47058823529412</v>
      </c>
    </row>
    <row r="3220" hidden="1">
      <c r="A3220" s="11" t="n">
        <v>46101</v>
      </c>
      <c r="B3220" t="inlineStr">
        <is>
          <t>Leandro Oliveira de Sousa</t>
        </is>
      </c>
      <c r="C3220" t="inlineStr">
        <is>
          <t>Técnico III</t>
        </is>
      </c>
      <c r="D3220" t="n">
        <v>21</v>
      </c>
      <c r="E3220" t="n">
        <v>19</v>
      </c>
      <c r="F3220" t="n">
        <v>30.07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M3220" t="n">
        <v>22</v>
      </c>
      <c r="N3220" t="n">
        <v>100</v>
      </c>
      <c r="O3220" t="n">
        <v>28.49002849002849</v>
      </c>
    </row>
    <row r="3221" hidden="1">
      <c r="A3221" s="11" t="n">
        <v>46101</v>
      </c>
      <c r="B3221" t="inlineStr">
        <is>
          <t>Lizandra Gomes Duarte</t>
        </is>
      </c>
      <c r="C3221" t="inlineStr">
        <is>
          <t>Técnico II</t>
        </is>
      </c>
      <c r="D3221" t="n">
        <v>26</v>
      </c>
      <c r="E3221" t="n">
        <v>23</v>
      </c>
      <c r="F3221" t="n">
        <v>24.09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M3221" t="n">
        <v>22</v>
      </c>
      <c r="N3221" t="n">
        <v>99.14</v>
      </c>
      <c r="O3221" t="n">
        <v>27.2289156626506</v>
      </c>
    </row>
    <row r="3222" hidden="1">
      <c r="A3222" s="11" t="n">
        <v>46101</v>
      </c>
      <c r="B3222" t="inlineStr">
        <is>
          <t>Lorena Dias de Araujo</t>
        </is>
      </c>
      <c r="C3222" t="inlineStr">
        <is>
          <t>Técnico II</t>
        </is>
      </c>
      <c r="D3222" t="n">
        <v>32</v>
      </c>
      <c r="E3222" t="n">
        <v>29</v>
      </c>
      <c r="F3222" t="n">
        <v>15.52</v>
      </c>
      <c r="G3222" t="n">
        <v>0</v>
      </c>
      <c r="H3222" t="n">
        <v>0</v>
      </c>
      <c r="I3222" s="3" t="n">
        <v>0</v>
      </c>
      <c r="J3222" s="3" t="n">
        <v>0</v>
      </c>
      <c r="K3222" s="3" t="n">
        <v>0</v>
      </c>
      <c r="L3222" s="3">
        <f>IF(K3222&lt;-5,"CRÍTICO",IF(K3222&lt;0,"ATENÇÃO",IF(K3222&lt;=5,"OPORTUNO","MUITO BOM")))</f>
        <v/>
      </c>
      <c r="M3222" t="n">
        <v>26</v>
      </c>
      <c r="N3222" t="n">
        <v>97.52</v>
      </c>
      <c r="O3222" t="n">
        <v>28.2051282051282</v>
      </c>
    </row>
    <row r="3223" hidden="1">
      <c r="A3223" s="11" t="n">
        <v>46101</v>
      </c>
      <c r="B3223" t="inlineStr">
        <is>
          <t>Lucas Luiz Romero</t>
        </is>
      </c>
      <c r="C3223" t="inlineStr">
        <is>
          <t>Técnico III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M3223" t="n">
        <v>0</v>
      </c>
      <c r="N3223" t="n">
        <v>90</v>
      </c>
      <c r="O3223" t="n">
        <v>24.18604651162791</v>
      </c>
    </row>
    <row r="3224" hidden="1">
      <c r="A3224" s="11" t="n">
        <v>46101</v>
      </c>
      <c r="B3224" t="inlineStr">
        <is>
          <t>Luiz Fernando de Carvalho Junior</t>
        </is>
      </c>
      <c r="C3224" t="inlineStr">
        <is>
          <t>Técnico I</t>
        </is>
      </c>
      <c r="D3224" t="n">
        <v>27</v>
      </c>
      <c r="E3224" t="n">
        <v>25</v>
      </c>
      <c r="F3224" t="n">
        <v>22.33</v>
      </c>
      <c r="G3224" t="n">
        <v>0</v>
      </c>
      <c r="H3224" t="n">
        <v>0</v>
      </c>
      <c r="I3224" s="3">
        <f>E3224+G3224+H3224</f>
        <v/>
      </c>
      <c r="J3224" s="3">
        <f>ROUND(MIN(IF(C3224="Técnico III",35,IF(C3224="Técnico II",28,IF(C3224="Técnico I",23,IF(C3224="JR",20,IF(C3224="Estágio",10,0))))),IF(C3224="Técnico III",SUMIFS($D:$D,$A:$A,$A3224,$B:$B,"&lt;&gt;Patrícia Karla de Sousa Araújo",$B:$B,"&lt;&gt;Lorena Dias de Araujo",$B:$B,"&lt;&gt;Lucas Luiz Romero")*(35/1083),IF(C3224="Técnico II",SUMIFS($D:$D,$A:$A,$A3224,$B:$B,"&lt;&gt;Patrícia Karla de Sousa Araújo",$B:$B,"&lt;&gt;Lorena Dias de Araujo",$B:$B,"&lt;&gt;Lucas Luiz Romero")*(28/1083),IF(C3224="Técnico I",SUMIFS($D:$D,$A:$A,$A3224,$B:$B,"&lt;&gt;Patrícia Karla de Sousa Araújo",$B:$B,"&lt;&gt;Lorena Dias de Araujo",$B:$B,"&lt;&gt;Lucas Luiz Romero")*(23/1083),IF(C3224="JR",SUMIFS($D:$D,$A:$A,$A3224,$B:$B,"&lt;&gt;Patrícia Karla de Sousa Araújo",$B:$B,"&lt;&gt;Lorena Dias de Araujo",$B:$B,"&lt;&gt;Lucas Luiz Romero")*(20/1083),IF(C3224="Estágio",SUMIFS($D:$D,$A:$A,$A3224,$B:$B,"&lt;&gt;Patrícia Karla de Sousa Araújo",$B:$B,"&lt;&gt;Lorena Dias de Araujo",$B:$B,"&lt;&gt;Lucas Luiz Romero")*(10/1083),0)))))),0)</f>
        <v/>
      </c>
      <c r="K3224" s="3">
        <f>I3224-J3224</f>
        <v/>
      </c>
      <c r="L3224" s="3">
        <f>IF(K3224&lt;-5,"CRÍTICO",IF(K3224&lt;0,"ATENÇÃO",IF(K3224&lt;=5,"OPORTUNO","MUITO BOM")))</f>
        <v/>
      </c>
      <c r="M3224" t="n">
        <v>23</v>
      </c>
      <c r="N3224" t="n">
        <v>98.90000000000001</v>
      </c>
      <c r="O3224" t="n">
        <v>26.7639902676399</v>
      </c>
    </row>
    <row r="3225" hidden="1">
      <c r="A3225" s="11" t="n">
        <v>46101</v>
      </c>
      <c r="B3225" t="inlineStr">
        <is>
          <t>Maria Eduarda Sousa Costa</t>
        </is>
      </c>
      <c r="C3225" t="inlineStr">
        <is>
          <t>Estágio</t>
        </is>
      </c>
      <c r="D3225" t="n">
        <v>9</v>
      </c>
      <c r="E3225" t="n">
        <v>7</v>
      </c>
      <c r="F3225" t="n">
        <v>38.37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M3225" t="n">
        <v>7</v>
      </c>
      <c r="N3225" t="n">
        <v>88.89</v>
      </c>
      <c r="O3225" t="n">
        <v>25.26315789473684</v>
      </c>
    </row>
    <row r="3226" hidden="1">
      <c r="A3226" s="11" t="n">
        <v>46101</v>
      </c>
      <c r="B3226" t="inlineStr">
        <is>
          <t>Matheus Farias De Souza</t>
        </is>
      </c>
      <c r="C3226" t="inlineStr">
        <is>
          <t>Técnico III</t>
        </is>
      </c>
      <c r="D3226" t="n">
        <v>42</v>
      </c>
      <c r="E3226" t="n">
        <v>40</v>
      </c>
      <c r="F3226" t="n">
        <v>13.39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M3226" t="n">
        <v>32</v>
      </c>
      <c r="N3226" t="n">
        <v>98.86</v>
      </c>
      <c r="O3226" t="n">
        <v>28.95927601809955</v>
      </c>
    </row>
    <row r="3227" hidden="1">
      <c r="A3227" s="11" t="n">
        <v>46101</v>
      </c>
      <c r="B3227" t="inlineStr">
        <is>
          <t>Maysa Victoria Dias Moura</t>
        </is>
      </c>
      <c r="C3227" t="inlineStr">
        <is>
          <t>Técnico III</t>
        </is>
      </c>
      <c r="D3227" t="n">
        <v>0</v>
      </c>
      <c r="E3227" t="n">
        <v>0</v>
      </c>
      <c r="F3227" t="n">
        <v>0</v>
      </c>
      <c r="G3227" t="n">
        <v>0</v>
      </c>
      <c r="H3227" t="n">
        <v>0</v>
      </c>
      <c r="I3227" s="3" t="n">
        <v>0</v>
      </c>
      <c r="J3227" s="3" t="n">
        <v>0</v>
      </c>
      <c r="K3227" s="3" t="n">
        <v>0</v>
      </c>
      <c r="L3227" s="3">
        <f>IF(K3227&lt;-5,"CRÍTICO",IF(K3227&lt;0,"ATENÇÃO",IF(K3227&lt;=5,"OPORTUNO","MUITO BOM")))</f>
        <v/>
      </c>
      <c r="M3227" t="n">
        <v>0</v>
      </c>
      <c r="N3227" t="n">
        <v>98.06</v>
      </c>
      <c r="O3227" t="n">
        <v>22.40566037735849</v>
      </c>
    </row>
    <row r="3228" hidden="1">
      <c r="A3228" s="11" t="n">
        <v>46101</v>
      </c>
      <c r="B3228" t="inlineStr">
        <is>
          <t>Michelle G Santos</t>
        </is>
      </c>
      <c r="C3228" t="inlineStr">
        <is>
          <t>Estágio</t>
        </is>
      </c>
      <c r="D3228" t="n">
        <v>4</v>
      </c>
      <c r="E3228" t="n">
        <v>4</v>
      </c>
      <c r="F3228" t="n">
        <v>63.47</v>
      </c>
      <c r="G3228" t="n">
        <v>0</v>
      </c>
      <c r="H3228" t="n">
        <v>0</v>
      </c>
      <c r="I3228" s="3">
        <f>E3228+G3228+H3228</f>
        <v/>
      </c>
      <c r="J3228" s="3">
        <f>ROUND(MIN(IF(C3228="Técnico III",35,IF(C3228="Técnico II",28,IF(C3228="Técnico I",23,IF(C3228="JR",20,IF(C3228="Estágio",10,0))))),IF(C3228="Técnico III",SUMIFS($D:$D,$A:$A,$A3228,$B:$B,"&lt;&gt;Patrícia Karla de Sousa Araújo",$B:$B,"&lt;&gt;Lorena Dias de Araujo",$B:$B,"&lt;&gt;Lucas Luiz Romero")*(35/1083),IF(C3228="Técnico II",SUMIFS($D:$D,$A:$A,$A3228,$B:$B,"&lt;&gt;Patrícia Karla de Sousa Araújo",$B:$B,"&lt;&gt;Lorena Dias de Araujo",$B:$B,"&lt;&gt;Lucas Luiz Romero")*(28/1083),IF(C3228="Técnico I",SUMIFS($D:$D,$A:$A,$A3228,$B:$B,"&lt;&gt;Patrícia Karla de Sousa Araújo",$B:$B,"&lt;&gt;Lorena Dias de Araujo",$B:$B,"&lt;&gt;Lucas Luiz Romero")*(23/1083),IF(C3228="JR",SUMIFS($D:$D,$A:$A,$A3228,$B:$B,"&lt;&gt;Patrícia Karla de Sousa Araújo",$B:$B,"&lt;&gt;Lorena Dias de Araujo",$B:$B,"&lt;&gt;Lucas Luiz Romero")*(20/1083),IF(C3228="Estágio",SUMIFS($D:$D,$A:$A,$A3228,$B:$B,"&lt;&gt;Patrícia Karla de Sousa Araújo",$B:$B,"&lt;&gt;Lorena Dias de Araujo",$B:$B,"&lt;&gt;Lucas Luiz Romero")*(10/1083),0)))))),0)</f>
        <v/>
      </c>
      <c r="K3228" s="3">
        <f>I3228-J3228</f>
        <v/>
      </c>
      <c r="L3228" s="3">
        <f>IF(K3228&lt;-5,"CRÍTICO",IF(K3228&lt;0,"ATENÇÃO",IF(K3228&lt;=5,"OPORTUNO","MUITO BOM")))</f>
        <v/>
      </c>
      <c r="M3228" t="n">
        <v>1</v>
      </c>
      <c r="N3228" t="n">
        <v>95.83</v>
      </c>
      <c r="O3228" t="n">
        <v>25.77319587628866</v>
      </c>
    </row>
    <row r="3229" hidden="1">
      <c r="A3229" s="11" t="n">
        <v>46101</v>
      </c>
      <c r="B3229" t="inlineStr">
        <is>
          <t>Milena Sales</t>
        </is>
      </c>
      <c r="C3229" t="inlineStr">
        <is>
          <t>JR</t>
        </is>
      </c>
      <c r="D3229" t="n">
        <v>0</v>
      </c>
      <c r="E3229" t="n">
        <v>0</v>
      </c>
      <c r="F3229" t="n">
        <v>0</v>
      </c>
      <c r="G3229" t="n">
        <v>0</v>
      </c>
      <c r="H3229" t="n">
        <v>0</v>
      </c>
      <c r="I3229" s="3" t="n">
        <v>0</v>
      </c>
      <c r="J3229" s="3" t="n">
        <v>0</v>
      </c>
      <c r="K3229" s="3" t="n">
        <v>0</v>
      </c>
      <c r="L3229" s="3">
        <f>IF(K3229&lt;-5,"CRÍTICO",IF(K3229&lt;0,"ATENÇÃO",IF(K3229&lt;=5,"OPORTUNO","MUITO BOM")))</f>
        <v/>
      </c>
      <c r="M3229" t="n">
        <v>0</v>
      </c>
      <c r="N3229" t="n">
        <v>100</v>
      </c>
      <c r="O3229" t="n">
        <v>15.38461538461539</v>
      </c>
    </row>
    <row r="3230" hidden="1">
      <c r="A3230" s="11" t="n">
        <v>46101</v>
      </c>
      <c r="B3230" t="inlineStr">
        <is>
          <t>Patrícia Karla de Sousa Araújo</t>
        </is>
      </c>
      <c r="C3230" t="inlineStr">
        <is>
          <t>Técnico II</t>
        </is>
      </c>
      <c r="D3230" t="n">
        <v>36</v>
      </c>
      <c r="E3230" t="n">
        <v>34</v>
      </c>
      <c r="F3230" t="n">
        <v>17.15</v>
      </c>
      <c r="G3230" t="n">
        <v>0</v>
      </c>
      <c r="H3230" t="n">
        <v>0</v>
      </c>
      <c r="I3230" s="3">
        <f>E3230+G3230+H3230</f>
        <v/>
      </c>
      <c r="J3230" s="3">
        <f>ROUND(MIN(IF(C3230="Técnico III",35,IF(C3230="Técnico II",28,IF(C3230="Técnico I",23,IF(C3230="JR",20,IF(C3230="Estágio",10,0))))),IF(C3230="Técnico III",SUMIFS($D:$D,$A:$A,$A3230,$B:$B,"&lt;&gt;Patrícia Karla de Sousa Araújo",$B:$B,"&lt;&gt;Lorena Dias de Araujo",$B:$B,"&lt;&gt;Lucas Luiz Romero")*(35/1083),IF(C3230="Técnico II",SUMIFS($D:$D,$A:$A,$A3230,$B:$B,"&lt;&gt;Patrícia Karla de Sousa Araújo",$B:$B,"&lt;&gt;Lorena Dias de Araujo",$B:$B,"&lt;&gt;Lucas Luiz Romero")*(28/1083),IF(C3230="Técnico I",SUMIFS($D:$D,$A:$A,$A3230,$B:$B,"&lt;&gt;Patrícia Karla de Sousa Araújo",$B:$B,"&lt;&gt;Lorena Dias de Araujo",$B:$B,"&lt;&gt;Lucas Luiz Romero")*(23/1083),IF(C3230="JR",SUMIFS($D:$D,$A:$A,$A3230,$B:$B,"&lt;&gt;Patrícia Karla de Sousa Araújo",$B:$B,"&lt;&gt;Lorena Dias de Araujo",$B:$B,"&lt;&gt;Lucas Luiz Romero")*(20/1083),IF(C3230="Estágio",SUMIFS($D:$D,$A:$A,$A3230,$B:$B,"&lt;&gt;Patrícia Karla de Sousa Araújo",$B:$B,"&lt;&gt;Lorena Dias de Araujo",$B:$B,"&lt;&gt;Lucas Luiz Romero")*(10/1083),0)))))),0)</f>
        <v/>
      </c>
      <c r="K3230" s="3">
        <f>I3230-J3230</f>
        <v/>
      </c>
      <c r="L3230" s="3">
        <f>IF(K3230&lt;-5,"CRÍTICO",IF(K3230&lt;0,"ATENÇÃO",IF(K3230&lt;=5,"OPORTUNO","MUITO BOM")))</f>
        <v/>
      </c>
      <c r="M3230" t="n">
        <v>27</v>
      </c>
      <c r="N3230" t="n">
        <v>100</v>
      </c>
      <c r="O3230" t="n">
        <v>27.51479289940828</v>
      </c>
    </row>
    <row r="3231" hidden="1">
      <c r="A3231" s="11" t="n">
        <v>46101</v>
      </c>
      <c r="B3231" t="inlineStr">
        <is>
          <t>Paulo Ricardo Santos</t>
        </is>
      </c>
      <c r="C3231" t="inlineStr">
        <is>
          <t>JR</t>
        </is>
      </c>
      <c r="D3231" t="n">
        <v>14</v>
      </c>
      <c r="E3231" t="n">
        <v>13</v>
      </c>
      <c r="F3231" t="n">
        <v>38.42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M3231" t="n">
        <v>12</v>
      </c>
      <c r="N3231" t="n">
        <v>100</v>
      </c>
      <c r="O3231" t="n">
        <v>24.87562189054727</v>
      </c>
    </row>
    <row r="3232" hidden="1">
      <c r="A3232" s="11" t="n">
        <v>46101</v>
      </c>
      <c r="B3232" t="inlineStr">
        <is>
          <t>Pedro Luiz Mota Sousa</t>
        </is>
      </c>
      <c r="C3232" t="inlineStr">
        <is>
          <t>JR</t>
        </is>
      </c>
      <c r="D3232" t="n">
        <v>16</v>
      </c>
      <c r="E3232" t="n">
        <v>16</v>
      </c>
      <c r="F3232" t="n">
        <v>33.32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M3232" t="n">
        <v>9</v>
      </c>
      <c r="N3232" t="n">
        <v>100</v>
      </c>
      <c r="O3232" t="n">
        <v>28.10810810810811</v>
      </c>
    </row>
    <row r="3233" hidden="1">
      <c r="A3233" s="11" t="n">
        <v>46101</v>
      </c>
      <c r="B3233" t="inlineStr">
        <is>
          <t>Quirino Diogo Leite Torres</t>
        </is>
      </c>
      <c r="C3233" t="inlineStr">
        <is>
          <t>Estágio</t>
        </is>
      </c>
      <c r="D3233" t="n">
        <v>0</v>
      </c>
      <c r="E3233" t="n">
        <v>0</v>
      </c>
      <c r="F3233" t="n">
        <v>0</v>
      </c>
      <c r="G3233" t="n">
        <v>0</v>
      </c>
      <c r="H3233" t="n">
        <v>0</v>
      </c>
      <c r="I3233" s="3" t="n">
        <v>0</v>
      </c>
      <c r="J3233" s="3" t="n">
        <v>0</v>
      </c>
      <c r="K3233" s="3" t="n">
        <v>0</v>
      </c>
      <c r="L3233" s="3">
        <f>IF(K3233&lt;-5,"CRÍTICO",IF(K3233&lt;0,"ATENÇÃO",IF(K3233&lt;=5,"OPORTUNO","MUITO BOM")))</f>
        <v/>
      </c>
      <c r="M3233" t="n">
        <v>0</v>
      </c>
      <c r="N3233" t="n">
        <v>100</v>
      </c>
      <c r="O3233" t="n">
        <v>35</v>
      </c>
    </row>
    <row r="3234" hidden="1">
      <c r="A3234" s="11" t="n">
        <v>46101</v>
      </c>
      <c r="B3234" t="inlineStr">
        <is>
          <t>Raane Batista Matos</t>
        </is>
      </c>
      <c r="C3234" t="inlineStr">
        <is>
          <t>Técnico I</t>
        </is>
      </c>
      <c r="D3234" t="n">
        <v>21</v>
      </c>
      <c r="E3234" t="n">
        <v>20</v>
      </c>
      <c r="F3234" t="n">
        <v>29.14</v>
      </c>
      <c r="G3234" t="n">
        <v>0</v>
      </c>
      <c r="H3234" t="n">
        <v>0</v>
      </c>
      <c r="I3234" s="3">
        <f>E3234+G3234+H3234</f>
        <v/>
      </c>
      <c r="J3234" s="3">
        <f>ROUND(MIN(IF(C3234="Técnico III",35,IF(C3234="Técnico II",28,IF(C3234="Técnico I",23,IF(C3234="JR",20,IF(C3234="Estágio",10,0))))),IF(C3234="Técnico III",SUMIFS($D:$D,$A:$A,$A3234,$B:$B,"&lt;&gt;Patrícia Karla de Sousa Araújo",$B:$B,"&lt;&gt;Lorena Dias de Araujo",$B:$B,"&lt;&gt;Lucas Luiz Romero")*(35/1083),IF(C3234="Técnico II",SUMIFS($D:$D,$A:$A,$A3234,$B:$B,"&lt;&gt;Patrícia Karla de Sousa Araújo",$B:$B,"&lt;&gt;Lorena Dias de Araujo",$B:$B,"&lt;&gt;Lucas Luiz Romero")*(28/1083),IF(C3234="Técnico I",SUMIFS($D:$D,$A:$A,$A3234,$B:$B,"&lt;&gt;Patrícia Karla de Sousa Araújo",$B:$B,"&lt;&gt;Lorena Dias de Araujo",$B:$B,"&lt;&gt;Lucas Luiz Romero")*(23/1083),IF(C3234="JR",SUMIFS($D:$D,$A:$A,$A3234,$B:$B,"&lt;&gt;Patrícia Karla de Sousa Araújo",$B:$B,"&lt;&gt;Lorena Dias de Araujo",$B:$B,"&lt;&gt;Lucas Luiz Romero")*(20/1083),IF(C3234="Estágio",SUMIFS($D:$D,$A:$A,$A3234,$B:$B,"&lt;&gt;Patrícia Karla de Sousa Araújo",$B:$B,"&lt;&gt;Lorena Dias de Araujo",$B:$B,"&lt;&gt;Lucas Luiz Romero")*(10/1083),0)))))),0)</f>
        <v/>
      </c>
      <c r="K3234" s="3">
        <f>I3234-J3234</f>
        <v/>
      </c>
      <c r="L3234" s="3">
        <f>IF(K3234&lt;-5,"CRÍTICO",IF(K3234&lt;0,"ATENÇÃO",IF(K3234&lt;=5,"OPORTUNO","MUITO BOM")))</f>
        <v/>
      </c>
      <c r="M3234" t="n">
        <v>12</v>
      </c>
      <c r="N3234" t="n">
        <v>95.34999999999999</v>
      </c>
      <c r="O3234" t="n">
        <v>28.61538461538461</v>
      </c>
    </row>
    <row r="3235" hidden="1">
      <c r="A3235" s="11" t="n">
        <v>46101</v>
      </c>
      <c r="B3235" t="inlineStr">
        <is>
          <t>Rafael Gomes de Morais</t>
        </is>
      </c>
      <c r="C3235" t="inlineStr">
        <is>
          <t>Técnico III</t>
        </is>
      </c>
      <c r="D3235" t="n">
        <v>34</v>
      </c>
      <c r="E3235" t="n">
        <v>34</v>
      </c>
      <c r="F3235" t="n">
        <v>15.17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M3235" t="n">
        <v>32</v>
      </c>
      <c r="N3235" t="n">
        <v>98.26000000000001</v>
      </c>
      <c r="O3235" t="n">
        <v>27.54491017964072</v>
      </c>
    </row>
    <row r="3236" hidden="1">
      <c r="A3236" s="11" t="n">
        <v>46101</v>
      </c>
      <c r="B3236" t="inlineStr">
        <is>
          <t>Sara Maria Monteiro Lopes</t>
        </is>
      </c>
      <c r="C3236" t="inlineStr">
        <is>
          <t>Técnico I</t>
        </is>
      </c>
      <c r="D3236" t="n">
        <v>19</v>
      </c>
      <c r="E3236" t="n">
        <v>18</v>
      </c>
      <c r="F3236" t="n">
        <v>24.03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M3236" t="n">
        <v>16</v>
      </c>
      <c r="N3236" t="n">
        <v>98.55</v>
      </c>
      <c r="O3236" t="n">
        <v>25.33783783783784</v>
      </c>
    </row>
    <row r="3237" hidden="1">
      <c r="A3237" s="11" t="n">
        <v>46101</v>
      </c>
      <c r="B3237" t="inlineStr">
        <is>
          <t>Sarah Steffanie de Lima Borges</t>
        </is>
      </c>
      <c r="C3237" t="inlineStr">
        <is>
          <t>Técnico III</t>
        </is>
      </c>
      <c r="D3237" t="n">
        <v>33</v>
      </c>
      <c r="E3237" t="n">
        <v>32</v>
      </c>
      <c r="F3237" t="n">
        <v>19.05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M3237" t="n">
        <v>26</v>
      </c>
      <c r="N3237" t="n">
        <v>98.39</v>
      </c>
      <c r="O3237" t="n">
        <v>25.56390977443609</v>
      </c>
    </row>
    <row r="3238" hidden="1">
      <c r="A3238" s="11" t="n">
        <v>46104</v>
      </c>
      <c r="B3238" t="inlineStr">
        <is>
          <t>Alisson de Freitas Silva</t>
        </is>
      </c>
      <c r="C3238" t="inlineStr">
        <is>
          <t>Técnico II</t>
        </is>
      </c>
      <c r="D3238" t="n">
        <v>28</v>
      </c>
      <c r="E3238" t="n">
        <v>25</v>
      </c>
      <c r="F3238" t="n">
        <v>13.45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M3238" t="n">
        <v>17</v>
      </c>
      <c r="N3238" t="n">
        <v>94.29000000000001</v>
      </c>
      <c r="O3238" t="n">
        <v>25.64766839378239</v>
      </c>
    </row>
    <row r="3239" hidden="1">
      <c r="A3239" s="11" t="n">
        <v>46104</v>
      </c>
      <c r="B3239" t="inlineStr">
        <is>
          <t>Amanda Moura Ferreira</t>
        </is>
      </c>
      <c r="C3239" t="inlineStr">
        <is>
          <t>Técnico III</t>
        </is>
      </c>
      <c r="D3239" t="n">
        <v>0</v>
      </c>
      <c r="E3239" t="n">
        <v>0</v>
      </c>
      <c r="F3239" t="n">
        <v>0</v>
      </c>
      <c r="G3239" t="n">
        <v>0</v>
      </c>
      <c r="H3239" t="n">
        <v>0</v>
      </c>
      <c r="I3239" s="3" t="n">
        <v>0</v>
      </c>
      <c r="J3239" s="3" t="n">
        <v>0</v>
      </c>
      <c r="K3239" s="3" t="n">
        <v>0</v>
      </c>
      <c r="L3239" s="3">
        <f>IF(K3239&lt;-5,"CRÍTICO",IF(K3239&lt;0,"ATENÇÃO",IF(K3239&lt;=5,"OPORTUNO","MUITO BOM")))</f>
        <v/>
      </c>
      <c r="M3239" t="n">
        <v>20</v>
      </c>
      <c r="N3239" t="n">
        <v>98.26000000000001</v>
      </c>
      <c r="O3239" t="n">
        <v>26.66666666666667</v>
      </c>
    </row>
    <row r="3240" hidden="1">
      <c r="A3240" s="11" t="n">
        <v>46104</v>
      </c>
      <c r="B3240" t="inlineStr">
        <is>
          <t>Ana Karollyne Souza Faria</t>
        </is>
      </c>
      <c r="C3240" t="inlineStr">
        <is>
          <t>Técnico I</t>
        </is>
      </c>
      <c r="D3240" t="n">
        <v>24</v>
      </c>
      <c r="E3240" t="n">
        <v>22</v>
      </c>
      <c r="F3240" t="n">
        <v>23.59</v>
      </c>
      <c r="G3240" t="n">
        <v>0</v>
      </c>
      <c r="H3240" t="n">
        <v>0</v>
      </c>
      <c r="I3240" s="3">
        <f>E3240+G3240+H3240</f>
        <v/>
      </c>
      <c r="J3240" s="3">
        <f>ROUND(MIN(IF(C3240="Técnico III",35,IF(C3240="Técnico II",28,IF(C3240="Técnico I",23,IF(C3240="JR",20,IF(C3240="Estágio",10,0))))),IF(C3240="Técnico III",SUMIFS($D:$D,$A:$A,$A3240,$B:$B,"&lt;&gt;Patrícia Karla de Sousa Araújo",$B:$B,"&lt;&gt;Lorena Dias de Araujo",$B:$B,"&lt;&gt;Lucas Luiz Romero")*(35/1083),IF(C3240="Técnico II",SUMIFS($D:$D,$A:$A,$A3240,$B:$B,"&lt;&gt;Patrícia Karla de Sousa Araújo",$B:$B,"&lt;&gt;Lorena Dias de Araujo",$B:$B,"&lt;&gt;Lucas Luiz Romero")*(28/1083),IF(C3240="Técnico I",SUMIFS($D:$D,$A:$A,$A3240,$B:$B,"&lt;&gt;Patrícia Karla de Sousa Araújo",$B:$B,"&lt;&gt;Lorena Dias de Araujo",$B:$B,"&lt;&gt;Lucas Luiz Romero")*(23/1083),IF(C3240="JR",SUMIFS($D:$D,$A:$A,$A3240,$B:$B,"&lt;&gt;Patrícia Karla de Sousa Araújo",$B:$B,"&lt;&gt;Lorena Dias de Araujo",$B:$B,"&lt;&gt;Lucas Luiz Romero")*(20/1083),IF(C3240="Estágio",SUMIFS($D:$D,$A:$A,$A3240,$B:$B,"&lt;&gt;Patrícia Karla de Sousa Araújo",$B:$B,"&lt;&gt;Lorena Dias de Araujo",$B:$B,"&lt;&gt;Lucas Luiz Romero")*(10/1083),0)))))),0)</f>
        <v/>
      </c>
      <c r="K3240" s="3">
        <f>I3240-J3240</f>
        <v/>
      </c>
      <c r="L3240" s="3">
        <f>IF(K3240&lt;-5,"CRÍTICO",IF(K3240&lt;0,"ATENÇÃO",IF(K3240&lt;=5,"OPORTUNO","MUITO BOM")))</f>
        <v/>
      </c>
      <c r="M3240" t="n">
        <v>20</v>
      </c>
      <c r="N3240" t="n">
        <v>98.2</v>
      </c>
      <c r="O3240" t="n">
        <v>23.37962962962963</v>
      </c>
    </row>
    <row r="3241" hidden="1">
      <c r="A3241" s="11" t="n">
        <v>46104</v>
      </c>
      <c r="B3241" t="inlineStr">
        <is>
          <t>Ana Paula Da Luz Silva Aleixo</t>
        </is>
      </c>
      <c r="C3241" t="inlineStr">
        <is>
          <t>Técnico III</t>
        </is>
      </c>
      <c r="D3241" t="n">
        <v>21</v>
      </c>
      <c r="E3241" t="n">
        <v>18</v>
      </c>
      <c r="F3241" t="n">
        <v>18.25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M3241" t="n">
        <v>19</v>
      </c>
      <c r="N3241" t="n">
        <v>97.3</v>
      </c>
      <c r="O3241" t="n">
        <v>23.84769539078156</v>
      </c>
    </row>
    <row r="3242" hidden="1">
      <c r="A3242" s="11" t="n">
        <v>46104</v>
      </c>
      <c r="B3242" t="inlineStr">
        <is>
          <t>Anna Luiza Rezende Tavares</t>
        </is>
      </c>
      <c r="C3242" t="inlineStr">
        <is>
          <t>Estágio</t>
        </is>
      </c>
      <c r="D3242" t="n">
        <v>12</v>
      </c>
      <c r="E3242" t="n">
        <v>10</v>
      </c>
      <c r="F3242" t="n">
        <v>33.47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M3242" t="n">
        <v>10</v>
      </c>
      <c r="N3242" t="n">
        <v>100</v>
      </c>
      <c r="O3242" t="n">
        <v>25.26881720430108</v>
      </c>
    </row>
    <row r="3243" hidden="1">
      <c r="A3243" s="11" t="n">
        <v>46104</v>
      </c>
      <c r="B3243" t="inlineStr">
        <is>
          <t>Brenda de Menezes Silva</t>
        </is>
      </c>
      <c r="C3243" t="inlineStr">
        <is>
          <t>Técnico II</t>
        </is>
      </c>
      <c r="D3243" t="n">
        <v>24</v>
      </c>
      <c r="E3243" t="n">
        <v>21</v>
      </c>
      <c r="F3243" t="n">
        <v>12.05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M3243" t="n">
        <v>22</v>
      </c>
      <c r="N3243" t="n">
        <v>99.31999999999999</v>
      </c>
      <c r="O3243" t="n">
        <v>22.82282282282282</v>
      </c>
    </row>
    <row r="3244" hidden="1">
      <c r="A3244" s="11" t="n">
        <v>46104</v>
      </c>
      <c r="B3244" t="inlineStr">
        <is>
          <t>Carlos Mateus Cassimiro Nunes</t>
        </is>
      </c>
      <c r="C3244" t="inlineStr">
        <is>
          <t>Técnico II</t>
        </is>
      </c>
      <c r="D3244" t="n">
        <v>18</v>
      </c>
      <c r="E3244" t="n">
        <v>17</v>
      </c>
      <c r="F3244" t="n">
        <v>25.42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M3244" t="n">
        <v>14</v>
      </c>
      <c r="N3244" t="n">
        <v>100</v>
      </c>
      <c r="O3244" t="n">
        <v>27.96610169491525</v>
      </c>
    </row>
    <row r="3245" hidden="1">
      <c r="A3245" s="11" t="n">
        <v>46104</v>
      </c>
      <c r="B3245" t="inlineStr">
        <is>
          <t>Claudio de Sousa Velasco Filho</t>
        </is>
      </c>
      <c r="C3245" t="inlineStr">
        <is>
          <t>Estágio</t>
        </is>
      </c>
      <c r="D3245" t="n">
        <v>0</v>
      </c>
      <c r="E3245" t="n">
        <v>0</v>
      </c>
      <c r="F3245" t="n">
        <v>0</v>
      </c>
      <c r="G3245" t="n">
        <v>0</v>
      </c>
      <c r="H3245" t="n">
        <v>0</v>
      </c>
      <c r="I3245" s="3" t="n">
        <v>0</v>
      </c>
      <c r="J3245" s="3" t="n">
        <v>0</v>
      </c>
      <c r="K3245" s="3" t="n">
        <v>0</v>
      </c>
      <c r="L3245" s="3">
        <f>IF(K3245&lt;-5,"CRÍTICO",IF(K3245&lt;0,"ATENÇÃO",IF(K3245&lt;=5,"OPORTUNO","MUITO BOM")))</f>
        <v/>
      </c>
      <c r="M3245" t="n">
        <v>0</v>
      </c>
      <c r="N3245" t="n">
        <v>100</v>
      </c>
      <c r="O3245" t="n">
        <v>30.43478260869566</v>
      </c>
    </row>
    <row r="3246" hidden="1">
      <c r="A3246" s="11" t="n">
        <v>46104</v>
      </c>
      <c r="B3246" t="inlineStr">
        <is>
          <t>Clessiane Pereira dos Santos</t>
        </is>
      </c>
      <c r="C3246" t="inlineStr">
        <is>
          <t>Técnico I</t>
        </is>
      </c>
      <c r="D3246" t="n">
        <v>25</v>
      </c>
      <c r="E3246" t="n">
        <v>22</v>
      </c>
      <c r="F3246" t="n">
        <v>21.53</v>
      </c>
      <c r="G3246" t="n">
        <v>0</v>
      </c>
      <c r="H3246" t="n">
        <v>0</v>
      </c>
      <c r="I3246" s="3">
        <f>E3246+G3246+H3246</f>
        <v/>
      </c>
      <c r="J3246" s="3">
        <f>ROUND(MIN(IF(C3246="Técnico III",35,IF(C3246="Técnico II",28,IF(C3246="Técnico I",23,IF(C3246="JR",20,IF(C3246="Estágio",10,0))))),IF(C3246="Técnico III",SUMIFS($D:$D,$A:$A,$A3246,$B:$B,"&lt;&gt;Patrícia Karla de Sousa Araújo",$B:$B,"&lt;&gt;Lorena Dias de Araujo",$B:$B,"&lt;&gt;Lucas Luiz Romero")*(35/1083),IF(C3246="Técnico II",SUMIFS($D:$D,$A:$A,$A3246,$B:$B,"&lt;&gt;Patrícia Karla de Sousa Araújo",$B:$B,"&lt;&gt;Lorena Dias de Araujo",$B:$B,"&lt;&gt;Lucas Luiz Romero")*(28/1083),IF(C3246="Técnico I",SUMIFS($D:$D,$A:$A,$A3246,$B:$B,"&lt;&gt;Patrícia Karla de Sousa Araújo",$B:$B,"&lt;&gt;Lorena Dias de Araujo",$B:$B,"&lt;&gt;Lucas Luiz Romero")*(23/1083),IF(C3246="JR",SUMIFS($D:$D,$A:$A,$A3246,$B:$B,"&lt;&gt;Patrícia Karla de Sousa Araújo",$B:$B,"&lt;&gt;Lorena Dias de Araujo",$B:$B,"&lt;&gt;Lucas Luiz Romero")*(20/1083),IF(C3246="Estágio",SUMIFS($D:$D,$A:$A,$A3246,$B:$B,"&lt;&gt;Patrícia Karla de Sousa Araújo",$B:$B,"&lt;&gt;Lorena Dias de Araujo",$B:$B,"&lt;&gt;Lucas Luiz Romero")*(10/1083),0)))))),0)</f>
        <v/>
      </c>
      <c r="K3246" s="3">
        <f>I3246-J3246</f>
        <v/>
      </c>
      <c r="L3246" s="3">
        <f>IF(K3246&lt;-5,"CRÍTICO",IF(K3246&lt;0,"ATENÇÃO",IF(K3246&lt;=5,"OPORTUNO","MUITO BOM")))</f>
        <v/>
      </c>
      <c r="M3246" t="n">
        <v>20</v>
      </c>
      <c r="N3246" t="n">
        <v>96.51000000000001</v>
      </c>
      <c r="O3246" t="n">
        <v>22.80285035629454</v>
      </c>
    </row>
    <row r="3247" hidden="1">
      <c r="A3247" s="11" t="n">
        <v>46104</v>
      </c>
      <c r="B3247" t="inlineStr">
        <is>
          <t>Cristiane Ramos da Silva Rocha</t>
        </is>
      </c>
      <c r="C3247" t="inlineStr">
        <is>
          <t>Técnico III</t>
        </is>
      </c>
      <c r="D3247" t="n">
        <v>6</v>
      </c>
      <c r="E3247" t="n">
        <v>6</v>
      </c>
      <c r="F3247" t="n">
        <v>25.29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M3247" t="n">
        <v>7</v>
      </c>
      <c r="N3247" t="n">
        <v>92.68000000000001</v>
      </c>
      <c r="O3247" t="n">
        <v>27.77777777777778</v>
      </c>
    </row>
    <row r="3248" hidden="1">
      <c r="A3248" s="11" t="n">
        <v>46104</v>
      </c>
      <c r="B3248" t="inlineStr">
        <is>
          <t>Damyllis Lorraine de Oliveira Gonçalves</t>
        </is>
      </c>
      <c r="C3248" t="inlineStr">
        <is>
          <t>Técnico II</t>
        </is>
      </c>
      <c r="D3248" t="n">
        <v>29</v>
      </c>
      <c r="E3248" t="n">
        <v>20</v>
      </c>
      <c r="F3248" t="n">
        <v>27.17</v>
      </c>
      <c r="G3248" t="n">
        <v>0</v>
      </c>
      <c r="H3248" t="n">
        <v>0</v>
      </c>
      <c r="I3248" s="3" t="n">
        <v>0</v>
      </c>
      <c r="J3248" s="3" t="n">
        <v>0</v>
      </c>
      <c r="K3248" s="3" t="n">
        <v>0</v>
      </c>
      <c r="L3248" s="3">
        <f>IF(K3248&lt;-5,"CRÍTICO",IF(K3248&lt;0,"ATENÇÃO",IF(K3248&lt;=5,"OPORTUNO","MUITO BOM")))</f>
        <v/>
      </c>
      <c r="M3248" t="n">
        <v>17</v>
      </c>
      <c r="N3248" t="n">
        <v>99.03</v>
      </c>
      <c r="O3248" t="n">
        <v>23.99150743099788</v>
      </c>
    </row>
    <row r="3249" hidden="1">
      <c r="A3249" s="11" t="n">
        <v>46104</v>
      </c>
      <c r="B3249" t="inlineStr">
        <is>
          <t>Daniel Gomes da Silva</t>
        </is>
      </c>
      <c r="C3249" t="inlineStr">
        <is>
          <t>Técnico I</t>
        </is>
      </c>
      <c r="D3249" t="n">
        <v>18</v>
      </c>
      <c r="E3249" t="n">
        <v>18</v>
      </c>
      <c r="F3249" t="n">
        <v>21.48</v>
      </c>
      <c r="G3249" t="n">
        <v>0</v>
      </c>
      <c r="H3249" t="n">
        <v>0</v>
      </c>
      <c r="I3249" s="3">
        <f>E3249+G3249+H3249</f>
        <v/>
      </c>
      <c r="J3249" s="3">
        <f>ROUND(MIN(IF(C3249="Técnico III",35,IF(C3249="Técnico II",28,IF(C3249="Técnico I",23,IF(C3249="JR",20,IF(C3249="Estágio",10,0))))),IF(C3249="Técnico III",SUMIFS($D:$D,$A:$A,$A3249,$B:$B,"&lt;&gt;Patrícia Karla de Sousa Araújo",$B:$B,"&lt;&gt;Lorena Dias de Araujo",$B:$B,"&lt;&gt;Lucas Luiz Romero")*(35/1083),IF(C3249="Técnico II",SUMIFS($D:$D,$A:$A,$A3249,$B:$B,"&lt;&gt;Patrícia Karla de Sousa Araújo",$B:$B,"&lt;&gt;Lorena Dias de Araujo",$B:$B,"&lt;&gt;Lucas Luiz Romero")*(28/1083),IF(C3249="Técnico I",SUMIFS($D:$D,$A:$A,$A3249,$B:$B,"&lt;&gt;Patrícia Karla de Sousa Araújo",$B:$B,"&lt;&gt;Lorena Dias de Araujo",$B:$B,"&lt;&gt;Lucas Luiz Romero")*(23/1083),IF(C3249="JR",SUMIFS($D:$D,$A:$A,$A3249,$B:$B,"&lt;&gt;Patrícia Karla de Sousa Araújo",$B:$B,"&lt;&gt;Lorena Dias de Araujo",$B:$B,"&lt;&gt;Lucas Luiz Romero")*(20/1083),IF(C3249="Estágio",SUMIFS($D:$D,$A:$A,$A3249,$B:$B,"&lt;&gt;Patrícia Karla de Sousa Araújo",$B:$B,"&lt;&gt;Lorena Dias de Araujo",$B:$B,"&lt;&gt;Lucas Luiz Romero")*(10/1083),0)))))),0)</f>
        <v/>
      </c>
      <c r="K3249" s="3">
        <f>I3249-J3249</f>
        <v/>
      </c>
      <c r="L3249" s="3">
        <f>IF(K3249&lt;-5,"CRÍTICO",IF(K3249&lt;0,"ATENÇÃO",IF(K3249&lt;=5,"OPORTUNO","MUITO BOM")))</f>
        <v/>
      </c>
      <c r="M3249" t="n">
        <v>6</v>
      </c>
      <c r="N3249" t="n">
        <v>98.41</v>
      </c>
      <c r="O3249" t="n">
        <v>28.13852813852814</v>
      </c>
    </row>
    <row r="3250" hidden="1">
      <c r="A3250" s="11" t="n">
        <v>46104</v>
      </c>
      <c r="B3250" t="inlineStr">
        <is>
          <t>Davylla Rodrigues Freitas Silva</t>
        </is>
      </c>
      <c r="C3250" t="inlineStr">
        <is>
          <t>Técnico III</t>
        </is>
      </c>
      <c r="D3250" t="n">
        <v>18</v>
      </c>
      <c r="E3250" t="n">
        <v>17</v>
      </c>
      <c r="F3250" t="n">
        <v>25.34</v>
      </c>
      <c r="G3250" t="n">
        <v>0</v>
      </c>
      <c r="H3250" t="n">
        <v>0</v>
      </c>
      <c r="I3250" s="3" t="n">
        <v>0</v>
      </c>
      <c r="J3250" s="3" t="n">
        <v>0</v>
      </c>
      <c r="K3250" s="3" t="n">
        <v>0</v>
      </c>
      <c r="L3250" s="3">
        <f>IF(K3250&lt;-5,"CRÍTICO",IF(K3250&lt;0,"ATENÇÃO",IF(K3250&lt;=5,"OPORTUNO","MUITO BOM")))</f>
        <v/>
      </c>
      <c r="M3250" t="n">
        <v>19</v>
      </c>
      <c r="N3250" t="n">
        <v>98.73</v>
      </c>
      <c r="O3250" t="n">
        <v>29.14285714285714</v>
      </c>
    </row>
    <row r="3251" hidden="1">
      <c r="A3251" s="11" t="n">
        <v>46104</v>
      </c>
      <c r="B3251" t="inlineStr">
        <is>
          <t>Emilly Caylane Costa</t>
        </is>
      </c>
      <c r="C3251" t="inlineStr">
        <is>
          <t>Estágio</t>
        </is>
      </c>
      <c r="D3251" t="n">
        <v>6</v>
      </c>
      <c r="E3251" t="n">
        <v>6</v>
      </c>
      <c r="F3251" t="n">
        <v>42.25</v>
      </c>
      <c r="G3251" t="n">
        <v>0</v>
      </c>
      <c r="H3251" t="n">
        <v>0</v>
      </c>
      <c r="I3251" s="3">
        <f>E3251+G3251+H3251</f>
        <v/>
      </c>
      <c r="J3251" s="3">
        <f>ROUND(MIN(IF(C3251="Técnico III",35,IF(C3251="Técnico II",28,IF(C3251="Técnico I",23,IF(C3251="JR",20,IF(C3251="Estágio",10,0))))),IF(C3251="Técnico III",SUMIFS($D:$D,$A:$A,$A3251,$B:$B,"&lt;&gt;Patrícia Karla de Sousa Araújo",$B:$B,"&lt;&gt;Lorena Dias de Araujo",$B:$B,"&lt;&gt;Lucas Luiz Romero")*(35/1083),IF(C3251="Técnico II",SUMIFS($D:$D,$A:$A,$A3251,$B:$B,"&lt;&gt;Patrícia Karla de Sousa Araújo",$B:$B,"&lt;&gt;Lorena Dias de Araujo",$B:$B,"&lt;&gt;Lucas Luiz Romero")*(28/1083),IF(C3251="Técnico I",SUMIFS($D:$D,$A:$A,$A3251,$B:$B,"&lt;&gt;Patrícia Karla de Sousa Araújo",$B:$B,"&lt;&gt;Lorena Dias de Araujo",$B:$B,"&lt;&gt;Lucas Luiz Romero")*(23/1083),IF(C3251="JR",SUMIFS($D:$D,$A:$A,$A3251,$B:$B,"&lt;&gt;Patrícia Karla de Sousa Araújo",$B:$B,"&lt;&gt;Lorena Dias de Araujo",$B:$B,"&lt;&gt;Lucas Luiz Romero")*(20/1083),IF(C3251="Estágio",SUMIFS($D:$D,$A:$A,$A3251,$B:$B,"&lt;&gt;Patrícia Karla de Sousa Araújo",$B:$B,"&lt;&gt;Lorena Dias de Araujo",$B:$B,"&lt;&gt;Lucas Luiz Romero")*(10/1083),0)))))),0)</f>
        <v/>
      </c>
      <c r="K3251" s="3">
        <f>I3251-J3251</f>
        <v/>
      </c>
      <c r="L3251" s="3">
        <f>IF(K3251&lt;-5,"CRÍTICO",IF(K3251&lt;0,"ATENÇÃO",IF(K3251&lt;=5,"OPORTUNO","MUITO BOM")))</f>
        <v/>
      </c>
      <c r="M3251" t="n">
        <v>5</v>
      </c>
      <c r="N3251" t="n">
        <v>90.48</v>
      </c>
      <c r="O3251" t="n">
        <v>20.68965517241379</v>
      </c>
    </row>
    <row r="3252" hidden="1">
      <c r="A3252" s="11" t="n">
        <v>46104</v>
      </c>
      <c r="B3252" t="inlineStr">
        <is>
          <t>Emilly Kamilly Medeiros Miranda</t>
        </is>
      </c>
      <c r="C3252" t="inlineStr">
        <is>
          <t>Técnico II</t>
        </is>
      </c>
      <c r="D3252" t="n">
        <v>26</v>
      </c>
      <c r="E3252" t="n">
        <v>25</v>
      </c>
      <c r="F3252" t="n">
        <v>17.31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M3252" t="n">
        <v>22</v>
      </c>
      <c r="N3252" t="n">
        <v>98.06</v>
      </c>
      <c r="O3252" t="n">
        <v>24.78991596638656</v>
      </c>
    </row>
    <row r="3253" hidden="1">
      <c r="A3253" s="11" t="n">
        <v>46104</v>
      </c>
      <c r="B3253" t="inlineStr">
        <is>
          <t>Francielson de Oliveira</t>
        </is>
      </c>
      <c r="C3253" t="inlineStr">
        <is>
          <t>Técnico III</t>
        </is>
      </c>
      <c r="D3253" t="n">
        <v>27</v>
      </c>
      <c r="E3253" t="n">
        <v>27</v>
      </c>
      <c r="F3253" t="n">
        <v>15.59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M3253" t="n">
        <v>27</v>
      </c>
      <c r="N3253" t="n">
        <v>97.78</v>
      </c>
      <c r="O3253" t="n">
        <v>25.49407114624506</v>
      </c>
    </row>
    <row r="3254" hidden="1">
      <c r="A3254" s="11" t="n">
        <v>46104</v>
      </c>
      <c r="B3254" t="inlineStr">
        <is>
          <t>Francilene Ferreira de Jesus</t>
        </is>
      </c>
      <c r="C3254" t="inlineStr">
        <is>
          <t>Técnico II</t>
        </is>
      </c>
      <c r="D3254" t="n">
        <v>28</v>
      </c>
      <c r="E3254" t="n">
        <v>26</v>
      </c>
      <c r="F3254" t="n">
        <v>20.49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M3254" t="n">
        <v>23</v>
      </c>
      <c r="N3254" t="n">
        <v>98.02</v>
      </c>
      <c r="O3254" t="n">
        <v>23.48484848484848</v>
      </c>
    </row>
    <row r="3255" hidden="1">
      <c r="A3255" s="11" t="n">
        <v>46139</v>
      </c>
      <c r="B3255" t="inlineStr">
        <is>
          <t>Gabriel Gomes de Andrade</t>
        </is>
      </c>
      <c r="C3255" t="inlineStr">
        <is>
          <t>Técnico I</t>
        </is>
      </c>
      <c r="D3255" t="n">
        <v>13</v>
      </c>
      <c r="E3255" t="n">
        <v>12</v>
      </c>
      <c r="F3255" t="n">
        <v>13.29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M3255" t="n">
        <v>10</v>
      </c>
      <c r="N3255" t="n">
        <v>99.28</v>
      </c>
      <c r="O3255" t="n">
        <v>27.68924302788844</v>
      </c>
    </row>
    <row r="3256" hidden="1">
      <c r="A3256" s="11" t="n">
        <v>46104</v>
      </c>
      <c r="B3256" t="inlineStr">
        <is>
          <t>Isabella Borges de Oliveira</t>
        </is>
      </c>
      <c r="C3256" t="inlineStr">
        <is>
          <t>Técnico II</t>
        </is>
      </c>
      <c r="D3256" t="n">
        <v>32</v>
      </c>
      <c r="E3256" t="n">
        <v>29</v>
      </c>
      <c r="F3256" t="n">
        <v>20.14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M3256" t="n">
        <v>27</v>
      </c>
      <c r="N3256" t="n">
        <v>100</v>
      </c>
      <c r="O3256" t="n">
        <v>27.04918032786885</v>
      </c>
    </row>
    <row r="3257" hidden="1">
      <c r="A3257" s="11" t="n">
        <v>46104</v>
      </c>
      <c r="B3257" t="inlineStr">
        <is>
          <t>Janaina Lima dos Reis Urany</t>
        </is>
      </c>
      <c r="C3257" t="inlineStr">
        <is>
          <t>Técnico III</t>
        </is>
      </c>
      <c r="D3257" t="n">
        <v>32</v>
      </c>
      <c r="E3257" t="n">
        <v>30</v>
      </c>
      <c r="F3257" t="n">
        <v>16.42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M3257" t="n">
        <v>26</v>
      </c>
      <c r="N3257" t="n">
        <v>97.83</v>
      </c>
      <c r="O3257" t="n">
        <v>26.31578947368421</v>
      </c>
    </row>
    <row r="3258" hidden="1">
      <c r="A3258" s="11" t="n">
        <v>46104</v>
      </c>
      <c r="B3258" t="inlineStr">
        <is>
          <t>Jaqueline Evangelista da Silva Martins</t>
        </is>
      </c>
      <c r="C3258" t="inlineStr">
        <is>
          <t>Técnico III</t>
        </is>
      </c>
      <c r="D3258" t="n">
        <v>7</v>
      </c>
      <c r="E3258" t="n">
        <v>6</v>
      </c>
      <c r="F3258" t="n">
        <v>15.49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M3258" t="n">
        <v>6</v>
      </c>
      <c r="N3258" t="n">
        <v>100</v>
      </c>
      <c r="O3258" t="n">
        <v>26.70157068062827</v>
      </c>
    </row>
    <row r="3259" hidden="1">
      <c r="A3259" s="11" t="n">
        <v>46104</v>
      </c>
      <c r="B3259" t="inlineStr">
        <is>
          <t>Jessica Faria da Silveira</t>
        </is>
      </c>
      <c r="C3259" t="inlineStr">
        <is>
          <t>Técnico II</t>
        </is>
      </c>
      <c r="D3259" t="n">
        <v>0</v>
      </c>
      <c r="E3259" t="n">
        <v>0</v>
      </c>
      <c r="F3259" t="n">
        <v>0</v>
      </c>
      <c r="G3259" t="n">
        <v>0</v>
      </c>
      <c r="H3259" t="n">
        <v>0</v>
      </c>
      <c r="I3259" s="3" t="n">
        <v>0</v>
      </c>
      <c r="J3259" s="3" t="n">
        <v>0</v>
      </c>
      <c r="K3259" s="3" t="n">
        <v>0</v>
      </c>
      <c r="L3259" s="3">
        <f>IF(K3259&lt;-5,"CRÍTICO",IF(K3259&lt;0,"ATENÇÃO",IF(K3259&lt;=5,"OPORTUNO","MUITO BOM")))</f>
        <v/>
      </c>
      <c r="M3259" t="n">
        <v>0</v>
      </c>
      <c r="N3259" t="n">
        <v>97.47</v>
      </c>
      <c r="O3259" t="n">
        <v>22.88732394366197</v>
      </c>
    </row>
    <row r="3260" hidden="1">
      <c r="A3260" s="11" t="n">
        <v>46104</v>
      </c>
      <c r="B3260" t="inlineStr">
        <is>
          <t>Jéssica Fé Moura</t>
        </is>
      </c>
      <c r="C3260" t="inlineStr">
        <is>
          <t>Técnico III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M3260" t="n">
        <v>0</v>
      </c>
      <c r="N3260" t="n">
        <v>0</v>
      </c>
      <c r="O3260" t="n">
        <v>0</v>
      </c>
    </row>
    <row r="3261" hidden="1">
      <c r="A3261" s="11" t="n">
        <v>46104</v>
      </c>
      <c r="B3261" t="inlineStr">
        <is>
          <t>Karina Gonçalves Martins</t>
        </is>
      </c>
      <c r="C3261" t="inlineStr">
        <is>
          <t>JR</t>
        </is>
      </c>
      <c r="D3261" t="n">
        <v>10</v>
      </c>
      <c r="E3261" t="n">
        <v>9</v>
      </c>
      <c r="F3261" t="n">
        <v>42.22</v>
      </c>
      <c r="G3261" t="n">
        <v>0</v>
      </c>
      <c r="H3261" t="n">
        <v>0</v>
      </c>
      <c r="I3261" s="3">
        <f>E3261+G3261+H3261</f>
        <v/>
      </c>
      <c r="J3261" s="3">
        <f>ROUND(MIN(IF(C3261="Técnico III",35,IF(C3261="Técnico II",28,IF(C3261="Técnico I",23,IF(C3261="JR",20,IF(C3261="Estágio",10,0))))),IF(C3261="Técnico III",SUMIFS($D:$D,$A:$A,$A3261,$B:$B,"&lt;&gt;Patrícia Karla de Sousa Araújo",$B:$B,"&lt;&gt;Lorena Dias de Araujo",$B:$B,"&lt;&gt;Lucas Luiz Romero")*(35/1083),IF(C3261="Técnico II",SUMIFS($D:$D,$A:$A,$A3261,$B:$B,"&lt;&gt;Patrícia Karla de Sousa Araújo",$B:$B,"&lt;&gt;Lorena Dias de Araujo",$B:$B,"&lt;&gt;Lucas Luiz Romero")*(28/1083),IF(C3261="Técnico I",SUMIFS($D:$D,$A:$A,$A3261,$B:$B,"&lt;&gt;Patrícia Karla de Sousa Araújo",$B:$B,"&lt;&gt;Lorena Dias de Araujo",$B:$B,"&lt;&gt;Lucas Luiz Romero")*(23/1083),IF(C3261="JR",SUMIFS($D:$D,$A:$A,$A3261,$B:$B,"&lt;&gt;Patrícia Karla de Sousa Araújo",$B:$B,"&lt;&gt;Lorena Dias de Araujo",$B:$B,"&lt;&gt;Lucas Luiz Romero")*(20/1083),IF(C3261="Estágio",SUMIFS($D:$D,$A:$A,$A3261,$B:$B,"&lt;&gt;Patrícia Karla de Sousa Araújo",$B:$B,"&lt;&gt;Lorena Dias de Araujo",$B:$B,"&lt;&gt;Lucas Luiz Romero")*(10/1083),0)))))),0)</f>
        <v/>
      </c>
      <c r="K3261" s="3">
        <f>I3261-J3261</f>
        <v/>
      </c>
      <c r="L3261" s="3">
        <f>IF(K3261&lt;-5,"CRÍTICO",IF(K3261&lt;0,"ATENÇÃO",IF(K3261&lt;=5,"OPORTUNO","MUITO BOM")))</f>
        <v/>
      </c>
      <c r="M3261" t="n">
        <v>8</v>
      </c>
      <c r="N3261" t="n">
        <v>98.31</v>
      </c>
      <c r="O3261" t="n">
        <v>24.92012779552715</v>
      </c>
    </row>
    <row r="3262" hidden="1">
      <c r="A3262" s="11" t="n">
        <v>46104</v>
      </c>
      <c r="B3262" t="inlineStr">
        <is>
          <t>Kerollen Cristielly de Jesus Siqueira</t>
        </is>
      </c>
      <c r="C3262" t="inlineStr">
        <is>
          <t>Técnico III</t>
        </is>
      </c>
      <c r="D3262" t="n">
        <v>13</v>
      </c>
      <c r="E3262" t="n">
        <v>13</v>
      </c>
      <c r="F3262" t="n">
        <v>27.29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M3262" t="n">
        <v>13</v>
      </c>
      <c r="N3262" t="n">
        <v>96.81</v>
      </c>
      <c r="O3262" t="n">
        <v>32.36514522821577</v>
      </c>
    </row>
    <row r="3263" hidden="1">
      <c r="A3263" s="11" t="n">
        <v>46104</v>
      </c>
      <c r="B3263" t="inlineStr">
        <is>
          <t>Leandro de Souza Silva</t>
        </is>
      </c>
      <c r="C3263" t="inlineStr">
        <is>
          <t>JR</t>
        </is>
      </c>
      <c r="D3263" t="n">
        <v>17</v>
      </c>
      <c r="E3263" t="n">
        <v>16</v>
      </c>
      <c r="F3263" t="n">
        <v>22.37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M3263" t="n">
        <v>12</v>
      </c>
      <c r="N3263" t="n">
        <v>100</v>
      </c>
      <c r="O3263" t="n">
        <v>26.47058823529412</v>
      </c>
    </row>
    <row r="3264" hidden="1">
      <c r="A3264" s="11" t="n">
        <v>46104</v>
      </c>
      <c r="B3264" t="inlineStr">
        <is>
          <t>Leandro Oliveira de Sousa</t>
        </is>
      </c>
      <c r="C3264" t="inlineStr">
        <is>
          <t>Técnico III</t>
        </is>
      </c>
      <c r="D3264" t="n">
        <v>15</v>
      </c>
      <c r="E3264" t="n">
        <v>15</v>
      </c>
      <c r="F3264" t="n">
        <v>22.15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M3264" t="n">
        <v>14</v>
      </c>
      <c r="N3264" t="n">
        <v>100</v>
      </c>
      <c r="O3264" t="n">
        <v>28.49002849002849</v>
      </c>
    </row>
    <row r="3265" hidden="1">
      <c r="A3265" s="11" t="n">
        <v>46104</v>
      </c>
      <c r="B3265" t="inlineStr">
        <is>
          <t>Lizandra Gomes Duarte</t>
        </is>
      </c>
      <c r="C3265" t="inlineStr">
        <is>
          <t>Técnico II</t>
        </is>
      </c>
      <c r="D3265" t="n">
        <v>20</v>
      </c>
      <c r="E3265" t="n">
        <v>19</v>
      </c>
      <c r="F3265" t="n">
        <v>21.56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M3265" t="n">
        <v>32</v>
      </c>
      <c r="N3265" t="n">
        <v>99.14</v>
      </c>
      <c r="O3265" t="n">
        <v>27.2289156626506</v>
      </c>
    </row>
    <row r="3266" hidden="1">
      <c r="A3266" s="11" t="n">
        <v>46104</v>
      </c>
      <c r="B3266" t="inlineStr">
        <is>
          <t>Lorena Dias de Araujo</t>
        </is>
      </c>
      <c r="C3266" t="inlineStr">
        <is>
          <t>Técnico II</t>
        </is>
      </c>
      <c r="D3266" t="n">
        <v>27</v>
      </c>
      <c r="E3266" t="n">
        <v>26</v>
      </c>
      <c r="F3266" t="n">
        <v>15.59</v>
      </c>
      <c r="G3266" t="n">
        <v>0</v>
      </c>
      <c r="H3266" t="n">
        <v>0</v>
      </c>
      <c r="I3266" s="3" t="n">
        <v>0</v>
      </c>
      <c r="J3266" s="3" t="n">
        <v>0</v>
      </c>
      <c r="K3266" s="3" t="n">
        <v>0</v>
      </c>
      <c r="L3266" s="3">
        <f>IF(K3266&lt;-5,"CRÍTICO",IF(K3266&lt;0,"ATENÇÃO",IF(K3266&lt;=5,"OPORTUNO","MUITO BOM")))</f>
        <v/>
      </c>
      <c r="M3266" t="n">
        <v>22</v>
      </c>
      <c r="N3266" t="n">
        <v>97.52</v>
      </c>
      <c r="O3266" t="n">
        <v>28.2051282051282</v>
      </c>
    </row>
    <row r="3267" hidden="1">
      <c r="A3267" s="11" t="n">
        <v>46104</v>
      </c>
      <c r="B3267" t="inlineStr">
        <is>
          <t>Lucas Luiz Romero</t>
        </is>
      </c>
      <c r="C3267" t="inlineStr">
        <is>
          <t>Técnico III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M3267" t="n">
        <v>0</v>
      </c>
      <c r="N3267" t="n">
        <v>90</v>
      </c>
      <c r="O3267" t="n">
        <v>24.18604651162791</v>
      </c>
    </row>
    <row r="3268" hidden="1">
      <c r="A3268" s="11" t="n">
        <v>46104</v>
      </c>
      <c r="B3268" t="inlineStr">
        <is>
          <t>Luiz Fernando de Carvalho Junior</t>
        </is>
      </c>
      <c r="C3268" t="inlineStr">
        <is>
          <t>Técnico I</t>
        </is>
      </c>
      <c r="D3268" t="n">
        <v>21</v>
      </c>
      <c r="E3268" t="n">
        <v>21</v>
      </c>
      <c r="F3268" t="n">
        <v>23.4</v>
      </c>
      <c r="G3268" t="n">
        <v>0</v>
      </c>
      <c r="H3268" t="n">
        <v>0</v>
      </c>
      <c r="I3268" s="3">
        <f>E3268+G3268+H3268</f>
        <v/>
      </c>
      <c r="J3268" s="3">
        <f>ROUND(MIN(IF(C3268="Técnico III",35,IF(C3268="Técnico II",28,IF(C3268="Técnico I",23,IF(C3268="JR",20,IF(C3268="Estágio",10,0))))),IF(C3268="Técnico III",SUMIFS($D:$D,$A:$A,$A3268,$B:$B,"&lt;&gt;Patrícia Karla de Sousa Araújo",$B:$B,"&lt;&gt;Lorena Dias de Araujo",$B:$B,"&lt;&gt;Lucas Luiz Romero")*(35/1083),IF(C3268="Técnico II",SUMIFS($D:$D,$A:$A,$A3268,$B:$B,"&lt;&gt;Patrícia Karla de Sousa Araújo",$B:$B,"&lt;&gt;Lorena Dias de Araujo",$B:$B,"&lt;&gt;Lucas Luiz Romero")*(28/1083),IF(C3268="Técnico I",SUMIFS($D:$D,$A:$A,$A3268,$B:$B,"&lt;&gt;Patrícia Karla de Sousa Araújo",$B:$B,"&lt;&gt;Lorena Dias de Araujo",$B:$B,"&lt;&gt;Lucas Luiz Romero")*(23/1083),IF(C3268="JR",SUMIFS($D:$D,$A:$A,$A3268,$B:$B,"&lt;&gt;Patrícia Karla de Sousa Araújo",$B:$B,"&lt;&gt;Lorena Dias de Araujo",$B:$B,"&lt;&gt;Lucas Luiz Romero")*(20/1083),IF(C3268="Estágio",SUMIFS($D:$D,$A:$A,$A3268,$B:$B,"&lt;&gt;Patrícia Karla de Sousa Araújo",$B:$B,"&lt;&gt;Lorena Dias de Araujo",$B:$B,"&lt;&gt;Lucas Luiz Romero")*(10/1083),0)))))),0)</f>
        <v/>
      </c>
      <c r="K3268" s="3">
        <f>I3268-J3268</f>
        <v/>
      </c>
      <c r="L3268" s="3">
        <f>IF(K3268&lt;-5,"CRÍTICO",IF(K3268&lt;0,"ATENÇÃO",IF(K3268&lt;=5,"OPORTUNO","MUITO BOM")))</f>
        <v/>
      </c>
      <c r="M3268" t="n">
        <v>16</v>
      </c>
      <c r="N3268" t="n">
        <v>98.90000000000001</v>
      </c>
      <c r="O3268" t="n">
        <v>26.7639902676399</v>
      </c>
    </row>
    <row r="3269" hidden="1">
      <c r="A3269" s="11" t="n">
        <v>46104</v>
      </c>
      <c r="B3269" t="inlineStr">
        <is>
          <t>Maria Eduarda Sousa Costa</t>
        </is>
      </c>
      <c r="C3269" t="inlineStr">
        <is>
          <t>Estágio</t>
        </is>
      </c>
      <c r="D3269" t="n">
        <v>8</v>
      </c>
      <c r="E3269" t="n">
        <v>8</v>
      </c>
      <c r="F3269" t="n">
        <v>42.12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M3269" t="n">
        <v>5</v>
      </c>
      <c r="N3269" t="n">
        <v>88.89</v>
      </c>
      <c r="O3269" t="n">
        <v>25.26315789473684</v>
      </c>
    </row>
    <row r="3270" hidden="1">
      <c r="A3270" s="11" t="n">
        <v>46104</v>
      </c>
      <c r="B3270" t="inlineStr">
        <is>
          <t>Matheus Farias De Souza</t>
        </is>
      </c>
      <c r="C3270" t="inlineStr">
        <is>
          <t>Técnico III</t>
        </is>
      </c>
      <c r="D3270" t="n">
        <v>21</v>
      </c>
      <c r="E3270" t="n">
        <v>20</v>
      </c>
      <c r="F3270" t="n">
        <v>19.08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M3270" t="n">
        <v>19</v>
      </c>
      <c r="N3270" t="n">
        <v>98.86</v>
      </c>
      <c r="O3270" t="n">
        <v>28.95927601809955</v>
      </c>
    </row>
    <row r="3271" hidden="1">
      <c r="A3271" s="11" t="n">
        <v>46104</v>
      </c>
      <c r="B3271" t="inlineStr">
        <is>
          <t>Maysa Victoria Dias Moura</t>
        </is>
      </c>
      <c r="C3271" t="inlineStr">
        <is>
          <t>Técnico III</t>
        </is>
      </c>
      <c r="D3271" t="n">
        <v>33</v>
      </c>
      <c r="E3271" t="n">
        <v>30</v>
      </c>
      <c r="F3271" t="n">
        <v>10.43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M3271" t="n">
        <v>27</v>
      </c>
      <c r="N3271" t="n">
        <v>98.06</v>
      </c>
      <c r="O3271" t="n">
        <v>22.40566037735849</v>
      </c>
    </row>
    <row r="3272" hidden="1">
      <c r="A3272" s="11" t="n">
        <v>46104</v>
      </c>
      <c r="B3272" t="inlineStr">
        <is>
          <t>Michelle G Santos</t>
        </is>
      </c>
      <c r="C3272" t="inlineStr">
        <is>
          <t>Estágio</t>
        </is>
      </c>
      <c r="D3272" t="n">
        <v>4</v>
      </c>
      <c r="E3272" t="n">
        <v>4</v>
      </c>
      <c r="F3272" t="n">
        <v>60.03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M3272" t="n">
        <v>3</v>
      </c>
      <c r="N3272" t="n">
        <v>95.83</v>
      </c>
      <c r="O3272" t="n">
        <v>25.77319587628866</v>
      </c>
    </row>
    <row r="3273" hidden="1">
      <c r="A3273" s="11" t="n">
        <v>46104</v>
      </c>
      <c r="B3273" t="inlineStr">
        <is>
          <t>Milena Sales</t>
        </is>
      </c>
      <c r="C3273" t="inlineStr">
        <is>
          <t>JR</t>
        </is>
      </c>
      <c r="D3273" t="n">
        <v>0</v>
      </c>
      <c r="E3273" t="n">
        <v>0</v>
      </c>
      <c r="F3273" t="n">
        <v>0</v>
      </c>
      <c r="G3273" t="n">
        <v>0</v>
      </c>
      <c r="H3273" t="n">
        <v>0</v>
      </c>
      <c r="I3273" s="3" t="n">
        <v>0</v>
      </c>
      <c r="J3273" s="3" t="n">
        <v>0</v>
      </c>
      <c r="K3273" s="3" t="n">
        <v>0</v>
      </c>
      <c r="L3273" s="3">
        <f>IF(K3273&lt;-5,"CRÍTICO",IF(K3273&lt;0,"ATENÇÃO",IF(K3273&lt;=5,"OPORTUNO","MUITO BOM")))</f>
        <v/>
      </c>
      <c r="M3273" t="n">
        <v>0</v>
      </c>
      <c r="N3273" t="n">
        <v>100</v>
      </c>
      <c r="O3273" t="n">
        <v>15.38461538461539</v>
      </c>
    </row>
    <row r="3274" hidden="1">
      <c r="A3274" s="11" t="n">
        <v>46104</v>
      </c>
      <c r="B3274" t="inlineStr">
        <is>
          <t>Patrícia Karla de Sousa Araújo</t>
        </is>
      </c>
      <c r="C3274" t="inlineStr">
        <is>
          <t>Técnico II</t>
        </is>
      </c>
      <c r="D3274" t="n">
        <v>21</v>
      </c>
      <c r="E3274" t="n">
        <v>20</v>
      </c>
      <c r="F3274" t="n">
        <v>22.12</v>
      </c>
      <c r="G3274" t="n">
        <v>0</v>
      </c>
      <c r="H3274" t="n">
        <v>0</v>
      </c>
      <c r="I3274" s="3">
        <f>E3274+G3274+H3274</f>
        <v/>
      </c>
      <c r="J3274" s="3">
        <f>ROUND(MIN(IF(C3274="Técnico III",35,IF(C3274="Técnico II",28,IF(C3274="Técnico I",23,IF(C3274="JR",20,IF(C3274="Estágio",10,0))))),IF(C3274="Técnico III",SUMIFS($D:$D,$A:$A,$A3274,$B:$B,"&lt;&gt;Patrícia Karla de Sousa Araújo",$B:$B,"&lt;&gt;Lorena Dias de Araujo",$B:$B,"&lt;&gt;Lucas Luiz Romero")*(35/1083),IF(C3274="Técnico II",SUMIFS($D:$D,$A:$A,$A3274,$B:$B,"&lt;&gt;Patrícia Karla de Sousa Araújo",$B:$B,"&lt;&gt;Lorena Dias de Araujo",$B:$B,"&lt;&gt;Lucas Luiz Romero")*(28/1083),IF(C3274="Técnico I",SUMIFS($D:$D,$A:$A,$A3274,$B:$B,"&lt;&gt;Patrícia Karla de Sousa Araújo",$B:$B,"&lt;&gt;Lorena Dias de Araujo",$B:$B,"&lt;&gt;Lucas Luiz Romero")*(23/1083),IF(C3274="JR",SUMIFS($D:$D,$A:$A,$A3274,$B:$B,"&lt;&gt;Patrícia Karla de Sousa Araújo",$B:$B,"&lt;&gt;Lorena Dias de Araujo",$B:$B,"&lt;&gt;Lucas Luiz Romero")*(20/1083),IF(C3274="Estágio",SUMIFS($D:$D,$A:$A,$A3274,$B:$B,"&lt;&gt;Patrícia Karla de Sousa Araújo",$B:$B,"&lt;&gt;Lorena Dias de Araujo",$B:$B,"&lt;&gt;Lucas Luiz Romero")*(10/1083),0)))))),0)</f>
        <v/>
      </c>
      <c r="K3274" s="3">
        <f>I3274-J3274</f>
        <v/>
      </c>
      <c r="L3274" s="3">
        <f>IF(K3274&lt;-5,"CRÍTICO",IF(K3274&lt;0,"ATENÇÃO",IF(K3274&lt;=5,"OPORTUNO","MUITO BOM")))</f>
        <v/>
      </c>
      <c r="M3274" t="n">
        <v>17</v>
      </c>
      <c r="N3274" t="n">
        <v>100</v>
      </c>
      <c r="O3274" t="n">
        <v>27.51479289940828</v>
      </c>
    </row>
    <row r="3275" hidden="1">
      <c r="A3275" s="11" t="n">
        <v>46104</v>
      </c>
      <c r="B3275" t="inlineStr">
        <is>
          <t>Paulo Ricardo Santos</t>
        </is>
      </c>
      <c r="C3275" t="inlineStr">
        <is>
          <t>JR</t>
        </is>
      </c>
      <c r="D3275" t="n">
        <v>18</v>
      </c>
      <c r="E3275" t="n">
        <v>16</v>
      </c>
      <c r="F3275" t="n">
        <v>19.04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M3275" t="n">
        <v>25</v>
      </c>
      <c r="N3275" t="n">
        <v>100</v>
      </c>
      <c r="O3275" t="n">
        <v>24.87562189054727</v>
      </c>
    </row>
    <row r="3276" hidden="1">
      <c r="A3276" s="11" t="n">
        <v>46104</v>
      </c>
      <c r="B3276" t="inlineStr">
        <is>
          <t>Pedro Luiz Mota Sousa</t>
        </is>
      </c>
      <c r="C3276" t="inlineStr">
        <is>
          <t>JR</t>
        </is>
      </c>
      <c r="D3276" t="n">
        <v>17</v>
      </c>
      <c r="E3276" t="n">
        <v>16</v>
      </c>
      <c r="F3276" t="n">
        <v>25.52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M3276" t="n">
        <v>11</v>
      </c>
      <c r="N3276" t="n">
        <v>100</v>
      </c>
      <c r="O3276" t="n">
        <v>28.10810810810811</v>
      </c>
    </row>
    <row r="3277" hidden="1">
      <c r="A3277" s="11" t="n">
        <v>46104</v>
      </c>
      <c r="B3277" t="inlineStr">
        <is>
          <t>Quirino Diogo Leite Torres</t>
        </is>
      </c>
      <c r="C3277" t="inlineStr">
        <is>
          <t>Estágio</t>
        </is>
      </c>
      <c r="D3277" t="n">
        <v>0</v>
      </c>
      <c r="E3277" t="n">
        <v>0</v>
      </c>
      <c r="F3277" t="n">
        <v>0</v>
      </c>
      <c r="G3277" t="n">
        <v>0</v>
      </c>
      <c r="H3277" t="n">
        <v>0</v>
      </c>
      <c r="I3277" s="3" t="n">
        <v>0</v>
      </c>
      <c r="J3277" s="3" t="n">
        <v>0</v>
      </c>
      <c r="K3277" s="3" t="n">
        <v>0</v>
      </c>
      <c r="L3277" s="3">
        <f>IF(K3277&lt;-5,"CRÍTICO",IF(K3277&lt;0,"ATENÇÃO",IF(K3277&lt;=5,"OPORTUNO","MUITO BOM")))</f>
        <v/>
      </c>
      <c r="M3277" t="n">
        <v>0</v>
      </c>
      <c r="N3277" t="n">
        <v>100</v>
      </c>
      <c r="O3277" t="n">
        <v>35</v>
      </c>
    </row>
    <row r="3278" hidden="1">
      <c r="A3278" s="11" t="n">
        <v>46104</v>
      </c>
      <c r="B3278" t="inlineStr">
        <is>
          <t>Raane Batista Matos</t>
        </is>
      </c>
      <c r="C3278" t="inlineStr">
        <is>
          <t>Técnico I</t>
        </is>
      </c>
      <c r="D3278" t="n">
        <v>21</v>
      </c>
      <c r="E3278" t="n">
        <v>19</v>
      </c>
      <c r="F3278" t="n">
        <v>25.55</v>
      </c>
      <c r="G3278" t="n">
        <v>0</v>
      </c>
      <c r="H3278" t="n">
        <v>0</v>
      </c>
      <c r="I3278" s="3">
        <f>E3278+G3278+H3278</f>
        <v/>
      </c>
      <c r="J3278" s="3">
        <f>ROUND(MIN(IF(C3278="Técnico III",35,IF(C3278="Técnico II",28,IF(C3278="Técnico I",23,IF(C3278="JR",20,IF(C3278="Estágio",10,0))))),IF(C3278="Técnico III",SUMIFS($D:$D,$A:$A,$A3278,$B:$B,"&lt;&gt;Patrícia Karla de Sousa Araújo",$B:$B,"&lt;&gt;Lorena Dias de Araujo",$B:$B,"&lt;&gt;Lucas Luiz Romero")*(35/1083),IF(C3278="Técnico II",SUMIFS($D:$D,$A:$A,$A3278,$B:$B,"&lt;&gt;Patrícia Karla de Sousa Araújo",$B:$B,"&lt;&gt;Lorena Dias de Araujo",$B:$B,"&lt;&gt;Lucas Luiz Romero")*(28/1083),IF(C3278="Técnico I",SUMIFS($D:$D,$A:$A,$A3278,$B:$B,"&lt;&gt;Patrícia Karla de Sousa Araújo",$B:$B,"&lt;&gt;Lorena Dias de Araujo",$B:$B,"&lt;&gt;Lucas Luiz Romero")*(23/1083),IF(C3278="JR",SUMIFS($D:$D,$A:$A,$A3278,$B:$B,"&lt;&gt;Patrícia Karla de Sousa Araújo",$B:$B,"&lt;&gt;Lorena Dias de Araujo",$B:$B,"&lt;&gt;Lucas Luiz Romero")*(20/1083),IF(C3278="Estágio",SUMIFS($D:$D,$A:$A,$A3278,$B:$B,"&lt;&gt;Patrícia Karla de Sousa Araújo",$B:$B,"&lt;&gt;Lorena Dias de Araujo",$B:$B,"&lt;&gt;Lucas Luiz Romero")*(10/1083),0)))))),0)</f>
        <v/>
      </c>
      <c r="K3278" s="3">
        <f>I3278-J3278</f>
        <v/>
      </c>
      <c r="L3278" s="3">
        <f>IF(K3278&lt;-5,"CRÍTICO",IF(K3278&lt;0,"ATENÇÃO",IF(K3278&lt;=5,"OPORTUNO","MUITO BOM")))</f>
        <v/>
      </c>
      <c r="M3278" t="n">
        <v>17</v>
      </c>
      <c r="N3278" t="n">
        <v>95.34999999999999</v>
      </c>
      <c r="O3278" t="n">
        <v>28.61538461538461</v>
      </c>
    </row>
    <row r="3279" hidden="1">
      <c r="A3279" s="11" t="n">
        <v>46104</v>
      </c>
      <c r="B3279" t="inlineStr">
        <is>
          <t>Rafael Gomes de Morais</t>
        </is>
      </c>
      <c r="C3279" t="inlineStr">
        <is>
          <t>Técnico III</t>
        </is>
      </c>
      <c r="D3279" t="n">
        <v>28</v>
      </c>
      <c r="E3279" t="n">
        <v>25</v>
      </c>
      <c r="F3279" t="n">
        <v>15.07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M3279" t="n">
        <v>21</v>
      </c>
      <c r="N3279" t="n">
        <v>98.26000000000001</v>
      </c>
      <c r="O3279" t="n">
        <v>27.54491017964072</v>
      </c>
    </row>
    <row r="3280" hidden="1">
      <c r="A3280" s="11" t="n">
        <v>46104</v>
      </c>
      <c r="B3280" t="inlineStr">
        <is>
          <t>Sara Maria Monteiro Lopes</t>
        </is>
      </c>
      <c r="C3280" t="inlineStr">
        <is>
          <t>Técnico I</t>
        </is>
      </c>
      <c r="D3280" t="n">
        <v>10</v>
      </c>
      <c r="E3280" t="n">
        <v>10</v>
      </c>
      <c r="F3280" t="n">
        <v>48.41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M3280" t="n">
        <v>12</v>
      </c>
      <c r="N3280" t="n">
        <v>98.55</v>
      </c>
      <c r="O3280" t="n">
        <v>25.33783783783784</v>
      </c>
    </row>
    <row r="3281" hidden="1">
      <c r="A3281" s="11" t="n">
        <v>46104</v>
      </c>
      <c r="B3281" t="inlineStr">
        <is>
          <t>Sarah Steffanie de Lima Borges</t>
        </is>
      </c>
      <c r="C3281" t="inlineStr">
        <is>
          <t>Técnico III</t>
        </is>
      </c>
      <c r="D3281" t="n">
        <v>25</v>
      </c>
      <c r="E3281" t="n">
        <v>24</v>
      </c>
      <c r="F3281" t="n">
        <v>17.36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M3281" t="n">
        <v>18</v>
      </c>
      <c r="N3281" t="n">
        <v>98.39</v>
      </c>
      <c r="O3281" t="n">
        <v>25.56390977443609</v>
      </c>
    </row>
    <row r="3282" hidden="1">
      <c r="A3282" s="11" t="n">
        <v>46105</v>
      </c>
      <c r="B3282" t="inlineStr">
        <is>
          <t>Alisson de Freitas Silva</t>
        </is>
      </c>
      <c r="C3282" t="inlineStr">
        <is>
          <t>Técnico II</t>
        </is>
      </c>
      <c r="D3282" t="n">
        <v>28</v>
      </c>
      <c r="E3282" t="n">
        <v>21</v>
      </c>
      <c r="F3282" t="n">
        <v>12.34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M3282" t="n">
        <v>19</v>
      </c>
      <c r="N3282" t="n">
        <v>94.29000000000001</v>
      </c>
      <c r="O3282" t="n">
        <v>25.64766839378239</v>
      </c>
    </row>
    <row r="3283" hidden="1">
      <c r="A3283" s="11" t="n">
        <v>46105</v>
      </c>
      <c r="B3283" t="inlineStr">
        <is>
          <t>Amanda Moura Ferreira</t>
        </is>
      </c>
      <c r="C3283" t="inlineStr">
        <is>
          <t>Técnico III</t>
        </is>
      </c>
      <c r="D3283" t="n">
        <v>0</v>
      </c>
      <c r="E3283" t="n">
        <v>0</v>
      </c>
      <c r="F3283" t="n">
        <v>0</v>
      </c>
      <c r="G3283" t="n">
        <v>0</v>
      </c>
      <c r="H3283" t="n">
        <v>0</v>
      </c>
      <c r="I3283" s="3" t="n">
        <v>0</v>
      </c>
      <c r="J3283" s="3" t="n">
        <v>0</v>
      </c>
      <c r="K3283" s="3" t="n">
        <v>0</v>
      </c>
      <c r="L3283" s="3">
        <f>IF(K3283&lt;-5,"CRÍTICO",IF(K3283&lt;0,"ATENÇÃO",IF(K3283&lt;=5,"OPORTUNO","MUITO BOM")))</f>
        <v/>
      </c>
      <c r="M3283" t="n">
        <v>23</v>
      </c>
      <c r="N3283" t="n">
        <v>98.26000000000001</v>
      </c>
      <c r="O3283" t="n">
        <v>26.66666666666667</v>
      </c>
    </row>
    <row r="3284" hidden="1">
      <c r="A3284" s="11" t="n">
        <v>46105</v>
      </c>
      <c r="B3284" t="inlineStr">
        <is>
          <t>Ana Karollyne Souza Faria</t>
        </is>
      </c>
      <c r="C3284" t="inlineStr">
        <is>
          <t>Técnico I</t>
        </is>
      </c>
      <c r="D3284" t="n">
        <v>28</v>
      </c>
      <c r="E3284" t="n">
        <v>26</v>
      </c>
      <c r="F3284" t="n">
        <v>17.24</v>
      </c>
      <c r="G3284" t="n">
        <v>0</v>
      </c>
      <c r="H3284" t="n">
        <v>0</v>
      </c>
      <c r="I3284" s="3">
        <f>E3284+G3284+H3284</f>
        <v/>
      </c>
      <c r="J3284" s="3">
        <f>ROUND(MIN(IF(C3284="Técnico III",35,IF(C3284="Técnico II",28,IF(C3284="Técnico I",23,IF(C3284="JR",20,IF(C3284="Estágio",10,0))))),IF(C3284="Técnico III",SUMIFS($D:$D,$A:$A,$A3284,$B:$B,"&lt;&gt;Patrícia Karla de Sousa Araújo",$B:$B,"&lt;&gt;Lorena Dias de Araujo",$B:$B,"&lt;&gt;Lucas Luiz Romero")*(35/1083),IF(C3284="Técnico II",SUMIFS($D:$D,$A:$A,$A3284,$B:$B,"&lt;&gt;Patrícia Karla de Sousa Araújo",$B:$B,"&lt;&gt;Lorena Dias de Araujo",$B:$B,"&lt;&gt;Lucas Luiz Romero")*(28/1083),IF(C3284="Técnico I",SUMIFS($D:$D,$A:$A,$A3284,$B:$B,"&lt;&gt;Patrícia Karla de Sousa Araújo",$B:$B,"&lt;&gt;Lorena Dias de Araujo",$B:$B,"&lt;&gt;Lucas Luiz Romero")*(23/1083),IF(C3284="JR",SUMIFS($D:$D,$A:$A,$A3284,$B:$B,"&lt;&gt;Patrícia Karla de Sousa Araújo",$B:$B,"&lt;&gt;Lorena Dias de Araujo",$B:$B,"&lt;&gt;Lucas Luiz Romero")*(20/1083),IF(C3284="Estágio",SUMIFS($D:$D,$A:$A,$A3284,$B:$B,"&lt;&gt;Patrícia Karla de Sousa Araújo",$B:$B,"&lt;&gt;Lorena Dias de Araujo",$B:$B,"&lt;&gt;Lucas Luiz Romero")*(10/1083),0)))))),0)</f>
        <v/>
      </c>
      <c r="K3284" s="3">
        <f>I3284-J3284</f>
        <v/>
      </c>
      <c r="L3284" s="3">
        <f>IF(K3284&lt;-5,"CRÍTICO",IF(K3284&lt;0,"ATENÇÃO",IF(K3284&lt;=5,"OPORTUNO","MUITO BOM")))</f>
        <v/>
      </c>
      <c r="M3284" t="n">
        <v>26</v>
      </c>
      <c r="N3284" t="n">
        <v>98.2</v>
      </c>
      <c r="O3284" t="n">
        <v>23.37962962962963</v>
      </c>
    </row>
    <row r="3285" hidden="1">
      <c r="A3285" s="11" t="n">
        <v>46105</v>
      </c>
      <c r="B3285" t="inlineStr">
        <is>
          <t>Ana Paula Da Luz Silva Aleixo</t>
        </is>
      </c>
      <c r="C3285" t="inlineStr">
        <is>
          <t>Técnico III</t>
        </is>
      </c>
      <c r="D3285" t="n">
        <v>36</v>
      </c>
      <c r="E3285" t="n">
        <v>34</v>
      </c>
      <c r="F3285" t="n">
        <v>17.36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M3285" t="n">
        <v>25</v>
      </c>
      <c r="N3285" t="n">
        <v>97.3</v>
      </c>
      <c r="O3285" t="n">
        <v>23.84769539078156</v>
      </c>
    </row>
    <row r="3286" hidden="1">
      <c r="A3286" s="11" t="n">
        <v>46105</v>
      </c>
      <c r="B3286" t="inlineStr">
        <is>
          <t>Anna Luiza Rezende Tavares</t>
        </is>
      </c>
      <c r="C3286" t="inlineStr">
        <is>
          <t>Estágio</t>
        </is>
      </c>
      <c r="D3286" t="n">
        <v>10</v>
      </c>
      <c r="E3286" t="n">
        <v>9</v>
      </c>
      <c r="F3286" t="n">
        <v>19.06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M3286" t="n">
        <v>7</v>
      </c>
      <c r="N3286" t="n">
        <v>100</v>
      </c>
      <c r="O3286" t="n">
        <v>25.26881720430108</v>
      </c>
    </row>
    <row r="3287" hidden="1">
      <c r="A3287" s="11" t="n">
        <v>46105</v>
      </c>
      <c r="B3287" t="inlineStr">
        <is>
          <t>Brenda de Menezes Silva</t>
        </is>
      </c>
      <c r="C3287" t="inlineStr">
        <is>
          <t>Técnico II</t>
        </is>
      </c>
      <c r="D3287" t="n">
        <v>37</v>
      </c>
      <c r="E3287" t="n">
        <v>32</v>
      </c>
      <c r="F3287" t="n">
        <v>12.22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M3287" t="n">
        <v>34</v>
      </c>
      <c r="N3287" t="n">
        <v>99.31999999999999</v>
      </c>
      <c r="O3287" t="n">
        <v>22.82282282282282</v>
      </c>
    </row>
    <row r="3288" hidden="1">
      <c r="A3288" s="11" t="n">
        <v>46105</v>
      </c>
      <c r="B3288" t="inlineStr">
        <is>
          <t>Carlos Mateus Cassimiro Nunes</t>
        </is>
      </c>
      <c r="C3288" t="inlineStr">
        <is>
          <t>Técnico II</t>
        </is>
      </c>
      <c r="D3288" t="n">
        <v>23</v>
      </c>
      <c r="E3288" t="n">
        <v>22</v>
      </c>
      <c r="F3288" t="n">
        <v>23.4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M3288" t="n">
        <v>21</v>
      </c>
      <c r="N3288" t="n">
        <v>100</v>
      </c>
      <c r="O3288" t="n">
        <v>27.96610169491525</v>
      </c>
    </row>
    <row r="3289" hidden="1">
      <c r="A3289" s="11" t="n">
        <v>46105</v>
      </c>
      <c r="B3289" t="inlineStr">
        <is>
          <t>Claudio de Sousa Velasco Filho</t>
        </is>
      </c>
      <c r="C3289" t="inlineStr">
        <is>
          <t>Estágio</t>
        </is>
      </c>
      <c r="D3289" t="n">
        <v>4</v>
      </c>
      <c r="E3289" t="n">
        <v>4</v>
      </c>
      <c r="F3289" t="n">
        <v>16.42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M3289" t="n">
        <v>3</v>
      </c>
      <c r="N3289" t="n">
        <v>100</v>
      </c>
      <c r="O3289" t="n">
        <v>30.43478260869566</v>
      </c>
    </row>
    <row r="3290" hidden="1">
      <c r="A3290" s="11" t="n">
        <v>46105</v>
      </c>
      <c r="B3290" t="inlineStr">
        <is>
          <t>Clessiane Pereira dos Santos</t>
        </is>
      </c>
      <c r="C3290" t="inlineStr">
        <is>
          <t>Técnico I</t>
        </is>
      </c>
      <c r="D3290" t="n">
        <v>29</v>
      </c>
      <c r="E3290" t="n">
        <v>28</v>
      </c>
      <c r="F3290" t="n">
        <v>18.55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M3290" t="n">
        <v>24</v>
      </c>
      <c r="N3290" t="n">
        <v>96.51000000000001</v>
      </c>
      <c r="O3290" t="n">
        <v>22.80285035629454</v>
      </c>
    </row>
    <row r="3291" hidden="1">
      <c r="A3291" s="11" t="n">
        <v>46105</v>
      </c>
      <c r="B3291" t="inlineStr">
        <is>
          <t>Cristiane Ramos da Silva Rocha</t>
        </is>
      </c>
      <c r="C3291" t="inlineStr">
        <is>
          <t>Técnico III</t>
        </is>
      </c>
      <c r="D3291" t="n">
        <v>36</v>
      </c>
      <c r="E3291" t="n">
        <v>33</v>
      </c>
      <c r="F3291" t="n">
        <v>13.28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M3291" t="n">
        <v>27</v>
      </c>
      <c r="N3291" t="n">
        <v>92.68000000000001</v>
      </c>
      <c r="O3291" t="n">
        <v>27.77777777777778</v>
      </c>
    </row>
    <row r="3292" hidden="1">
      <c r="A3292" s="11" t="n">
        <v>46105</v>
      </c>
      <c r="B3292" t="inlineStr">
        <is>
          <t>Damyllis Lorraine de Oliveira Gonçalves</t>
        </is>
      </c>
      <c r="C3292" t="inlineStr">
        <is>
          <t>Técnico II</t>
        </is>
      </c>
      <c r="D3292" t="n">
        <v>25</v>
      </c>
      <c r="E3292" t="n">
        <v>21</v>
      </c>
      <c r="F3292" t="n">
        <v>21.59</v>
      </c>
      <c r="G3292" t="n">
        <v>0</v>
      </c>
      <c r="H3292" t="n">
        <v>0</v>
      </c>
      <c r="I3292" s="3" t="n">
        <v>0</v>
      </c>
      <c r="J3292" s="3" t="n">
        <v>0</v>
      </c>
      <c r="K3292" s="3" t="n">
        <v>0</v>
      </c>
      <c r="L3292" s="3">
        <f>IF(K3292&lt;-5,"CRÍTICO",IF(K3292&lt;0,"ATENÇÃO",IF(K3292&lt;=5,"OPORTUNO","MUITO BOM")))</f>
        <v/>
      </c>
      <c r="M3292" t="n">
        <v>17</v>
      </c>
      <c r="N3292" t="n">
        <v>99.03</v>
      </c>
      <c r="O3292" t="n">
        <v>23.99150743099788</v>
      </c>
    </row>
    <row r="3293" hidden="1">
      <c r="A3293" s="11" t="n">
        <v>46105</v>
      </c>
      <c r="B3293" t="inlineStr">
        <is>
          <t>Daniel Gomes da Silva</t>
        </is>
      </c>
      <c r="C3293" t="inlineStr">
        <is>
          <t>Técnico I</t>
        </is>
      </c>
      <c r="D3293" t="n">
        <v>22</v>
      </c>
      <c r="E3293" t="n">
        <v>21</v>
      </c>
      <c r="F3293" t="n">
        <v>23.52</v>
      </c>
      <c r="G3293" t="n">
        <v>0</v>
      </c>
      <c r="H3293" t="n">
        <v>0</v>
      </c>
      <c r="I3293" s="3">
        <f>E3293+G3293+H3293</f>
        <v/>
      </c>
      <c r="J3293" s="3">
        <f>ROUND(MIN(IF(C3293="Técnico III",35,IF(C3293="Técnico II",28,IF(C3293="Técnico I",23,IF(C3293="JR",20,IF(C3293="Estágio",10,0))))),IF(C3293="Técnico III",SUMIFS($D:$D,$A:$A,$A3293,$B:$B,"&lt;&gt;Patrícia Karla de Sousa Araújo",$B:$B,"&lt;&gt;Lorena Dias de Araujo",$B:$B,"&lt;&gt;Lucas Luiz Romero")*(35/1083),IF(C3293="Técnico II",SUMIFS($D:$D,$A:$A,$A3293,$B:$B,"&lt;&gt;Patrícia Karla de Sousa Araújo",$B:$B,"&lt;&gt;Lorena Dias de Araujo",$B:$B,"&lt;&gt;Lucas Luiz Romero")*(28/1083),IF(C3293="Técnico I",SUMIFS($D:$D,$A:$A,$A3293,$B:$B,"&lt;&gt;Patrícia Karla de Sousa Araújo",$B:$B,"&lt;&gt;Lorena Dias de Araujo",$B:$B,"&lt;&gt;Lucas Luiz Romero")*(23/1083),IF(C3293="JR",SUMIFS($D:$D,$A:$A,$A3293,$B:$B,"&lt;&gt;Patrícia Karla de Sousa Araújo",$B:$B,"&lt;&gt;Lorena Dias de Araujo",$B:$B,"&lt;&gt;Lucas Luiz Romero")*(20/1083),IF(C3293="Estágio",SUMIFS($D:$D,$A:$A,$A3293,$B:$B,"&lt;&gt;Patrícia Karla de Sousa Araújo",$B:$B,"&lt;&gt;Lorena Dias de Araujo",$B:$B,"&lt;&gt;Lucas Luiz Romero")*(10/1083),0)))))),0)</f>
        <v/>
      </c>
      <c r="K3293" s="3">
        <f>I3293-J3293</f>
        <v/>
      </c>
      <c r="L3293" s="3">
        <f>IF(K3293&lt;-5,"CRÍTICO",IF(K3293&lt;0,"ATENÇÃO",IF(K3293&lt;=5,"OPORTUNO","MUITO BOM")))</f>
        <v/>
      </c>
      <c r="M3293" t="n">
        <v>10</v>
      </c>
      <c r="N3293" t="n">
        <v>98.41</v>
      </c>
      <c r="O3293" t="n">
        <v>28.13852813852814</v>
      </c>
    </row>
    <row r="3294" hidden="1">
      <c r="A3294" s="11" t="n">
        <v>46105</v>
      </c>
      <c r="B3294" t="inlineStr">
        <is>
          <t>Davylla Rodrigues Freitas Silva</t>
        </is>
      </c>
      <c r="C3294" t="inlineStr">
        <is>
          <t>Técnico III</t>
        </is>
      </c>
      <c r="D3294" t="n">
        <v>12</v>
      </c>
      <c r="E3294" t="n">
        <v>12</v>
      </c>
      <c r="F3294" t="n">
        <v>37.38</v>
      </c>
      <c r="G3294" t="n">
        <v>0</v>
      </c>
      <c r="H3294" t="n">
        <v>0</v>
      </c>
      <c r="I3294" s="3" t="n">
        <v>0</v>
      </c>
      <c r="J3294" s="3" t="n">
        <v>0</v>
      </c>
      <c r="K3294" s="3" t="n">
        <v>0</v>
      </c>
      <c r="L3294" s="3">
        <f>IF(K3294&lt;-5,"CRÍTICO",IF(K3294&lt;0,"ATENÇÃO",IF(K3294&lt;=5,"OPORTUNO","MUITO BOM")))</f>
        <v/>
      </c>
      <c r="M3294" t="n">
        <v>10</v>
      </c>
      <c r="N3294" t="n">
        <v>98.73</v>
      </c>
      <c r="O3294" t="n">
        <v>29.14285714285714</v>
      </c>
    </row>
    <row r="3295" hidden="1">
      <c r="A3295" s="11" t="n">
        <v>46105</v>
      </c>
      <c r="B3295" t="inlineStr">
        <is>
          <t>Emilly Caylane Costa</t>
        </is>
      </c>
      <c r="C3295" t="inlineStr">
        <is>
          <t>Estágio</t>
        </is>
      </c>
      <c r="D3295" t="n">
        <v>4</v>
      </c>
      <c r="E3295" t="n">
        <v>4</v>
      </c>
      <c r="F3295" t="n">
        <v>82.38</v>
      </c>
      <c r="G3295" t="n">
        <v>0</v>
      </c>
      <c r="H3295" t="n">
        <v>0</v>
      </c>
      <c r="I3295" s="3">
        <f>E3295+G3295+H3295</f>
        <v/>
      </c>
      <c r="J3295" s="3">
        <f>ROUND(MIN(IF(C3295="Técnico III",35,IF(C3295="Técnico II",28,IF(C3295="Técnico I",23,IF(C3295="JR",20,IF(C3295="Estágio",10,0))))),IF(C3295="Técnico III",SUMIFS($D:$D,$A:$A,$A3295,$B:$B,"&lt;&gt;Patrícia Karla de Sousa Araújo",$B:$B,"&lt;&gt;Lorena Dias de Araujo",$B:$B,"&lt;&gt;Lucas Luiz Romero")*(35/1083),IF(C3295="Técnico II",SUMIFS($D:$D,$A:$A,$A3295,$B:$B,"&lt;&gt;Patrícia Karla de Sousa Araújo",$B:$B,"&lt;&gt;Lorena Dias de Araujo",$B:$B,"&lt;&gt;Lucas Luiz Romero")*(28/1083),IF(C3295="Técnico I",SUMIFS($D:$D,$A:$A,$A3295,$B:$B,"&lt;&gt;Patrícia Karla de Sousa Araújo",$B:$B,"&lt;&gt;Lorena Dias de Araujo",$B:$B,"&lt;&gt;Lucas Luiz Romero")*(23/1083),IF(C3295="JR",SUMIFS($D:$D,$A:$A,$A3295,$B:$B,"&lt;&gt;Patrícia Karla de Sousa Araújo",$B:$B,"&lt;&gt;Lorena Dias de Araujo",$B:$B,"&lt;&gt;Lucas Luiz Romero")*(20/1083),IF(C3295="Estágio",SUMIFS($D:$D,$A:$A,$A3295,$B:$B,"&lt;&gt;Patrícia Karla de Sousa Araújo",$B:$B,"&lt;&gt;Lorena Dias de Araujo",$B:$B,"&lt;&gt;Lucas Luiz Romero")*(10/1083),0)))))),0)</f>
        <v/>
      </c>
      <c r="K3295" s="3">
        <f>I3295-J3295</f>
        <v/>
      </c>
      <c r="L3295" s="3">
        <f>IF(K3295&lt;-5,"CRÍTICO",IF(K3295&lt;0,"ATENÇÃO",IF(K3295&lt;=5,"OPORTUNO","MUITO BOM")))</f>
        <v/>
      </c>
      <c r="M3295" t="n">
        <v>4</v>
      </c>
      <c r="N3295" t="n">
        <v>90.48</v>
      </c>
      <c r="O3295" t="n">
        <v>20.68965517241379</v>
      </c>
    </row>
    <row r="3296" hidden="1">
      <c r="A3296" s="11" t="n">
        <v>46105</v>
      </c>
      <c r="B3296" t="inlineStr">
        <is>
          <t>Emilly Kamilly Medeiros Miranda</t>
        </is>
      </c>
      <c r="C3296" t="inlineStr">
        <is>
          <t>Técnico II</t>
        </is>
      </c>
      <c r="D3296" t="n">
        <v>15</v>
      </c>
      <c r="E3296" t="n">
        <v>14</v>
      </c>
      <c r="F3296" t="n">
        <v>22.39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M3296" t="n">
        <v>15</v>
      </c>
      <c r="N3296" t="n">
        <v>98.06</v>
      </c>
      <c r="O3296" t="n">
        <v>24.78991596638656</v>
      </c>
    </row>
    <row r="3297" hidden="1">
      <c r="A3297" s="11" t="n">
        <v>46105</v>
      </c>
      <c r="B3297" t="inlineStr">
        <is>
          <t>Francielson de Oliveira</t>
        </is>
      </c>
      <c r="C3297" t="inlineStr">
        <is>
          <t>Técnico III</t>
        </is>
      </c>
      <c r="D3297" t="n">
        <v>25</v>
      </c>
      <c r="E3297" t="n">
        <v>24</v>
      </c>
      <c r="F3297" t="n">
        <v>20.51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M3297" t="n">
        <v>26</v>
      </c>
      <c r="N3297" t="n">
        <v>97.78</v>
      </c>
      <c r="O3297" t="n">
        <v>25.49407114624506</v>
      </c>
    </row>
    <row r="3298" hidden="1">
      <c r="A3298" s="11" t="n">
        <v>46105</v>
      </c>
      <c r="B3298" t="inlineStr">
        <is>
          <t>Francilene Ferreira de Jesus</t>
        </is>
      </c>
      <c r="C3298" t="inlineStr">
        <is>
          <t>Técnico II</t>
        </is>
      </c>
      <c r="D3298" t="n">
        <v>25</v>
      </c>
      <c r="E3298" t="n">
        <v>22</v>
      </c>
      <c r="F3298" t="n">
        <v>18.2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M3298" t="n">
        <v>21</v>
      </c>
      <c r="N3298" t="n">
        <v>98.02</v>
      </c>
      <c r="O3298" t="n">
        <v>23.48484848484848</v>
      </c>
    </row>
    <row r="3299" hidden="1">
      <c r="A3299" s="10" t="n">
        <v>46164</v>
      </c>
      <c r="B3299" s="6" t="inlineStr">
        <is>
          <t>Francilene Ferreira de Jesus</t>
        </is>
      </c>
      <c r="C3299" s="3" t="inlineStr">
        <is>
          <t>Técnico II</t>
        </is>
      </c>
      <c r="D3299" s="3" t="n">
        <v>0</v>
      </c>
      <c r="E3299" s="3" t="n">
        <v>0</v>
      </c>
      <c r="F3299" s="3" t="n">
        <v>0</v>
      </c>
      <c r="G3299" s="3" t="n">
        <v>0</v>
      </c>
      <c r="H3299" s="3" t="n">
        <v>0</v>
      </c>
      <c r="I3299" s="3" t="n">
        <v>0</v>
      </c>
      <c r="J3299" s="3" t="n">
        <v>0</v>
      </c>
      <c r="K3299" s="3" t="n">
        <v>0</v>
      </c>
      <c r="L3299" s="3">
        <f>IF(K3299&lt;-5,"CRÍTICO",IF(K3299&lt;0,"ATENÇÃO",IF(K3299&lt;=5,"OPORTUNO","MUITO BOM")))</f>
        <v/>
      </c>
      <c r="M3299" s="3" t="n">
        <v>0</v>
      </c>
      <c r="N3299" s="3" t="n">
        <v>100</v>
      </c>
      <c r="O3299" s="3" t="n">
        <v>17.24137931034483</v>
      </c>
    </row>
    <row r="3300" hidden="1">
      <c r="A3300" s="11" t="n">
        <v>46105</v>
      </c>
      <c r="B3300" t="inlineStr">
        <is>
          <t>Isabella Borges de Oliveira</t>
        </is>
      </c>
      <c r="C3300" t="inlineStr">
        <is>
          <t>Técnico II</t>
        </is>
      </c>
      <c r="D3300" t="n">
        <v>25</v>
      </c>
      <c r="E3300" t="n">
        <v>23</v>
      </c>
      <c r="F3300" t="n">
        <v>25.13</v>
      </c>
      <c r="G3300" t="n">
        <v>0</v>
      </c>
      <c r="H3300" t="n">
        <v>0</v>
      </c>
      <c r="I3300" s="3">
        <f>E3300+G3300+H3300</f>
        <v/>
      </c>
      <c r="J3300" s="3">
        <f>ROUND(MIN(IF(C3300="Técnico III",35,IF(C3300="Técnico II",28,IF(C3300="Técnico I",23,IF(C3300="JR",20,IF(C3300="Estágio",10,0))))),IF(C3300="Técnico III",SUMIFS($D:$D,$A:$A,$A3300,$B:$B,"&lt;&gt;Patrícia Karla de Sousa Araújo",$B:$B,"&lt;&gt;Lorena Dias de Araujo",$B:$B,"&lt;&gt;Lucas Luiz Romero")*(35/1083),IF(C3300="Técnico II",SUMIFS($D:$D,$A:$A,$A3300,$B:$B,"&lt;&gt;Patrícia Karla de Sousa Araújo",$B:$B,"&lt;&gt;Lorena Dias de Araujo",$B:$B,"&lt;&gt;Lucas Luiz Romero")*(28/1083),IF(C3300="Técnico I",SUMIFS($D:$D,$A:$A,$A3300,$B:$B,"&lt;&gt;Patrícia Karla de Sousa Araújo",$B:$B,"&lt;&gt;Lorena Dias de Araujo",$B:$B,"&lt;&gt;Lucas Luiz Romero")*(23/1083),IF(C3300="JR",SUMIFS($D:$D,$A:$A,$A3300,$B:$B,"&lt;&gt;Patrícia Karla de Sousa Araújo",$B:$B,"&lt;&gt;Lorena Dias de Araujo",$B:$B,"&lt;&gt;Lucas Luiz Romero")*(20/1083),IF(C3300="Estágio",SUMIFS($D:$D,$A:$A,$A3300,$B:$B,"&lt;&gt;Patrícia Karla de Sousa Araújo",$B:$B,"&lt;&gt;Lorena Dias de Araujo",$B:$B,"&lt;&gt;Lucas Luiz Romero")*(10/1083),0)))))),0)</f>
        <v/>
      </c>
      <c r="K3300" s="3">
        <f>I3300-J3300</f>
        <v/>
      </c>
      <c r="L3300" s="3">
        <f>IF(K3300&lt;-5,"CRÍTICO",IF(K3300&lt;0,"ATENÇÃO",IF(K3300&lt;=5,"OPORTUNO","MUITO BOM")))</f>
        <v/>
      </c>
      <c r="M3300" t="n">
        <v>24</v>
      </c>
      <c r="N3300" t="n">
        <v>100</v>
      </c>
      <c r="O3300" t="n">
        <v>27.04918032786885</v>
      </c>
    </row>
    <row r="3301" hidden="1">
      <c r="A3301" s="11" t="n">
        <v>46105</v>
      </c>
      <c r="B3301" t="inlineStr">
        <is>
          <t>Janaina Lima dos Reis Urany</t>
        </is>
      </c>
      <c r="C3301" t="inlineStr">
        <is>
          <t>Técnico III</t>
        </is>
      </c>
      <c r="D3301" t="n">
        <v>36</v>
      </c>
      <c r="E3301" t="n">
        <v>32</v>
      </c>
      <c r="F3301" t="n">
        <v>12.15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M3301" t="n">
        <v>31</v>
      </c>
      <c r="N3301" t="n">
        <v>97.83</v>
      </c>
      <c r="O3301" t="n">
        <v>26.31578947368421</v>
      </c>
    </row>
    <row r="3302" hidden="1">
      <c r="A3302" s="11" t="n">
        <v>46105</v>
      </c>
      <c r="B3302" t="inlineStr">
        <is>
          <t>Jaqueline Evangelista da Silva Martins</t>
        </is>
      </c>
      <c r="C3302" t="inlineStr">
        <is>
          <t>Técnico III</t>
        </is>
      </c>
      <c r="D3302" t="n">
        <v>25</v>
      </c>
      <c r="E3302" t="n">
        <v>24</v>
      </c>
      <c r="F3302" t="n">
        <v>14.07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M3302" t="n">
        <v>21</v>
      </c>
      <c r="N3302" t="n">
        <v>100</v>
      </c>
      <c r="O3302" t="n">
        <v>26.70157068062827</v>
      </c>
    </row>
    <row r="3303" hidden="1">
      <c r="A3303" s="11" t="n">
        <v>46105</v>
      </c>
      <c r="B3303" t="inlineStr">
        <is>
          <t>Jessica Faria da Silveira</t>
        </is>
      </c>
      <c r="C3303" t="inlineStr">
        <is>
          <t>Técnico II</t>
        </is>
      </c>
      <c r="D3303" t="n">
        <v>0</v>
      </c>
      <c r="E3303" t="n">
        <v>0</v>
      </c>
      <c r="F3303" t="n">
        <v>0</v>
      </c>
      <c r="G3303" t="n">
        <v>0</v>
      </c>
      <c r="H3303" t="n">
        <v>0</v>
      </c>
      <c r="I3303" s="3" t="n">
        <v>0</v>
      </c>
      <c r="J3303" s="3" t="n">
        <v>0</v>
      </c>
      <c r="K3303" s="3" t="n">
        <v>0</v>
      </c>
      <c r="L3303" s="3">
        <f>IF(K3303&lt;-5,"CRÍTICO",IF(K3303&lt;0,"ATENÇÃO",IF(K3303&lt;=5,"OPORTUNO","MUITO BOM")))</f>
        <v/>
      </c>
      <c r="M3303" t="n">
        <v>0</v>
      </c>
      <c r="N3303" t="n">
        <v>97.47</v>
      </c>
      <c r="O3303" t="n">
        <v>22.88732394366197</v>
      </c>
    </row>
    <row r="3304" hidden="1">
      <c r="A3304" s="11" t="n">
        <v>46105</v>
      </c>
      <c r="B3304" t="inlineStr">
        <is>
          <t>Jéssica Fé Moura</t>
        </is>
      </c>
      <c r="C3304" t="inlineStr">
        <is>
          <t>Técnico III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M3304" t="n">
        <v>0</v>
      </c>
      <c r="N3304" t="n">
        <v>0</v>
      </c>
      <c r="O3304" t="n">
        <v>0</v>
      </c>
    </row>
    <row r="3305" hidden="1">
      <c r="A3305" s="11" t="n">
        <v>46105</v>
      </c>
      <c r="B3305" t="inlineStr">
        <is>
          <t>Karina Gonçalves Martins</t>
        </is>
      </c>
      <c r="C3305" t="inlineStr">
        <is>
          <t>JR</t>
        </is>
      </c>
      <c r="D3305" t="n">
        <v>25</v>
      </c>
      <c r="E3305" t="n">
        <v>24</v>
      </c>
      <c r="F3305" t="n">
        <v>23.34</v>
      </c>
      <c r="G3305" t="n">
        <v>0</v>
      </c>
      <c r="H3305" t="n">
        <v>0</v>
      </c>
      <c r="I3305" s="3">
        <f>E3305+G3305+H3305</f>
        <v/>
      </c>
      <c r="J3305" s="3">
        <f>ROUND(MIN(IF(C3305="Técnico III",35,IF(C3305="Técnico II",28,IF(C3305="Técnico I",23,IF(C3305="JR",20,IF(C3305="Estágio",10,0))))),IF(C3305="Técnico III",SUMIFS($D:$D,$A:$A,$A3305,$B:$B,"&lt;&gt;Patrícia Karla de Sousa Araújo",$B:$B,"&lt;&gt;Lorena Dias de Araujo",$B:$B,"&lt;&gt;Lucas Luiz Romero")*(35/1083),IF(C3305="Técnico II",SUMIFS($D:$D,$A:$A,$A3305,$B:$B,"&lt;&gt;Patrícia Karla de Sousa Araújo",$B:$B,"&lt;&gt;Lorena Dias de Araujo",$B:$B,"&lt;&gt;Lucas Luiz Romero")*(28/1083),IF(C3305="Técnico I",SUMIFS($D:$D,$A:$A,$A3305,$B:$B,"&lt;&gt;Patrícia Karla de Sousa Araújo",$B:$B,"&lt;&gt;Lorena Dias de Araujo",$B:$B,"&lt;&gt;Lucas Luiz Romero")*(23/1083),IF(C3305="JR",SUMIFS($D:$D,$A:$A,$A3305,$B:$B,"&lt;&gt;Patrícia Karla de Sousa Araújo",$B:$B,"&lt;&gt;Lorena Dias de Araujo",$B:$B,"&lt;&gt;Lucas Luiz Romero")*(20/1083),IF(C3305="Estágio",SUMIFS($D:$D,$A:$A,$A3305,$B:$B,"&lt;&gt;Patrícia Karla de Sousa Araújo",$B:$B,"&lt;&gt;Lorena Dias de Araujo",$B:$B,"&lt;&gt;Lucas Luiz Romero")*(10/1083),0)))))),0)</f>
        <v/>
      </c>
      <c r="K3305" s="3">
        <f>I3305-J3305</f>
        <v/>
      </c>
      <c r="L3305" s="3">
        <f>IF(K3305&lt;-5,"CRÍTICO",IF(K3305&lt;0,"ATENÇÃO",IF(K3305&lt;=5,"OPORTUNO","MUITO BOM")))</f>
        <v/>
      </c>
      <c r="M3305" t="n">
        <v>22</v>
      </c>
      <c r="N3305" t="n">
        <v>98.31</v>
      </c>
      <c r="O3305" t="n">
        <v>24.92012779552715</v>
      </c>
    </row>
    <row r="3306" hidden="1">
      <c r="A3306" s="11" t="n">
        <v>46105</v>
      </c>
      <c r="B3306" t="inlineStr">
        <is>
          <t>Kerollen Cristielly de Jesus Siqueira</t>
        </is>
      </c>
      <c r="C3306" t="inlineStr">
        <is>
          <t>Técnico III</t>
        </is>
      </c>
      <c r="D3306" t="n">
        <v>21</v>
      </c>
      <c r="E3306" t="n">
        <v>20</v>
      </c>
      <c r="F3306" t="n">
        <v>23.31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M3306" t="n">
        <v>19</v>
      </c>
      <c r="N3306" t="n">
        <v>96.81</v>
      </c>
      <c r="O3306" t="n">
        <v>32.36514522821577</v>
      </c>
    </row>
    <row r="3307" hidden="1">
      <c r="A3307" s="11" t="n">
        <v>46105</v>
      </c>
      <c r="B3307" t="inlineStr">
        <is>
          <t>Leandro de Souza Silva</t>
        </is>
      </c>
      <c r="C3307" t="inlineStr">
        <is>
          <t>JR</t>
        </is>
      </c>
      <c r="D3307" t="n">
        <v>18</v>
      </c>
      <c r="E3307" t="n">
        <v>14</v>
      </c>
      <c r="F3307" t="n">
        <v>22.21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M3307" t="n">
        <v>10</v>
      </c>
      <c r="N3307" t="n">
        <v>100</v>
      </c>
      <c r="O3307" t="n">
        <v>26.47058823529412</v>
      </c>
    </row>
    <row r="3308" hidden="1">
      <c r="A3308" s="11" t="n">
        <v>46105</v>
      </c>
      <c r="B3308" t="inlineStr">
        <is>
          <t>Leandro Oliveira de Sousa</t>
        </is>
      </c>
      <c r="C3308" t="inlineStr">
        <is>
          <t>Técnico III</t>
        </is>
      </c>
      <c r="D3308" t="n">
        <v>30</v>
      </c>
      <c r="E3308" t="n">
        <v>25</v>
      </c>
      <c r="F3308" t="n">
        <v>15.51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M3308" t="n">
        <v>28</v>
      </c>
      <c r="N3308" t="n">
        <v>100</v>
      </c>
      <c r="O3308" t="n">
        <v>28.49002849002849</v>
      </c>
    </row>
    <row r="3309" hidden="1">
      <c r="A3309" s="11" t="n">
        <v>46105</v>
      </c>
      <c r="B3309" t="inlineStr">
        <is>
          <t>Lizandra Gomes Duarte</t>
        </is>
      </c>
      <c r="C3309" t="inlineStr">
        <is>
          <t>Técnico II</t>
        </is>
      </c>
      <c r="D3309" t="n">
        <v>18</v>
      </c>
      <c r="E3309" t="n">
        <v>18</v>
      </c>
      <c r="F3309" t="n">
        <v>24.18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M3309" t="n">
        <v>14</v>
      </c>
      <c r="N3309" t="n">
        <v>99.14</v>
      </c>
      <c r="O3309" t="n">
        <v>27.2289156626506</v>
      </c>
    </row>
    <row r="3310" hidden="1">
      <c r="A3310" s="11" t="n">
        <v>46105</v>
      </c>
      <c r="B3310" t="inlineStr">
        <is>
          <t>Lorena Dias de Araujo</t>
        </is>
      </c>
      <c r="C3310" t="inlineStr">
        <is>
          <t>Técnico II</t>
        </is>
      </c>
      <c r="D3310" t="n">
        <v>21</v>
      </c>
      <c r="E3310" t="n">
        <v>20</v>
      </c>
      <c r="F3310" t="n">
        <v>19.07</v>
      </c>
      <c r="G3310" t="n">
        <v>0</v>
      </c>
      <c r="H3310" t="n">
        <v>0</v>
      </c>
      <c r="I3310" s="3" t="n">
        <v>0</v>
      </c>
      <c r="J3310" s="3" t="n">
        <v>0</v>
      </c>
      <c r="K3310" s="3" t="n">
        <v>0</v>
      </c>
      <c r="L3310" s="3">
        <f>IF(K3310&lt;-5,"CRÍTICO",IF(K3310&lt;0,"ATENÇÃO",IF(K3310&lt;=5,"OPORTUNO","MUITO BOM")))</f>
        <v/>
      </c>
      <c r="M3310" t="n">
        <v>16</v>
      </c>
      <c r="N3310" t="n">
        <v>97.52</v>
      </c>
      <c r="O3310" t="n">
        <v>28.2051282051282</v>
      </c>
    </row>
    <row r="3311" hidden="1">
      <c r="A3311" s="11" t="n">
        <v>46105</v>
      </c>
      <c r="B3311" t="inlineStr">
        <is>
          <t>Lucas Luiz Romero</t>
        </is>
      </c>
      <c r="C3311" t="inlineStr">
        <is>
          <t>Técnico III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M3311" t="n">
        <v>0</v>
      </c>
      <c r="N3311" t="n">
        <v>90</v>
      </c>
      <c r="O3311" t="n">
        <v>24.18604651162791</v>
      </c>
    </row>
    <row r="3312" hidden="1">
      <c r="A3312" s="11" t="n">
        <v>46105</v>
      </c>
      <c r="B3312" t="inlineStr">
        <is>
          <t>Luiz Fernando de Carvalho Junior</t>
        </is>
      </c>
      <c r="C3312" t="inlineStr">
        <is>
          <t>Técnico I</t>
        </is>
      </c>
      <c r="D3312" t="n">
        <v>26</v>
      </c>
      <c r="E3312" t="n">
        <v>25</v>
      </c>
      <c r="F3312" t="n">
        <v>18.21</v>
      </c>
      <c r="G3312" t="n">
        <v>0</v>
      </c>
      <c r="H3312" t="n">
        <v>0</v>
      </c>
      <c r="I3312" s="3">
        <f>E3312+G3312+H3312</f>
        <v/>
      </c>
      <c r="J3312" s="3">
        <f>ROUND(MIN(IF(C3312="Técnico III",35,IF(C3312="Técnico II",28,IF(C3312="Técnico I",23,IF(C3312="JR",20,IF(C3312="Estágio",10,0))))),IF(C3312="Técnico III",SUMIFS($D:$D,$A:$A,$A3312,$B:$B,"&lt;&gt;Patrícia Karla de Sousa Araújo",$B:$B,"&lt;&gt;Lorena Dias de Araujo",$B:$B,"&lt;&gt;Lucas Luiz Romero")*(35/1083),IF(C3312="Técnico II",SUMIFS($D:$D,$A:$A,$A3312,$B:$B,"&lt;&gt;Patrícia Karla de Sousa Araújo",$B:$B,"&lt;&gt;Lorena Dias de Araujo",$B:$B,"&lt;&gt;Lucas Luiz Romero")*(28/1083),IF(C3312="Técnico I",SUMIFS($D:$D,$A:$A,$A3312,$B:$B,"&lt;&gt;Patrícia Karla de Sousa Araújo",$B:$B,"&lt;&gt;Lorena Dias de Araujo",$B:$B,"&lt;&gt;Lucas Luiz Romero")*(23/1083),IF(C3312="JR",SUMIFS($D:$D,$A:$A,$A3312,$B:$B,"&lt;&gt;Patrícia Karla de Sousa Araújo",$B:$B,"&lt;&gt;Lorena Dias de Araujo",$B:$B,"&lt;&gt;Lucas Luiz Romero")*(20/1083),IF(C3312="Estágio",SUMIFS($D:$D,$A:$A,$A3312,$B:$B,"&lt;&gt;Patrícia Karla de Sousa Araújo",$B:$B,"&lt;&gt;Lorena Dias de Araujo",$B:$B,"&lt;&gt;Lucas Luiz Romero")*(10/1083),0)))))),0)</f>
        <v/>
      </c>
      <c r="K3312" s="3">
        <f>I3312-J3312</f>
        <v/>
      </c>
      <c r="L3312" s="3">
        <f>IF(K3312&lt;-5,"CRÍTICO",IF(K3312&lt;0,"ATENÇÃO",IF(K3312&lt;=5,"OPORTUNO","MUITO BOM")))</f>
        <v/>
      </c>
      <c r="M3312" t="n">
        <v>23</v>
      </c>
      <c r="N3312" t="n">
        <v>98.90000000000001</v>
      </c>
      <c r="O3312" t="n">
        <v>26.7639902676399</v>
      </c>
    </row>
    <row r="3313" hidden="1">
      <c r="A3313" s="11" t="n">
        <v>46105</v>
      </c>
      <c r="B3313" t="inlineStr">
        <is>
          <t>Maria Eduarda Sousa Costa</t>
        </is>
      </c>
      <c r="C3313" t="inlineStr">
        <is>
          <t>Estágio</t>
        </is>
      </c>
      <c r="D3313" t="n">
        <v>6</v>
      </c>
      <c r="E3313" t="n">
        <v>6</v>
      </c>
      <c r="F3313" t="n">
        <v>50.07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M3313" t="n">
        <v>5</v>
      </c>
      <c r="N3313" t="n">
        <v>88.89</v>
      </c>
      <c r="O3313" t="n">
        <v>25.26315789473684</v>
      </c>
    </row>
    <row r="3314" hidden="1">
      <c r="A3314" s="11" t="n">
        <v>46105</v>
      </c>
      <c r="B3314" t="inlineStr">
        <is>
          <t>Matheus Farias De Souza</t>
        </is>
      </c>
      <c r="C3314" t="inlineStr">
        <is>
          <t>Técnico III</t>
        </is>
      </c>
      <c r="D3314" t="n">
        <v>24</v>
      </c>
      <c r="E3314" t="n">
        <v>22</v>
      </c>
      <c r="F3314" t="n">
        <v>15.5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M3314" t="n">
        <v>19</v>
      </c>
      <c r="N3314" t="n">
        <v>98.86</v>
      </c>
      <c r="O3314" t="n">
        <v>28.95927601809955</v>
      </c>
    </row>
    <row r="3315" hidden="1">
      <c r="A3315" s="11" t="n">
        <v>46105</v>
      </c>
      <c r="B3315" t="inlineStr">
        <is>
          <t>Maysa Victoria Dias Moura</t>
        </is>
      </c>
      <c r="C3315" t="inlineStr">
        <is>
          <t>Técnico III</t>
        </is>
      </c>
      <c r="D3315" t="n">
        <v>26</v>
      </c>
      <c r="E3315" t="n">
        <v>23</v>
      </c>
      <c r="F3315" t="n">
        <v>15.14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M3315" t="n">
        <v>23</v>
      </c>
      <c r="N3315" t="n">
        <v>98.06</v>
      </c>
      <c r="O3315" t="n">
        <v>22.40566037735849</v>
      </c>
    </row>
    <row r="3316" hidden="1">
      <c r="A3316" s="11" t="n">
        <v>46105</v>
      </c>
      <c r="B3316" t="inlineStr">
        <is>
          <t>Michelle G Santos</t>
        </is>
      </c>
      <c r="C3316" t="inlineStr">
        <is>
          <t>Estágio</t>
        </is>
      </c>
      <c r="D3316" t="n">
        <v>17</v>
      </c>
      <c r="E3316" t="n">
        <v>16</v>
      </c>
      <c r="F3316" t="n">
        <v>23.5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M3316" t="n">
        <v>8</v>
      </c>
      <c r="N3316" t="n">
        <v>95.83</v>
      </c>
      <c r="O3316" t="n">
        <v>25.77319587628866</v>
      </c>
    </row>
    <row r="3317" hidden="1">
      <c r="A3317" s="11" t="n">
        <v>46105</v>
      </c>
      <c r="B3317" t="inlineStr">
        <is>
          <t>Milena Sales</t>
        </is>
      </c>
      <c r="C3317" t="inlineStr">
        <is>
          <t>JR</t>
        </is>
      </c>
      <c r="D3317" t="n">
        <v>0</v>
      </c>
      <c r="E3317" t="n">
        <v>0</v>
      </c>
      <c r="F3317" t="n">
        <v>0</v>
      </c>
      <c r="G3317" t="n">
        <v>0</v>
      </c>
      <c r="H3317" t="n">
        <v>0</v>
      </c>
      <c r="I3317" s="3" t="n">
        <v>0</v>
      </c>
      <c r="J3317" s="3" t="n">
        <v>0</v>
      </c>
      <c r="K3317" s="3" t="n">
        <v>0</v>
      </c>
      <c r="L3317" s="3">
        <f>IF(K3317&lt;-5,"CRÍTICO",IF(K3317&lt;0,"ATENÇÃO",IF(K3317&lt;=5,"OPORTUNO","MUITO BOM")))</f>
        <v/>
      </c>
      <c r="M3317" t="n">
        <v>0</v>
      </c>
      <c r="N3317" t="n">
        <v>100</v>
      </c>
      <c r="O3317" t="n">
        <v>15.38461538461539</v>
      </c>
    </row>
    <row r="3318" hidden="1">
      <c r="A3318" s="11" t="n">
        <v>46105</v>
      </c>
      <c r="B3318" t="inlineStr">
        <is>
          <t>Patrícia Karla de Sousa Araújo</t>
        </is>
      </c>
      <c r="C3318" t="inlineStr">
        <is>
          <t>Técnico II</t>
        </is>
      </c>
      <c r="D3318" t="n">
        <v>25</v>
      </c>
      <c r="E3318" t="n">
        <v>21</v>
      </c>
      <c r="F3318" t="n">
        <v>15</v>
      </c>
      <c r="G3318" t="n">
        <v>0</v>
      </c>
      <c r="H3318" t="n">
        <v>0</v>
      </c>
      <c r="I3318" s="3">
        <f>E3318+G3318+H3318</f>
        <v/>
      </c>
      <c r="J3318" s="3">
        <f>ROUND(MIN(IF(C3318="Técnico III",35,IF(C3318="Técnico II",28,IF(C3318="Técnico I",23,IF(C3318="JR",20,IF(C3318="Estágio",10,0))))),IF(C3318="Técnico III",SUMIFS($D:$D,$A:$A,$A3318,$B:$B,"&lt;&gt;Patrícia Karla de Sousa Araújo",$B:$B,"&lt;&gt;Lorena Dias de Araujo",$B:$B,"&lt;&gt;Lucas Luiz Romero")*(35/1083),IF(C3318="Técnico II",SUMIFS($D:$D,$A:$A,$A3318,$B:$B,"&lt;&gt;Patrícia Karla de Sousa Araújo",$B:$B,"&lt;&gt;Lorena Dias de Araujo",$B:$B,"&lt;&gt;Lucas Luiz Romero")*(28/1083),IF(C3318="Técnico I",SUMIFS($D:$D,$A:$A,$A3318,$B:$B,"&lt;&gt;Patrícia Karla de Sousa Araújo",$B:$B,"&lt;&gt;Lorena Dias de Araujo",$B:$B,"&lt;&gt;Lucas Luiz Romero")*(23/1083),IF(C3318="JR",SUMIFS($D:$D,$A:$A,$A3318,$B:$B,"&lt;&gt;Patrícia Karla de Sousa Araújo",$B:$B,"&lt;&gt;Lorena Dias de Araujo",$B:$B,"&lt;&gt;Lucas Luiz Romero")*(20/1083),IF(C3318="Estágio",SUMIFS($D:$D,$A:$A,$A3318,$B:$B,"&lt;&gt;Patrícia Karla de Sousa Araújo",$B:$B,"&lt;&gt;Lorena Dias de Araujo",$B:$B,"&lt;&gt;Lucas Luiz Romero")*(10/1083),0)))))),0)</f>
        <v/>
      </c>
      <c r="K3318" s="3">
        <f>I3318-J3318</f>
        <v/>
      </c>
      <c r="L3318" s="3">
        <f>IF(K3318&lt;-5,"CRÍTICO",IF(K3318&lt;0,"ATENÇÃO",IF(K3318&lt;=5,"OPORTUNO","MUITO BOM")))</f>
        <v/>
      </c>
      <c r="M3318" t="n">
        <v>20</v>
      </c>
      <c r="N3318" t="n">
        <v>100</v>
      </c>
      <c r="O3318" t="n">
        <v>27.51479289940828</v>
      </c>
    </row>
    <row r="3319" hidden="1">
      <c r="A3319" s="11" t="n">
        <v>46105</v>
      </c>
      <c r="B3319" t="inlineStr">
        <is>
          <t>Paulo Ricardo Santos</t>
        </is>
      </c>
      <c r="C3319" t="inlineStr">
        <is>
          <t>JR</t>
        </is>
      </c>
      <c r="D3319" t="n">
        <v>14</v>
      </c>
      <c r="E3319" t="n">
        <v>13</v>
      </c>
      <c r="F3319" t="n">
        <v>30.32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M3319" t="n">
        <v>12</v>
      </c>
      <c r="N3319" t="n">
        <v>100</v>
      </c>
      <c r="O3319" t="n">
        <v>24.87562189054727</v>
      </c>
    </row>
    <row r="3320" hidden="1">
      <c r="A3320" s="11" t="n">
        <v>46105</v>
      </c>
      <c r="B3320" t="inlineStr">
        <is>
          <t>Pedro Luiz Mota Sousa</t>
        </is>
      </c>
      <c r="C3320" t="inlineStr">
        <is>
          <t>JR</t>
        </is>
      </c>
      <c r="D3320" t="n">
        <v>13</v>
      </c>
      <c r="E3320" t="n">
        <v>12</v>
      </c>
      <c r="F3320" t="n">
        <v>36.52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M3320" t="n">
        <v>8</v>
      </c>
      <c r="N3320" t="n">
        <v>100</v>
      </c>
      <c r="O3320" t="n">
        <v>28.10810810810811</v>
      </c>
    </row>
    <row r="3321" hidden="1">
      <c r="A3321" s="11" t="n">
        <v>46105</v>
      </c>
      <c r="B3321" t="inlineStr">
        <is>
          <t>Quirino Diogo Leite Torres</t>
        </is>
      </c>
      <c r="C3321" t="inlineStr">
        <is>
          <t>Estágio</t>
        </is>
      </c>
      <c r="D3321" t="n">
        <v>3</v>
      </c>
      <c r="E3321" t="n">
        <v>3</v>
      </c>
      <c r="F3321" t="n">
        <v>23.28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M3321" t="n">
        <v>2</v>
      </c>
      <c r="N3321" t="n">
        <v>100</v>
      </c>
      <c r="O3321" t="n">
        <v>35</v>
      </c>
    </row>
    <row r="3322" hidden="1">
      <c r="A3322" s="11" t="n">
        <v>46105</v>
      </c>
      <c r="B3322" t="inlineStr">
        <is>
          <t>Raane Batista Matos</t>
        </is>
      </c>
      <c r="C3322" t="inlineStr">
        <is>
          <t>Técnico I</t>
        </is>
      </c>
      <c r="D3322" t="n">
        <v>30</v>
      </c>
      <c r="E3322" t="n">
        <v>25</v>
      </c>
      <c r="F3322" t="n">
        <v>20.05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M3322" t="n">
        <v>18</v>
      </c>
      <c r="N3322" t="n">
        <v>95.34999999999999</v>
      </c>
      <c r="O3322" t="n">
        <v>28.61538461538461</v>
      </c>
    </row>
    <row r="3323" hidden="1">
      <c r="A3323" s="11" t="n">
        <v>46105</v>
      </c>
      <c r="B3323" t="inlineStr">
        <is>
          <t>Rafael Gomes de Morais</t>
        </is>
      </c>
      <c r="C3323" t="inlineStr">
        <is>
          <t>Técnico III</t>
        </is>
      </c>
      <c r="D3323" t="n">
        <v>37</v>
      </c>
      <c r="E3323" t="n">
        <v>34</v>
      </c>
      <c r="F3323" t="n">
        <v>15.27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M3323" t="n">
        <v>25</v>
      </c>
      <c r="N3323" t="n">
        <v>98.26000000000001</v>
      </c>
      <c r="O3323" t="n">
        <v>27.54491017964072</v>
      </c>
    </row>
    <row r="3324" hidden="1">
      <c r="A3324" s="11" t="n">
        <v>46105</v>
      </c>
      <c r="B3324" t="inlineStr">
        <is>
          <t>Sara Maria Monteiro Lopes</t>
        </is>
      </c>
      <c r="C3324" t="inlineStr">
        <is>
          <t>Técnico I</t>
        </is>
      </c>
      <c r="D3324" t="n">
        <v>12</v>
      </c>
      <c r="E3324" t="n">
        <v>11</v>
      </c>
      <c r="F3324" t="n">
        <v>37.35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M3324" t="n">
        <v>12</v>
      </c>
      <c r="N3324" t="n">
        <v>98.55</v>
      </c>
      <c r="O3324" t="n">
        <v>25.33783783783784</v>
      </c>
    </row>
    <row r="3325" hidden="1">
      <c r="A3325" s="11" t="n">
        <v>46105</v>
      </c>
      <c r="B3325" t="inlineStr">
        <is>
          <t>Sarah Steffanie de Lima Borges</t>
        </is>
      </c>
      <c r="C3325" t="inlineStr">
        <is>
          <t>Técnico III</t>
        </is>
      </c>
      <c r="D3325" t="n">
        <v>28</v>
      </c>
      <c r="E3325" t="n">
        <v>27</v>
      </c>
      <c r="F3325" t="n">
        <v>15.34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M3325" t="n">
        <v>26</v>
      </c>
      <c r="N3325" t="n">
        <v>98.39</v>
      </c>
      <c r="O3325" t="n">
        <v>25.56390977443609</v>
      </c>
    </row>
    <row r="3326" hidden="1">
      <c r="A3326" s="11" t="n">
        <v>46106</v>
      </c>
      <c r="B3326" t="inlineStr">
        <is>
          <t>Alisson de Freitas Silva</t>
        </is>
      </c>
      <c r="C3326" t="inlineStr">
        <is>
          <t>Técnico II</t>
        </is>
      </c>
      <c r="D3326" t="n">
        <v>26</v>
      </c>
      <c r="E3326" t="n">
        <v>18</v>
      </c>
      <c r="F3326" t="n">
        <v>10.2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M3326" t="n">
        <v>13</v>
      </c>
      <c r="N3326" t="n">
        <v>94.29000000000001</v>
      </c>
      <c r="O3326" t="n">
        <v>25.64766839378239</v>
      </c>
    </row>
    <row r="3327" hidden="1">
      <c r="A3327" s="11" t="n">
        <v>46106</v>
      </c>
      <c r="B3327" t="inlineStr">
        <is>
          <t>Amanda Moura Ferreira</t>
        </is>
      </c>
      <c r="C3327" t="inlineStr">
        <is>
          <t>Técnico III</t>
        </is>
      </c>
      <c r="D3327" t="n">
        <v>0</v>
      </c>
      <c r="E3327" t="n">
        <v>0</v>
      </c>
      <c r="F3327" t="n">
        <v>0</v>
      </c>
      <c r="G3327" t="n">
        <v>0</v>
      </c>
      <c r="H3327" t="n">
        <v>0</v>
      </c>
      <c r="I3327" s="3" t="n">
        <v>0</v>
      </c>
      <c r="J3327" s="3" t="n">
        <v>0</v>
      </c>
      <c r="K3327" s="3" t="n">
        <v>0</v>
      </c>
      <c r="L3327" s="3">
        <f>IF(K3327&lt;-5,"CRÍTICO",IF(K3327&lt;0,"ATENÇÃO",IF(K3327&lt;=5,"OPORTUNO","MUITO BOM")))</f>
        <v/>
      </c>
      <c r="M3327" t="n">
        <v>18</v>
      </c>
      <c r="N3327" t="n">
        <v>98.26000000000001</v>
      </c>
      <c r="O3327" t="n">
        <v>26.66666666666667</v>
      </c>
    </row>
    <row r="3328" hidden="1">
      <c r="A3328" s="11" t="n">
        <v>46106</v>
      </c>
      <c r="B3328" t="inlineStr">
        <is>
          <t>Ana Karollyne Souza Faria</t>
        </is>
      </c>
      <c r="C3328" t="inlineStr">
        <is>
          <t>Técnico I</t>
        </is>
      </c>
      <c r="D3328" t="n">
        <v>18</v>
      </c>
      <c r="E3328" t="n">
        <v>18</v>
      </c>
      <c r="F3328" t="n">
        <v>25.31</v>
      </c>
      <c r="G3328" t="n">
        <v>0</v>
      </c>
      <c r="H3328" t="n">
        <v>0</v>
      </c>
      <c r="I3328" s="3">
        <f>E3328+G3328+H3328</f>
        <v/>
      </c>
      <c r="J3328" s="3">
        <f>ROUND(MIN(IF(C3328="Técnico III",35,IF(C3328="Técnico II",28,IF(C3328="Técnico I",23,IF(C3328="JR",20,IF(C3328="Estágio",10,0))))),IF(C3328="Técnico III",SUMIFS($D:$D,$A:$A,$A3328,$B:$B,"&lt;&gt;Patrícia Karla de Sousa Araújo",$B:$B,"&lt;&gt;Lorena Dias de Araujo",$B:$B,"&lt;&gt;Lucas Luiz Romero")*(35/1083),IF(C3328="Técnico II",SUMIFS($D:$D,$A:$A,$A3328,$B:$B,"&lt;&gt;Patrícia Karla de Sousa Araújo",$B:$B,"&lt;&gt;Lorena Dias de Araujo",$B:$B,"&lt;&gt;Lucas Luiz Romero")*(28/1083),IF(C3328="Técnico I",SUMIFS($D:$D,$A:$A,$A3328,$B:$B,"&lt;&gt;Patrícia Karla de Sousa Araújo",$B:$B,"&lt;&gt;Lorena Dias de Araujo",$B:$B,"&lt;&gt;Lucas Luiz Romero")*(23/1083),IF(C3328="JR",SUMIFS($D:$D,$A:$A,$A3328,$B:$B,"&lt;&gt;Patrícia Karla de Sousa Araújo",$B:$B,"&lt;&gt;Lorena Dias de Araujo",$B:$B,"&lt;&gt;Lucas Luiz Romero")*(20/1083),IF(C3328="Estágio",SUMIFS($D:$D,$A:$A,$A3328,$B:$B,"&lt;&gt;Patrícia Karla de Sousa Araújo",$B:$B,"&lt;&gt;Lorena Dias de Araujo",$B:$B,"&lt;&gt;Lucas Luiz Romero")*(10/1083),0)))))),0)</f>
        <v/>
      </c>
      <c r="K3328" s="3">
        <f>I3328-J3328</f>
        <v/>
      </c>
      <c r="L3328" s="3">
        <f>IF(K3328&lt;-5,"CRÍTICO",IF(K3328&lt;0,"ATENÇÃO",IF(K3328&lt;=5,"OPORTUNO","MUITO BOM")))</f>
        <v/>
      </c>
      <c r="M3328" t="n">
        <v>16</v>
      </c>
      <c r="N3328" t="n">
        <v>98.2</v>
      </c>
      <c r="O3328" t="n">
        <v>23.37962962962963</v>
      </c>
    </row>
    <row r="3329" hidden="1">
      <c r="A3329" s="11" t="n">
        <v>46106</v>
      </c>
      <c r="B3329" t="inlineStr">
        <is>
          <t>Ana Paula Da Luz Silva Aleixo</t>
        </is>
      </c>
      <c r="C3329" t="inlineStr">
        <is>
          <t>Técnico III</t>
        </is>
      </c>
      <c r="D3329" t="n">
        <v>23</v>
      </c>
      <c r="E3329" t="n">
        <v>22</v>
      </c>
      <c r="F3329" t="n">
        <v>22.37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M3329" t="n">
        <v>23</v>
      </c>
      <c r="N3329" t="n">
        <v>97.3</v>
      </c>
      <c r="O3329" t="n">
        <v>23.84769539078156</v>
      </c>
    </row>
    <row r="3330" hidden="1">
      <c r="A3330" s="11" t="n">
        <v>46106</v>
      </c>
      <c r="B3330" t="inlineStr">
        <is>
          <t>Anna Luiza Rezende Tavares</t>
        </is>
      </c>
      <c r="C3330" t="inlineStr">
        <is>
          <t>Estágio</t>
        </is>
      </c>
      <c r="D3330" t="n">
        <v>10</v>
      </c>
      <c r="E3330" t="n">
        <v>9</v>
      </c>
      <c r="F3330" t="n">
        <v>33.36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M3330" t="n">
        <v>8</v>
      </c>
      <c r="N3330" t="n">
        <v>100</v>
      </c>
      <c r="O3330" t="n">
        <v>25.26881720430108</v>
      </c>
    </row>
    <row r="3331" hidden="1">
      <c r="A3331" s="11" t="n">
        <v>46106</v>
      </c>
      <c r="B3331" t="inlineStr">
        <is>
          <t>Brenda de Menezes Silva</t>
        </is>
      </c>
      <c r="C3331" t="inlineStr">
        <is>
          <t>Técnico II</t>
        </is>
      </c>
      <c r="D3331" t="n">
        <v>32</v>
      </c>
      <c r="E3331" t="n">
        <v>29</v>
      </c>
      <c r="F3331" t="n">
        <v>10.56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M3331" t="n">
        <v>32</v>
      </c>
      <c r="N3331" t="n">
        <v>99.31999999999999</v>
      </c>
      <c r="O3331" t="n">
        <v>22.82282282282282</v>
      </c>
    </row>
    <row r="3332" hidden="1">
      <c r="A3332" s="11" t="n">
        <v>46106</v>
      </c>
      <c r="B3332" t="inlineStr">
        <is>
          <t>Carlos Mateus Cassimiro Nunes</t>
        </is>
      </c>
      <c r="C3332" t="inlineStr">
        <is>
          <t>Técnico II</t>
        </is>
      </c>
      <c r="D3332" t="n">
        <v>18</v>
      </c>
      <c r="E3332" t="n">
        <v>18</v>
      </c>
      <c r="F3332" t="n">
        <v>27.36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M3332" t="n">
        <v>20</v>
      </c>
      <c r="N3332" t="n">
        <v>100</v>
      </c>
      <c r="O3332" t="n">
        <v>27.96610169491525</v>
      </c>
    </row>
    <row r="3333" hidden="1">
      <c r="A3333" s="11" t="n">
        <v>46106</v>
      </c>
      <c r="B3333" t="inlineStr">
        <is>
          <t>Claudio de Sousa Velasco Filho</t>
        </is>
      </c>
      <c r="C3333" t="inlineStr">
        <is>
          <t>Estágio</t>
        </is>
      </c>
      <c r="D3333" t="n">
        <v>4</v>
      </c>
      <c r="E3333" t="n">
        <v>4</v>
      </c>
      <c r="F3333" t="n">
        <v>24.17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M3333" t="n">
        <v>2</v>
      </c>
      <c r="N3333" t="n">
        <v>100</v>
      </c>
      <c r="O3333" t="n">
        <v>30.43478260869566</v>
      </c>
    </row>
    <row r="3334" hidden="1">
      <c r="A3334" s="11" t="n">
        <v>46106</v>
      </c>
      <c r="B3334" t="inlineStr">
        <is>
          <t>Clessiane Pereira dos Santos</t>
        </is>
      </c>
      <c r="C3334" t="inlineStr">
        <is>
          <t>Técnico I</t>
        </is>
      </c>
      <c r="D3334" t="n">
        <v>20</v>
      </c>
      <c r="E3334" t="n">
        <v>20</v>
      </c>
      <c r="F3334" t="n">
        <v>21.42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M3334" t="n">
        <v>15</v>
      </c>
      <c r="N3334" t="n">
        <v>96.51000000000001</v>
      </c>
      <c r="O3334" t="n">
        <v>22.80285035629454</v>
      </c>
    </row>
    <row r="3335" hidden="1">
      <c r="A3335" s="11" t="n">
        <v>46106</v>
      </c>
      <c r="B3335" t="inlineStr">
        <is>
          <t>Cristiane Ramos da Silva Rocha</t>
        </is>
      </c>
      <c r="C3335" t="inlineStr">
        <is>
          <t>Técnico III</t>
        </is>
      </c>
      <c r="D3335" t="n">
        <v>30</v>
      </c>
      <c r="E3335" t="n">
        <v>27</v>
      </c>
      <c r="F3335" t="n">
        <v>12.2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M3335" t="n">
        <v>24</v>
      </c>
      <c r="N3335" t="n">
        <v>92.68000000000001</v>
      </c>
      <c r="O3335" t="n">
        <v>27.77777777777778</v>
      </c>
    </row>
    <row r="3336" hidden="1">
      <c r="A3336" s="11" t="n">
        <v>46106</v>
      </c>
      <c r="B3336" t="inlineStr">
        <is>
          <t>Damyllis Lorraine de Oliveira Gonçalves</t>
        </is>
      </c>
      <c r="C3336" t="inlineStr">
        <is>
          <t>Técnico II</t>
        </is>
      </c>
      <c r="D3336" t="n">
        <v>31</v>
      </c>
      <c r="E3336" t="n">
        <v>26</v>
      </c>
      <c r="F3336" t="n">
        <v>15.43</v>
      </c>
      <c r="G3336" t="n">
        <v>0</v>
      </c>
      <c r="H3336" t="n">
        <v>0</v>
      </c>
      <c r="I3336" s="3" t="n">
        <v>0</v>
      </c>
      <c r="J3336" s="3" t="n">
        <v>0</v>
      </c>
      <c r="K3336" s="3" t="n">
        <v>0</v>
      </c>
      <c r="L3336" s="3">
        <f>IF(K3336&lt;-5,"CRÍTICO",IF(K3336&lt;0,"ATENÇÃO",IF(K3336&lt;=5,"OPORTUNO","MUITO BOM")))</f>
        <v/>
      </c>
      <c r="M3336" t="n">
        <v>23</v>
      </c>
      <c r="N3336" t="n">
        <v>99.03</v>
      </c>
      <c r="O3336" t="n">
        <v>23.99150743099788</v>
      </c>
    </row>
    <row r="3337" hidden="1">
      <c r="A3337" s="11" t="n">
        <v>46106</v>
      </c>
      <c r="B3337" t="inlineStr">
        <is>
          <t>Daniel Gomes da Silva</t>
        </is>
      </c>
      <c r="C3337" t="inlineStr">
        <is>
          <t>Técnico I</t>
        </is>
      </c>
      <c r="D3337" t="n">
        <v>20</v>
      </c>
      <c r="E3337" t="n">
        <v>20</v>
      </c>
      <c r="F3337" t="n">
        <v>23.46</v>
      </c>
      <c r="G3337" t="n">
        <v>0</v>
      </c>
      <c r="H3337" t="n">
        <v>0</v>
      </c>
      <c r="I3337" s="3">
        <f>E3337+G3337+H3337</f>
        <v/>
      </c>
      <c r="J3337" s="3">
        <f>ROUND(MIN(IF(C3337="Técnico III",35,IF(C3337="Técnico II",28,IF(C3337="Técnico I",23,IF(C3337="JR",20,IF(C3337="Estágio",10,0))))),IF(C3337="Técnico III",SUMIFS($D:$D,$A:$A,$A3337,$B:$B,"&lt;&gt;Patrícia Karla de Sousa Araújo",$B:$B,"&lt;&gt;Lorena Dias de Araujo",$B:$B,"&lt;&gt;Lucas Luiz Romero")*(35/1083),IF(C3337="Técnico II",SUMIFS($D:$D,$A:$A,$A3337,$B:$B,"&lt;&gt;Patrícia Karla de Sousa Araújo",$B:$B,"&lt;&gt;Lorena Dias de Araujo",$B:$B,"&lt;&gt;Lucas Luiz Romero")*(28/1083),IF(C3337="Técnico I",SUMIFS($D:$D,$A:$A,$A3337,$B:$B,"&lt;&gt;Patrícia Karla de Sousa Araújo",$B:$B,"&lt;&gt;Lorena Dias de Araujo",$B:$B,"&lt;&gt;Lucas Luiz Romero")*(23/1083),IF(C3337="JR",SUMIFS($D:$D,$A:$A,$A3337,$B:$B,"&lt;&gt;Patrícia Karla de Sousa Araújo",$B:$B,"&lt;&gt;Lorena Dias de Araujo",$B:$B,"&lt;&gt;Lucas Luiz Romero")*(20/1083),IF(C3337="Estágio",SUMIFS($D:$D,$A:$A,$A3337,$B:$B,"&lt;&gt;Patrícia Karla de Sousa Araújo",$B:$B,"&lt;&gt;Lorena Dias de Araujo",$B:$B,"&lt;&gt;Lucas Luiz Romero")*(10/1083),0)))))),0)</f>
        <v/>
      </c>
      <c r="K3337" s="3">
        <f>I3337-J3337</f>
        <v/>
      </c>
      <c r="L3337" s="3">
        <f>IF(K3337&lt;-5,"CRÍTICO",IF(K3337&lt;0,"ATENÇÃO",IF(K3337&lt;=5,"OPORTUNO","MUITO BOM")))</f>
        <v/>
      </c>
      <c r="M3337" t="n">
        <v>7</v>
      </c>
      <c r="N3337" t="n">
        <v>98.41</v>
      </c>
      <c r="O3337" t="n">
        <v>28.13852813852814</v>
      </c>
    </row>
    <row r="3338" hidden="1">
      <c r="A3338" s="11" t="n">
        <v>46106</v>
      </c>
      <c r="B3338" t="inlineStr">
        <is>
          <t>Davylla Rodrigues Freitas Silva</t>
        </is>
      </c>
      <c r="C3338" t="inlineStr">
        <is>
          <t>Técnico III</t>
        </is>
      </c>
      <c r="D3338" t="n">
        <v>15</v>
      </c>
      <c r="E3338" t="n">
        <v>14</v>
      </c>
      <c r="F3338" t="n">
        <v>33.35</v>
      </c>
      <c r="G3338" t="n">
        <v>0</v>
      </c>
      <c r="H3338" t="n">
        <v>0</v>
      </c>
      <c r="I3338" s="3" t="n">
        <v>0</v>
      </c>
      <c r="J3338" s="3" t="n">
        <v>0</v>
      </c>
      <c r="K3338" s="3" t="n">
        <v>0</v>
      </c>
      <c r="L3338" s="3">
        <f>IF(K3338&lt;-5,"CRÍTICO",IF(K3338&lt;0,"ATENÇÃO",IF(K3338&lt;=5,"OPORTUNO","MUITO BOM")))</f>
        <v/>
      </c>
      <c r="M3338" t="n">
        <v>14</v>
      </c>
      <c r="N3338" t="n">
        <v>98.73</v>
      </c>
      <c r="O3338" t="n">
        <v>29.14285714285714</v>
      </c>
    </row>
    <row r="3339" hidden="1">
      <c r="A3339" s="11" t="n">
        <v>46106</v>
      </c>
      <c r="B3339" t="inlineStr">
        <is>
          <t>Emilly Caylane Costa</t>
        </is>
      </c>
      <c r="C3339" t="inlineStr">
        <is>
          <t>Estágio</t>
        </is>
      </c>
      <c r="D3339" t="n">
        <v>7</v>
      </c>
      <c r="E3339" t="n">
        <v>7</v>
      </c>
      <c r="F3339" t="n">
        <v>43.54</v>
      </c>
      <c r="G3339" t="n">
        <v>0</v>
      </c>
      <c r="H3339" t="n">
        <v>0</v>
      </c>
      <c r="I3339" s="3">
        <f>E3339+G3339+H3339</f>
        <v/>
      </c>
      <c r="J3339" s="3">
        <f>ROUND(MIN(IF(C3339="Técnico III",35,IF(C3339="Técnico II",28,IF(C3339="Técnico I",23,IF(C3339="JR",20,IF(C3339="Estágio",10,0))))),IF(C3339="Técnico III",SUMIFS($D:$D,$A:$A,$A3339,$B:$B,"&lt;&gt;Patrícia Karla de Sousa Araújo",$B:$B,"&lt;&gt;Lorena Dias de Araujo",$B:$B,"&lt;&gt;Lucas Luiz Romero")*(35/1083),IF(C3339="Técnico II",SUMIFS($D:$D,$A:$A,$A3339,$B:$B,"&lt;&gt;Patrícia Karla de Sousa Araújo",$B:$B,"&lt;&gt;Lorena Dias de Araujo",$B:$B,"&lt;&gt;Lucas Luiz Romero")*(28/1083),IF(C3339="Técnico I",SUMIFS($D:$D,$A:$A,$A3339,$B:$B,"&lt;&gt;Patrícia Karla de Sousa Araújo",$B:$B,"&lt;&gt;Lorena Dias de Araujo",$B:$B,"&lt;&gt;Lucas Luiz Romero")*(23/1083),IF(C3339="JR",SUMIFS($D:$D,$A:$A,$A3339,$B:$B,"&lt;&gt;Patrícia Karla de Sousa Araújo",$B:$B,"&lt;&gt;Lorena Dias de Araujo",$B:$B,"&lt;&gt;Lucas Luiz Romero")*(20/1083),IF(C3339="Estágio",SUMIFS($D:$D,$A:$A,$A3339,$B:$B,"&lt;&gt;Patrícia Karla de Sousa Araújo",$B:$B,"&lt;&gt;Lorena Dias de Araujo",$B:$B,"&lt;&gt;Lucas Luiz Romero")*(10/1083),0)))))),0)</f>
        <v/>
      </c>
      <c r="K3339" s="3">
        <f>I3339-J3339</f>
        <v/>
      </c>
      <c r="L3339" s="3">
        <f>IF(K3339&lt;-5,"CRÍTICO",IF(K3339&lt;0,"ATENÇÃO",IF(K3339&lt;=5,"OPORTUNO","MUITO BOM")))</f>
        <v/>
      </c>
      <c r="M3339" t="n">
        <v>7</v>
      </c>
      <c r="N3339" t="n">
        <v>90.48</v>
      </c>
      <c r="O3339" t="n">
        <v>20.68965517241379</v>
      </c>
    </row>
    <row r="3340" hidden="1">
      <c r="A3340" s="11" t="n">
        <v>46106</v>
      </c>
      <c r="B3340" t="inlineStr">
        <is>
          <t>Emilly Kamilly Medeiros Miranda</t>
        </is>
      </c>
      <c r="C3340" t="inlineStr">
        <is>
          <t>Técnico II</t>
        </is>
      </c>
      <c r="D3340" t="n">
        <v>23</v>
      </c>
      <c r="E3340" t="n">
        <v>23</v>
      </c>
      <c r="F3340" t="n">
        <v>20.33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M3340" t="n">
        <v>23</v>
      </c>
      <c r="N3340" t="n">
        <v>98.06</v>
      </c>
      <c r="O3340" t="n">
        <v>24.78991596638656</v>
      </c>
    </row>
    <row r="3341" hidden="1">
      <c r="A3341" s="11" t="n">
        <v>46106</v>
      </c>
      <c r="B3341" t="inlineStr">
        <is>
          <t>Francielson de Oliveira</t>
        </is>
      </c>
      <c r="C3341" t="inlineStr">
        <is>
          <t>Técnico III</t>
        </is>
      </c>
      <c r="D3341" t="n">
        <v>20</v>
      </c>
      <c r="E3341" t="n">
        <v>19</v>
      </c>
      <c r="F3341" t="n">
        <v>18.57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M3341" t="n">
        <v>16</v>
      </c>
      <c r="N3341" t="n">
        <v>97.78</v>
      </c>
      <c r="O3341" t="n">
        <v>25.49407114624506</v>
      </c>
    </row>
    <row r="3342" hidden="1">
      <c r="A3342" s="11" t="n">
        <v>46106</v>
      </c>
      <c r="B3342" t="inlineStr">
        <is>
          <t>Francilene Ferreira de Jesus</t>
        </is>
      </c>
      <c r="C3342" t="inlineStr">
        <is>
          <t>Técnico II</t>
        </is>
      </c>
      <c r="D3342" t="n">
        <v>19</v>
      </c>
      <c r="E3342" t="n">
        <v>17</v>
      </c>
      <c r="F3342" t="n">
        <v>23.57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M3342" t="n">
        <v>19</v>
      </c>
      <c r="N3342" t="n">
        <v>98.02</v>
      </c>
      <c r="O3342" t="n">
        <v>23.48484848484848</v>
      </c>
    </row>
    <row r="3343" hidden="1">
      <c r="A3343" s="10" t="n">
        <v>46164</v>
      </c>
      <c r="B3343" s="6" t="inlineStr">
        <is>
          <t>Isabella Borges de Oliveira</t>
        </is>
      </c>
      <c r="C3343" s="3" t="inlineStr">
        <is>
          <t>Técnico II</t>
        </is>
      </c>
      <c r="D3343" s="3" t="n">
        <v>15</v>
      </c>
      <c r="E3343" s="3" t="n">
        <v>15</v>
      </c>
      <c r="F3343" s="3" t="n">
        <v>28.35</v>
      </c>
      <c r="G3343" s="3" t="n">
        <v>0</v>
      </c>
      <c r="H3343" s="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M3343" s="3" t="n">
        <v>13</v>
      </c>
      <c r="N3343" s="3" t="n">
        <v>98.98</v>
      </c>
      <c r="O3343" s="3" t="n">
        <v>19.35483870967742</v>
      </c>
    </row>
    <row r="3344" hidden="1">
      <c r="A3344" s="11" t="n">
        <v>46106</v>
      </c>
      <c r="B3344" t="inlineStr">
        <is>
          <t>Isabella Borges de Oliveira</t>
        </is>
      </c>
      <c r="C3344" t="inlineStr">
        <is>
          <t>Técnico II</t>
        </is>
      </c>
      <c r="D3344" t="n">
        <v>23</v>
      </c>
      <c r="E3344" t="n">
        <v>20</v>
      </c>
      <c r="F3344" t="n">
        <v>23.53</v>
      </c>
      <c r="G3344" t="n">
        <v>0</v>
      </c>
      <c r="H3344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t="n">
        <v>17</v>
      </c>
      <c r="N3344" t="n">
        <v>100</v>
      </c>
      <c r="O3344" t="n">
        <v>27.04918032786885</v>
      </c>
    </row>
    <row r="3345" hidden="1">
      <c r="A3345" s="11" t="n">
        <v>46106</v>
      </c>
      <c r="B3345" t="inlineStr">
        <is>
          <t>Janaina Lima dos Reis Urany</t>
        </is>
      </c>
      <c r="C3345" t="inlineStr">
        <is>
          <t>Técnico III</t>
        </is>
      </c>
      <c r="D3345" t="n">
        <v>34</v>
      </c>
      <c r="E3345" t="n">
        <v>29</v>
      </c>
      <c r="F3345" t="n">
        <v>13.28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M3345" t="n">
        <v>28</v>
      </c>
      <c r="N3345" t="n">
        <v>97.83</v>
      </c>
      <c r="O3345" t="n">
        <v>26.31578947368421</v>
      </c>
    </row>
    <row r="3346" hidden="1">
      <c r="A3346" s="11" t="n">
        <v>46106</v>
      </c>
      <c r="B3346" t="inlineStr">
        <is>
          <t>Jaqueline Evangelista da Silva Martins</t>
        </is>
      </c>
      <c r="C3346" t="inlineStr">
        <is>
          <t>Técnico III</t>
        </is>
      </c>
      <c r="D3346" t="n">
        <v>16</v>
      </c>
      <c r="E3346" t="n">
        <v>15</v>
      </c>
      <c r="F3346" t="n">
        <v>18.52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M3346" t="n">
        <v>14</v>
      </c>
      <c r="N3346" t="n">
        <v>100</v>
      </c>
      <c r="O3346" t="n">
        <v>26.70157068062827</v>
      </c>
    </row>
    <row r="3347" hidden="1">
      <c r="A3347" s="11" t="n">
        <v>46106</v>
      </c>
      <c r="B3347" t="inlineStr">
        <is>
          <t>Jessica Faria da Silveira</t>
        </is>
      </c>
      <c r="C3347" t="inlineStr">
        <is>
          <t>Técnico II</t>
        </is>
      </c>
      <c r="D3347" t="n">
        <v>0</v>
      </c>
      <c r="E3347" t="n">
        <v>0</v>
      </c>
      <c r="F3347" t="n">
        <v>0</v>
      </c>
      <c r="G3347" t="n">
        <v>0</v>
      </c>
      <c r="H3347" t="n">
        <v>0</v>
      </c>
      <c r="I3347" s="3" t="n">
        <v>0</v>
      </c>
      <c r="J3347" s="3" t="n">
        <v>0</v>
      </c>
      <c r="K3347" s="3" t="n">
        <v>0</v>
      </c>
      <c r="L3347" s="3">
        <f>IF(K3347&lt;-5,"CRÍTICO",IF(K3347&lt;0,"ATENÇÃO",IF(K3347&lt;=5,"OPORTUNO","MUITO BOM")))</f>
        <v/>
      </c>
      <c r="M3347" t="n">
        <v>0</v>
      </c>
      <c r="N3347" t="n">
        <v>97.47</v>
      </c>
      <c r="O3347" t="n">
        <v>22.88732394366197</v>
      </c>
    </row>
    <row r="3348" hidden="1">
      <c r="A3348" s="11" t="n">
        <v>46106</v>
      </c>
      <c r="B3348" t="inlineStr">
        <is>
          <t>Jéssica Fé Moura</t>
        </is>
      </c>
      <c r="C3348" t="inlineStr">
        <is>
          <t>Técnico III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M3348" t="n">
        <v>0</v>
      </c>
      <c r="N3348" t="n">
        <v>0</v>
      </c>
      <c r="O3348" t="n">
        <v>0</v>
      </c>
    </row>
    <row r="3349" hidden="1">
      <c r="A3349" s="11" t="n">
        <v>46106</v>
      </c>
      <c r="B3349" t="inlineStr">
        <is>
          <t>Karina Gonçalves Martins</t>
        </is>
      </c>
      <c r="C3349" t="inlineStr">
        <is>
          <t>JR</t>
        </is>
      </c>
      <c r="D3349" t="n">
        <v>15</v>
      </c>
      <c r="E3349" t="n">
        <v>14</v>
      </c>
      <c r="F3349" t="n">
        <v>21.47</v>
      </c>
      <c r="G3349" t="n">
        <v>0</v>
      </c>
      <c r="H3349" t="n">
        <v>0</v>
      </c>
      <c r="I3349" s="3">
        <f>E3349+G3349+H3349</f>
        <v/>
      </c>
      <c r="J3349" s="3">
        <f>ROUND(MIN(IF(C3349="Técnico III",35,IF(C3349="Técnico II",28,IF(C3349="Técnico I",23,IF(C3349="JR",20,IF(C3349="Estágio",10,0))))),IF(C3349="Técnico III",SUMIFS($D:$D,$A:$A,$A3349,$B:$B,"&lt;&gt;Patrícia Karla de Sousa Araújo",$B:$B,"&lt;&gt;Lorena Dias de Araujo",$B:$B,"&lt;&gt;Lucas Luiz Romero")*(35/1083),IF(C3349="Técnico II",SUMIFS($D:$D,$A:$A,$A3349,$B:$B,"&lt;&gt;Patrícia Karla de Sousa Araújo",$B:$B,"&lt;&gt;Lorena Dias de Araujo",$B:$B,"&lt;&gt;Lucas Luiz Romero")*(28/1083),IF(C3349="Técnico I",SUMIFS($D:$D,$A:$A,$A3349,$B:$B,"&lt;&gt;Patrícia Karla de Sousa Araújo",$B:$B,"&lt;&gt;Lorena Dias de Araujo",$B:$B,"&lt;&gt;Lucas Luiz Romero")*(23/1083),IF(C3349="JR",SUMIFS($D:$D,$A:$A,$A3349,$B:$B,"&lt;&gt;Patrícia Karla de Sousa Araújo",$B:$B,"&lt;&gt;Lorena Dias de Araujo",$B:$B,"&lt;&gt;Lucas Luiz Romero")*(20/1083),IF(C3349="Estágio",SUMIFS($D:$D,$A:$A,$A3349,$B:$B,"&lt;&gt;Patrícia Karla de Sousa Araújo",$B:$B,"&lt;&gt;Lorena Dias de Araujo",$B:$B,"&lt;&gt;Lucas Luiz Romero")*(10/1083),0)))))),0)</f>
        <v/>
      </c>
      <c r="K3349" s="3">
        <f>I3349-J3349</f>
        <v/>
      </c>
      <c r="L3349" s="3">
        <f>IF(K3349&lt;-5,"CRÍTICO",IF(K3349&lt;0,"ATENÇÃO",IF(K3349&lt;=5,"OPORTUNO","MUITO BOM")))</f>
        <v/>
      </c>
      <c r="M3349" t="n">
        <v>14</v>
      </c>
      <c r="N3349" t="n">
        <v>98.31</v>
      </c>
      <c r="O3349" t="n">
        <v>24.92012779552715</v>
      </c>
    </row>
    <row r="3350" hidden="1">
      <c r="A3350" s="11" t="n">
        <v>46106</v>
      </c>
      <c r="B3350" t="inlineStr">
        <is>
          <t>Kerollen Cristielly de Jesus Siqueira</t>
        </is>
      </c>
      <c r="C3350" t="inlineStr">
        <is>
          <t>Técnico III</t>
        </is>
      </c>
      <c r="D3350" t="n">
        <v>19</v>
      </c>
      <c r="E3350" t="n">
        <v>18</v>
      </c>
      <c r="F3350" t="n">
        <v>20.45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M3350" t="n">
        <v>19</v>
      </c>
      <c r="N3350" t="n">
        <v>96.81</v>
      </c>
      <c r="O3350" t="n">
        <v>32.36514522821577</v>
      </c>
    </row>
    <row r="3351" hidden="1">
      <c r="A3351" s="11" t="n">
        <v>46106</v>
      </c>
      <c r="B3351" t="inlineStr">
        <is>
          <t>Leandro de Souza Silva</t>
        </is>
      </c>
      <c r="C3351" t="inlineStr">
        <is>
          <t>JR</t>
        </is>
      </c>
      <c r="D3351" t="n">
        <v>15</v>
      </c>
      <c r="E3351" t="n">
        <v>15</v>
      </c>
      <c r="F3351" t="n">
        <v>21.58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M3351" t="n">
        <v>8</v>
      </c>
      <c r="N3351" t="n">
        <v>100</v>
      </c>
      <c r="O3351" t="n">
        <v>26.47058823529412</v>
      </c>
    </row>
    <row r="3352" hidden="1">
      <c r="A3352" s="11" t="n">
        <v>46106</v>
      </c>
      <c r="B3352" t="inlineStr">
        <is>
          <t>Leandro Oliveira de Sousa</t>
        </is>
      </c>
      <c r="C3352" t="inlineStr">
        <is>
          <t>Técnico III</t>
        </is>
      </c>
      <c r="D3352" t="n">
        <v>28</v>
      </c>
      <c r="E3352" t="n">
        <v>24</v>
      </c>
      <c r="F3352" t="n">
        <v>15.3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M3352" t="n">
        <v>22</v>
      </c>
      <c r="N3352" t="n">
        <v>100</v>
      </c>
      <c r="O3352" t="n">
        <v>28.49002849002849</v>
      </c>
    </row>
    <row r="3353" hidden="1">
      <c r="A3353" s="11" t="n">
        <v>46106</v>
      </c>
      <c r="B3353" t="inlineStr">
        <is>
          <t>Lizandra Gomes Duarte</t>
        </is>
      </c>
      <c r="C3353" t="inlineStr">
        <is>
          <t>Técnico II</t>
        </is>
      </c>
      <c r="D3353" t="n">
        <v>24</v>
      </c>
      <c r="E3353" t="n">
        <v>23</v>
      </c>
      <c r="F3353" t="n">
        <v>21.48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M3353" t="n">
        <v>18</v>
      </c>
      <c r="N3353" t="n">
        <v>99.14</v>
      </c>
      <c r="O3353" t="n">
        <v>27.2289156626506</v>
      </c>
    </row>
    <row r="3354" hidden="1">
      <c r="A3354" s="11" t="n">
        <v>46106</v>
      </c>
      <c r="B3354" t="inlineStr">
        <is>
          <t>Lorena Dias de Araujo</t>
        </is>
      </c>
      <c r="C3354" t="inlineStr">
        <is>
          <t>Técnico II</t>
        </is>
      </c>
      <c r="D3354" t="n">
        <v>12</v>
      </c>
      <c r="E3354" t="n">
        <v>12</v>
      </c>
      <c r="F3354" t="n">
        <v>27.1</v>
      </c>
      <c r="G3354" t="n">
        <v>0</v>
      </c>
      <c r="H3354" t="n">
        <v>0</v>
      </c>
      <c r="I3354" s="3" t="n">
        <v>0</v>
      </c>
      <c r="J3354" s="3" t="n">
        <v>0</v>
      </c>
      <c r="K3354" s="3" t="n">
        <v>0</v>
      </c>
      <c r="L3354" s="3">
        <f>IF(K3354&lt;-5,"CRÍTICO",IF(K3354&lt;0,"ATENÇÃO",IF(K3354&lt;=5,"OPORTUNO","MUITO BOM")))</f>
        <v/>
      </c>
      <c r="M3354" t="n">
        <v>9</v>
      </c>
      <c r="N3354" t="n">
        <v>97.52</v>
      </c>
      <c r="O3354" t="n">
        <v>28.2051282051282</v>
      </c>
    </row>
    <row r="3355" hidden="1">
      <c r="A3355" s="11" t="n">
        <v>46106</v>
      </c>
      <c r="B3355" t="inlineStr">
        <is>
          <t>Lucas Luiz Romero</t>
        </is>
      </c>
      <c r="C3355" t="inlineStr">
        <is>
          <t>Técnico III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M3355" t="n">
        <v>0</v>
      </c>
      <c r="N3355" t="n">
        <v>90</v>
      </c>
      <c r="O3355" t="n">
        <v>24.18604651162791</v>
      </c>
    </row>
    <row r="3356" hidden="1">
      <c r="A3356" s="11" t="n">
        <v>46106</v>
      </c>
      <c r="B3356" t="inlineStr">
        <is>
          <t>Luiz Fernando de Carvalho Junior</t>
        </is>
      </c>
      <c r="C3356" t="inlineStr">
        <is>
          <t>Técnico I</t>
        </is>
      </c>
      <c r="D3356" t="n">
        <v>19</v>
      </c>
      <c r="E3356" t="n">
        <v>17</v>
      </c>
      <c r="F3356" t="n">
        <v>27.37</v>
      </c>
      <c r="G3356" t="n">
        <v>0</v>
      </c>
      <c r="H3356" t="n">
        <v>0</v>
      </c>
      <c r="I3356" s="3">
        <f>E3356+G3356+H3356</f>
        <v/>
      </c>
      <c r="J3356" s="3">
        <f>ROUND(MIN(IF(C3356="Técnico III",35,IF(C3356="Técnico II",28,IF(C3356="Técnico I",23,IF(C3356="JR",20,IF(C3356="Estágio",10,0))))),IF(C3356="Técnico III",SUMIFS($D:$D,$A:$A,$A3356,$B:$B,"&lt;&gt;Patrícia Karla de Sousa Araújo",$B:$B,"&lt;&gt;Lorena Dias de Araujo",$B:$B,"&lt;&gt;Lucas Luiz Romero")*(35/1083),IF(C3356="Técnico II",SUMIFS($D:$D,$A:$A,$A3356,$B:$B,"&lt;&gt;Patrícia Karla de Sousa Araújo",$B:$B,"&lt;&gt;Lorena Dias de Araujo",$B:$B,"&lt;&gt;Lucas Luiz Romero")*(28/1083),IF(C3356="Técnico I",SUMIFS($D:$D,$A:$A,$A3356,$B:$B,"&lt;&gt;Patrícia Karla de Sousa Araújo",$B:$B,"&lt;&gt;Lorena Dias de Araujo",$B:$B,"&lt;&gt;Lucas Luiz Romero")*(23/1083),IF(C3356="JR",SUMIFS($D:$D,$A:$A,$A3356,$B:$B,"&lt;&gt;Patrícia Karla de Sousa Araújo",$B:$B,"&lt;&gt;Lorena Dias de Araujo",$B:$B,"&lt;&gt;Lucas Luiz Romero")*(20/1083),IF(C3356="Estágio",SUMIFS($D:$D,$A:$A,$A3356,$B:$B,"&lt;&gt;Patrícia Karla de Sousa Araújo",$B:$B,"&lt;&gt;Lorena Dias de Araujo",$B:$B,"&lt;&gt;Lucas Luiz Romero")*(10/1083),0)))))),0)</f>
        <v/>
      </c>
      <c r="K3356" s="3">
        <f>I3356-J3356</f>
        <v/>
      </c>
      <c r="L3356" s="3">
        <f>IF(K3356&lt;-5,"CRÍTICO",IF(K3356&lt;0,"ATENÇÃO",IF(K3356&lt;=5,"OPORTUNO","MUITO BOM")))</f>
        <v/>
      </c>
      <c r="M3356" t="n">
        <v>14</v>
      </c>
      <c r="N3356" t="n">
        <v>98.90000000000001</v>
      </c>
      <c r="O3356" t="n">
        <v>26.7639902676399</v>
      </c>
    </row>
    <row r="3357" hidden="1">
      <c r="A3357" s="11" t="n">
        <v>46106</v>
      </c>
      <c r="B3357" t="inlineStr">
        <is>
          <t>Maria Eduarda Sousa Costa</t>
        </is>
      </c>
      <c r="C3357" t="inlineStr">
        <is>
          <t>Estágio</t>
        </is>
      </c>
      <c r="D3357" t="n">
        <v>8</v>
      </c>
      <c r="E3357" t="n">
        <v>7</v>
      </c>
      <c r="F3357" t="n">
        <v>40.06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M3357" t="n">
        <v>6</v>
      </c>
      <c r="N3357" t="n">
        <v>88.89</v>
      </c>
      <c r="O3357" t="n">
        <v>25.26315789473684</v>
      </c>
    </row>
    <row r="3358" hidden="1">
      <c r="A3358" s="11" t="n">
        <v>46106</v>
      </c>
      <c r="B3358" t="inlineStr">
        <is>
          <t>Matheus Farias De Souza</t>
        </is>
      </c>
      <c r="C3358" t="inlineStr">
        <is>
          <t>Técnico III</t>
        </is>
      </c>
      <c r="D3358" t="n">
        <v>32</v>
      </c>
      <c r="E3358" t="n">
        <v>30</v>
      </c>
      <c r="F3358" t="n">
        <v>14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M3358" t="n">
        <v>27</v>
      </c>
      <c r="N3358" t="n">
        <v>98.86</v>
      </c>
      <c r="O3358" t="n">
        <v>28.95927601809955</v>
      </c>
    </row>
    <row r="3359" hidden="1">
      <c r="A3359" s="11" t="n">
        <v>46106</v>
      </c>
      <c r="B3359" t="inlineStr">
        <is>
          <t>Maysa Victoria Dias Moura</t>
        </is>
      </c>
      <c r="C3359" t="inlineStr">
        <is>
          <t>Técnico III</t>
        </is>
      </c>
      <c r="D3359" t="n">
        <v>26</v>
      </c>
      <c r="E3359" t="n">
        <v>24</v>
      </c>
      <c r="F3359" t="n">
        <v>13.36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M3359" t="n">
        <v>19</v>
      </c>
      <c r="N3359" t="n">
        <v>98.06</v>
      </c>
      <c r="O3359" t="n">
        <v>22.40566037735849</v>
      </c>
    </row>
    <row r="3360" hidden="1">
      <c r="A3360" s="11" t="n">
        <v>46106</v>
      </c>
      <c r="B3360" t="inlineStr">
        <is>
          <t>Michelle G Santos</t>
        </is>
      </c>
      <c r="C3360" t="inlineStr">
        <is>
          <t>Estágio</t>
        </is>
      </c>
      <c r="D3360" t="n">
        <v>13</v>
      </c>
      <c r="E3360" t="n">
        <v>13</v>
      </c>
      <c r="F3360" t="n">
        <v>38.44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M3360" t="n">
        <v>9</v>
      </c>
      <c r="N3360" t="n">
        <v>95.83</v>
      </c>
      <c r="O3360" t="n">
        <v>25.77319587628866</v>
      </c>
    </row>
    <row r="3361" hidden="1">
      <c r="A3361" s="11" t="n">
        <v>46106</v>
      </c>
      <c r="B3361" t="inlineStr">
        <is>
          <t>Milena Sales</t>
        </is>
      </c>
      <c r="C3361" t="inlineStr">
        <is>
          <t>JR</t>
        </is>
      </c>
      <c r="D3361" t="n">
        <v>0</v>
      </c>
      <c r="E3361" t="n">
        <v>0</v>
      </c>
      <c r="F3361" t="n">
        <v>0</v>
      </c>
      <c r="G3361" t="n">
        <v>0</v>
      </c>
      <c r="H3361" t="n">
        <v>0</v>
      </c>
      <c r="I3361" s="3" t="n">
        <v>0</v>
      </c>
      <c r="J3361" s="3" t="n">
        <v>0</v>
      </c>
      <c r="K3361" s="3" t="n">
        <v>0</v>
      </c>
      <c r="L3361" s="3">
        <f>IF(K3361&lt;-5,"CRÍTICO",IF(K3361&lt;0,"ATENÇÃO",IF(K3361&lt;=5,"OPORTUNO","MUITO BOM")))</f>
        <v/>
      </c>
      <c r="M3361" t="n">
        <v>0</v>
      </c>
      <c r="N3361" t="n">
        <v>100</v>
      </c>
      <c r="O3361" t="n">
        <v>15.38461538461539</v>
      </c>
    </row>
    <row r="3362" hidden="1">
      <c r="A3362" s="11" t="n">
        <v>46106</v>
      </c>
      <c r="B3362" t="inlineStr">
        <is>
          <t>Patrícia Karla de Sousa Araújo</t>
        </is>
      </c>
      <c r="C3362" t="inlineStr">
        <is>
          <t>Técnico II</t>
        </is>
      </c>
      <c r="D3362" t="n">
        <v>6</v>
      </c>
      <c r="E3362" t="n">
        <v>5</v>
      </c>
      <c r="F3362" t="n">
        <v>27.19</v>
      </c>
      <c r="G3362" t="n">
        <v>0</v>
      </c>
      <c r="H3362" t="n">
        <v>0</v>
      </c>
      <c r="I3362" s="3">
        <f>E3362+G3362+H3362</f>
        <v/>
      </c>
      <c r="J3362" s="3">
        <f>ROUND(MIN(IF(C3362="Técnico III",35,IF(C3362="Técnico II",28,IF(C3362="Técnico I",23,IF(C3362="JR",20,IF(C3362="Estágio",10,0))))),IF(C3362="Técnico III",SUMIFS($D:$D,$A:$A,$A3362,$B:$B,"&lt;&gt;Patrícia Karla de Sousa Araújo",$B:$B,"&lt;&gt;Lorena Dias de Araujo",$B:$B,"&lt;&gt;Lucas Luiz Romero")*(35/1083),IF(C3362="Técnico II",SUMIFS($D:$D,$A:$A,$A3362,$B:$B,"&lt;&gt;Patrícia Karla de Sousa Araújo",$B:$B,"&lt;&gt;Lorena Dias de Araujo",$B:$B,"&lt;&gt;Lucas Luiz Romero")*(28/1083),IF(C3362="Técnico I",SUMIFS($D:$D,$A:$A,$A3362,$B:$B,"&lt;&gt;Patrícia Karla de Sousa Araújo",$B:$B,"&lt;&gt;Lorena Dias de Araujo",$B:$B,"&lt;&gt;Lucas Luiz Romero")*(23/1083),IF(C3362="JR",SUMIFS($D:$D,$A:$A,$A3362,$B:$B,"&lt;&gt;Patrícia Karla de Sousa Araújo",$B:$B,"&lt;&gt;Lorena Dias de Araujo",$B:$B,"&lt;&gt;Lucas Luiz Romero")*(20/1083),IF(C3362="Estágio",SUMIFS($D:$D,$A:$A,$A3362,$B:$B,"&lt;&gt;Patrícia Karla de Sousa Araújo",$B:$B,"&lt;&gt;Lorena Dias de Araujo",$B:$B,"&lt;&gt;Lucas Luiz Romero")*(10/1083),0)))))),0)</f>
        <v/>
      </c>
      <c r="K3362" s="3">
        <f>I3362-J3362</f>
        <v/>
      </c>
      <c r="L3362" s="3">
        <f>IF(K3362&lt;-5,"CRÍTICO",IF(K3362&lt;0,"ATENÇÃO",IF(K3362&lt;=5,"OPORTUNO","MUITO BOM")))</f>
        <v/>
      </c>
      <c r="M3362" t="n">
        <v>4</v>
      </c>
      <c r="N3362" t="n">
        <v>100</v>
      </c>
      <c r="O3362" t="n">
        <v>27.51479289940828</v>
      </c>
    </row>
    <row r="3363" hidden="1">
      <c r="A3363" s="11" t="n">
        <v>46106</v>
      </c>
      <c r="B3363" t="inlineStr">
        <is>
          <t>Paulo Ricardo Santos</t>
        </is>
      </c>
      <c r="C3363" t="inlineStr">
        <is>
          <t>JR</t>
        </is>
      </c>
      <c r="D3363" t="n">
        <v>17</v>
      </c>
      <c r="E3363" t="n">
        <v>16</v>
      </c>
      <c r="F3363" t="n">
        <v>23.21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M3363" t="n">
        <v>15</v>
      </c>
      <c r="N3363" t="n">
        <v>100</v>
      </c>
      <c r="O3363" t="n">
        <v>24.87562189054727</v>
      </c>
    </row>
    <row r="3364" hidden="1">
      <c r="A3364" s="11" t="n">
        <v>46106</v>
      </c>
      <c r="B3364" t="inlineStr">
        <is>
          <t>Pedro Luiz Mota Sousa</t>
        </is>
      </c>
      <c r="C3364" t="inlineStr">
        <is>
          <t>JR</t>
        </is>
      </c>
      <c r="D3364" t="n">
        <v>16</v>
      </c>
      <c r="E3364" t="n">
        <v>16</v>
      </c>
      <c r="F3364" t="n">
        <v>32.09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M3364" t="n">
        <v>12</v>
      </c>
      <c r="N3364" t="n">
        <v>100</v>
      </c>
      <c r="O3364" t="n">
        <v>28.10810810810811</v>
      </c>
    </row>
    <row r="3365" hidden="1">
      <c r="A3365" s="11" t="n">
        <v>46106</v>
      </c>
      <c r="B3365" t="inlineStr">
        <is>
          <t>Quirino Diogo Leite Torres</t>
        </is>
      </c>
      <c r="C3365" t="inlineStr">
        <is>
          <t>Estágio</t>
        </is>
      </c>
      <c r="D3365" t="n">
        <v>5</v>
      </c>
      <c r="E3365" t="n">
        <v>5</v>
      </c>
      <c r="F3365" t="n">
        <v>17.02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M3365" t="n">
        <v>3</v>
      </c>
      <c r="N3365" t="n">
        <v>100</v>
      </c>
      <c r="O3365" t="n">
        <v>35</v>
      </c>
    </row>
    <row r="3366" hidden="1">
      <c r="A3366" s="11" t="n">
        <v>46106</v>
      </c>
      <c r="B3366" t="inlineStr">
        <is>
          <t>Raane Batista Matos</t>
        </is>
      </c>
      <c r="C3366" t="inlineStr">
        <is>
          <t>Técnico I</t>
        </is>
      </c>
      <c r="D3366" t="n">
        <v>20</v>
      </c>
      <c r="E3366" t="n">
        <v>17</v>
      </c>
      <c r="F3366" t="n">
        <v>22.17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M3366" t="n">
        <v>10</v>
      </c>
      <c r="N3366" t="n">
        <v>95.34999999999999</v>
      </c>
      <c r="O3366" t="n">
        <v>28.61538461538461</v>
      </c>
    </row>
    <row r="3367" hidden="1">
      <c r="A3367" s="11" t="n">
        <v>46106</v>
      </c>
      <c r="B3367" t="inlineStr">
        <is>
          <t>Rafael Gomes de Morais</t>
        </is>
      </c>
      <c r="C3367" t="inlineStr">
        <is>
          <t>Técnico III</t>
        </is>
      </c>
      <c r="D3367" t="n">
        <v>33</v>
      </c>
      <c r="E3367" t="n">
        <v>31</v>
      </c>
      <c r="F3367" t="n">
        <v>10.58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M3367" t="n">
        <v>20</v>
      </c>
      <c r="N3367" t="n">
        <v>98.26000000000001</v>
      </c>
      <c r="O3367" t="n">
        <v>27.54491017964072</v>
      </c>
    </row>
    <row r="3368" hidden="1">
      <c r="A3368" s="11" t="n">
        <v>46106</v>
      </c>
      <c r="B3368" t="inlineStr">
        <is>
          <t>Sara Maria Monteiro Lopes</t>
        </is>
      </c>
      <c r="C3368" t="inlineStr">
        <is>
          <t>Técnico I</t>
        </is>
      </c>
      <c r="D3368" t="n">
        <v>12</v>
      </c>
      <c r="E3368" t="n">
        <v>12</v>
      </c>
      <c r="F3368" t="n">
        <v>46.5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M3368" t="n">
        <v>9</v>
      </c>
      <c r="N3368" t="n">
        <v>98.55</v>
      </c>
      <c r="O3368" t="n">
        <v>25.33783783783784</v>
      </c>
    </row>
    <row r="3369" hidden="1">
      <c r="A3369" s="11" t="n">
        <v>46106</v>
      </c>
      <c r="B3369" t="inlineStr">
        <is>
          <t>Sarah Steffanie de Lima Borges</t>
        </is>
      </c>
      <c r="C3369" t="inlineStr">
        <is>
          <t>Técnico III</t>
        </is>
      </c>
      <c r="D3369" t="n">
        <v>25</v>
      </c>
      <c r="E3369" t="n">
        <v>21</v>
      </c>
      <c r="F3369" t="n">
        <v>13.43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M3369" t="n">
        <v>17</v>
      </c>
      <c r="N3369" t="n">
        <v>98.39</v>
      </c>
      <c r="O3369" t="n">
        <v>25.56390977443609</v>
      </c>
    </row>
    <row r="3370" hidden="1">
      <c r="A3370" s="11" t="n">
        <v>46107</v>
      </c>
      <c r="B3370" t="inlineStr">
        <is>
          <t>Alisson de Freitas Silva</t>
        </is>
      </c>
      <c r="C3370" t="inlineStr">
        <is>
          <t>Técnico II</t>
        </is>
      </c>
      <c r="D3370" t="n">
        <v>33</v>
      </c>
      <c r="E3370" t="n">
        <v>28</v>
      </c>
      <c r="F3370" t="n">
        <v>14.09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M3370" t="n">
        <v>23</v>
      </c>
      <c r="N3370" t="n">
        <v>94.29000000000001</v>
      </c>
      <c r="O3370" t="n">
        <v>25.64766839378239</v>
      </c>
    </row>
    <row r="3371" hidden="1">
      <c r="A3371" s="11" t="n">
        <v>46107</v>
      </c>
      <c r="B3371" t="inlineStr">
        <is>
          <t>Amanda Moura Ferreira</t>
        </is>
      </c>
      <c r="C3371" t="inlineStr">
        <is>
          <t>Técnico III</t>
        </is>
      </c>
      <c r="D3371" t="n">
        <v>0</v>
      </c>
      <c r="E3371" t="n">
        <v>0</v>
      </c>
      <c r="F3371" t="n">
        <v>0</v>
      </c>
      <c r="G3371" t="n">
        <v>0</v>
      </c>
      <c r="H3371" t="n">
        <v>0</v>
      </c>
      <c r="I3371" s="3" t="n">
        <v>0</v>
      </c>
      <c r="J3371" s="3" t="n">
        <v>0</v>
      </c>
      <c r="K3371" s="3" t="n">
        <v>0</v>
      </c>
      <c r="L3371" s="3">
        <f>IF(K3371&lt;-5,"CRÍTICO",IF(K3371&lt;0,"ATENÇÃO",IF(K3371&lt;=5,"OPORTUNO","MUITO BOM")))</f>
        <v/>
      </c>
      <c r="M3371" t="n">
        <v>30</v>
      </c>
      <c r="N3371" t="n">
        <v>98.26000000000001</v>
      </c>
      <c r="O3371" t="n">
        <v>26.66666666666667</v>
      </c>
    </row>
    <row r="3372" hidden="1">
      <c r="A3372" s="11" t="n">
        <v>46107</v>
      </c>
      <c r="B3372" t="inlineStr">
        <is>
          <t>Ana Karollyne Souza Faria</t>
        </is>
      </c>
      <c r="C3372" t="inlineStr">
        <is>
          <t>Técnico I</t>
        </is>
      </c>
      <c r="D3372" t="n">
        <v>21</v>
      </c>
      <c r="E3372" t="n">
        <v>21</v>
      </c>
      <c r="F3372" t="n">
        <v>23.32</v>
      </c>
      <c r="G3372" t="n">
        <v>0</v>
      </c>
      <c r="H3372" t="n">
        <v>0</v>
      </c>
      <c r="I3372" s="3">
        <f>E3372+G3372+H3372</f>
        <v/>
      </c>
      <c r="J3372" s="3">
        <f>ROUND(MIN(IF(C3372="Técnico III",35,IF(C3372="Técnico II",28,IF(C3372="Técnico I",23,IF(C3372="JR",20,IF(C3372="Estágio",10,0))))),IF(C3372="Técnico III",SUMIFS($D:$D,$A:$A,$A3372,$B:$B,"&lt;&gt;Patrícia Karla de Sousa Araújo",$B:$B,"&lt;&gt;Lorena Dias de Araujo",$B:$B,"&lt;&gt;Lucas Luiz Romero")*(35/1083),IF(C3372="Técnico II",SUMIFS($D:$D,$A:$A,$A3372,$B:$B,"&lt;&gt;Patrícia Karla de Sousa Araújo",$B:$B,"&lt;&gt;Lorena Dias de Araujo",$B:$B,"&lt;&gt;Lucas Luiz Romero")*(28/1083),IF(C3372="Técnico I",SUMIFS($D:$D,$A:$A,$A3372,$B:$B,"&lt;&gt;Patrícia Karla de Sousa Araújo",$B:$B,"&lt;&gt;Lorena Dias de Araujo",$B:$B,"&lt;&gt;Lucas Luiz Romero")*(23/1083),IF(C3372="JR",SUMIFS($D:$D,$A:$A,$A3372,$B:$B,"&lt;&gt;Patrícia Karla de Sousa Araújo",$B:$B,"&lt;&gt;Lorena Dias de Araujo",$B:$B,"&lt;&gt;Lucas Luiz Romero")*(20/1083),IF(C3372="Estágio",SUMIFS($D:$D,$A:$A,$A3372,$B:$B,"&lt;&gt;Patrícia Karla de Sousa Araújo",$B:$B,"&lt;&gt;Lorena Dias de Araujo",$B:$B,"&lt;&gt;Lucas Luiz Romero")*(10/1083),0)))))),0)</f>
        <v/>
      </c>
      <c r="K3372" s="3">
        <f>I3372-J3372</f>
        <v/>
      </c>
      <c r="L3372" s="3">
        <f>IF(K3372&lt;-5,"CRÍTICO",IF(K3372&lt;0,"ATENÇÃO",IF(K3372&lt;=5,"OPORTUNO","MUITO BOM")))</f>
        <v/>
      </c>
      <c r="M3372" t="n">
        <v>16</v>
      </c>
      <c r="N3372" t="n">
        <v>98.2</v>
      </c>
      <c r="O3372" t="n">
        <v>23.37962962962963</v>
      </c>
    </row>
    <row r="3373" hidden="1">
      <c r="A3373" s="11" t="n">
        <v>46107</v>
      </c>
      <c r="B3373" t="inlineStr">
        <is>
          <t>Ana Paula Da Luz Silva Aleixo</t>
        </is>
      </c>
      <c r="C3373" t="inlineStr">
        <is>
          <t>Técnico III</t>
        </is>
      </c>
      <c r="D3373" t="n">
        <v>35</v>
      </c>
      <c r="E3373" t="n">
        <v>32</v>
      </c>
      <c r="F3373" t="n">
        <v>15.52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M3373" t="n">
        <v>29</v>
      </c>
      <c r="N3373" t="n">
        <v>97.3</v>
      </c>
      <c r="O3373" t="n">
        <v>23.84769539078156</v>
      </c>
    </row>
    <row r="3374" hidden="1">
      <c r="A3374" s="11" t="n">
        <v>46107</v>
      </c>
      <c r="B3374" t="inlineStr">
        <is>
          <t>Anna Luiza Rezende Tavares</t>
        </is>
      </c>
      <c r="C3374" t="inlineStr">
        <is>
          <t>Estágio</t>
        </is>
      </c>
      <c r="D3374" t="n">
        <v>21</v>
      </c>
      <c r="E3374" t="n">
        <v>20</v>
      </c>
      <c r="F3374" t="n">
        <v>15.55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M3374" t="n">
        <v>16</v>
      </c>
      <c r="N3374" t="n">
        <v>100</v>
      </c>
      <c r="O3374" t="n">
        <v>25.26881720430108</v>
      </c>
    </row>
    <row r="3375" hidden="1">
      <c r="A3375" s="11" t="n">
        <v>46107</v>
      </c>
      <c r="B3375" t="inlineStr">
        <is>
          <t>Brenda de Menezes Silva</t>
        </is>
      </c>
      <c r="C3375" t="inlineStr">
        <is>
          <t>Técnico II</t>
        </is>
      </c>
      <c r="D3375" t="n">
        <v>35</v>
      </c>
      <c r="E3375" t="n">
        <v>31</v>
      </c>
      <c r="F3375" t="n">
        <v>15.38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M3375" t="n">
        <v>33</v>
      </c>
      <c r="N3375" t="n">
        <v>99.31999999999999</v>
      </c>
      <c r="O3375" t="n">
        <v>22.82282282282282</v>
      </c>
    </row>
    <row r="3376" hidden="1">
      <c r="A3376" s="11" t="n">
        <v>46107</v>
      </c>
      <c r="B3376" t="inlineStr">
        <is>
          <t>Carlos Mateus Cassimiro Nunes</t>
        </is>
      </c>
      <c r="C3376" t="inlineStr">
        <is>
          <t>Técnico II</t>
        </is>
      </c>
      <c r="D3376" t="n">
        <v>18</v>
      </c>
      <c r="E3376" t="n">
        <v>18</v>
      </c>
      <c r="F3376" t="n">
        <v>27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M3376" t="n">
        <v>18</v>
      </c>
      <c r="N3376" t="n">
        <v>100</v>
      </c>
      <c r="O3376" t="n">
        <v>27.96610169491525</v>
      </c>
    </row>
    <row r="3377" hidden="1">
      <c r="A3377" s="11" t="n">
        <v>46107</v>
      </c>
      <c r="B3377" t="inlineStr">
        <is>
          <t>Claudio de Sousa Velasco Filho</t>
        </is>
      </c>
      <c r="C3377" t="inlineStr">
        <is>
          <t>Estágio</t>
        </is>
      </c>
      <c r="D3377" t="n">
        <v>8</v>
      </c>
      <c r="E3377" t="n">
        <v>7</v>
      </c>
      <c r="F3377" t="n">
        <v>25.28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M3377" t="n">
        <v>4</v>
      </c>
      <c r="N3377" t="n">
        <v>100</v>
      </c>
      <c r="O3377" t="n">
        <v>30.43478260869566</v>
      </c>
    </row>
    <row r="3378" hidden="1">
      <c r="A3378" s="11" t="n">
        <v>46107</v>
      </c>
      <c r="B3378" t="inlineStr">
        <is>
          <t>Clessiane Pereira dos Santos</t>
        </is>
      </c>
      <c r="C3378" t="inlineStr">
        <is>
          <t>Técnico I</t>
        </is>
      </c>
      <c r="D3378" t="n">
        <v>22</v>
      </c>
      <c r="E3378" t="n">
        <v>22</v>
      </c>
      <c r="F3378" t="n">
        <v>21.58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M3378" t="n">
        <v>17</v>
      </c>
      <c r="N3378" t="n">
        <v>96.51000000000001</v>
      </c>
      <c r="O3378" t="n">
        <v>22.80285035629454</v>
      </c>
    </row>
    <row r="3379" hidden="1">
      <c r="A3379" s="11" t="n">
        <v>46107</v>
      </c>
      <c r="B3379" t="inlineStr">
        <is>
          <t>Cristiane Ramos da Silva Rocha</t>
        </is>
      </c>
      <c r="C3379" t="inlineStr">
        <is>
          <t>Técnico III</t>
        </is>
      </c>
      <c r="D3379" t="n">
        <v>36</v>
      </c>
      <c r="E3379" t="n">
        <v>33</v>
      </c>
      <c r="F3379" t="n">
        <v>13.27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M3379" t="n">
        <v>28</v>
      </c>
      <c r="N3379" t="n">
        <v>92.68000000000001</v>
      </c>
      <c r="O3379" t="n">
        <v>27.77777777777778</v>
      </c>
    </row>
    <row r="3380" hidden="1">
      <c r="A3380" s="11" t="n">
        <v>46107</v>
      </c>
      <c r="B3380" t="inlineStr">
        <is>
          <t>Damyllis Lorraine de Oliveira Gonçalves</t>
        </is>
      </c>
      <c r="C3380" t="inlineStr">
        <is>
          <t>Técnico II</t>
        </is>
      </c>
      <c r="D3380" t="n">
        <v>40</v>
      </c>
      <c r="E3380" t="n">
        <v>35</v>
      </c>
      <c r="F3380" t="n">
        <v>14.12</v>
      </c>
      <c r="G3380" t="n">
        <v>0</v>
      </c>
      <c r="H3380" t="n">
        <v>0</v>
      </c>
      <c r="I3380" s="3" t="n">
        <v>0</v>
      </c>
      <c r="J3380" s="3" t="n">
        <v>0</v>
      </c>
      <c r="K3380" s="3" t="n">
        <v>0</v>
      </c>
      <c r="L3380" s="3">
        <f>IF(K3380&lt;-5,"CRÍTICO",IF(K3380&lt;0,"ATENÇÃO",IF(K3380&lt;=5,"OPORTUNO","MUITO BOM")))</f>
        <v/>
      </c>
      <c r="M3380" t="n">
        <v>32</v>
      </c>
      <c r="N3380" t="n">
        <v>99.03</v>
      </c>
      <c r="O3380" t="n">
        <v>23.99150743099788</v>
      </c>
    </row>
    <row r="3381" hidden="1">
      <c r="A3381" s="11" t="n">
        <v>46107</v>
      </c>
      <c r="B3381" t="inlineStr">
        <is>
          <t>Daniel Gomes da Silva</t>
        </is>
      </c>
      <c r="C3381" t="inlineStr">
        <is>
          <t>Técnico I</t>
        </is>
      </c>
      <c r="D3381" t="n">
        <v>17</v>
      </c>
      <c r="E3381" t="n">
        <v>17</v>
      </c>
      <c r="F3381" t="n">
        <v>25.03</v>
      </c>
      <c r="G3381" t="n">
        <v>0</v>
      </c>
      <c r="H3381" t="n">
        <v>0</v>
      </c>
      <c r="I3381" s="3">
        <f>E3381+G3381+H3381</f>
        <v/>
      </c>
      <c r="J3381" s="3">
        <f>ROUND(MIN(IF(C3381="Técnico III",35,IF(C3381="Técnico II",28,IF(C3381="Técnico I",23,IF(C3381="JR",20,IF(C3381="Estágio",10,0))))),IF(C3381="Técnico III",SUMIFS($D:$D,$A:$A,$A3381,$B:$B,"&lt;&gt;Patrícia Karla de Sousa Araújo",$B:$B,"&lt;&gt;Lorena Dias de Araujo",$B:$B,"&lt;&gt;Lucas Luiz Romero")*(35/1083),IF(C3381="Técnico II",SUMIFS($D:$D,$A:$A,$A3381,$B:$B,"&lt;&gt;Patrícia Karla de Sousa Araújo",$B:$B,"&lt;&gt;Lorena Dias de Araujo",$B:$B,"&lt;&gt;Lucas Luiz Romero")*(28/1083),IF(C3381="Técnico I",SUMIFS($D:$D,$A:$A,$A3381,$B:$B,"&lt;&gt;Patrícia Karla de Sousa Araújo",$B:$B,"&lt;&gt;Lorena Dias de Araujo",$B:$B,"&lt;&gt;Lucas Luiz Romero")*(23/1083),IF(C3381="JR",SUMIFS($D:$D,$A:$A,$A3381,$B:$B,"&lt;&gt;Patrícia Karla de Sousa Araújo",$B:$B,"&lt;&gt;Lorena Dias de Araujo",$B:$B,"&lt;&gt;Lucas Luiz Romero")*(20/1083),IF(C3381="Estágio",SUMIFS($D:$D,$A:$A,$A3381,$B:$B,"&lt;&gt;Patrícia Karla de Sousa Araújo",$B:$B,"&lt;&gt;Lorena Dias de Araujo",$B:$B,"&lt;&gt;Lucas Luiz Romero")*(10/1083),0)))))),0)</f>
        <v/>
      </c>
      <c r="K3381" s="3">
        <f>I3381-J3381</f>
        <v/>
      </c>
      <c r="L3381" s="3">
        <f>IF(K3381&lt;-5,"CRÍTICO",IF(K3381&lt;0,"ATENÇÃO",IF(K3381&lt;=5,"OPORTUNO","MUITO BOM")))</f>
        <v/>
      </c>
      <c r="M3381" t="n">
        <v>8</v>
      </c>
      <c r="N3381" t="n">
        <v>98.41</v>
      </c>
      <c r="O3381" t="n">
        <v>28.13852813852814</v>
      </c>
    </row>
    <row r="3382" hidden="1">
      <c r="A3382" s="11" t="n">
        <v>46107</v>
      </c>
      <c r="B3382" t="inlineStr">
        <is>
          <t>Davylla Rodrigues Freitas Silva</t>
        </is>
      </c>
      <c r="C3382" t="inlineStr">
        <is>
          <t>Técnico III</t>
        </is>
      </c>
      <c r="D3382" t="n">
        <v>21</v>
      </c>
      <c r="E3382" t="n">
        <v>21</v>
      </c>
      <c r="F3382" t="n">
        <v>26.42</v>
      </c>
      <c r="G3382" t="n">
        <v>0</v>
      </c>
      <c r="H3382" t="n">
        <v>0</v>
      </c>
      <c r="I3382" s="3" t="n">
        <v>0</v>
      </c>
      <c r="J3382" s="3" t="n">
        <v>0</v>
      </c>
      <c r="K3382" s="3" t="n">
        <v>0</v>
      </c>
      <c r="L3382" s="3">
        <f>IF(K3382&lt;-5,"CRÍTICO",IF(K3382&lt;0,"ATENÇÃO",IF(K3382&lt;=5,"OPORTUNO","MUITO BOM")))</f>
        <v/>
      </c>
      <c r="M3382" t="n">
        <v>22</v>
      </c>
      <c r="N3382" t="n">
        <v>98.73</v>
      </c>
      <c r="O3382" t="n">
        <v>29.14285714285714</v>
      </c>
    </row>
    <row r="3383" hidden="1">
      <c r="A3383" s="11" t="n">
        <v>46107</v>
      </c>
      <c r="B3383" t="inlineStr">
        <is>
          <t>Emilly Caylane Costa</t>
        </is>
      </c>
      <c r="C3383" t="inlineStr">
        <is>
          <t>Estágio</t>
        </is>
      </c>
      <c r="D3383" t="n">
        <v>15</v>
      </c>
      <c r="E3383" t="n">
        <v>13</v>
      </c>
      <c r="F3383" t="n">
        <v>20.47</v>
      </c>
      <c r="G3383" t="n">
        <v>0</v>
      </c>
      <c r="H3383" t="n">
        <v>0</v>
      </c>
      <c r="I3383" s="3">
        <f>E3383+G3383+H3383</f>
        <v/>
      </c>
      <c r="J3383" s="3">
        <f>ROUND(MIN(IF(C3383="Técnico III",35,IF(C3383="Técnico II",28,IF(C3383="Técnico I",23,IF(C3383="JR",20,IF(C3383="Estágio",10,0))))),IF(C3383="Técnico III",SUMIFS($D:$D,$A:$A,$A3383,$B:$B,"&lt;&gt;Patrícia Karla de Sousa Araújo",$B:$B,"&lt;&gt;Lorena Dias de Araujo",$B:$B,"&lt;&gt;Lucas Luiz Romero")*(35/1083),IF(C3383="Técnico II",SUMIFS($D:$D,$A:$A,$A3383,$B:$B,"&lt;&gt;Patrícia Karla de Sousa Araújo",$B:$B,"&lt;&gt;Lorena Dias de Araujo",$B:$B,"&lt;&gt;Lucas Luiz Romero")*(28/1083),IF(C3383="Técnico I",SUMIFS($D:$D,$A:$A,$A3383,$B:$B,"&lt;&gt;Patrícia Karla de Sousa Araújo",$B:$B,"&lt;&gt;Lorena Dias de Araujo",$B:$B,"&lt;&gt;Lucas Luiz Romero")*(23/1083),IF(C3383="JR",SUMIFS($D:$D,$A:$A,$A3383,$B:$B,"&lt;&gt;Patrícia Karla de Sousa Araújo",$B:$B,"&lt;&gt;Lorena Dias de Araujo",$B:$B,"&lt;&gt;Lucas Luiz Romero")*(20/1083),IF(C3383="Estágio",SUMIFS($D:$D,$A:$A,$A3383,$B:$B,"&lt;&gt;Patrícia Karla de Sousa Araújo",$B:$B,"&lt;&gt;Lorena Dias de Araujo",$B:$B,"&lt;&gt;Lucas Luiz Romero")*(10/1083),0)))))),0)</f>
        <v/>
      </c>
      <c r="K3383" s="3">
        <f>I3383-J3383</f>
        <v/>
      </c>
      <c r="L3383" s="3">
        <f>IF(K3383&lt;-5,"CRÍTICO",IF(K3383&lt;0,"ATENÇÃO",IF(K3383&lt;=5,"OPORTUNO","MUITO BOM")))</f>
        <v/>
      </c>
      <c r="M3383" t="n">
        <v>9</v>
      </c>
      <c r="N3383" t="n">
        <v>90.48</v>
      </c>
      <c r="O3383" t="n">
        <v>20.68965517241379</v>
      </c>
    </row>
    <row r="3384" hidden="1">
      <c r="A3384" s="11" t="n">
        <v>46107</v>
      </c>
      <c r="B3384" t="inlineStr">
        <is>
          <t>Emilly Kamilly Medeiros Miranda</t>
        </is>
      </c>
      <c r="C3384" t="inlineStr">
        <is>
          <t>Técnico II</t>
        </is>
      </c>
      <c r="D3384" t="n">
        <v>29</v>
      </c>
      <c r="E3384" t="n">
        <v>26</v>
      </c>
      <c r="F3384" t="n">
        <v>16.44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M3384" t="n">
        <v>23</v>
      </c>
      <c r="N3384" t="n">
        <v>98.06</v>
      </c>
      <c r="O3384" t="n">
        <v>24.78991596638656</v>
      </c>
    </row>
    <row r="3385" hidden="1">
      <c r="A3385" s="11" t="n">
        <v>46107</v>
      </c>
      <c r="B3385" t="inlineStr">
        <is>
          <t>Francielson de Oliveira</t>
        </is>
      </c>
      <c r="C3385" t="inlineStr">
        <is>
          <t>Técnico III</t>
        </is>
      </c>
      <c r="D3385" t="n">
        <v>31</v>
      </c>
      <c r="E3385" t="n">
        <v>30</v>
      </c>
      <c r="F3385" t="n">
        <v>18.32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M3385" t="n">
        <v>30</v>
      </c>
      <c r="N3385" t="n">
        <v>97.78</v>
      </c>
      <c r="O3385" t="n">
        <v>25.49407114624506</v>
      </c>
    </row>
    <row r="3386" hidden="1">
      <c r="A3386" s="11" t="n">
        <v>46107</v>
      </c>
      <c r="B3386" t="inlineStr">
        <is>
          <t>Francilene Ferreira de Jesus</t>
        </is>
      </c>
      <c r="C3386" t="inlineStr">
        <is>
          <t>Técnico II</t>
        </is>
      </c>
      <c r="D3386" t="n">
        <v>23</v>
      </c>
      <c r="E3386" t="n">
        <v>23</v>
      </c>
      <c r="F3386" t="n">
        <v>24.1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M3386" t="n">
        <v>22</v>
      </c>
      <c r="N3386" t="n">
        <v>98.02</v>
      </c>
      <c r="O3386" t="n">
        <v>23.48484848484848</v>
      </c>
    </row>
    <row r="3387" hidden="1">
      <c r="A3387" s="10" t="n">
        <v>46164</v>
      </c>
      <c r="B3387" s="6" t="inlineStr">
        <is>
          <t>Jessica Faria da Silveira</t>
        </is>
      </c>
      <c r="C3387" s="3" t="inlineStr">
        <is>
          <t>Técnico II</t>
        </is>
      </c>
      <c r="D3387" s="3" t="n">
        <v>13</v>
      </c>
      <c r="E3387" s="3" t="n">
        <v>12</v>
      </c>
      <c r="F3387" s="3" t="n">
        <v>11.42</v>
      </c>
      <c r="G3387" s="3" t="n">
        <v>1</v>
      </c>
      <c r="H3387" s="3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M3387" s="3" t="n">
        <v>10</v>
      </c>
      <c r="N3387" s="3" t="n">
        <v>98.94</v>
      </c>
      <c r="O3387" s="3" t="n">
        <v>21.2707182320442</v>
      </c>
    </row>
    <row r="3388" hidden="1">
      <c r="A3388" s="11" t="n">
        <v>46107</v>
      </c>
      <c r="B3388" t="inlineStr">
        <is>
          <t>Isabella Borges de Oliveira</t>
        </is>
      </c>
      <c r="C3388" t="inlineStr">
        <is>
          <t>Técnico II</t>
        </is>
      </c>
      <c r="D3388" t="n">
        <v>25</v>
      </c>
      <c r="E3388" t="n">
        <v>23</v>
      </c>
      <c r="F3388" t="n">
        <v>20.4</v>
      </c>
      <c r="G3388" t="n">
        <v>0</v>
      </c>
      <c r="H3388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t="n">
        <v>21</v>
      </c>
      <c r="N3388" t="n">
        <v>100</v>
      </c>
      <c r="O3388" t="n">
        <v>27.04918032786885</v>
      </c>
    </row>
    <row r="3389" hidden="1">
      <c r="A3389" s="11" t="n">
        <v>46107</v>
      </c>
      <c r="B3389" t="inlineStr">
        <is>
          <t>Janaina Lima dos Reis Urany</t>
        </is>
      </c>
      <c r="C3389" t="inlineStr">
        <is>
          <t>Técnico III</t>
        </is>
      </c>
      <c r="D3389" t="n">
        <v>40</v>
      </c>
      <c r="E3389" t="n">
        <v>38</v>
      </c>
      <c r="F3389" t="n">
        <v>14.19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M3389" t="n">
        <v>34</v>
      </c>
      <c r="N3389" t="n">
        <v>97.83</v>
      </c>
      <c r="O3389" t="n">
        <v>26.31578947368421</v>
      </c>
    </row>
    <row r="3390" hidden="1">
      <c r="A3390" s="11" t="n">
        <v>46107</v>
      </c>
      <c r="B3390" t="inlineStr">
        <is>
          <t>Jaqueline Evangelista da Silva Martins</t>
        </is>
      </c>
      <c r="C3390" t="inlineStr">
        <is>
          <t>Técnico III</t>
        </is>
      </c>
      <c r="D3390" t="n">
        <v>24</v>
      </c>
      <c r="E3390" t="n">
        <v>21</v>
      </c>
      <c r="F3390" t="n">
        <v>13.26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M3390" t="n">
        <v>18</v>
      </c>
      <c r="N3390" t="n">
        <v>100</v>
      </c>
      <c r="O3390" t="n">
        <v>26.70157068062827</v>
      </c>
    </row>
    <row r="3391" hidden="1">
      <c r="A3391" s="11" t="n">
        <v>46107</v>
      </c>
      <c r="B3391" t="inlineStr">
        <is>
          <t>Jessica Faria da Silveira</t>
        </is>
      </c>
      <c r="C3391" t="inlineStr">
        <is>
          <t>Técnico II</t>
        </is>
      </c>
      <c r="D3391" t="n">
        <v>0</v>
      </c>
      <c r="E3391" t="n">
        <v>0</v>
      </c>
      <c r="F3391" t="n">
        <v>0</v>
      </c>
      <c r="G3391" t="n">
        <v>0</v>
      </c>
      <c r="H3391" t="n">
        <v>0</v>
      </c>
      <c r="I3391" s="3" t="n">
        <v>0</v>
      </c>
      <c r="J3391" s="3" t="n">
        <v>0</v>
      </c>
      <c r="K3391" s="3" t="n">
        <v>0</v>
      </c>
      <c r="L3391" s="3">
        <f>IF(K3391&lt;-5,"CRÍTICO",IF(K3391&lt;0,"ATENÇÃO",IF(K3391&lt;=5,"OPORTUNO","MUITO BOM")))</f>
        <v/>
      </c>
      <c r="M3391" t="n">
        <v>0</v>
      </c>
      <c r="N3391" t="n">
        <v>97.47</v>
      </c>
      <c r="O3391" t="n">
        <v>22.88732394366197</v>
      </c>
    </row>
    <row r="3392" hidden="1">
      <c r="A3392" s="11" t="n">
        <v>46107</v>
      </c>
      <c r="B3392" t="inlineStr">
        <is>
          <t>Jéssica Fé Moura</t>
        </is>
      </c>
      <c r="C3392" t="inlineStr">
        <is>
          <t>Técnico III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M3392" t="n">
        <v>0</v>
      </c>
      <c r="N3392" t="n">
        <v>0</v>
      </c>
      <c r="O3392" t="n">
        <v>0</v>
      </c>
    </row>
    <row r="3393" hidden="1">
      <c r="A3393" s="11" t="n">
        <v>46107</v>
      </c>
      <c r="B3393" t="inlineStr">
        <is>
          <t>Karina Gonçalves Martins</t>
        </is>
      </c>
      <c r="C3393" t="inlineStr">
        <is>
          <t>JR</t>
        </is>
      </c>
      <c r="D3393" t="n">
        <v>23</v>
      </c>
      <c r="E3393" t="n">
        <v>22</v>
      </c>
      <c r="F3393" t="n">
        <v>24.15</v>
      </c>
      <c r="G3393" t="n">
        <v>0</v>
      </c>
      <c r="H3393" t="n">
        <v>0</v>
      </c>
      <c r="I3393" s="3">
        <f>E3393+G3393+H3393</f>
        <v/>
      </c>
      <c r="J3393" s="3">
        <f>ROUND(MIN(IF(C3393="Técnico III",35,IF(C3393="Técnico II",28,IF(C3393="Técnico I",23,IF(C3393="JR",20,IF(C3393="Estágio",10,0))))),IF(C3393="Técnico III",SUMIFS($D:$D,$A:$A,$A3393,$B:$B,"&lt;&gt;Patrícia Karla de Sousa Araújo",$B:$B,"&lt;&gt;Lorena Dias de Araujo",$B:$B,"&lt;&gt;Lucas Luiz Romero")*(35/1083),IF(C3393="Técnico II",SUMIFS($D:$D,$A:$A,$A3393,$B:$B,"&lt;&gt;Patrícia Karla de Sousa Araújo",$B:$B,"&lt;&gt;Lorena Dias de Araujo",$B:$B,"&lt;&gt;Lucas Luiz Romero")*(28/1083),IF(C3393="Técnico I",SUMIFS($D:$D,$A:$A,$A3393,$B:$B,"&lt;&gt;Patrícia Karla de Sousa Araújo",$B:$B,"&lt;&gt;Lorena Dias de Araujo",$B:$B,"&lt;&gt;Lucas Luiz Romero")*(23/1083),IF(C3393="JR",SUMIFS($D:$D,$A:$A,$A3393,$B:$B,"&lt;&gt;Patrícia Karla de Sousa Araújo",$B:$B,"&lt;&gt;Lorena Dias de Araujo",$B:$B,"&lt;&gt;Lucas Luiz Romero")*(20/1083),IF(C3393="Estágio",SUMIFS($D:$D,$A:$A,$A3393,$B:$B,"&lt;&gt;Patrícia Karla de Sousa Araújo",$B:$B,"&lt;&gt;Lorena Dias de Araujo",$B:$B,"&lt;&gt;Lucas Luiz Romero")*(10/1083),0)))))),0)</f>
        <v/>
      </c>
      <c r="K3393" s="3">
        <f>I3393-J3393</f>
        <v/>
      </c>
      <c r="L3393" s="3">
        <f>IF(K3393&lt;-5,"CRÍTICO",IF(K3393&lt;0,"ATENÇÃO",IF(K3393&lt;=5,"OPORTUNO","MUITO BOM")))</f>
        <v/>
      </c>
      <c r="M3393" t="n">
        <v>20</v>
      </c>
      <c r="N3393" t="n">
        <v>98.31</v>
      </c>
      <c r="O3393" t="n">
        <v>24.92012779552715</v>
      </c>
    </row>
    <row r="3394" hidden="1">
      <c r="A3394" s="11" t="n">
        <v>46107</v>
      </c>
      <c r="B3394" t="inlineStr">
        <is>
          <t>Kerollen Cristielly de Jesus Siqueira</t>
        </is>
      </c>
      <c r="C3394" t="inlineStr">
        <is>
          <t>Técnico III</t>
        </is>
      </c>
      <c r="D3394" t="n">
        <v>18</v>
      </c>
      <c r="E3394" t="n">
        <v>18</v>
      </c>
      <c r="F3394" t="n">
        <v>27.37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M3394" t="n">
        <v>19</v>
      </c>
      <c r="N3394" t="n">
        <v>96.81</v>
      </c>
      <c r="O3394" t="n">
        <v>32.36514522821577</v>
      </c>
    </row>
    <row r="3395" hidden="1">
      <c r="A3395" s="11" t="n">
        <v>46107</v>
      </c>
      <c r="B3395" t="inlineStr">
        <is>
          <t>Leandro de Souza Silva</t>
        </is>
      </c>
      <c r="C3395" t="inlineStr">
        <is>
          <t>JR</t>
        </is>
      </c>
      <c r="D3395" t="n">
        <v>23</v>
      </c>
      <c r="E3395" t="n">
        <v>16</v>
      </c>
      <c r="F3395" t="n">
        <v>20.43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M3395" t="n">
        <v>12</v>
      </c>
      <c r="N3395" t="n">
        <v>100</v>
      </c>
      <c r="O3395" t="n">
        <v>26.47058823529412</v>
      </c>
    </row>
    <row r="3396" hidden="1">
      <c r="A3396" s="11" t="n">
        <v>46107</v>
      </c>
      <c r="B3396" t="inlineStr">
        <is>
          <t>Leandro Oliveira de Sousa</t>
        </is>
      </c>
      <c r="C3396" t="inlineStr">
        <is>
          <t>Técnico III</t>
        </is>
      </c>
      <c r="D3396" t="n">
        <v>27</v>
      </c>
      <c r="E3396" t="n">
        <v>24</v>
      </c>
      <c r="F3396" t="n">
        <v>18.47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M3396" t="n">
        <v>23</v>
      </c>
      <c r="N3396" t="n">
        <v>100</v>
      </c>
      <c r="O3396" t="n">
        <v>28.49002849002849</v>
      </c>
    </row>
    <row r="3397" hidden="1">
      <c r="A3397" s="11" t="n">
        <v>46107</v>
      </c>
      <c r="B3397" t="inlineStr">
        <is>
          <t>Lizandra Gomes Duarte</t>
        </is>
      </c>
      <c r="C3397" t="inlineStr">
        <is>
          <t>Técnico II</t>
        </is>
      </c>
      <c r="D3397" t="n">
        <v>30</v>
      </c>
      <c r="E3397" t="n">
        <v>29</v>
      </c>
      <c r="F3397" t="n">
        <v>25.31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M3397" t="n">
        <v>11</v>
      </c>
      <c r="N3397" t="n">
        <v>99.14</v>
      </c>
      <c r="O3397" t="n">
        <v>27.2289156626506</v>
      </c>
    </row>
    <row r="3398" hidden="1">
      <c r="A3398" s="11" t="n">
        <v>46107</v>
      </c>
      <c r="B3398" t="inlineStr">
        <is>
          <t>Lorena Dias de Araujo</t>
        </is>
      </c>
      <c r="C3398" t="inlineStr">
        <is>
          <t>Técnico II</t>
        </is>
      </c>
      <c r="D3398" t="n">
        <v>30</v>
      </c>
      <c r="E3398" t="n">
        <v>28</v>
      </c>
      <c r="F3398" t="n">
        <v>15.35</v>
      </c>
      <c r="G3398" t="n">
        <v>0</v>
      </c>
      <c r="H3398" t="n">
        <v>0</v>
      </c>
      <c r="I3398" s="3" t="n">
        <v>0</v>
      </c>
      <c r="J3398" s="3" t="n">
        <v>0</v>
      </c>
      <c r="K3398" s="3" t="n">
        <v>0</v>
      </c>
      <c r="L3398" s="3">
        <f>IF(K3398&lt;-5,"CRÍTICO",IF(K3398&lt;0,"ATENÇÃO",IF(K3398&lt;=5,"OPORTUNO","MUITO BOM")))</f>
        <v/>
      </c>
      <c r="M3398" t="n">
        <v>25</v>
      </c>
      <c r="N3398" t="n">
        <v>97.52</v>
      </c>
      <c r="O3398" t="n">
        <v>28.2051282051282</v>
      </c>
    </row>
    <row r="3399" hidden="1">
      <c r="A3399" s="11" t="n">
        <v>46107</v>
      </c>
      <c r="B3399" t="inlineStr">
        <is>
          <t>Lucas Luiz Romero</t>
        </is>
      </c>
      <c r="C3399" t="inlineStr">
        <is>
          <t>Técnico III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M3399" t="n">
        <v>0</v>
      </c>
      <c r="N3399" t="n">
        <v>90</v>
      </c>
      <c r="O3399" t="n">
        <v>24.18604651162791</v>
      </c>
    </row>
    <row r="3400" hidden="1">
      <c r="A3400" s="11" t="n">
        <v>46107</v>
      </c>
      <c r="B3400" t="inlineStr">
        <is>
          <t>Luiz Fernando de Carvalho Junior</t>
        </is>
      </c>
      <c r="C3400" t="inlineStr">
        <is>
          <t>Técnico I</t>
        </is>
      </c>
      <c r="D3400" t="n">
        <v>32</v>
      </c>
      <c r="E3400" t="n">
        <v>31</v>
      </c>
      <c r="F3400" t="n">
        <v>18.53</v>
      </c>
      <c r="G3400" t="n">
        <v>0</v>
      </c>
      <c r="H3400" t="n">
        <v>0</v>
      </c>
      <c r="I3400" s="3">
        <f>E3400+G3400+H3400</f>
        <v/>
      </c>
      <c r="J3400" s="3">
        <f>ROUND(MIN(IF(C3400="Técnico III",35,IF(C3400="Técnico II",28,IF(C3400="Técnico I",23,IF(C3400="JR",20,IF(C3400="Estágio",10,0))))),IF(C3400="Técnico III",SUMIFS($D:$D,$A:$A,$A3400,$B:$B,"&lt;&gt;Patrícia Karla de Sousa Araújo",$B:$B,"&lt;&gt;Lorena Dias de Araujo",$B:$B,"&lt;&gt;Lucas Luiz Romero")*(35/1083),IF(C3400="Técnico II",SUMIFS($D:$D,$A:$A,$A3400,$B:$B,"&lt;&gt;Patrícia Karla de Sousa Araújo",$B:$B,"&lt;&gt;Lorena Dias de Araujo",$B:$B,"&lt;&gt;Lucas Luiz Romero")*(28/1083),IF(C3400="Técnico I",SUMIFS($D:$D,$A:$A,$A3400,$B:$B,"&lt;&gt;Patrícia Karla de Sousa Araújo",$B:$B,"&lt;&gt;Lorena Dias de Araujo",$B:$B,"&lt;&gt;Lucas Luiz Romero")*(23/1083),IF(C3400="JR",SUMIFS($D:$D,$A:$A,$A3400,$B:$B,"&lt;&gt;Patrícia Karla de Sousa Araújo",$B:$B,"&lt;&gt;Lorena Dias de Araujo",$B:$B,"&lt;&gt;Lucas Luiz Romero")*(20/1083),IF(C3400="Estágio",SUMIFS($D:$D,$A:$A,$A3400,$B:$B,"&lt;&gt;Patrícia Karla de Sousa Araújo",$B:$B,"&lt;&gt;Lorena Dias de Araujo",$B:$B,"&lt;&gt;Lucas Luiz Romero")*(10/1083),0)))))),0)</f>
        <v/>
      </c>
      <c r="K3400" s="3">
        <f>I3400-J3400</f>
        <v/>
      </c>
      <c r="L3400" s="3">
        <f>IF(K3400&lt;-5,"CRÍTICO",IF(K3400&lt;0,"ATENÇÃO",IF(K3400&lt;=5,"OPORTUNO","MUITO BOM")))</f>
        <v/>
      </c>
      <c r="M3400" t="n">
        <v>24</v>
      </c>
      <c r="N3400" t="n">
        <v>98.90000000000001</v>
      </c>
      <c r="O3400" t="n">
        <v>26.7639902676399</v>
      </c>
    </row>
    <row r="3401" hidden="1">
      <c r="A3401" s="11" t="n">
        <v>46107</v>
      </c>
      <c r="B3401" t="inlineStr">
        <is>
          <t>Maria Eduarda Sousa Costa</t>
        </is>
      </c>
      <c r="C3401" t="inlineStr">
        <is>
          <t>Estágio</t>
        </is>
      </c>
      <c r="D3401" t="n">
        <v>8</v>
      </c>
      <c r="E3401" t="n">
        <v>7</v>
      </c>
      <c r="F3401" t="n">
        <v>42.36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M3401" t="n">
        <v>6</v>
      </c>
      <c r="N3401" t="n">
        <v>88.89</v>
      </c>
      <c r="O3401" t="n">
        <v>25.26315789473684</v>
      </c>
    </row>
    <row r="3402" hidden="1">
      <c r="A3402" s="11" t="n">
        <v>46107</v>
      </c>
      <c r="B3402" t="inlineStr">
        <is>
          <t>Matheus Farias De Souza</t>
        </is>
      </c>
      <c r="C3402" t="inlineStr">
        <is>
          <t>Técnico III</t>
        </is>
      </c>
      <c r="D3402" t="n">
        <v>23</v>
      </c>
      <c r="E3402" t="n">
        <v>22</v>
      </c>
      <c r="F3402" t="n">
        <v>17.34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M3402" t="n">
        <v>23</v>
      </c>
      <c r="N3402" t="n">
        <v>98.86</v>
      </c>
      <c r="O3402" t="n">
        <v>28.95927601809955</v>
      </c>
    </row>
    <row r="3403" hidden="1">
      <c r="A3403" s="11" t="n">
        <v>46107</v>
      </c>
      <c r="B3403" t="inlineStr">
        <is>
          <t>Maysa Victoria Dias Moura</t>
        </is>
      </c>
      <c r="C3403" t="inlineStr">
        <is>
          <t>Técnico III</t>
        </is>
      </c>
      <c r="D3403" t="n">
        <v>15</v>
      </c>
      <c r="E3403" t="n">
        <v>13</v>
      </c>
      <c r="F3403" t="n">
        <v>16.53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M3403" t="n">
        <v>12</v>
      </c>
      <c r="N3403" t="n">
        <v>98.06</v>
      </c>
      <c r="O3403" t="n">
        <v>22.40566037735849</v>
      </c>
    </row>
    <row r="3404" hidden="1">
      <c r="A3404" s="11" t="n">
        <v>46107</v>
      </c>
      <c r="B3404" t="inlineStr">
        <is>
          <t>Michelle G Santos</t>
        </is>
      </c>
      <c r="C3404" t="inlineStr">
        <is>
          <t>Estágio</t>
        </is>
      </c>
      <c r="D3404" t="n">
        <v>7</v>
      </c>
      <c r="E3404" t="n">
        <v>7</v>
      </c>
      <c r="F3404" t="n">
        <v>35.38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M3404" t="n">
        <v>4</v>
      </c>
      <c r="N3404" t="n">
        <v>95.83</v>
      </c>
      <c r="O3404" t="n">
        <v>25.77319587628866</v>
      </c>
    </row>
    <row r="3405" hidden="1">
      <c r="A3405" s="11" t="n">
        <v>46107</v>
      </c>
      <c r="B3405" t="inlineStr">
        <is>
          <t>Milena Sales</t>
        </is>
      </c>
      <c r="C3405" t="inlineStr">
        <is>
          <t>JR</t>
        </is>
      </c>
      <c r="D3405" t="n">
        <v>0</v>
      </c>
      <c r="E3405" t="n">
        <v>0</v>
      </c>
      <c r="F3405" t="n">
        <v>0</v>
      </c>
      <c r="G3405" t="n">
        <v>0</v>
      </c>
      <c r="H3405" t="n">
        <v>0</v>
      </c>
      <c r="I3405" s="3" t="n">
        <v>0</v>
      </c>
      <c r="J3405" s="3" t="n">
        <v>0</v>
      </c>
      <c r="K3405" s="3" t="n">
        <v>0</v>
      </c>
      <c r="L3405" s="3">
        <f>IF(K3405&lt;-5,"CRÍTICO",IF(K3405&lt;0,"ATENÇÃO",IF(K3405&lt;=5,"OPORTUNO","MUITO BOM")))</f>
        <v/>
      </c>
      <c r="M3405" t="n">
        <v>0</v>
      </c>
      <c r="N3405" t="n">
        <v>100</v>
      </c>
      <c r="O3405" t="n">
        <v>15.38461538461539</v>
      </c>
    </row>
    <row r="3406" hidden="1">
      <c r="A3406" s="11" t="n">
        <v>46107</v>
      </c>
      <c r="B3406" t="inlineStr">
        <is>
          <t>Patrícia Karla de Sousa Araújo</t>
        </is>
      </c>
      <c r="C3406" t="inlineStr">
        <is>
          <t>Técnico II</t>
        </is>
      </c>
      <c r="D3406" t="n">
        <v>7</v>
      </c>
      <c r="E3406" t="n">
        <v>6</v>
      </c>
      <c r="F3406" t="n">
        <v>8.5</v>
      </c>
      <c r="G3406" t="n">
        <v>0</v>
      </c>
      <c r="H3406" t="n">
        <v>0</v>
      </c>
      <c r="I3406" s="3">
        <f>E3406+G3406+H3406</f>
        <v/>
      </c>
      <c r="J3406" s="3">
        <f>ROUND(MIN(IF(C3406="Técnico III",35,IF(C3406="Técnico II",28,IF(C3406="Técnico I",23,IF(C3406="JR",20,IF(C3406="Estágio",10,0))))),IF(C3406="Técnico III",SUMIFS($D:$D,$A:$A,$A3406,$B:$B,"&lt;&gt;Patrícia Karla de Sousa Araújo",$B:$B,"&lt;&gt;Lorena Dias de Araujo",$B:$B,"&lt;&gt;Lucas Luiz Romero")*(35/1083),IF(C3406="Técnico II",SUMIFS($D:$D,$A:$A,$A3406,$B:$B,"&lt;&gt;Patrícia Karla de Sousa Araújo",$B:$B,"&lt;&gt;Lorena Dias de Araujo",$B:$B,"&lt;&gt;Lucas Luiz Romero")*(28/1083),IF(C3406="Técnico I",SUMIFS($D:$D,$A:$A,$A3406,$B:$B,"&lt;&gt;Patrícia Karla de Sousa Araújo",$B:$B,"&lt;&gt;Lorena Dias de Araujo",$B:$B,"&lt;&gt;Lucas Luiz Romero")*(23/1083),IF(C3406="JR",SUMIFS($D:$D,$A:$A,$A3406,$B:$B,"&lt;&gt;Patrícia Karla de Sousa Araújo",$B:$B,"&lt;&gt;Lorena Dias de Araujo",$B:$B,"&lt;&gt;Lucas Luiz Romero")*(20/1083),IF(C3406="Estágio",SUMIFS($D:$D,$A:$A,$A3406,$B:$B,"&lt;&gt;Patrícia Karla de Sousa Araújo",$B:$B,"&lt;&gt;Lorena Dias de Araujo",$B:$B,"&lt;&gt;Lucas Luiz Romero")*(10/1083),0)))))),0)</f>
        <v/>
      </c>
      <c r="K3406" s="3">
        <f>I3406-J3406</f>
        <v/>
      </c>
      <c r="L3406" s="3">
        <f>IF(K3406&lt;-5,"CRÍTICO",IF(K3406&lt;0,"ATENÇÃO",IF(K3406&lt;=5,"OPORTUNO","MUITO BOM")))</f>
        <v/>
      </c>
      <c r="M3406" t="n">
        <v>5</v>
      </c>
      <c r="N3406" t="n">
        <v>100</v>
      </c>
      <c r="O3406" t="n">
        <v>27.51479289940828</v>
      </c>
    </row>
    <row r="3407" hidden="1">
      <c r="A3407" s="11" t="n">
        <v>46107</v>
      </c>
      <c r="B3407" t="inlineStr">
        <is>
          <t>Paulo Ricardo Santos</t>
        </is>
      </c>
      <c r="C3407" t="inlineStr">
        <is>
          <t>JR</t>
        </is>
      </c>
      <c r="D3407" t="n">
        <v>20</v>
      </c>
      <c r="E3407" t="n">
        <v>20</v>
      </c>
      <c r="F3407" t="n">
        <v>18.29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M3407" t="n">
        <v>14</v>
      </c>
      <c r="N3407" t="n">
        <v>100</v>
      </c>
      <c r="O3407" t="n">
        <v>24.87562189054727</v>
      </c>
    </row>
    <row r="3408" hidden="1">
      <c r="A3408" s="11" t="n">
        <v>46107</v>
      </c>
      <c r="B3408" t="inlineStr">
        <is>
          <t>Pedro Luiz Mota Sousa</t>
        </is>
      </c>
      <c r="C3408" t="inlineStr">
        <is>
          <t>JR</t>
        </is>
      </c>
      <c r="D3408" t="n">
        <v>11</v>
      </c>
      <c r="E3408" t="n">
        <v>11</v>
      </c>
      <c r="F3408" t="n">
        <v>42.36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M3408" t="n">
        <v>9</v>
      </c>
      <c r="N3408" t="n">
        <v>100</v>
      </c>
      <c r="O3408" t="n">
        <v>28.10810810810811</v>
      </c>
    </row>
    <row r="3409" hidden="1">
      <c r="A3409" s="11" t="n">
        <v>46107</v>
      </c>
      <c r="B3409" t="inlineStr">
        <is>
          <t>Quirino Diogo Leite Torres</t>
        </is>
      </c>
      <c r="C3409" t="inlineStr">
        <is>
          <t>Estágio</t>
        </is>
      </c>
      <c r="D3409" t="n">
        <v>5</v>
      </c>
      <c r="E3409" t="n">
        <v>5</v>
      </c>
      <c r="F3409" t="n">
        <v>29.06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M3409" t="n">
        <v>4</v>
      </c>
      <c r="N3409" t="n">
        <v>100</v>
      </c>
      <c r="O3409" t="n">
        <v>35</v>
      </c>
    </row>
    <row r="3410" hidden="1">
      <c r="A3410" s="11" t="n">
        <v>46107</v>
      </c>
      <c r="B3410" t="inlineStr">
        <is>
          <t>Raane Batista Matos</t>
        </is>
      </c>
      <c r="C3410" t="inlineStr">
        <is>
          <t>Técnico I</t>
        </is>
      </c>
      <c r="D3410" t="n">
        <v>24</v>
      </c>
      <c r="E3410" t="n">
        <v>20</v>
      </c>
      <c r="F3410" t="n">
        <v>20.4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M3410" t="n">
        <v>15</v>
      </c>
      <c r="N3410" t="n">
        <v>95.34999999999999</v>
      </c>
      <c r="O3410" t="n">
        <v>28.61538461538461</v>
      </c>
    </row>
    <row r="3411" hidden="1">
      <c r="A3411" s="11" t="n">
        <v>46107</v>
      </c>
      <c r="B3411" t="inlineStr">
        <is>
          <t>Rafael Gomes de Morais</t>
        </is>
      </c>
      <c r="C3411" t="inlineStr">
        <is>
          <t>Técnico III</t>
        </is>
      </c>
      <c r="D3411" t="n">
        <v>27</v>
      </c>
      <c r="E3411" t="n">
        <v>25</v>
      </c>
      <c r="F3411" t="n">
        <v>18.27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M3411" t="n">
        <v>25</v>
      </c>
      <c r="N3411" t="n">
        <v>98.26000000000001</v>
      </c>
      <c r="O3411" t="n">
        <v>27.54491017964072</v>
      </c>
    </row>
    <row r="3412" hidden="1">
      <c r="A3412" s="11" t="n">
        <v>46107</v>
      </c>
      <c r="B3412" t="inlineStr">
        <is>
          <t>Sara Maria Monteiro Lopes</t>
        </is>
      </c>
      <c r="C3412" t="inlineStr">
        <is>
          <t>Técnico I</t>
        </is>
      </c>
      <c r="D3412" t="n">
        <v>11</v>
      </c>
      <c r="E3412" t="n">
        <v>11</v>
      </c>
      <c r="F3412" t="n">
        <v>35.36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M3412" t="n">
        <v>9</v>
      </c>
      <c r="N3412" t="n">
        <v>98.55</v>
      </c>
      <c r="O3412" t="n">
        <v>25.33783783783784</v>
      </c>
    </row>
    <row r="3413" hidden="1">
      <c r="A3413" s="11" t="n">
        <v>46107</v>
      </c>
      <c r="B3413" t="inlineStr">
        <is>
          <t>Sarah Steffanie de Lima Borges</t>
        </is>
      </c>
      <c r="C3413" t="inlineStr">
        <is>
          <t>Técnico III</t>
        </is>
      </c>
      <c r="D3413" t="n">
        <v>28</v>
      </c>
      <c r="E3413" t="n">
        <v>27</v>
      </c>
      <c r="F3413" t="n">
        <v>17.03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M3413" t="n">
        <v>26</v>
      </c>
      <c r="N3413" t="n">
        <v>98.39</v>
      </c>
      <c r="O3413" t="n">
        <v>25.56390977443609</v>
      </c>
    </row>
    <row r="3414" hidden="1">
      <c r="A3414" s="11" t="n">
        <v>46108</v>
      </c>
      <c r="B3414" t="inlineStr">
        <is>
          <t>Alisson de Freitas Silva</t>
        </is>
      </c>
      <c r="C3414" t="inlineStr">
        <is>
          <t>Técnico II</t>
        </is>
      </c>
      <c r="D3414" t="n">
        <v>25</v>
      </c>
      <c r="E3414" t="n">
        <v>22</v>
      </c>
      <c r="F3414" t="n">
        <v>13.53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M3414" t="n">
        <v>19</v>
      </c>
      <c r="N3414" t="n">
        <v>94.29000000000001</v>
      </c>
      <c r="O3414" t="n">
        <v>25.64766839378239</v>
      </c>
    </row>
    <row r="3415" hidden="1">
      <c r="A3415" s="11" t="n">
        <v>46108</v>
      </c>
      <c r="B3415" t="inlineStr">
        <is>
          <t>Amanda Moura Ferreira</t>
        </is>
      </c>
      <c r="C3415" t="inlineStr">
        <is>
          <t>Técnico III</t>
        </is>
      </c>
      <c r="D3415" t="n">
        <v>0</v>
      </c>
      <c r="E3415" t="n">
        <v>0</v>
      </c>
      <c r="F3415" t="n">
        <v>0</v>
      </c>
      <c r="G3415" t="n">
        <v>0</v>
      </c>
      <c r="H3415" t="n">
        <v>0</v>
      </c>
      <c r="I3415" s="3" t="n">
        <v>0</v>
      </c>
      <c r="J3415" s="3" t="n">
        <v>0</v>
      </c>
      <c r="K3415" s="3" t="n">
        <v>0</v>
      </c>
      <c r="L3415" s="3">
        <f>IF(K3415&lt;-5,"CRÍTICO",IF(K3415&lt;0,"ATENÇÃO",IF(K3415&lt;=5,"OPORTUNO","MUITO BOM")))</f>
        <v/>
      </c>
      <c r="M3415" t="n">
        <v>24</v>
      </c>
      <c r="N3415" t="n">
        <v>98.26000000000001</v>
      </c>
      <c r="O3415" t="n">
        <v>26.66666666666667</v>
      </c>
    </row>
    <row r="3416" hidden="1">
      <c r="A3416" s="11" t="n">
        <v>46108</v>
      </c>
      <c r="B3416" t="inlineStr">
        <is>
          <t>Ana Karollyne Souza Faria</t>
        </is>
      </c>
      <c r="C3416" t="inlineStr">
        <is>
          <t>Técnico I</t>
        </is>
      </c>
      <c r="D3416" t="n">
        <v>30</v>
      </c>
      <c r="E3416" t="n">
        <v>29</v>
      </c>
      <c r="F3416" t="n">
        <v>15.25</v>
      </c>
      <c r="G3416" t="n">
        <v>0</v>
      </c>
      <c r="H3416" t="n">
        <v>0</v>
      </c>
      <c r="I3416" s="3">
        <f>E3416+G3416+H3416</f>
        <v/>
      </c>
      <c r="J3416" s="3">
        <f>ROUND(MIN(IF(C3416="Técnico III",35,IF(C3416="Técnico II",28,IF(C3416="Técnico I",23,IF(C3416="JR",20,IF(C3416="Estágio",10,0))))),IF(C3416="Técnico III",SUMIFS($D:$D,$A:$A,$A3416,$B:$B,"&lt;&gt;Patrícia Karla de Sousa Araújo",$B:$B,"&lt;&gt;Lorena Dias de Araujo",$B:$B,"&lt;&gt;Lucas Luiz Romero")*(35/1083),IF(C3416="Técnico II",SUMIFS($D:$D,$A:$A,$A3416,$B:$B,"&lt;&gt;Patrícia Karla de Sousa Araújo",$B:$B,"&lt;&gt;Lorena Dias de Araujo",$B:$B,"&lt;&gt;Lucas Luiz Romero")*(28/1083),IF(C3416="Técnico I",SUMIFS($D:$D,$A:$A,$A3416,$B:$B,"&lt;&gt;Patrícia Karla de Sousa Araújo",$B:$B,"&lt;&gt;Lorena Dias de Araujo",$B:$B,"&lt;&gt;Lucas Luiz Romero")*(23/1083),IF(C3416="JR",SUMIFS($D:$D,$A:$A,$A3416,$B:$B,"&lt;&gt;Patrícia Karla de Sousa Araújo",$B:$B,"&lt;&gt;Lorena Dias de Araujo",$B:$B,"&lt;&gt;Lucas Luiz Romero")*(20/1083),IF(C3416="Estágio",SUMIFS($D:$D,$A:$A,$A3416,$B:$B,"&lt;&gt;Patrícia Karla de Sousa Araújo",$B:$B,"&lt;&gt;Lorena Dias de Araujo",$B:$B,"&lt;&gt;Lucas Luiz Romero")*(10/1083),0)))))),0)</f>
        <v/>
      </c>
      <c r="K3416" s="3">
        <f>I3416-J3416</f>
        <v/>
      </c>
      <c r="L3416" s="3">
        <f>IF(K3416&lt;-5,"CRÍTICO",IF(K3416&lt;0,"ATENÇÃO",IF(K3416&lt;=5,"OPORTUNO","MUITO BOM")))</f>
        <v/>
      </c>
      <c r="M3416" t="n">
        <v>26</v>
      </c>
      <c r="N3416" t="n">
        <v>98.2</v>
      </c>
      <c r="O3416" t="n">
        <v>23.37962962962963</v>
      </c>
    </row>
    <row r="3417" hidden="1">
      <c r="A3417" s="11" t="n">
        <v>46108</v>
      </c>
      <c r="B3417" t="inlineStr">
        <is>
          <t>Ana Paula Da Luz Silva Aleixo</t>
        </is>
      </c>
      <c r="C3417" t="inlineStr">
        <is>
          <t>Técnico III</t>
        </is>
      </c>
      <c r="D3417" t="n">
        <v>26</v>
      </c>
      <c r="E3417" t="n">
        <v>22</v>
      </c>
      <c r="F3417" t="n">
        <v>16.58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M3417" t="n">
        <v>19</v>
      </c>
      <c r="N3417" t="n">
        <v>97.3</v>
      </c>
      <c r="O3417" t="n">
        <v>23.84769539078156</v>
      </c>
    </row>
    <row r="3418" hidden="1">
      <c r="A3418" s="11" t="n">
        <v>46108</v>
      </c>
      <c r="B3418" t="inlineStr">
        <is>
          <t>Anna Luiza Rezende Tavares</t>
        </is>
      </c>
      <c r="C3418" t="inlineStr">
        <is>
          <t>Estágio</t>
        </is>
      </c>
      <c r="D3418" t="n">
        <v>16</v>
      </c>
      <c r="E3418" t="n">
        <v>16</v>
      </c>
      <c r="F3418" t="n">
        <v>20.28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M3418" t="n">
        <v>15</v>
      </c>
      <c r="N3418" t="n">
        <v>100</v>
      </c>
      <c r="O3418" t="n">
        <v>25.26881720430108</v>
      </c>
    </row>
    <row r="3419" hidden="1">
      <c r="A3419" s="11" t="n">
        <v>46108</v>
      </c>
      <c r="B3419" t="inlineStr">
        <is>
          <t>Brenda de Menezes Silva</t>
        </is>
      </c>
      <c r="C3419" t="inlineStr">
        <is>
          <t>Técnico II</t>
        </is>
      </c>
      <c r="D3419" t="n">
        <v>32</v>
      </c>
      <c r="E3419" t="n">
        <v>29</v>
      </c>
      <c r="F3419" t="n">
        <v>17.32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M3419" t="n">
        <v>28</v>
      </c>
      <c r="N3419" t="n">
        <v>99.31999999999999</v>
      </c>
      <c r="O3419" t="n">
        <v>22.82282282282282</v>
      </c>
    </row>
    <row r="3420" hidden="1">
      <c r="A3420" s="11" t="n">
        <v>46108</v>
      </c>
      <c r="B3420" t="inlineStr">
        <is>
          <t>Carlos Mateus Cassimiro Nunes</t>
        </is>
      </c>
      <c r="C3420" t="inlineStr">
        <is>
          <t>Técnico II</t>
        </is>
      </c>
      <c r="D3420" t="n">
        <v>19</v>
      </c>
      <c r="E3420" t="n">
        <v>17</v>
      </c>
      <c r="F3420" t="n">
        <v>23.48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M3420" t="n">
        <v>18</v>
      </c>
      <c r="N3420" t="n">
        <v>100</v>
      </c>
      <c r="O3420" t="n">
        <v>27.96610169491525</v>
      </c>
    </row>
    <row r="3421" hidden="1">
      <c r="A3421" s="11" t="n">
        <v>46108</v>
      </c>
      <c r="B3421" t="inlineStr">
        <is>
          <t>Claudio de Sousa Velasco Filho</t>
        </is>
      </c>
      <c r="C3421" t="inlineStr">
        <is>
          <t>Estágio</t>
        </is>
      </c>
      <c r="D3421" t="n">
        <v>10</v>
      </c>
      <c r="E3421" t="n">
        <v>10</v>
      </c>
      <c r="F3421" t="n">
        <v>15.45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M3421" t="n">
        <v>6</v>
      </c>
      <c r="N3421" t="n">
        <v>100</v>
      </c>
      <c r="O3421" t="n">
        <v>30.43478260869566</v>
      </c>
    </row>
    <row r="3422" hidden="1">
      <c r="A3422" s="11" t="n">
        <v>46108</v>
      </c>
      <c r="B3422" t="inlineStr">
        <is>
          <t>Clessiane Pereira dos Santos</t>
        </is>
      </c>
      <c r="C3422" t="inlineStr">
        <is>
          <t>Técnico I</t>
        </is>
      </c>
      <c r="D3422" t="n">
        <v>31</v>
      </c>
      <c r="E3422" t="n">
        <v>30</v>
      </c>
      <c r="F3422" t="n">
        <v>21.45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M3422" t="n">
        <v>31</v>
      </c>
      <c r="N3422" t="n">
        <v>96.51000000000001</v>
      </c>
      <c r="O3422" t="n">
        <v>22.80285035629454</v>
      </c>
    </row>
    <row r="3423" hidden="1">
      <c r="A3423" s="11" t="n">
        <v>46108</v>
      </c>
      <c r="B3423" t="inlineStr">
        <is>
          <t>Cristiane Ramos da Silva Rocha</t>
        </is>
      </c>
      <c r="C3423" t="inlineStr">
        <is>
          <t>Técnico III</t>
        </is>
      </c>
      <c r="D3423" t="n">
        <v>29</v>
      </c>
      <c r="E3423" t="n">
        <v>25</v>
      </c>
      <c r="F3423" t="n">
        <v>10.48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M3423" t="n">
        <v>22</v>
      </c>
      <c r="N3423" t="n">
        <v>92.68000000000001</v>
      </c>
      <c r="O3423" t="n">
        <v>27.77777777777778</v>
      </c>
    </row>
    <row r="3424" hidden="1">
      <c r="A3424" s="11" t="n">
        <v>46108</v>
      </c>
      <c r="B3424" t="inlineStr">
        <is>
          <t>Damyllis Lorraine de Oliveira Gonçalves</t>
        </is>
      </c>
      <c r="C3424" t="inlineStr">
        <is>
          <t>Técnico II</t>
        </is>
      </c>
      <c r="D3424" t="n">
        <v>16</v>
      </c>
      <c r="E3424" t="n">
        <v>13</v>
      </c>
      <c r="F3424" t="n">
        <v>10.34</v>
      </c>
      <c r="G3424" t="n">
        <v>0</v>
      </c>
      <c r="H3424" t="n">
        <v>0</v>
      </c>
      <c r="I3424" s="3" t="n">
        <v>0</v>
      </c>
      <c r="J3424" s="3" t="n">
        <v>0</v>
      </c>
      <c r="K3424" s="3" t="n">
        <v>0</v>
      </c>
      <c r="L3424" s="3">
        <f>IF(K3424&lt;-5,"CRÍTICO",IF(K3424&lt;0,"ATENÇÃO",IF(K3424&lt;=5,"OPORTUNO","MUITO BOM")))</f>
        <v/>
      </c>
      <c r="M3424" t="n">
        <v>12</v>
      </c>
      <c r="N3424" t="n">
        <v>99.03</v>
      </c>
      <c r="O3424" t="n">
        <v>23.99150743099788</v>
      </c>
    </row>
    <row r="3425" hidden="1">
      <c r="A3425" s="11" t="n">
        <v>46108</v>
      </c>
      <c r="B3425" t="inlineStr">
        <is>
          <t>Daniel Gomes da Silva</t>
        </is>
      </c>
      <c r="C3425" t="inlineStr">
        <is>
          <t>Técnico I</t>
        </is>
      </c>
      <c r="D3425" t="n">
        <v>19</v>
      </c>
      <c r="E3425" t="n">
        <v>17</v>
      </c>
      <c r="F3425" t="n">
        <v>20.48</v>
      </c>
      <c r="G3425" t="n">
        <v>0</v>
      </c>
      <c r="H3425" t="n">
        <v>0</v>
      </c>
      <c r="I3425" s="3">
        <f>E3425+G3425+H3425</f>
        <v/>
      </c>
      <c r="J3425" s="3">
        <f>ROUND(MIN(IF(C3425="Técnico III",35,IF(C3425="Técnico II",28,IF(C3425="Técnico I",23,IF(C3425="JR",20,IF(C3425="Estágio",10,0))))),IF(C3425="Técnico III",SUMIFS($D:$D,$A:$A,$A3425,$B:$B,"&lt;&gt;Patrícia Karla de Sousa Araújo",$B:$B,"&lt;&gt;Lorena Dias de Araujo",$B:$B,"&lt;&gt;Lucas Luiz Romero")*(35/1083),IF(C3425="Técnico II",SUMIFS($D:$D,$A:$A,$A3425,$B:$B,"&lt;&gt;Patrícia Karla de Sousa Araújo",$B:$B,"&lt;&gt;Lorena Dias de Araujo",$B:$B,"&lt;&gt;Lucas Luiz Romero")*(28/1083),IF(C3425="Técnico I",SUMIFS($D:$D,$A:$A,$A3425,$B:$B,"&lt;&gt;Patrícia Karla de Sousa Araújo",$B:$B,"&lt;&gt;Lorena Dias de Araujo",$B:$B,"&lt;&gt;Lucas Luiz Romero")*(23/1083),IF(C3425="JR",SUMIFS($D:$D,$A:$A,$A3425,$B:$B,"&lt;&gt;Patrícia Karla de Sousa Araújo",$B:$B,"&lt;&gt;Lorena Dias de Araujo",$B:$B,"&lt;&gt;Lucas Luiz Romero")*(20/1083),IF(C3425="Estágio",SUMIFS($D:$D,$A:$A,$A3425,$B:$B,"&lt;&gt;Patrícia Karla de Sousa Araújo",$B:$B,"&lt;&gt;Lorena Dias de Araujo",$B:$B,"&lt;&gt;Lucas Luiz Romero")*(10/1083),0)))))),0)</f>
        <v/>
      </c>
      <c r="K3425" s="3">
        <f>I3425-J3425</f>
        <v/>
      </c>
      <c r="L3425" s="3">
        <f>IF(K3425&lt;-5,"CRÍTICO",IF(K3425&lt;0,"ATENÇÃO",IF(K3425&lt;=5,"OPORTUNO","MUITO BOM")))</f>
        <v/>
      </c>
      <c r="M3425" t="n">
        <v>6</v>
      </c>
      <c r="N3425" t="n">
        <v>98.41</v>
      </c>
      <c r="O3425" t="n">
        <v>28.13852813852814</v>
      </c>
    </row>
    <row r="3426" hidden="1">
      <c r="A3426" s="11" t="n">
        <v>46108</v>
      </c>
      <c r="B3426" t="inlineStr">
        <is>
          <t>Davylla Rodrigues Freitas Silva</t>
        </is>
      </c>
      <c r="C3426" t="inlineStr">
        <is>
          <t>Técnico III</t>
        </is>
      </c>
      <c r="D3426" t="n">
        <v>17</v>
      </c>
      <c r="E3426" t="n">
        <v>17</v>
      </c>
      <c r="F3426" t="n">
        <v>33.45</v>
      </c>
      <c r="G3426" t="n">
        <v>0</v>
      </c>
      <c r="H3426" t="n">
        <v>0</v>
      </c>
      <c r="I3426" s="3" t="n">
        <v>0</v>
      </c>
      <c r="J3426" s="3" t="n">
        <v>0</v>
      </c>
      <c r="K3426" s="3" t="n">
        <v>0</v>
      </c>
      <c r="L3426" s="3">
        <f>IF(K3426&lt;-5,"CRÍTICO",IF(K3426&lt;0,"ATENÇÃO",IF(K3426&lt;=5,"OPORTUNO","MUITO BOM")))</f>
        <v/>
      </c>
      <c r="M3426" t="n">
        <v>18</v>
      </c>
      <c r="N3426" t="n">
        <v>98.73</v>
      </c>
      <c r="O3426" t="n">
        <v>29.14285714285714</v>
      </c>
    </row>
    <row r="3427" hidden="1">
      <c r="A3427" s="11" t="n">
        <v>46108</v>
      </c>
      <c r="B3427" t="inlineStr">
        <is>
          <t>Emilly Caylane Costa</t>
        </is>
      </c>
      <c r="C3427" t="inlineStr">
        <is>
          <t>Estágio</t>
        </is>
      </c>
      <c r="D3427" t="n">
        <v>10</v>
      </c>
      <c r="E3427" t="n">
        <v>8</v>
      </c>
      <c r="F3427" t="n">
        <v>27.39</v>
      </c>
      <c r="G3427" t="n">
        <v>0</v>
      </c>
      <c r="H3427" t="n">
        <v>0</v>
      </c>
      <c r="I3427" s="3">
        <f>E3427+G3427+H3427</f>
        <v/>
      </c>
      <c r="J3427" s="3">
        <f>ROUND(MIN(IF(C3427="Técnico III",35,IF(C3427="Técnico II",28,IF(C3427="Técnico I",23,IF(C3427="JR",20,IF(C3427="Estágio",10,0))))),IF(C3427="Técnico III",SUMIFS($D:$D,$A:$A,$A3427,$B:$B,"&lt;&gt;Patrícia Karla de Sousa Araújo",$B:$B,"&lt;&gt;Lorena Dias de Araujo",$B:$B,"&lt;&gt;Lucas Luiz Romero")*(35/1083),IF(C3427="Técnico II",SUMIFS($D:$D,$A:$A,$A3427,$B:$B,"&lt;&gt;Patrícia Karla de Sousa Araújo",$B:$B,"&lt;&gt;Lorena Dias de Araujo",$B:$B,"&lt;&gt;Lucas Luiz Romero")*(28/1083),IF(C3427="Técnico I",SUMIFS($D:$D,$A:$A,$A3427,$B:$B,"&lt;&gt;Patrícia Karla de Sousa Araújo",$B:$B,"&lt;&gt;Lorena Dias de Araujo",$B:$B,"&lt;&gt;Lucas Luiz Romero")*(23/1083),IF(C3427="JR",SUMIFS($D:$D,$A:$A,$A3427,$B:$B,"&lt;&gt;Patrícia Karla de Sousa Araújo",$B:$B,"&lt;&gt;Lorena Dias de Araujo",$B:$B,"&lt;&gt;Lucas Luiz Romero")*(20/1083),IF(C3427="Estágio",SUMIFS($D:$D,$A:$A,$A3427,$B:$B,"&lt;&gt;Patrícia Karla de Sousa Araújo",$B:$B,"&lt;&gt;Lorena Dias de Araujo",$B:$B,"&lt;&gt;Lucas Luiz Romero")*(10/1083),0)))))),0)</f>
        <v/>
      </c>
      <c r="K3427" s="3">
        <f>I3427-J3427</f>
        <v/>
      </c>
      <c r="L3427" s="3">
        <f>IF(K3427&lt;-5,"CRÍTICO",IF(K3427&lt;0,"ATENÇÃO",IF(K3427&lt;=5,"OPORTUNO","MUITO BOM")))</f>
        <v/>
      </c>
      <c r="M3427" t="n">
        <v>8</v>
      </c>
      <c r="N3427" t="n">
        <v>90.48</v>
      </c>
      <c r="O3427" t="n">
        <v>20.68965517241379</v>
      </c>
    </row>
    <row r="3428" hidden="1">
      <c r="A3428" s="11" t="n">
        <v>46108</v>
      </c>
      <c r="B3428" t="inlineStr">
        <is>
          <t>Emilly Kamilly Medeiros Miranda</t>
        </is>
      </c>
      <c r="C3428" t="inlineStr">
        <is>
          <t>Técnico II</t>
        </is>
      </c>
      <c r="D3428" t="n">
        <v>23</v>
      </c>
      <c r="E3428" t="n">
        <v>23</v>
      </c>
      <c r="F3428" t="n">
        <v>16.47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M3428" t="n">
        <v>21</v>
      </c>
      <c r="N3428" t="n">
        <v>98.06</v>
      </c>
      <c r="O3428" t="n">
        <v>24.78991596638656</v>
      </c>
    </row>
    <row r="3429" hidden="1">
      <c r="A3429" s="11" t="n">
        <v>46108</v>
      </c>
      <c r="B3429" t="inlineStr">
        <is>
          <t>Francielson de Oliveira</t>
        </is>
      </c>
      <c r="C3429" t="inlineStr">
        <is>
          <t>Técnico III</t>
        </is>
      </c>
      <c r="D3429" t="n">
        <v>20</v>
      </c>
      <c r="E3429" t="n">
        <v>19</v>
      </c>
      <c r="F3429" t="n">
        <v>16.4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M3429" t="n">
        <v>20</v>
      </c>
      <c r="N3429" t="n">
        <v>97.78</v>
      </c>
      <c r="O3429" t="n">
        <v>25.49407114624506</v>
      </c>
    </row>
    <row r="3430" hidden="1">
      <c r="A3430" s="11" t="n">
        <v>46108</v>
      </c>
      <c r="B3430" t="inlineStr">
        <is>
          <t>Francilene Ferreira de Jesus</t>
        </is>
      </c>
      <c r="C3430" t="inlineStr">
        <is>
          <t>Técnico II</t>
        </is>
      </c>
      <c r="D3430" t="n">
        <v>25</v>
      </c>
      <c r="E3430" t="n">
        <v>20</v>
      </c>
      <c r="F3430" t="n">
        <v>23.59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M3430" t="n">
        <v>18</v>
      </c>
      <c r="N3430" t="n">
        <v>98.02</v>
      </c>
      <c r="O3430" t="n">
        <v>23.48484848484848</v>
      </c>
    </row>
    <row r="3431" hidden="1">
      <c r="A3431" s="10" t="n">
        <v>46164</v>
      </c>
      <c r="B3431" s="6" t="inlineStr">
        <is>
          <t>Lizandra Gomes Duarte</t>
        </is>
      </c>
      <c r="C3431" s="3" t="inlineStr">
        <is>
          <t>Técnico II</t>
        </is>
      </c>
      <c r="D3431" s="3" t="n">
        <v>19</v>
      </c>
      <c r="E3431" s="3" t="n">
        <v>18</v>
      </c>
      <c r="F3431" s="3" t="n">
        <v>20.48</v>
      </c>
      <c r="G3431" s="3" t="n">
        <v>1</v>
      </c>
      <c r="H3431" s="3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M3431" s="3" t="n">
        <v>18</v>
      </c>
      <c r="N3431" s="3" t="n">
        <v>99</v>
      </c>
      <c r="O3431" s="3" t="n">
        <v>22.01086956521739</v>
      </c>
    </row>
    <row r="3432" hidden="1">
      <c r="A3432" s="11" t="n">
        <v>46108</v>
      </c>
      <c r="B3432" t="inlineStr">
        <is>
          <t>Isabella Borges de Oliveira</t>
        </is>
      </c>
      <c r="C3432" t="inlineStr">
        <is>
          <t>Técnico II</t>
        </is>
      </c>
      <c r="D3432" t="n">
        <v>22</v>
      </c>
      <c r="E3432" t="n">
        <v>22</v>
      </c>
      <c r="F3432" t="n">
        <v>20.03</v>
      </c>
      <c r="G3432" t="n">
        <v>0</v>
      </c>
      <c r="H3432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t="n">
        <v>14</v>
      </c>
      <c r="N3432" t="n">
        <v>100</v>
      </c>
      <c r="O3432" t="n">
        <v>27.04918032786885</v>
      </c>
    </row>
    <row r="3433" hidden="1">
      <c r="A3433" s="11" t="n">
        <v>46108</v>
      </c>
      <c r="B3433" t="inlineStr">
        <is>
          <t>Janaina Lima dos Reis Urany</t>
        </is>
      </c>
      <c r="C3433" t="inlineStr">
        <is>
          <t>Técnico III</t>
        </is>
      </c>
      <c r="D3433" t="n">
        <v>42</v>
      </c>
      <c r="E3433" t="n">
        <v>39</v>
      </c>
      <c r="F3433" t="n">
        <v>14.16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M3433" t="n">
        <v>38</v>
      </c>
      <c r="N3433" t="n">
        <v>97.83</v>
      </c>
      <c r="O3433" t="n">
        <v>26.31578947368421</v>
      </c>
    </row>
    <row r="3434" hidden="1">
      <c r="A3434" s="11" t="n">
        <v>46108</v>
      </c>
      <c r="B3434" t="inlineStr">
        <is>
          <t>Jaqueline Evangelista da Silva Martins</t>
        </is>
      </c>
      <c r="C3434" t="inlineStr">
        <is>
          <t>Técnico III</t>
        </is>
      </c>
      <c r="D3434" t="n">
        <v>6</v>
      </c>
      <c r="E3434" t="n">
        <v>6</v>
      </c>
      <c r="F3434" t="n">
        <v>13.41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M3434" t="n">
        <v>5</v>
      </c>
      <c r="N3434" t="n">
        <v>100</v>
      </c>
      <c r="O3434" t="n">
        <v>26.70157068062827</v>
      </c>
    </row>
    <row r="3435" hidden="1">
      <c r="A3435" s="11" t="n">
        <v>46108</v>
      </c>
      <c r="B3435" t="inlineStr">
        <is>
          <t>Jessica Faria da Silveira</t>
        </is>
      </c>
      <c r="C3435" t="inlineStr">
        <is>
          <t>Técnico II</t>
        </is>
      </c>
      <c r="D3435" t="n">
        <v>0</v>
      </c>
      <c r="E3435" t="n">
        <v>0</v>
      </c>
      <c r="F3435" t="n">
        <v>0</v>
      </c>
      <c r="G3435" t="n">
        <v>0</v>
      </c>
      <c r="H3435" t="n">
        <v>0</v>
      </c>
      <c r="I3435" s="3" t="n">
        <v>0</v>
      </c>
      <c r="J3435" s="3" t="n">
        <v>0</v>
      </c>
      <c r="K3435" s="3" t="n">
        <v>0</v>
      </c>
      <c r="L3435" s="3">
        <f>IF(K3435&lt;-5,"CRÍTICO",IF(K3435&lt;0,"ATENÇÃO",IF(K3435&lt;=5,"OPORTUNO","MUITO BOM")))</f>
        <v/>
      </c>
      <c r="M3435" t="n">
        <v>0</v>
      </c>
      <c r="N3435" t="n">
        <v>97.47</v>
      </c>
      <c r="O3435" t="n">
        <v>22.88732394366197</v>
      </c>
    </row>
    <row r="3436" hidden="1">
      <c r="A3436" s="11" t="n">
        <v>46108</v>
      </c>
      <c r="B3436" t="inlineStr">
        <is>
          <t>Jéssica Fé Moura</t>
        </is>
      </c>
      <c r="C3436" t="inlineStr">
        <is>
          <t>Técnico III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M3436" t="n">
        <v>0</v>
      </c>
      <c r="N3436" t="n">
        <v>0</v>
      </c>
      <c r="O3436" t="n">
        <v>0</v>
      </c>
    </row>
    <row r="3437" hidden="1">
      <c r="A3437" s="11" t="n">
        <v>46108</v>
      </c>
      <c r="B3437" t="inlineStr">
        <is>
          <t>Karina Gonçalves Martins</t>
        </is>
      </c>
      <c r="C3437" t="inlineStr">
        <is>
          <t>JR</t>
        </is>
      </c>
      <c r="D3437" t="n">
        <v>24</v>
      </c>
      <c r="E3437" t="n">
        <v>24</v>
      </c>
      <c r="F3437" t="n">
        <v>24.03</v>
      </c>
      <c r="G3437" t="n">
        <v>0</v>
      </c>
      <c r="H3437" t="n">
        <v>0</v>
      </c>
      <c r="I3437" s="3">
        <f>E3437+G3437+H3437</f>
        <v/>
      </c>
      <c r="J3437" s="3">
        <f>ROUND(MIN(IF(C3437="Técnico III",35,IF(C3437="Técnico II",28,IF(C3437="Técnico I",23,IF(C3437="JR",20,IF(C3437="Estágio",10,0))))),IF(C3437="Técnico III",SUMIFS($D:$D,$A:$A,$A3437,$B:$B,"&lt;&gt;Patrícia Karla de Sousa Araújo",$B:$B,"&lt;&gt;Lorena Dias de Araujo",$B:$B,"&lt;&gt;Lucas Luiz Romero")*(35/1083),IF(C3437="Técnico II",SUMIFS($D:$D,$A:$A,$A3437,$B:$B,"&lt;&gt;Patrícia Karla de Sousa Araújo",$B:$B,"&lt;&gt;Lorena Dias de Araujo",$B:$B,"&lt;&gt;Lucas Luiz Romero")*(28/1083),IF(C3437="Técnico I",SUMIFS($D:$D,$A:$A,$A3437,$B:$B,"&lt;&gt;Patrícia Karla de Sousa Araújo",$B:$B,"&lt;&gt;Lorena Dias de Araujo",$B:$B,"&lt;&gt;Lucas Luiz Romero")*(23/1083),IF(C3437="JR",SUMIFS($D:$D,$A:$A,$A3437,$B:$B,"&lt;&gt;Patrícia Karla de Sousa Araújo",$B:$B,"&lt;&gt;Lorena Dias de Araujo",$B:$B,"&lt;&gt;Lucas Luiz Romero")*(20/1083),IF(C3437="Estágio",SUMIFS($D:$D,$A:$A,$A3437,$B:$B,"&lt;&gt;Patrícia Karla de Sousa Araújo",$B:$B,"&lt;&gt;Lorena Dias de Araujo",$B:$B,"&lt;&gt;Lucas Luiz Romero")*(10/1083),0)))))),0)</f>
        <v/>
      </c>
      <c r="K3437" s="3">
        <f>I3437-J3437</f>
        <v/>
      </c>
      <c r="L3437" s="3">
        <f>IF(K3437&lt;-5,"CRÍTICO",IF(K3437&lt;0,"ATENÇÃO",IF(K3437&lt;=5,"OPORTUNO","MUITO BOM")))</f>
        <v/>
      </c>
      <c r="M3437" t="n">
        <v>23</v>
      </c>
      <c r="N3437" t="n">
        <v>98.31</v>
      </c>
      <c r="O3437" t="n">
        <v>24.92012779552715</v>
      </c>
    </row>
    <row r="3438" hidden="1">
      <c r="A3438" s="11" t="n">
        <v>46108</v>
      </c>
      <c r="B3438" t="inlineStr">
        <is>
          <t>Kerollen Cristielly de Jesus Siqueira</t>
        </is>
      </c>
      <c r="C3438" t="inlineStr">
        <is>
          <t>Técnico III</t>
        </is>
      </c>
      <c r="D3438" t="n">
        <v>27</v>
      </c>
      <c r="E3438" t="n">
        <v>25</v>
      </c>
      <c r="F3438" t="n">
        <v>16.43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M3438" t="n">
        <v>25</v>
      </c>
      <c r="N3438" t="n">
        <v>96.81</v>
      </c>
      <c r="O3438" t="n">
        <v>32.36514522821577</v>
      </c>
    </row>
    <row r="3439" hidden="1">
      <c r="A3439" s="11" t="n">
        <v>46108</v>
      </c>
      <c r="B3439" t="inlineStr">
        <is>
          <t>Leandro de Souza Silva</t>
        </is>
      </c>
      <c r="C3439" t="inlineStr">
        <is>
          <t>JR</t>
        </is>
      </c>
      <c r="D3439" t="n">
        <v>14</v>
      </c>
      <c r="E3439" t="n">
        <v>11</v>
      </c>
      <c r="F3439" t="n">
        <v>34.02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M3439" t="n">
        <v>9</v>
      </c>
      <c r="N3439" t="n">
        <v>100</v>
      </c>
      <c r="O3439" t="n">
        <v>26.47058823529412</v>
      </c>
    </row>
    <row r="3440" hidden="1">
      <c r="A3440" s="11" t="n">
        <v>46108</v>
      </c>
      <c r="B3440" t="inlineStr">
        <is>
          <t>Leandro Oliveira de Sousa</t>
        </is>
      </c>
      <c r="C3440" t="inlineStr">
        <is>
          <t>Técnico III</t>
        </is>
      </c>
      <c r="D3440" t="n">
        <v>30</v>
      </c>
      <c r="E3440" t="n">
        <v>28</v>
      </c>
      <c r="F3440" t="n">
        <v>20.5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M3440" t="n">
        <v>26</v>
      </c>
      <c r="N3440" t="n">
        <v>100</v>
      </c>
      <c r="O3440" t="n">
        <v>28.49002849002849</v>
      </c>
    </row>
    <row r="3441" hidden="1">
      <c r="A3441" s="11" t="n">
        <v>46108</v>
      </c>
      <c r="B3441" t="inlineStr">
        <is>
          <t>Lizandra Gomes Duarte</t>
        </is>
      </c>
      <c r="C3441" t="inlineStr">
        <is>
          <t>Técnico II</t>
        </is>
      </c>
      <c r="D3441" t="n">
        <v>34</v>
      </c>
      <c r="E3441" t="n">
        <v>30</v>
      </c>
      <c r="F3441" t="n">
        <v>20.05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M3441" t="n">
        <v>15</v>
      </c>
      <c r="N3441" t="n">
        <v>99.14</v>
      </c>
      <c r="O3441" t="n">
        <v>27.2289156626506</v>
      </c>
    </row>
    <row r="3442" hidden="1">
      <c r="A3442" s="11" t="n">
        <v>46108</v>
      </c>
      <c r="B3442" t="inlineStr">
        <is>
          <t>Lorena Dias de Araujo</t>
        </is>
      </c>
      <c r="C3442" t="inlineStr">
        <is>
          <t>Técnico II</t>
        </is>
      </c>
      <c r="D3442" t="n">
        <v>21</v>
      </c>
      <c r="E3442" t="n">
        <v>19</v>
      </c>
      <c r="F3442" t="n">
        <v>21.46</v>
      </c>
      <c r="G3442" t="n">
        <v>0</v>
      </c>
      <c r="H3442" t="n">
        <v>0</v>
      </c>
      <c r="I3442" s="3" t="n">
        <v>0</v>
      </c>
      <c r="J3442" s="3" t="n">
        <v>0</v>
      </c>
      <c r="K3442" s="3" t="n">
        <v>0</v>
      </c>
      <c r="L3442" s="3">
        <f>IF(K3442&lt;-5,"CRÍTICO",IF(K3442&lt;0,"ATENÇÃO",IF(K3442&lt;=5,"OPORTUNO","MUITO BOM")))</f>
        <v/>
      </c>
      <c r="M3442" t="n">
        <v>18</v>
      </c>
      <c r="N3442" t="n">
        <v>97.52</v>
      </c>
      <c r="O3442" t="n">
        <v>28.2051282051282</v>
      </c>
    </row>
    <row r="3443" hidden="1">
      <c r="A3443" s="11" t="n">
        <v>46108</v>
      </c>
      <c r="B3443" t="inlineStr">
        <is>
          <t>Lucas Luiz Romero</t>
        </is>
      </c>
      <c r="C3443" t="inlineStr">
        <is>
          <t>Técnico III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M3443" t="n">
        <v>0</v>
      </c>
      <c r="N3443" t="n">
        <v>90</v>
      </c>
      <c r="O3443" t="n">
        <v>24.18604651162791</v>
      </c>
    </row>
    <row r="3444" hidden="1">
      <c r="A3444" s="11" t="n">
        <v>46108</v>
      </c>
      <c r="B3444" t="inlineStr">
        <is>
          <t>Luiz Fernando de Carvalho Junior</t>
        </is>
      </c>
      <c r="C3444" t="inlineStr">
        <is>
          <t>Técnico I</t>
        </is>
      </c>
      <c r="D3444" t="n">
        <v>25</v>
      </c>
      <c r="E3444" t="n">
        <v>23</v>
      </c>
      <c r="F3444" t="n">
        <v>20.17</v>
      </c>
      <c r="G3444" t="n">
        <v>0</v>
      </c>
      <c r="H3444" t="n">
        <v>0</v>
      </c>
      <c r="I3444" s="3">
        <f>E3444+G3444+H3444</f>
        <v/>
      </c>
      <c r="J3444" s="3">
        <f>ROUND(MIN(IF(C3444="Técnico III",35,IF(C3444="Técnico II",28,IF(C3444="Técnico I",23,IF(C3444="JR",20,IF(C3444="Estágio",10,0))))),IF(C3444="Técnico III",SUMIFS($D:$D,$A:$A,$A3444,$B:$B,"&lt;&gt;Patrícia Karla de Sousa Araújo",$B:$B,"&lt;&gt;Lorena Dias de Araujo",$B:$B,"&lt;&gt;Lucas Luiz Romero")*(35/1083),IF(C3444="Técnico II",SUMIFS($D:$D,$A:$A,$A3444,$B:$B,"&lt;&gt;Patrícia Karla de Sousa Araújo",$B:$B,"&lt;&gt;Lorena Dias de Araujo",$B:$B,"&lt;&gt;Lucas Luiz Romero")*(28/1083),IF(C3444="Técnico I",SUMIFS($D:$D,$A:$A,$A3444,$B:$B,"&lt;&gt;Patrícia Karla de Sousa Araújo",$B:$B,"&lt;&gt;Lorena Dias de Araujo",$B:$B,"&lt;&gt;Lucas Luiz Romero")*(23/1083),IF(C3444="JR",SUMIFS($D:$D,$A:$A,$A3444,$B:$B,"&lt;&gt;Patrícia Karla de Sousa Araújo",$B:$B,"&lt;&gt;Lorena Dias de Araujo",$B:$B,"&lt;&gt;Lucas Luiz Romero")*(20/1083),IF(C3444="Estágio",SUMIFS($D:$D,$A:$A,$A3444,$B:$B,"&lt;&gt;Patrícia Karla de Sousa Araújo",$B:$B,"&lt;&gt;Lorena Dias de Araujo",$B:$B,"&lt;&gt;Lucas Luiz Romero")*(10/1083),0)))))),0)</f>
        <v/>
      </c>
      <c r="K3444" s="3">
        <f>I3444-J3444</f>
        <v/>
      </c>
      <c r="L3444" s="3">
        <f>IF(K3444&lt;-5,"CRÍTICO",IF(K3444&lt;0,"ATENÇÃO",IF(K3444&lt;=5,"OPORTUNO","MUITO BOM")))</f>
        <v/>
      </c>
      <c r="M3444" t="n">
        <v>20</v>
      </c>
      <c r="N3444" t="n">
        <v>98.90000000000001</v>
      </c>
      <c r="O3444" t="n">
        <v>26.7639902676399</v>
      </c>
    </row>
    <row r="3445" hidden="1">
      <c r="A3445" s="11" t="n">
        <v>46108</v>
      </c>
      <c r="B3445" t="inlineStr">
        <is>
          <t>Maria Eduarda Sousa Costa</t>
        </is>
      </c>
      <c r="C3445" t="inlineStr">
        <is>
          <t>Estágio</t>
        </is>
      </c>
      <c r="D3445" t="n">
        <v>8</v>
      </c>
      <c r="E3445" t="n">
        <v>7</v>
      </c>
      <c r="F3445" t="n">
        <v>33.32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M3445" t="n">
        <v>5</v>
      </c>
      <c r="N3445" t="n">
        <v>88.89</v>
      </c>
      <c r="O3445" t="n">
        <v>25.26315789473684</v>
      </c>
    </row>
    <row r="3446" hidden="1">
      <c r="A3446" s="11" t="n">
        <v>46108</v>
      </c>
      <c r="B3446" t="inlineStr">
        <is>
          <t>Matheus Farias De Souza</t>
        </is>
      </c>
      <c r="C3446" t="inlineStr">
        <is>
          <t>Técnico III</t>
        </is>
      </c>
      <c r="D3446" t="n">
        <v>29</v>
      </c>
      <c r="E3446" t="n">
        <v>27</v>
      </c>
      <c r="F3446" t="n">
        <v>14.01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M3446" t="n">
        <v>24</v>
      </c>
      <c r="N3446" t="n">
        <v>98.86</v>
      </c>
      <c r="O3446" t="n">
        <v>28.95927601809955</v>
      </c>
    </row>
    <row r="3447" hidden="1">
      <c r="A3447" s="11" t="n">
        <v>46108</v>
      </c>
      <c r="B3447" t="inlineStr">
        <is>
          <t>Maysa Victoria Dias Moura</t>
        </is>
      </c>
      <c r="C3447" t="inlineStr">
        <is>
          <t>Técnico III</t>
        </is>
      </c>
      <c r="D3447" t="n">
        <v>0</v>
      </c>
      <c r="E3447" t="n">
        <v>0</v>
      </c>
      <c r="F3447" t="n">
        <v>0</v>
      </c>
      <c r="G3447" t="n">
        <v>0</v>
      </c>
      <c r="H3447" t="n">
        <v>0</v>
      </c>
      <c r="I3447" s="3" t="n">
        <v>0</v>
      </c>
      <c r="J3447" s="3" t="n">
        <v>0</v>
      </c>
      <c r="K3447" s="3" t="n">
        <v>0</v>
      </c>
      <c r="L3447" s="3">
        <f>IF(K3447&lt;-5,"CRÍTICO",IF(K3447&lt;0,"ATENÇÃO",IF(K3447&lt;=5,"OPORTUNO","MUITO BOM")))</f>
        <v/>
      </c>
      <c r="M3447" t="n">
        <v>0</v>
      </c>
      <c r="N3447" t="n">
        <v>98.06</v>
      </c>
      <c r="O3447" t="n">
        <v>22.40566037735849</v>
      </c>
    </row>
    <row r="3448" hidden="1">
      <c r="A3448" s="11" t="n">
        <v>46108</v>
      </c>
      <c r="B3448" t="inlineStr">
        <is>
          <t>Michelle G Santos</t>
        </is>
      </c>
      <c r="C3448" t="inlineStr">
        <is>
          <t>Estágio</t>
        </is>
      </c>
      <c r="D3448" t="n">
        <v>9</v>
      </c>
      <c r="E3448" t="n">
        <v>9</v>
      </c>
      <c r="F3448" t="n">
        <v>27.12</v>
      </c>
      <c r="G3448" t="n">
        <v>0</v>
      </c>
      <c r="H3448" t="n">
        <v>0</v>
      </c>
      <c r="I3448" s="3">
        <f>E3448+G3448+H3448</f>
        <v/>
      </c>
      <c r="J3448" s="3">
        <f>ROUND(MIN(IF(C3448="Técnico III",35,IF(C3448="Técnico II",28,IF(C3448="Técnico I",23,IF(C3448="JR",20,IF(C3448="Estágio",10,0))))),IF(C3448="Técnico III",SUMIFS($D:$D,$A:$A,$A3448,$B:$B,"&lt;&gt;Patrícia Karla de Sousa Araújo",$B:$B,"&lt;&gt;Lorena Dias de Araujo",$B:$B,"&lt;&gt;Lucas Luiz Romero")*(35/1083),IF(C3448="Técnico II",SUMIFS($D:$D,$A:$A,$A3448,$B:$B,"&lt;&gt;Patrícia Karla de Sousa Araújo",$B:$B,"&lt;&gt;Lorena Dias de Araujo",$B:$B,"&lt;&gt;Lucas Luiz Romero")*(28/1083),IF(C3448="Técnico I",SUMIFS($D:$D,$A:$A,$A3448,$B:$B,"&lt;&gt;Patrícia Karla de Sousa Araújo",$B:$B,"&lt;&gt;Lorena Dias de Araujo",$B:$B,"&lt;&gt;Lucas Luiz Romero")*(23/1083),IF(C3448="JR",SUMIFS($D:$D,$A:$A,$A3448,$B:$B,"&lt;&gt;Patrícia Karla de Sousa Araújo",$B:$B,"&lt;&gt;Lorena Dias de Araujo",$B:$B,"&lt;&gt;Lucas Luiz Romero")*(20/1083),IF(C3448="Estágio",SUMIFS($D:$D,$A:$A,$A3448,$B:$B,"&lt;&gt;Patrícia Karla de Sousa Araújo",$B:$B,"&lt;&gt;Lorena Dias de Araujo",$B:$B,"&lt;&gt;Lucas Luiz Romero")*(10/1083),0)))))),0)</f>
        <v/>
      </c>
      <c r="K3448" s="3">
        <f>I3448-J3448</f>
        <v/>
      </c>
      <c r="L3448" s="3">
        <f>IF(K3448&lt;-5,"CRÍTICO",IF(K3448&lt;0,"ATENÇÃO",IF(K3448&lt;=5,"OPORTUNO","MUITO BOM")))</f>
        <v/>
      </c>
      <c r="M3448" t="n">
        <v>4</v>
      </c>
      <c r="N3448" t="n">
        <v>95.83</v>
      </c>
      <c r="O3448" t="n">
        <v>25.77319587628866</v>
      </c>
    </row>
    <row r="3449" hidden="1">
      <c r="A3449" s="11" t="n">
        <v>46108</v>
      </c>
      <c r="B3449" t="inlineStr">
        <is>
          <t>Milena Sales</t>
        </is>
      </c>
      <c r="C3449" t="inlineStr">
        <is>
          <t>JR</t>
        </is>
      </c>
      <c r="D3449" t="n">
        <v>0</v>
      </c>
      <c r="E3449" t="n">
        <v>0</v>
      </c>
      <c r="F3449" t="n">
        <v>0</v>
      </c>
      <c r="G3449" t="n">
        <v>0</v>
      </c>
      <c r="H3449" t="n">
        <v>0</v>
      </c>
      <c r="I3449" s="3" t="n">
        <v>0</v>
      </c>
      <c r="J3449" s="3" t="n">
        <v>0</v>
      </c>
      <c r="K3449" s="3" t="n">
        <v>0</v>
      </c>
      <c r="L3449" s="3">
        <f>IF(K3449&lt;-5,"CRÍTICO",IF(K3449&lt;0,"ATENÇÃO",IF(K3449&lt;=5,"OPORTUNO","MUITO BOM")))</f>
        <v/>
      </c>
      <c r="M3449" t="n">
        <v>1</v>
      </c>
      <c r="N3449" t="n">
        <v>100</v>
      </c>
      <c r="O3449" t="n">
        <v>15.38461538461539</v>
      </c>
    </row>
    <row r="3450" hidden="1">
      <c r="A3450" s="11" t="n">
        <v>46108</v>
      </c>
      <c r="B3450" t="inlineStr">
        <is>
          <t>Patrícia Karla de Sousa Araújo</t>
        </is>
      </c>
      <c r="C3450" t="inlineStr">
        <is>
          <t>Técnico II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M3450" t="n">
        <v>0</v>
      </c>
      <c r="N3450" t="n">
        <v>100</v>
      </c>
      <c r="O3450" t="n">
        <v>27.51479289940828</v>
      </c>
    </row>
    <row r="3451" hidden="1">
      <c r="A3451" s="11" t="n">
        <v>46108</v>
      </c>
      <c r="B3451" t="inlineStr">
        <is>
          <t>Paulo Ricardo Santos</t>
        </is>
      </c>
      <c r="C3451" t="inlineStr">
        <is>
          <t>JR</t>
        </is>
      </c>
      <c r="D3451" t="n">
        <v>16</v>
      </c>
      <c r="E3451" t="n">
        <v>15</v>
      </c>
      <c r="F3451" t="n">
        <v>22.04</v>
      </c>
      <c r="G3451" t="n">
        <v>0</v>
      </c>
      <c r="H3451" t="n">
        <v>0</v>
      </c>
      <c r="I3451" s="3">
        <f>E3451+G3451+H3451</f>
        <v/>
      </c>
      <c r="J3451" s="3">
        <f>ROUND(MIN(IF(C3451="Técnico III",35,IF(C3451="Técnico II",28,IF(C3451="Técnico I",23,IF(C3451="JR",20,IF(C3451="Estágio",10,0))))),IF(C3451="Técnico III",SUMIFS($D:$D,$A:$A,$A3451,$B:$B,"&lt;&gt;Patrícia Karla de Sousa Araújo",$B:$B,"&lt;&gt;Lorena Dias de Araujo",$B:$B,"&lt;&gt;Lucas Luiz Romero")*(35/1083),IF(C3451="Técnico II",SUMIFS($D:$D,$A:$A,$A3451,$B:$B,"&lt;&gt;Patrícia Karla de Sousa Araújo",$B:$B,"&lt;&gt;Lorena Dias de Araujo",$B:$B,"&lt;&gt;Lucas Luiz Romero")*(28/1083),IF(C3451="Técnico I",SUMIFS($D:$D,$A:$A,$A3451,$B:$B,"&lt;&gt;Patrícia Karla de Sousa Araújo",$B:$B,"&lt;&gt;Lorena Dias de Araujo",$B:$B,"&lt;&gt;Lucas Luiz Romero")*(23/1083),IF(C3451="JR",SUMIFS($D:$D,$A:$A,$A3451,$B:$B,"&lt;&gt;Patrícia Karla de Sousa Araújo",$B:$B,"&lt;&gt;Lorena Dias de Araujo",$B:$B,"&lt;&gt;Lucas Luiz Romero")*(20/1083),IF(C3451="Estágio",SUMIFS($D:$D,$A:$A,$A3451,$B:$B,"&lt;&gt;Patrícia Karla de Sousa Araújo",$B:$B,"&lt;&gt;Lorena Dias de Araujo",$B:$B,"&lt;&gt;Lucas Luiz Romero")*(10/1083),0)))))),0)</f>
        <v/>
      </c>
      <c r="K3451" s="3">
        <f>I3451-J3451</f>
        <v/>
      </c>
      <c r="L3451" s="3">
        <f>IF(K3451&lt;-5,"CRÍTICO",IF(K3451&lt;0,"ATENÇÃO",IF(K3451&lt;=5,"OPORTUNO","MUITO BOM")))</f>
        <v/>
      </c>
      <c r="M3451" t="n">
        <v>12</v>
      </c>
      <c r="N3451" t="n">
        <v>100</v>
      </c>
      <c r="O3451" t="n">
        <v>24.87562189054727</v>
      </c>
    </row>
    <row r="3452" hidden="1">
      <c r="A3452" s="11" t="n">
        <v>46108</v>
      </c>
      <c r="B3452" t="inlineStr">
        <is>
          <t>Pedro Luiz Mota Sousa</t>
        </is>
      </c>
      <c r="C3452" t="inlineStr">
        <is>
          <t>JR</t>
        </is>
      </c>
      <c r="D3452" t="n">
        <v>21</v>
      </c>
      <c r="E3452" t="n">
        <v>21</v>
      </c>
      <c r="F3452" t="n">
        <v>27.23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M3452" t="n">
        <v>18</v>
      </c>
      <c r="N3452" t="n">
        <v>100</v>
      </c>
      <c r="O3452" t="n">
        <v>28.10810810810811</v>
      </c>
    </row>
    <row r="3453" hidden="1">
      <c r="A3453" s="11" t="n">
        <v>46108</v>
      </c>
      <c r="B3453" t="inlineStr">
        <is>
          <t>Quirino Diogo Leite Torres</t>
        </is>
      </c>
      <c r="C3453" t="inlineStr">
        <is>
          <t>Estágio</t>
        </is>
      </c>
      <c r="D3453" t="n">
        <v>6</v>
      </c>
      <c r="E3453" t="n">
        <v>6</v>
      </c>
      <c r="F3453" t="n">
        <v>32.29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M3453" t="n">
        <v>4</v>
      </c>
      <c r="N3453" t="n">
        <v>100</v>
      </c>
      <c r="O3453" t="n">
        <v>35</v>
      </c>
    </row>
    <row r="3454" hidden="1">
      <c r="A3454" s="11" t="n">
        <v>46108</v>
      </c>
      <c r="B3454" t="inlineStr">
        <is>
          <t>Raane Batista Matos</t>
        </is>
      </c>
      <c r="C3454" t="inlineStr">
        <is>
          <t>Técnico I</t>
        </is>
      </c>
      <c r="D3454" t="n">
        <v>22</v>
      </c>
      <c r="E3454" t="n">
        <v>21</v>
      </c>
      <c r="F3454" t="n">
        <v>18.28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M3454" t="n">
        <v>18</v>
      </c>
      <c r="N3454" t="n">
        <v>95.34999999999999</v>
      </c>
      <c r="O3454" t="n">
        <v>28.61538461538461</v>
      </c>
    </row>
    <row r="3455" hidden="1">
      <c r="A3455" s="11" t="n">
        <v>46108</v>
      </c>
      <c r="B3455" t="inlineStr">
        <is>
          <t>Rafael Gomes de Morais</t>
        </is>
      </c>
      <c r="C3455" t="inlineStr">
        <is>
          <t>Técnico III</t>
        </is>
      </c>
      <c r="D3455" t="n">
        <v>31</v>
      </c>
      <c r="E3455" t="n">
        <v>31</v>
      </c>
      <c r="F3455" t="n">
        <v>17.07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M3455" t="n">
        <v>30</v>
      </c>
      <c r="N3455" t="n">
        <v>98.26000000000001</v>
      </c>
      <c r="O3455" t="n">
        <v>27.54491017964072</v>
      </c>
    </row>
    <row r="3456" hidden="1">
      <c r="A3456" s="11" t="n">
        <v>46108</v>
      </c>
      <c r="B3456" t="inlineStr">
        <is>
          <t>Sara Maria Monteiro Lopes</t>
        </is>
      </c>
      <c r="C3456" t="inlineStr">
        <is>
          <t>Técnico I</t>
        </is>
      </c>
      <c r="D3456" t="n">
        <v>18</v>
      </c>
      <c r="E3456" t="n">
        <v>17</v>
      </c>
      <c r="F3456" t="n">
        <v>29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M3456" t="n">
        <v>14</v>
      </c>
      <c r="N3456" t="n">
        <v>98.55</v>
      </c>
      <c r="O3456" t="n">
        <v>25.33783783783784</v>
      </c>
    </row>
    <row r="3457" hidden="1">
      <c r="A3457" s="11" t="n">
        <v>46108</v>
      </c>
      <c r="B3457" t="inlineStr">
        <is>
          <t>Sarah Steffanie de Lima Borges</t>
        </is>
      </c>
      <c r="C3457" t="inlineStr">
        <is>
          <t>Técnico III</t>
        </is>
      </c>
      <c r="D3457" t="n">
        <v>31</v>
      </c>
      <c r="E3457" t="n">
        <v>30</v>
      </c>
      <c r="F3457" t="n">
        <v>17.09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M3457" t="n">
        <v>22</v>
      </c>
      <c r="N3457" t="n">
        <v>98.39</v>
      </c>
      <c r="O3457" t="n">
        <v>25.56390977443609</v>
      </c>
    </row>
    <row r="3458" hidden="1">
      <c r="A3458" s="11" t="n">
        <v>46111</v>
      </c>
      <c r="B3458" t="inlineStr">
        <is>
          <t>Alisson de Freitas Silva</t>
        </is>
      </c>
      <c r="C3458" t="inlineStr">
        <is>
          <t>Técnico II</t>
        </is>
      </c>
      <c r="D3458" t="n">
        <v>31</v>
      </c>
      <c r="E3458" t="n">
        <v>25</v>
      </c>
      <c r="F3458" t="n">
        <v>10.42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M3458" t="n">
        <v>20</v>
      </c>
      <c r="N3458" t="n">
        <v>94.29000000000001</v>
      </c>
      <c r="O3458" t="n">
        <v>25.64766839378239</v>
      </c>
    </row>
    <row r="3459" hidden="1">
      <c r="A3459" s="11" t="n">
        <v>46111</v>
      </c>
      <c r="B3459" t="inlineStr">
        <is>
          <t>Amanda Moura Ferreira</t>
        </is>
      </c>
      <c r="C3459" t="inlineStr">
        <is>
          <t>Técnico III</t>
        </is>
      </c>
      <c r="D3459" t="n">
        <v>0</v>
      </c>
      <c r="E3459" t="n">
        <v>0</v>
      </c>
      <c r="F3459" t="n">
        <v>0</v>
      </c>
      <c r="G3459" t="n">
        <v>0</v>
      </c>
      <c r="H3459" t="n">
        <v>0</v>
      </c>
      <c r="I3459" s="3" t="n">
        <v>0</v>
      </c>
      <c r="J3459" s="3" t="n">
        <v>0</v>
      </c>
      <c r="K3459" s="3" t="n">
        <v>0</v>
      </c>
      <c r="L3459" s="3">
        <f>IF(K3459&lt;-5,"CRÍTICO",IF(K3459&lt;0,"ATENÇÃO",IF(K3459&lt;=5,"OPORTUNO","MUITO BOM")))</f>
        <v/>
      </c>
      <c r="M3459" t="n">
        <v>25</v>
      </c>
      <c r="N3459" t="n">
        <v>98.26000000000001</v>
      </c>
      <c r="O3459" t="n">
        <v>26.66666666666667</v>
      </c>
    </row>
    <row r="3460" hidden="1">
      <c r="A3460" s="11" t="n">
        <v>46111</v>
      </c>
      <c r="B3460" t="inlineStr">
        <is>
          <t>Ana Karollyne Souza Faria</t>
        </is>
      </c>
      <c r="C3460" t="inlineStr">
        <is>
          <t>Técnico I</t>
        </is>
      </c>
      <c r="D3460" t="n">
        <v>18</v>
      </c>
      <c r="E3460" t="n">
        <v>18</v>
      </c>
      <c r="F3460" t="n">
        <v>25.13</v>
      </c>
      <c r="G3460" t="n">
        <v>0</v>
      </c>
      <c r="H3460" t="n">
        <v>0</v>
      </c>
      <c r="I3460" s="3">
        <f>E3460+G3460+H3460</f>
        <v/>
      </c>
      <c r="J3460" s="3">
        <f>ROUND(MIN(IF(C3460="Técnico III",35,IF(C3460="Técnico II",28,IF(C3460="Técnico I",23,IF(C3460="JR",20,IF(C3460="Estágio",10,0))))),IF(C3460="Técnico III",SUMIFS($D:$D,$A:$A,$A3460,$B:$B,"&lt;&gt;Patrícia Karla de Sousa Araújo",$B:$B,"&lt;&gt;Lorena Dias de Araujo",$B:$B,"&lt;&gt;Lucas Luiz Romero")*(35/1083),IF(C3460="Técnico II",SUMIFS($D:$D,$A:$A,$A3460,$B:$B,"&lt;&gt;Patrícia Karla de Sousa Araújo",$B:$B,"&lt;&gt;Lorena Dias de Araujo",$B:$B,"&lt;&gt;Lucas Luiz Romero")*(28/1083),IF(C3460="Técnico I",SUMIFS($D:$D,$A:$A,$A3460,$B:$B,"&lt;&gt;Patrícia Karla de Sousa Araújo",$B:$B,"&lt;&gt;Lorena Dias de Araujo",$B:$B,"&lt;&gt;Lucas Luiz Romero")*(23/1083),IF(C3460="JR",SUMIFS($D:$D,$A:$A,$A3460,$B:$B,"&lt;&gt;Patrícia Karla de Sousa Araújo",$B:$B,"&lt;&gt;Lorena Dias de Araujo",$B:$B,"&lt;&gt;Lucas Luiz Romero")*(20/1083),IF(C3460="Estágio",SUMIFS($D:$D,$A:$A,$A3460,$B:$B,"&lt;&gt;Patrícia Karla de Sousa Araújo",$B:$B,"&lt;&gt;Lorena Dias de Araujo",$B:$B,"&lt;&gt;Lucas Luiz Romero")*(10/1083),0)))))),0)</f>
        <v/>
      </c>
      <c r="K3460" s="3">
        <f>I3460-J3460</f>
        <v/>
      </c>
      <c r="L3460" s="3">
        <f>IF(K3460&lt;-5,"CRÍTICO",IF(K3460&lt;0,"ATENÇÃO",IF(K3460&lt;=5,"OPORTUNO","MUITO BOM")))</f>
        <v/>
      </c>
      <c r="M3460" t="n">
        <v>18</v>
      </c>
      <c r="N3460" t="n">
        <v>98.2</v>
      </c>
      <c r="O3460" t="n">
        <v>23.37962962962963</v>
      </c>
    </row>
    <row r="3461" hidden="1">
      <c r="A3461" s="11" t="n">
        <v>46111</v>
      </c>
      <c r="B3461" t="inlineStr">
        <is>
          <t>Ana Paula Da Luz Silva Aleixo</t>
        </is>
      </c>
      <c r="C3461" t="inlineStr">
        <is>
          <t>Técnico III</t>
        </is>
      </c>
      <c r="D3461" t="n">
        <v>38</v>
      </c>
      <c r="E3461" t="n">
        <v>35</v>
      </c>
      <c r="F3461" t="n">
        <v>15.11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M3461" t="n">
        <v>31</v>
      </c>
      <c r="N3461" t="n">
        <v>97.3</v>
      </c>
      <c r="O3461" t="n">
        <v>23.84769539078156</v>
      </c>
    </row>
    <row r="3462" hidden="1">
      <c r="A3462" s="11" t="n">
        <v>46111</v>
      </c>
      <c r="B3462" t="inlineStr">
        <is>
          <t>Anna Luiza Rezende Tavares</t>
        </is>
      </c>
      <c r="C3462" t="inlineStr">
        <is>
          <t>Estágio</t>
        </is>
      </c>
      <c r="D3462" t="n">
        <v>16</v>
      </c>
      <c r="E3462" t="n">
        <v>15</v>
      </c>
      <c r="F3462" t="n">
        <v>20.52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M3462" t="n">
        <v>13</v>
      </c>
      <c r="N3462" t="n">
        <v>100</v>
      </c>
      <c r="O3462" t="n">
        <v>25.26881720430108</v>
      </c>
    </row>
    <row r="3463" hidden="1">
      <c r="A3463" s="11" t="n">
        <v>46111</v>
      </c>
      <c r="B3463" t="inlineStr">
        <is>
          <t>Brenda de Menezes Silva</t>
        </is>
      </c>
      <c r="C3463" t="inlineStr">
        <is>
          <t>Técnico II</t>
        </is>
      </c>
      <c r="D3463" t="n">
        <v>35</v>
      </c>
      <c r="E3463" t="n">
        <v>33</v>
      </c>
      <c r="F3463" t="n">
        <v>15.14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M3463" t="n">
        <v>32</v>
      </c>
      <c r="N3463" t="n">
        <v>99.31999999999999</v>
      </c>
      <c r="O3463" t="n">
        <v>22.82282282282282</v>
      </c>
    </row>
    <row r="3464" hidden="1">
      <c r="A3464" s="11" t="n">
        <v>46111</v>
      </c>
      <c r="B3464" t="inlineStr">
        <is>
          <t>Carlos Mateus Cassimiro Nunes</t>
        </is>
      </c>
      <c r="C3464" t="inlineStr">
        <is>
          <t>Técnico II</t>
        </is>
      </c>
      <c r="D3464" t="n">
        <v>26</v>
      </c>
      <c r="E3464" t="n">
        <v>24</v>
      </c>
      <c r="F3464" t="n">
        <v>21.53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M3464" t="n">
        <v>22</v>
      </c>
      <c r="N3464" t="n">
        <v>100</v>
      </c>
      <c r="O3464" t="n">
        <v>27.96610169491525</v>
      </c>
    </row>
    <row r="3465" hidden="1">
      <c r="A3465" s="11" t="n">
        <v>46111</v>
      </c>
      <c r="B3465" t="inlineStr">
        <is>
          <t>Claudio de Sousa Velasco Filho</t>
        </is>
      </c>
      <c r="C3465" t="inlineStr">
        <is>
          <t>Estágio</t>
        </is>
      </c>
      <c r="D3465" t="n">
        <v>2</v>
      </c>
      <c r="E3465" t="n">
        <v>2</v>
      </c>
      <c r="F3465" t="n">
        <v>35.36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M3465" t="n">
        <v>2</v>
      </c>
      <c r="N3465" t="n">
        <v>100</v>
      </c>
      <c r="O3465" t="n">
        <v>30.43478260869566</v>
      </c>
    </row>
    <row r="3466" hidden="1">
      <c r="A3466" s="11" t="n">
        <v>46111</v>
      </c>
      <c r="B3466" t="inlineStr">
        <is>
          <t>Clessiane Pereira dos Santos</t>
        </is>
      </c>
      <c r="C3466" t="inlineStr">
        <is>
          <t>Técnico I</t>
        </is>
      </c>
      <c r="D3466" t="n">
        <v>28</v>
      </c>
      <c r="E3466" t="n">
        <v>25</v>
      </c>
      <c r="F3466" t="n">
        <v>18.49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M3466" t="n">
        <v>21</v>
      </c>
      <c r="N3466" t="n">
        <v>96.51000000000001</v>
      </c>
      <c r="O3466" t="n">
        <v>22.80285035629454</v>
      </c>
    </row>
    <row r="3467" hidden="1">
      <c r="A3467" s="11" t="n">
        <v>46111</v>
      </c>
      <c r="B3467" t="inlineStr">
        <is>
          <t>Cristiane Ramos da Silva Rocha</t>
        </is>
      </c>
      <c r="C3467" t="inlineStr">
        <is>
          <t>Técnico III</t>
        </is>
      </c>
      <c r="D3467" t="n">
        <v>0</v>
      </c>
      <c r="E3467" t="n">
        <v>0</v>
      </c>
      <c r="F3467" t="n">
        <v>0</v>
      </c>
      <c r="G3467" t="n">
        <v>0</v>
      </c>
      <c r="H3467" t="n">
        <v>0</v>
      </c>
      <c r="I3467" s="3" t="n">
        <v>0</v>
      </c>
      <c r="J3467" s="3" t="n">
        <v>0</v>
      </c>
      <c r="K3467" s="3" t="n">
        <v>0</v>
      </c>
      <c r="L3467" s="3">
        <f>IF(K3467&lt;-5,"CRÍTICO",IF(K3467&lt;0,"ATENÇÃO",IF(K3467&lt;=5,"OPORTUNO","MUITO BOM")))</f>
        <v/>
      </c>
      <c r="M3467" t="n">
        <v>0</v>
      </c>
      <c r="N3467" t="n">
        <v>92.68000000000001</v>
      </c>
      <c r="O3467" t="n">
        <v>27.77777777777778</v>
      </c>
    </row>
    <row r="3468" hidden="1">
      <c r="A3468" s="11" t="n">
        <v>46111</v>
      </c>
      <c r="B3468" t="inlineStr">
        <is>
          <t>Damyllis Lorraine de Oliveira Gonçalves</t>
        </is>
      </c>
      <c r="C3468" t="inlineStr">
        <is>
          <t>Técnico II</t>
        </is>
      </c>
      <c r="D3468" t="n">
        <v>38</v>
      </c>
      <c r="E3468" t="n">
        <v>33</v>
      </c>
      <c r="F3468" t="n">
        <v>14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M3468" t="n">
        <v>27</v>
      </c>
      <c r="N3468" t="n">
        <v>99.03</v>
      </c>
      <c r="O3468" t="n">
        <v>23.99150743099788</v>
      </c>
    </row>
    <row r="3469" hidden="1">
      <c r="A3469" s="11" t="n">
        <v>46111</v>
      </c>
      <c r="B3469" t="inlineStr">
        <is>
          <t>Daniel Gomes da Silva</t>
        </is>
      </c>
      <c r="C3469" t="inlineStr">
        <is>
          <t>Técnico I</t>
        </is>
      </c>
      <c r="D3469" t="n">
        <v>19</v>
      </c>
      <c r="E3469" t="n">
        <v>19</v>
      </c>
      <c r="F3469" t="n">
        <v>25.08</v>
      </c>
      <c r="G3469" t="n">
        <v>0</v>
      </c>
      <c r="H3469" t="n">
        <v>0</v>
      </c>
      <c r="I3469" s="3">
        <f>E3469+G3469+H3469</f>
        <v/>
      </c>
      <c r="J3469" s="3">
        <f>ROUND(MIN(IF(C3469="Técnico III",35,IF(C3469="Técnico II",28,IF(C3469="Técnico I",23,IF(C3469="JR",20,IF(C3469="Estágio",10,0))))),IF(C3469="Técnico III",SUMIFS($D:$D,$A:$A,$A3469,$B:$B,"&lt;&gt;Patrícia Karla de Sousa Araújo",$B:$B,"&lt;&gt;Lorena Dias de Araujo",$B:$B,"&lt;&gt;Lucas Luiz Romero")*(35/1083),IF(C3469="Técnico II",SUMIFS($D:$D,$A:$A,$A3469,$B:$B,"&lt;&gt;Patrícia Karla de Sousa Araújo",$B:$B,"&lt;&gt;Lorena Dias de Araujo",$B:$B,"&lt;&gt;Lucas Luiz Romero")*(28/1083),IF(C3469="Técnico I",SUMIFS($D:$D,$A:$A,$A3469,$B:$B,"&lt;&gt;Patrícia Karla de Sousa Araújo",$B:$B,"&lt;&gt;Lorena Dias de Araujo",$B:$B,"&lt;&gt;Lucas Luiz Romero")*(23/1083),IF(C3469="JR",SUMIFS($D:$D,$A:$A,$A3469,$B:$B,"&lt;&gt;Patrícia Karla de Sousa Araújo",$B:$B,"&lt;&gt;Lorena Dias de Araujo",$B:$B,"&lt;&gt;Lucas Luiz Romero")*(20/1083),IF(C3469="Estágio",SUMIFS($D:$D,$A:$A,$A3469,$B:$B,"&lt;&gt;Patrícia Karla de Sousa Araújo",$B:$B,"&lt;&gt;Lorena Dias de Araujo",$B:$B,"&lt;&gt;Lucas Luiz Romero")*(10/1083),0)))))),0)</f>
        <v/>
      </c>
      <c r="K3469" s="3">
        <f>I3469-J3469</f>
        <v/>
      </c>
      <c r="L3469" s="3">
        <f>IF(K3469&lt;-5,"CRÍTICO",IF(K3469&lt;0,"ATENÇÃO",IF(K3469&lt;=5,"OPORTUNO","MUITO BOM")))</f>
        <v/>
      </c>
      <c r="M3469" t="n">
        <v>10</v>
      </c>
      <c r="N3469" t="n">
        <v>98.41</v>
      </c>
      <c r="O3469" t="n">
        <v>28.13852813852814</v>
      </c>
    </row>
    <row r="3470" hidden="1">
      <c r="A3470" s="11" t="n">
        <v>46111</v>
      </c>
      <c r="B3470" t="inlineStr">
        <is>
          <t>Davylla Rodrigues Freitas Silva</t>
        </is>
      </c>
      <c r="C3470" t="inlineStr">
        <is>
          <t>Técnico III</t>
        </is>
      </c>
      <c r="D3470" t="n">
        <v>30</v>
      </c>
      <c r="E3470" t="n">
        <v>30</v>
      </c>
      <c r="F3470" t="n">
        <v>20.23</v>
      </c>
      <c r="G3470" t="n">
        <v>0</v>
      </c>
      <c r="H3470" t="n">
        <v>0</v>
      </c>
      <c r="I3470" s="3" t="n">
        <v>0</v>
      </c>
      <c r="J3470" s="3" t="n">
        <v>0</v>
      </c>
      <c r="K3470" s="3" t="n">
        <v>0</v>
      </c>
      <c r="L3470" s="3">
        <f>IF(K3470&lt;-5,"CRÍTICO",IF(K3470&lt;0,"ATENÇÃO",IF(K3470&lt;=5,"OPORTUNO","MUITO BOM")))</f>
        <v/>
      </c>
      <c r="M3470" t="n">
        <v>31</v>
      </c>
      <c r="N3470" t="n">
        <v>98.73</v>
      </c>
      <c r="O3470" t="n">
        <v>29.14285714285714</v>
      </c>
    </row>
    <row r="3471" hidden="1">
      <c r="A3471" s="11" t="n">
        <v>46111</v>
      </c>
      <c r="B3471" t="inlineStr">
        <is>
          <t>Emilly Caylane Costa</t>
        </is>
      </c>
      <c r="C3471" t="inlineStr">
        <is>
          <t>Estágio</t>
        </is>
      </c>
      <c r="D3471" t="n">
        <v>11</v>
      </c>
      <c r="E3471" t="n">
        <v>10</v>
      </c>
      <c r="F3471" t="n">
        <v>26.5</v>
      </c>
      <c r="G3471" t="n">
        <v>0</v>
      </c>
      <c r="H3471" t="n">
        <v>0</v>
      </c>
      <c r="I3471" s="3">
        <f>E3471+G3471+H3471</f>
        <v/>
      </c>
      <c r="J3471" s="3">
        <f>ROUND(MIN(IF(C3471="Técnico III",35,IF(C3471="Técnico II",28,IF(C3471="Técnico I",23,IF(C3471="JR",20,IF(C3471="Estágio",10,0))))),IF(C3471="Técnico III",SUMIFS($D:$D,$A:$A,$A3471,$B:$B,"&lt;&gt;Patrícia Karla de Sousa Araújo",$B:$B,"&lt;&gt;Lorena Dias de Araujo",$B:$B,"&lt;&gt;Lucas Luiz Romero")*(35/1083),IF(C3471="Técnico II",SUMIFS($D:$D,$A:$A,$A3471,$B:$B,"&lt;&gt;Patrícia Karla de Sousa Araújo",$B:$B,"&lt;&gt;Lorena Dias de Araujo",$B:$B,"&lt;&gt;Lucas Luiz Romero")*(28/1083),IF(C3471="Técnico I",SUMIFS($D:$D,$A:$A,$A3471,$B:$B,"&lt;&gt;Patrícia Karla de Sousa Araújo",$B:$B,"&lt;&gt;Lorena Dias de Araujo",$B:$B,"&lt;&gt;Lucas Luiz Romero")*(23/1083),IF(C3471="JR",SUMIFS($D:$D,$A:$A,$A3471,$B:$B,"&lt;&gt;Patrícia Karla de Sousa Araújo",$B:$B,"&lt;&gt;Lorena Dias de Araujo",$B:$B,"&lt;&gt;Lucas Luiz Romero")*(20/1083),IF(C3471="Estágio",SUMIFS($D:$D,$A:$A,$A3471,$B:$B,"&lt;&gt;Patrícia Karla de Sousa Araújo",$B:$B,"&lt;&gt;Lorena Dias de Araujo",$B:$B,"&lt;&gt;Lucas Luiz Romero")*(10/1083),0)))))),0)</f>
        <v/>
      </c>
      <c r="K3471" s="3">
        <f>I3471-J3471</f>
        <v/>
      </c>
      <c r="L3471" s="3">
        <f>IF(K3471&lt;-5,"CRÍTICO",IF(K3471&lt;0,"ATENÇÃO",IF(K3471&lt;=5,"OPORTUNO","MUITO BOM")))</f>
        <v/>
      </c>
      <c r="M3471" t="n">
        <v>7</v>
      </c>
      <c r="N3471" t="n">
        <v>90.48</v>
      </c>
      <c r="O3471" t="n">
        <v>20.68965517241379</v>
      </c>
    </row>
    <row r="3472" hidden="1">
      <c r="A3472" s="11" t="n">
        <v>46111</v>
      </c>
      <c r="B3472" t="inlineStr">
        <is>
          <t>Emilly Kamilly Medeiros Miranda</t>
        </is>
      </c>
      <c r="C3472" t="inlineStr">
        <is>
          <t>Técnico II</t>
        </is>
      </c>
      <c r="D3472" t="n">
        <v>32</v>
      </c>
      <c r="E3472" t="n">
        <v>31</v>
      </c>
      <c r="F3472" t="n">
        <v>16.43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M3472" t="n">
        <v>27</v>
      </c>
      <c r="N3472" t="n">
        <v>98.06</v>
      </c>
      <c r="O3472" t="n">
        <v>24.78991596638656</v>
      </c>
    </row>
    <row r="3473" hidden="1">
      <c r="A3473" s="11" t="n">
        <v>46111</v>
      </c>
      <c r="B3473" t="inlineStr">
        <is>
          <t>Francielson de Oliveira</t>
        </is>
      </c>
      <c r="C3473" t="inlineStr">
        <is>
          <t>Técnico III</t>
        </is>
      </c>
      <c r="D3473" t="n">
        <v>0</v>
      </c>
      <c r="E3473" t="n">
        <v>0</v>
      </c>
      <c r="F3473" t="n">
        <v>0</v>
      </c>
      <c r="G3473" t="n">
        <v>0</v>
      </c>
      <c r="H3473" t="n">
        <v>0</v>
      </c>
      <c r="I3473" s="3" t="n">
        <v>0</v>
      </c>
      <c r="J3473" s="3" t="n">
        <v>0</v>
      </c>
      <c r="K3473" s="3" t="n">
        <v>0</v>
      </c>
      <c r="L3473" s="3">
        <f>IF(K3473&lt;-5,"CRÍTICO",IF(K3473&lt;0,"ATENÇÃO",IF(K3473&lt;=5,"OPORTUNO","MUITO BOM")))</f>
        <v/>
      </c>
      <c r="M3473" t="n">
        <v>0</v>
      </c>
      <c r="N3473" t="n">
        <v>97.78</v>
      </c>
      <c r="O3473" t="n">
        <v>25.49407114624506</v>
      </c>
    </row>
    <row r="3474" hidden="1">
      <c r="A3474" s="11" t="n">
        <v>46111</v>
      </c>
      <c r="B3474" t="inlineStr">
        <is>
          <t>Francilene Ferreira de Jesus</t>
        </is>
      </c>
      <c r="C3474" t="inlineStr">
        <is>
          <t>Técnico 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M3474" t="n">
        <v>0</v>
      </c>
      <c r="N3474" t="n">
        <v>98.02</v>
      </c>
      <c r="O3474" t="n">
        <v>23.48484848484848</v>
      </c>
    </row>
    <row r="3475" hidden="1">
      <c r="A3475" s="10" t="n">
        <v>46164</v>
      </c>
      <c r="B3475" s="6" t="inlineStr">
        <is>
          <t>Lorena Dias de Araujo</t>
        </is>
      </c>
      <c r="C3475" s="3" t="inlineStr">
        <is>
          <t>Técnico II</t>
        </is>
      </c>
      <c r="D3475" s="3" t="n">
        <v>0</v>
      </c>
      <c r="E3475" s="3" t="n">
        <v>0</v>
      </c>
      <c r="F3475" s="3" t="n">
        <v>0</v>
      </c>
      <c r="G3475" s="3" t="n">
        <v>0</v>
      </c>
      <c r="H3475" s="3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M3475" s="3" t="n">
        <v>0</v>
      </c>
      <c r="N3475" s="3" t="n">
        <v>100</v>
      </c>
      <c r="O3475" s="3" t="n">
        <v>25</v>
      </c>
    </row>
    <row r="3476" hidden="1">
      <c r="A3476" s="11" t="n">
        <v>46111</v>
      </c>
      <c r="B3476" t="inlineStr">
        <is>
          <t>Isabella Borges de Oliveira</t>
        </is>
      </c>
      <c r="C3476" t="inlineStr">
        <is>
          <t>Técnico II</t>
        </is>
      </c>
      <c r="D3476" t="n">
        <v>31</v>
      </c>
      <c r="E3476" t="n">
        <v>28</v>
      </c>
      <c r="F3476" t="n">
        <v>19.17</v>
      </c>
      <c r="G3476" t="n">
        <v>0</v>
      </c>
      <c r="H3476" t="n">
        <v>0</v>
      </c>
      <c r="I3476" s="3">
        <f>E3476+G3476+H3476</f>
        <v/>
      </c>
      <c r="J3476" s="3">
        <f>ROUND(MIN(IF(C3476="Técnico III",35,IF(C3476="Técnico II",28,IF(C3476="Técnico I",23,IF(C3476="JR",20,IF(C3476="Estágio",10,0))))),IF(C3476="Técnico III",SUMIFS($D:$D,$A:$A,$A3476,$B:$B,"&lt;&gt;Patrícia Karla de Sousa Araújo",$B:$B,"&lt;&gt;Lorena Dias de Araujo",$B:$B,"&lt;&gt;Lucas Luiz Romero")*(35/1083),IF(C3476="Técnico II",SUMIFS($D:$D,$A:$A,$A3476,$B:$B,"&lt;&gt;Patrícia Karla de Sousa Araújo",$B:$B,"&lt;&gt;Lorena Dias de Araujo",$B:$B,"&lt;&gt;Lucas Luiz Romero")*(28/1083),IF(C3476="Técnico I",SUMIFS($D:$D,$A:$A,$A3476,$B:$B,"&lt;&gt;Patrícia Karla de Sousa Araújo",$B:$B,"&lt;&gt;Lorena Dias de Araujo",$B:$B,"&lt;&gt;Lucas Luiz Romero")*(23/1083),IF(C3476="JR",SUMIFS($D:$D,$A:$A,$A3476,$B:$B,"&lt;&gt;Patrícia Karla de Sousa Araújo",$B:$B,"&lt;&gt;Lorena Dias de Araujo",$B:$B,"&lt;&gt;Lucas Luiz Romero")*(20/1083),IF(C3476="Estágio",SUMIFS($D:$D,$A:$A,$A3476,$B:$B,"&lt;&gt;Patrícia Karla de Sousa Araújo",$B:$B,"&lt;&gt;Lorena Dias de Araujo",$B:$B,"&lt;&gt;Lucas Luiz Romero")*(10/1083),0)))))),0)</f>
        <v/>
      </c>
      <c r="K3476" s="3">
        <f>I3476-J3476</f>
        <v/>
      </c>
      <c r="L3476" s="3">
        <f>IF(K3476&lt;-5,"CRÍTICO",IF(K3476&lt;0,"ATENÇÃO",IF(K3476&lt;=5,"OPORTUNO","MUITO BOM")))</f>
        <v/>
      </c>
      <c r="M3476" t="n">
        <v>26</v>
      </c>
      <c r="N3476" t="n">
        <v>100</v>
      </c>
      <c r="O3476" t="n">
        <v>27.04918032786885</v>
      </c>
    </row>
    <row r="3477" hidden="1">
      <c r="A3477" s="11" t="n">
        <v>46111</v>
      </c>
      <c r="B3477" t="inlineStr">
        <is>
          <t>Janaina Lima dos Reis Urany</t>
        </is>
      </c>
      <c r="C3477" t="inlineStr">
        <is>
          <t>Técnico III</t>
        </is>
      </c>
      <c r="D3477" t="n">
        <v>44</v>
      </c>
      <c r="E3477" t="n">
        <v>40</v>
      </c>
      <c r="F3477" t="n">
        <v>17.17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M3477" t="n">
        <v>37</v>
      </c>
      <c r="N3477" t="n">
        <v>97.83</v>
      </c>
      <c r="O3477" t="n">
        <v>26.31578947368421</v>
      </c>
    </row>
    <row r="3478" hidden="1">
      <c r="A3478" s="11" t="n">
        <v>46111</v>
      </c>
      <c r="B3478" t="inlineStr">
        <is>
          <t>Jaqueline Evangelista da Silva Martins</t>
        </is>
      </c>
      <c r="C3478" t="inlineStr">
        <is>
          <t>Técnico III</t>
        </is>
      </c>
      <c r="D3478" t="n">
        <v>8</v>
      </c>
      <c r="E3478" t="n">
        <v>8</v>
      </c>
      <c r="F3478" t="n">
        <v>23.44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M3478" t="n">
        <v>8</v>
      </c>
      <c r="N3478" t="n">
        <v>100</v>
      </c>
      <c r="O3478" t="n">
        <v>26.70157068062827</v>
      </c>
    </row>
    <row r="3479" hidden="1">
      <c r="A3479" s="11" t="n">
        <v>46111</v>
      </c>
      <c r="B3479" t="inlineStr">
        <is>
          <t>Jessica Faria da Silveira</t>
        </is>
      </c>
      <c r="C3479" t="inlineStr">
        <is>
          <t>Técnico II</t>
        </is>
      </c>
      <c r="D3479" t="n">
        <v>0</v>
      </c>
      <c r="E3479" t="n">
        <v>0</v>
      </c>
      <c r="F3479" t="n">
        <v>0</v>
      </c>
      <c r="G3479" t="n">
        <v>0</v>
      </c>
      <c r="H3479" t="n">
        <v>0</v>
      </c>
      <c r="I3479" s="3" t="n">
        <v>0</v>
      </c>
      <c r="J3479" s="3" t="n">
        <v>0</v>
      </c>
      <c r="K3479" s="3" t="n">
        <v>0</v>
      </c>
      <c r="L3479" s="3">
        <f>IF(K3479&lt;-5,"CRÍTICO",IF(K3479&lt;0,"ATENÇÃO",IF(K3479&lt;=5,"OPORTUNO","MUITO BOM")))</f>
        <v/>
      </c>
      <c r="M3479" t="n">
        <v>0</v>
      </c>
      <c r="N3479" t="n">
        <v>97.47</v>
      </c>
      <c r="O3479" t="n">
        <v>22.88732394366197</v>
      </c>
    </row>
    <row r="3480" hidden="1">
      <c r="A3480" s="11" t="n">
        <v>46111</v>
      </c>
      <c r="B3480" t="inlineStr">
        <is>
          <t>Jéssica Fé Moura</t>
        </is>
      </c>
      <c r="C3480" t="inlineStr">
        <is>
          <t>Técnico III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M3480" t="n">
        <v>0</v>
      </c>
      <c r="N3480" t="n">
        <v>0</v>
      </c>
      <c r="O3480" t="n">
        <v>0</v>
      </c>
    </row>
    <row r="3481" hidden="1">
      <c r="A3481" s="11" t="n">
        <v>46111</v>
      </c>
      <c r="B3481" t="inlineStr">
        <is>
          <t>Karina Gonçalves Martins</t>
        </is>
      </c>
      <c r="C3481" t="inlineStr">
        <is>
          <t>JR</t>
        </is>
      </c>
      <c r="D3481" t="n">
        <v>19</v>
      </c>
      <c r="E3481" t="n">
        <v>19</v>
      </c>
      <c r="F3481" t="n">
        <v>29.13</v>
      </c>
      <c r="G3481" t="n">
        <v>0</v>
      </c>
      <c r="H3481" t="n">
        <v>0</v>
      </c>
      <c r="I3481" s="3">
        <f>E3481+G3481+H3481</f>
        <v/>
      </c>
      <c r="J3481" s="3">
        <f>ROUND(MIN(IF(C3481="Técnico III",35,IF(C3481="Técnico II",28,IF(C3481="Técnico I",23,IF(C3481="JR",20,IF(C3481="Estágio",10,0))))),IF(C3481="Técnico III",SUMIFS($D:$D,$A:$A,$A3481,$B:$B,"&lt;&gt;Patrícia Karla de Sousa Araújo",$B:$B,"&lt;&gt;Lorena Dias de Araujo",$B:$B,"&lt;&gt;Lucas Luiz Romero")*(35/1083),IF(C3481="Técnico II",SUMIFS($D:$D,$A:$A,$A3481,$B:$B,"&lt;&gt;Patrícia Karla de Sousa Araújo",$B:$B,"&lt;&gt;Lorena Dias de Araujo",$B:$B,"&lt;&gt;Lucas Luiz Romero")*(28/1083),IF(C3481="Técnico I",SUMIFS($D:$D,$A:$A,$A3481,$B:$B,"&lt;&gt;Patrícia Karla de Sousa Araújo",$B:$B,"&lt;&gt;Lorena Dias de Araujo",$B:$B,"&lt;&gt;Lucas Luiz Romero")*(23/1083),IF(C3481="JR",SUMIFS($D:$D,$A:$A,$A3481,$B:$B,"&lt;&gt;Patrícia Karla de Sousa Araújo",$B:$B,"&lt;&gt;Lorena Dias de Araujo",$B:$B,"&lt;&gt;Lucas Luiz Romero")*(20/1083),IF(C3481="Estágio",SUMIFS($D:$D,$A:$A,$A3481,$B:$B,"&lt;&gt;Patrícia Karla de Sousa Araújo",$B:$B,"&lt;&gt;Lorena Dias de Araujo",$B:$B,"&lt;&gt;Lucas Luiz Romero")*(10/1083),0)))))),0)</f>
        <v/>
      </c>
      <c r="K3481" s="3">
        <f>I3481-J3481</f>
        <v/>
      </c>
      <c r="L3481" s="3">
        <f>IF(K3481&lt;-5,"CRÍTICO",IF(K3481&lt;0,"ATENÇÃO",IF(K3481&lt;=5,"OPORTUNO","MUITO BOM")))</f>
        <v/>
      </c>
      <c r="M3481" t="n">
        <v>17</v>
      </c>
      <c r="N3481" t="n">
        <v>98.31</v>
      </c>
      <c r="O3481" t="n">
        <v>24.92012779552715</v>
      </c>
    </row>
    <row r="3482" hidden="1">
      <c r="A3482" s="11" t="n">
        <v>46111</v>
      </c>
      <c r="B3482" t="inlineStr">
        <is>
          <t>Kerollen Cristielly de Jesus Siqueira</t>
        </is>
      </c>
      <c r="C3482" t="inlineStr">
        <is>
          <t>Técnico III</t>
        </is>
      </c>
      <c r="D3482" t="n">
        <v>4</v>
      </c>
      <c r="E3482" t="n">
        <v>4</v>
      </c>
      <c r="F3482" t="n">
        <v>35.58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M3482" t="n">
        <v>17</v>
      </c>
      <c r="N3482" t="n">
        <v>96.81</v>
      </c>
      <c r="O3482" t="n">
        <v>32.36514522821577</v>
      </c>
    </row>
    <row r="3483" hidden="1">
      <c r="A3483" s="11" t="n">
        <v>46111</v>
      </c>
      <c r="B3483" t="inlineStr">
        <is>
          <t>Leandro de Souza Silva</t>
        </is>
      </c>
      <c r="C3483" t="inlineStr">
        <is>
          <t>JR</t>
        </is>
      </c>
      <c r="D3483" t="n">
        <v>18</v>
      </c>
      <c r="E3483" t="n">
        <v>14</v>
      </c>
      <c r="F3483" t="n">
        <v>32.35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M3483" t="n">
        <v>14</v>
      </c>
      <c r="N3483" t="n">
        <v>100</v>
      </c>
      <c r="O3483" t="n">
        <v>26.47058823529412</v>
      </c>
    </row>
    <row r="3484" hidden="1">
      <c r="A3484" s="11" t="n">
        <v>46111</v>
      </c>
      <c r="B3484" t="inlineStr">
        <is>
          <t>Leandro Oliveira de Sousa</t>
        </is>
      </c>
      <c r="C3484" t="inlineStr">
        <is>
          <t>Técnico III</t>
        </is>
      </c>
      <c r="D3484" t="n">
        <v>28</v>
      </c>
      <c r="E3484" t="n">
        <v>28</v>
      </c>
      <c r="F3484" t="n">
        <v>21.53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M3484" t="n">
        <v>26</v>
      </c>
      <c r="N3484" t="n">
        <v>100</v>
      </c>
      <c r="O3484" t="n">
        <v>28.49002849002849</v>
      </c>
    </row>
    <row r="3485" hidden="1">
      <c r="A3485" s="11" t="n">
        <v>46111</v>
      </c>
      <c r="B3485" t="inlineStr">
        <is>
          <t>Lizandra Gomes Duarte</t>
        </is>
      </c>
      <c r="C3485" t="inlineStr">
        <is>
          <t>Técnico II</t>
        </is>
      </c>
      <c r="D3485" t="n">
        <v>21</v>
      </c>
      <c r="E3485" t="n">
        <v>20</v>
      </c>
      <c r="F3485" t="n">
        <v>22.04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M3485" t="n">
        <v>25</v>
      </c>
      <c r="N3485" t="n">
        <v>99.14</v>
      </c>
      <c r="O3485" t="n">
        <v>27.2289156626506</v>
      </c>
    </row>
    <row r="3486" hidden="1">
      <c r="A3486" s="11" t="n">
        <v>46111</v>
      </c>
      <c r="B3486" t="inlineStr">
        <is>
          <t>Lorena Dias de Araujo</t>
        </is>
      </c>
      <c r="C3486" t="inlineStr">
        <is>
          <t>Técnico II</t>
        </is>
      </c>
      <c r="D3486" t="n">
        <v>2</v>
      </c>
      <c r="E3486" t="n">
        <v>2</v>
      </c>
      <c r="F3486" t="n">
        <v>27.03</v>
      </c>
      <c r="G3486" t="n">
        <v>0</v>
      </c>
      <c r="H3486" t="n">
        <v>0</v>
      </c>
      <c r="I3486" s="3" t="n">
        <v>0</v>
      </c>
      <c r="J3486" s="3" t="n">
        <v>0</v>
      </c>
      <c r="K3486" s="3" t="n">
        <v>0</v>
      </c>
      <c r="L3486" s="3">
        <f>IF(K3486&lt;-5,"CRÍTICO",IF(K3486&lt;0,"ATENÇÃO",IF(K3486&lt;=5,"OPORTUNO","MUITO BOM")))</f>
        <v/>
      </c>
      <c r="M3486" t="n">
        <v>1</v>
      </c>
      <c r="N3486" t="n">
        <v>97.52</v>
      </c>
      <c r="O3486" t="n">
        <v>28.2051282051282</v>
      </c>
    </row>
    <row r="3487" hidden="1">
      <c r="A3487" s="11" t="n">
        <v>46111</v>
      </c>
      <c r="B3487" t="inlineStr">
        <is>
          <t>Lucas Luiz Romero</t>
        </is>
      </c>
      <c r="C3487" t="inlineStr">
        <is>
          <t>Técnico III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M3487" t="n">
        <v>0</v>
      </c>
      <c r="N3487" t="n">
        <v>90</v>
      </c>
      <c r="O3487" t="n">
        <v>24.18604651162791</v>
      </c>
    </row>
    <row r="3488" hidden="1">
      <c r="A3488" s="11" t="n">
        <v>46111</v>
      </c>
      <c r="B3488" t="inlineStr">
        <is>
          <t>Luiz Fernando de Carvalho Junior</t>
        </is>
      </c>
      <c r="C3488" t="inlineStr">
        <is>
          <t>Técnico I</t>
        </is>
      </c>
      <c r="D3488" t="n">
        <v>28</v>
      </c>
      <c r="E3488" t="n">
        <v>27</v>
      </c>
      <c r="F3488" t="n">
        <v>20.05</v>
      </c>
      <c r="G3488" t="n">
        <v>0</v>
      </c>
      <c r="H3488" t="n">
        <v>0</v>
      </c>
      <c r="I3488" s="3">
        <f>E3488+G3488+H3488</f>
        <v/>
      </c>
      <c r="J3488" s="3">
        <f>ROUND(MIN(IF(C3488="Técnico III",35,IF(C3488="Técnico II",28,IF(C3488="Técnico I",23,IF(C3488="JR",20,IF(C3488="Estágio",10,0))))),IF(C3488="Técnico III",SUMIFS($D:$D,$A:$A,$A3488,$B:$B,"&lt;&gt;Patrícia Karla de Sousa Araújo",$B:$B,"&lt;&gt;Lorena Dias de Araujo",$B:$B,"&lt;&gt;Lucas Luiz Romero")*(35/1083),IF(C3488="Técnico II",SUMIFS($D:$D,$A:$A,$A3488,$B:$B,"&lt;&gt;Patrícia Karla de Sousa Araújo",$B:$B,"&lt;&gt;Lorena Dias de Araujo",$B:$B,"&lt;&gt;Lucas Luiz Romero")*(28/1083),IF(C3488="Técnico I",SUMIFS($D:$D,$A:$A,$A3488,$B:$B,"&lt;&gt;Patrícia Karla de Sousa Araújo",$B:$B,"&lt;&gt;Lorena Dias de Araujo",$B:$B,"&lt;&gt;Lucas Luiz Romero")*(23/1083),IF(C3488="JR",SUMIFS($D:$D,$A:$A,$A3488,$B:$B,"&lt;&gt;Patrícia Karla de Sousa Araújo",$B:$B,"&lt;&gt;Lorena Dias de Araujo",$B:$B,"&lt;&gt;Lucas Luiz Romero")*(20/1083),IF(C3488="Estágio",SUMIFS($D:$D,$A:$A,$A3488,$B:$B,"&lt;&gt;Patrícia Karla de Sousa Araújo",$B:$B,"&lt;&gt;Lorena Dias de Araujo",$B:$B,"&lt;&gt;Lucas Luiz Romero")*(10/1083),0)))))),0)</f>
        <v/>
      </c>
      <c r="K3488" s="3">
        <f>I3488-J3488</f>
        <v/>
      </c>
      <c r="L3488" s="3">
        <f>IF(K3488&lt;-5,"CRÍTICO",IF(K3488&lt;0,"ATENÇÃO",IF(K3488&lt;=5,"OPORTUNO","MUITO BOM")))</f>
        <v/>
      </c>
      <c r="M3488" t="n">
        <v>23</v>
      </c>
      <c r="N3488" t="n">
        <v>98.90000000000001</v>
      </c>
      <c r="O3488" t="n">
        <v>26.7639902676399</v>
      </c>
    </row>
    <row r="3489" hidden="1">
      <c r="A3489" s="11" t="n">
        <v>46111</v>
      </c>
      <c r="B3489" t="inlineStr">
        <is>
          <t>Maria Eduarda Sousa Costa</t>
        </is>
      </c>
      <c r="C3489" t="inlineStr">
        <is>
          <t>Estágio</t>
        </is>
      </c>
      <c r="D3489" t="n">
        <v>10</v>
      </c>
      <c r="E3489" t="n">
        <v>10</v>
      </c>
      <c r="F3489" t="n">
        <v>33.49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M3489" t="n">
        <v>8</v>
      </c>
      <c r="N3489" t="n">
        <v>88.89</v>
      </c>
      <c r="O3489" t="n">
        <v>25.26315789473684</v>
      </c>
    </row>
    <row r="3490" hidden="1">
      <c r="A3490" s="11" t="n">
        <v>46111</v>
      </c>
      <c r="B3490" t="inlineStr">
        <is>
          <t>Matheus Farias De Souza</t>
        </is>
      </c>
      <c r="C3490" t="inlineStr">
        <is>
          <t>Técnico III</t>
        </is>
      </c>
      <c r="D3490" t="n">
        <v>35</v>
      </c>
      <c r="E3490" t="n">
        <v>31</v>
      </c>
      <c r="F3490" t="n">
        <v>15.5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M3490" t="n">
        <v>33</v>
      </c>
      <c r="N3490" t="n">
        <v>98.86</v>
      </c>
      <c r="O3490" t="n">
        <v>28.95927601809955</v>
      </c>
    </row>
    <row r="3491" hidden="1">
      <c r="A3491" s="11" t="n">
        <v>46111</v>
      </c>
      <c r="B3491" t="inlineStr">
        <is>
          <t>Maysa Victoria Dias Moura</t>
        </is>
      </c>
      <c r="C3491" t="inlineStr">
        <is>
          <t>Técnico III</t>
        </is>
      </c>
      <c r="D3491" t="n">
        <v>32</v>
      </c>
      <c r="E3491" t="n">
        <v>29</v>
      </c>
      <c r="F3491" t="n">
        <v>13.31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M3491" t="n">
        <v>23</v>
      </c>
      <c r="N3491" t="n">
        <v>98.06</v>
      </c>
      <c r="O3491" t="n">
        <v>22.40566037735849</v>
      </c>
    </row>
    <row r="3492" hidden="1">
      <c r="A3492" s="11" t="n">
        <v>46111</v>
      </c>
      <c r="B3492" t="inlineStr">
        <is>
          <t>Michelle G Santos</t>
        </is>
      </c>
      <c r="C3492" t="inlineStr">
        <is>
          <t>Estágio</t>
        </is>
      </c>
      <c r="D3492" t="n">
        <v>17</v>
      </c>
      <c r="E3492" t="n">
        <v>17</v>
      </c>
      <c r="F3492" t="n">
        <v>30.36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M3492" t="n">
        <v>8</v>
      </c>
      <c r="N3492" t="n">
        <v>95.83</v>
      </c>
      <c r="O3492" t="n">
        <v>25.77319587628866</v>
      </c>
    </row>
    <row r="3493" hidden="1">
      <c r="A3493" s="11" t="n">
        <v>46111</v>
      </c>
      <c r="B3493" t="inlineStr">
        <is>
          <t>Milena Sales</t>
        </is>
      </c>
      <c r="C3493" t="inlineStr">
        <is>
          <t>JR</t>
        </is>
      </c>
      <c r="D3493" t="n">
        <v>24</v>
      </c>
      <c r="E3493" t="n">
        <v>23</v>
      </c>
      <c r="F3493" t="n">
        <v>27.17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M3493" t="n">
        <v>11</v>
      </c>
      <c r="N3493" t="n">
        <v>100</v>
      </c>
      <c r="O3493" t="n">
        <v>15.38461538461539</v>
      </c>
    </row>
    <row r="3494" hidden="1">
      <c r="A3494" s="11" t="n">
        <v>46111</v>
      </c>
      <c r="B3494" t="inlineStr">
        <is>
          <t>Patrícia Karla de Sousa Araújo</t>
        </is>
      </c>
      <c r="C3494" t="inlineStr">
        <is>
          <t>Técnico II</t>
        </is>
      </c>
      <c r="D3494" t="n">
        <v>38</v>
      </c>
      <c r="E3494" t="n">
        <v>33</v>
      </c>
      <c r="F3494" t="n">
        <v>12.27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M3494" t="n">
        <v>32</v>
      </c>
      <c r="N3494" t="n">
        <v>100</v>
      </c>
      <c r="O3494" t="n">
        <v>27.51479289940828</v>
      </c>
    </row>
    <row r="3495" hidden="1">
      <c r="A3495" s="11" t="n">
        <v>46111</v>
      </c>
      <c r="B3495" t="inlineStr">
        <is>
          <t>Paulo Ricardo Santos</t>
        </is>
      </c>
      <c r="C3495" t="inlineStr">
        <is>
          <t>JR</t>
        </is>
      </c>
      <c r="D3495" t="n">
        <v>14</v>
      </c>
      <c r="E3495" t="n">
        <v>14</v>
      </c>
      <c r="F3495" t="n">
        <v>30.56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M3495" t="n">
        <v>12</v>
      </c>
      <c r="N3495" t="n">
        <v>100</v>
      </c>
      <c r="O3495" t="n">
        <v>24.87562189054727</v>
      </c>
    </row>
    <row r="3496" hidden="1">
      <c r="A3496" s="11" t="n">
        <v>46111</v>
      </c>
      <c r="B3496" t="inlineStr">
        <is>
          <t>Pedro Luiz Mota Sousa</t>
        </is>
      </c>
      <c r="C3496" t="inlineStr">
        <is>
          <t>JR</t>
        </is>
      </c>
      <c r="D3496" t="n">
        <v>25</v>
      </c>
      <c r="E3496" t="n">
        <v>22</v>
      </c>
      <c r="F3496" t="n">
        <v>23.45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M3496" t="n">
        <v>17</v>
      </c>
      <c r="N3496" t="n">
        <v>100</v>
      </c>
      <c r="O3496" t="n">
        <v>28.10810810810811</v>
      </c>
    </row>
    <row r="3497" hidden="1">
      <c r="A3497" s="11" t="n">
        <v>46111</v>
      </c>
      <c r="B3497" t="inlineStr">
        <is>
          <t>Quirino Diogo Leite Torres</t>
        </is>
      </c>
      <c r="C3497" t="inlineStr">
        <is>
          <t>Estágio</t>
        </is>
      </c>
      <c r="D3497" t="n">
        <v>4</v>
      </c>
      <c r="E3497" t="n">
        <v>4</v>
      </c>
      <c r="F3497" t="n">
        <v>24.03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M3497" t="n">
        <v>4</v>
      </c>
      <c r="N3497" t="n">
        <v>100</v>
      </c>
      <c r="O3497" t="n">
        <v>35</v>
      </c>
    </row>
    <row r="3498" hidden="1">
      <c r="A3498" s="11" t="n">
        <v>46111</v>
      </c>
      <c r="B3498" t="inlineStr">
        <is>
          <t>Raane Batista Matos</t>
        </is>
      </c>
      <c r="C3498" t="inlineStr">
        <is>
          <t>Técnico I</t>
        </is>
      </c>
      <c r="D3498" t="n">
        <v>24</v>
      </c>
      <c r="E3498" t="n">
        <v>23</v>
      </c>
      <c r="F3498" t="n">
        <v>26.57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M3498" t="n">
        <v>14</v>
      </c>
      <c r="N3498" t="n">
        <v>95.34999999999999</v>
      </c>
      <c r="O3498" t="n">
        <v>28.61538461538461</v>
      </c>
    </row>
    <row r="3499" hidden="1">
      <c r="A3499" s="11" t="n">
        <v>46111</v>
      </c>
      <c r="B3499" t="inlineStr">
        <is>
          <t>Rafael Gomes de Morais</t>
        </is>
      </c>
      <c r="C3499" t="inlineStr">
        <is>
          <t>Técnico III</t>
        </is>
      </c>
      <c r="D3499" t="n">
        <v>41</v>
      </c>
      <c r="E3499" t="n">
        <v>38</v>
      </c>
      <c r="F3499" t="n">
        <v>12.28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M3499" t="n">
        <v>32</v>
      </c>
      <c r="N3499" t="n">
        <v>98.26000000000001</v>
      </c>
      <c r="O3499" t="n">
        <v>27.54491017964072</v>
      </c>
    </row>
    <row r="3500" hidden="1">
      <c r="A3500" s="11" t="n">
        <v>46111</v>
      </c>
      <c r="B3500" t="inlineStr">
        <is>
          <t>Sara Maria Monteiro Lopes</t>
        </is>
      </c>
      <c r="C3500" t="inlineStr">
        <is>
          <t>Técnico I</t>
        </is>
      </c>
      <c r="D3500" t="n">
        <v>23</v>
      </c>
      <c r="E3500" t="n">
        <v>21</v>
      </c>
      <c r="F3500" t="n">
        <v>22.23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M3500" t="n">
        <v>19</v>
      </c>
      <c r="N3500" t="n">
        <v>98.55</v>
      </c>
      <c r="O3500" t="n">
        <v>25.33783783783784</v>
      </c>
    </row>
    <row r="3501" hidden="1">
      <c r="A3501" s="11" t="n">
        <v>46111</v>
      </c>
      <c r="B3501" t="inlineStr">
        <is>
          <t>Sarah Steffanie de Lima Borges</t>
        </is>
      </c>
      <c r="C3501" t="inlineStr">
        <is>
          <t>Técnico III</t>
        </is>
      </c>
      <c r="D3501" t="n">
        <v>36</v>
      </c>
      <c r="E3501" t="n">
        <v>36</v>
      </c>
      <c r="F3501" t="n">
        <v>13.37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M3501" t="n">
        <v>30</v>
      </c>
      <c r="N3501" t="n">
        <v>98.39</v>
      </c>
      <c r="O3501" t="n">
        <v>25.56390977443609</v>
      </c>
    </row>
    <row r="3502" hidden="1">
      <c r="A3502" s="11" t="n">
        <v>46112</v>
      </c>
      <c r="B3502" t="inlineStr">
        <is>
          <t>Alisson de Freitas Silva</t>
        </is>
      </c>
      <c r="C3502" t="inlineStr">
        <is>
          <t>Técnico II</t>
        </is>
      </c>
      <c r="D3502" t="n">
        <v>28</v>
      </c>
      <c r="E3502" t="n">
        <v>20</v>
      </c>
      <c r="F3502" t="n">
        <v>13.26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M3502" t="n">
        <v>10</v>
      </c>
      <c r="N3502" t="n">
        <v>94.29000000000001</v>
      </c>
      <c r="O3502" t="n">
        <v>25.64766839378239</v>
      </c>
    </row>
    <row r="3503" hidden="1">
      <c r="A3503" s="11" t="n">
        <v>46112</v>
      </c>
      <c r="B3503" t="inlineStr">
        <is>
          <t>Amanda Moura Ferreira</t>
        </is>
      </c>
      <c r="C3503" t="inlineStr">
        <is>
          <t>Técnico III</t>
        </is>
      </c>
      <c r="D3503" t="n">
        <v>0</v>
      </c>
      <c r="E3503" t="n">
        <v>0</v>
      </c>
      <c r="F3503" t="n">
        <v>0</v>
      </c>
      <c r="G3503" t="n">
        <v>0</v>
      </c>
      <c r="H3503" t="n">
        <v>0</v>
      </c>
      <c r="I3503" s="3" t="n">
        <v>0</v>
      </c>
      <c r="J3503" s="3" t="n">
        <v>0</v>
      </c>
      <c r="K3503" s="3" t="n">
        <v>0</v>
      </c>
      <c r="L3503" s="3">
        <f>IF(K3503&lt;-5,"CRÍTICO",IF(K3503&lt;0,"ATENÇÃO",IF(K3503&lt;=5,"OPORTUNO","MUITO BOM")))</f>
        <v/>
      </c>
      <c r="M3503" t="n">
        <v>23</v>
      </c>
      <c r="N3503" t="n">
        <v>98.26000000000001</v>
      </c>
      <c r="O3503" t="n">
        <v>26.66666666666667</v>
      </c>
    </row>
    <row r="3504" hidden="1">
      <c r="A3504" s="11" t="n">
        <v>46112</v>
      </c>
      <c r="B3504" t="inlineStr">
        <is>
          <t>Ana Karollyne Souza Faria</t>
        </is>
      </c>
      <c r="C3504" t="inlineStr">
        <is>
          <t>Técnico I</t>
        </is>
      </c>
      <c r="D3504" t="n">
        <v>26</v>
      </c>
      <c r="E3504" t="n">
        <v>22</v>
      </c>
      <c r="F3504" t="n">
        <v>15.31</v>
      </c>
      <c r="G3504" t="n">
        <v>0</v>
      </c>
      <c r="H3504" t="n">
        <v>0</v>
      </c>
      <c r="I3504" s="3">
        <f>E3504+G3504+H3504</f>
        <v/>
      </c>
      <c r="J3504" s="3">
        <f>ROUND(MIN(IF(C3504="Técnico III",35,IF(C3504="Técnico II",28,IF(C3504="Técnico I",23,IF(C3504="JR",20,IF(C3504="Estágio",10,0))))),IF(C3504="Técnico III",SUMIFS($D:$D,$A:$A,$A3504,$B:$B,"&lt;&gt;Patrícia Karla de Sousa Araújo",$B:$B,"&lt;&gt;Lorena Dias de Araujo",$B:$B,"&lt;&gt;Lucas Luiz Romero")*(35/1083),IF(C3504="Técnico II",SUMIFS($D:$D,$A:$A,$A3504,$B:$B,"&lt;&gt;Patrícia Karla de Sousa Araújo",$B:$B,"&lt;&gt;Lorena Dias de Araujo",$B:$B,"&lt;&gt;Lucas Luiz Romero")*(28/1083),IF(C3504="Técnico I",SUMIFS($D:$D,$A:$A,$A3504,$B:$B,"&lt;&gt;Patrícia Karla de Sousa Araújo",$B:$B,"&lt;&gt;Lorena Dias de Araujo",$B:$B,"&lt;&gt;Lucas Luiz Romero")*(23/1083),IF(C3504="JR",SUMIFS($D:$D,$A:$A,$A3504,$B:$B,"&lt;&gt;Patrícia Karla de Sousa Araújo",$B:$B,"&lt;&gt;Lorena Dias de Araujo",$B:$B,"&lt;&gt;Lucas Luiz Romero")*(20/1083),IF(C3504="Estágio",SUMIFS($D:$D,$A:$A,$A3504,$B:$B,"&lt;&gt;Patrícia Karla de Sousa Araújo",$B:$B,"&lt;&gt;Lorena Dias de Araujo",$B:$B,"&lt;&gt;Lucas Luiz Romero")*(10/1083),0)))))),0)</f>
        <v/>
      </c>
      <c r="K3504" s="3">
        <f>I3504-J3504</f>
        <v/>
      </c>
      <c r="L3504" s="3">
        <f>IF(K3504&lt;-5,"CRÍTICO",IF(K3504&lt;0,"ATENÇÃO",IF(K3504&lt;=5,"OPORTUNO","MUITO BOM")))</f>
        <v/>
      </c>
      <c r="M3504" t="n">
        <v>20</v>
      </c>
      <c r="N3504" t="n">
        <v>98.2</v>
      </c>
      <c r="O3504" t="n">
        <v>23.37962962962963</v>
      </c>
    </row>
    <row r="3505" hidden="1">
      <c r="A3505" s="11" t="n">
        <v>46112</v>
      </c>
      <c r="B3505" t="inlineStr">
        <is>
          <t>Ana Paula Da Luz Silva Aleixo</t>
        </is>
      </c>
      <c r="C3505" t="inlineStr">
        <is>
          <t>Técnico III</t>
        </is>
      </c>
      <c r="D3505" t="n">
        <v>30</v>
      </c>
      <c r="E3505" t="n">
        <v>27</v>
      </c>
      <c r="F3505" t="n">
        <v>15.15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M3505" t="n">
        <v>23</v>
      </c>
      <c r="N3505" t="n">
        <v>97.3</v>
      </c>
      <c r="O3505" t="n">
        <v>23.84769539078156</v>
      </c>
    </row>
    <row r="3506" hidden="1">
      <c r="A3506" s="11" t="n">
        <v>46112</v>
      </c>
      <c r="B3506" t="inlineStr">
        <is>
          <t>Anna Luiza Rezende Tavares</t>
        </is>
      </c>
      <c r="C3506" t="inlineStr">
        <is>
          <t>Estágio</t>
        </is>
      </c>
      <c r="D3506" t="n">
        <v>21</v>
      </c>
      <c r="E3506" t="n">
        <v>21</v>
      </c>
      <c r="F3506" t="n">
        <v>15.48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M3506" t="n">
        <v>16</v>
      </c>
      <c r="N3506" t="n">
        <v>100</v>
      </c>
      <c r="O3506" t="n">
        <v>25.26881720430108</v>
      </c>
    </row>
    <row r="3507" hidden="1">
      <c r="A3507" s="11" t="n">
        <v>46112</v>
      </c>
      <c r="B3507" t="inlineStr">
        <is>
          <t>Brenda de Menezes Silva</t>
        </is>
      </c>
      <c r="C3507" t="inlineStr">
        <is>
          <t>Técnico II</t>
        </is>
      </c>
      <c r="D3507" t="n">
        <v>31</v>
      </c>
      <c r="E3507" t="n">
        <v>27</v>
      </c>
      <c r="F3507" t="n">
        <v>19.02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M3507" t="n">
        <v>30</v>
      </c>
      <c r="N3507" t="n">
        <v>99.31999999999999</v>
      </c>
      <c r="O3507" t="n">
        <v>22.82282282282282</v>
      </c>
    </row>
    <row r="3508" hidden="1">
      <c r="A3508" s="11" t="n">
        <v>46112</v>
      </c>
      <c r="B3508" t="inlineStr">
        <is>
          <t>Carlos Mateus Cassimiro Nunes</t>
        </is>
      </c>
      <c r="C3508" t="inlineStr">
        <is>
          <t>Técnico II</t>
        </is>
      </c>
      <c r="D3508" t="n">
        <v>28</v>
      </c>
      <c r="E3508" t="n">
        <v>27</v>
      </c>
      <c r="F3508" t="n">
        <v>21.4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M3508" t="n">
        <v>26</v>
      </c>
      <c r="N3508" t="n">
        <v>100</v>
      </c>
      <c r="O3508" t="n">
        <v>27.96610169491525</v>
      </c>
    </row>
    <row r="3509" hidden="1">
      <c r="A3509" s="11" t="n">
        <v>46112</v>
      </c>
      <c r="B3509" t="inlineStr">
        <is>
          <t>Claudio de Sousa Velasco Filho</t>
        </is>
      </c>
      <c r="C3509" t="inlineStr">
        <is>
          <t>Estágio</t>
        </is>
      </c>
      <c r="D3509" t="n">
        <v>10</v>
      </c>
      <c r="E3509" t="n">
        <v>10</v>
      </c>
      <c r="F3509" t="n">
        <v>25.03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M3509" t="n">
        <v>6</v>
      </c>
      <c r="N3509" t="n">
        <v>100</v>
      </c>
      <c r="O3509" t="n">
        <v>30.43478260869566</v>
      </c>
    </row>
    <row r="3510" hidden="1">
      <c r="A3510" s="11" t="n">
        <v>46112</v>
      </c>
      <c r="B3510" t="inlineStr">
        <is>
          <t>Clessiane Pereira dos Santos</t>
        </is>
      </c>
      <c r="C3510" t="inlineStr">
        <is>
          <t>Técnico I</t>
        </is>
      </c>
      <c r="D3510" t="n">
        <v>12</v>
      </c>
      <c r="E3510" t="n">
        <v>12</v>
      </c>
      <c r="F3510" t="n">
        <v>18.3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M3510" t="n">
        <v>10</v>
      </c>
      <c r="N3510" t="n">
        <v>96.51000000000001</v>
      </c>
      <c r="O3510" t="n">
        <v>22.80285035629454</v>
      </c>
    </row>
    <row r="3511" hidden="1">
      <c r="A3511" s="11" t="n">
        <v>46112</v>
      </c>
      <c r="B3511" t="inlineStr">
        <is>
          <t>Cristiane Ramos da Silva Rocha</t>
        </is>
      </c>
      <c r="C3511" t="inlineStr">
        <is>
          <t>Técnico III</t>
        </is>
      </c>
      <c r="D3511" t="n">
        <v>33</v>
      </c>
      <c r="E3511" t="n">
        <v>30</v>
      </c>
      <c r="F3511" t="n">
        <v>12.05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M3511" t="n">
        <v>26</v>
      </c>
      <c r="N3511" t="n">
        <v>92.68000000000001</v>
      </c>
      <c r="O3511" t="n">
        <v>27.77777777777778</v>
      </c>
    </row>
    <row r="3512" hidden="1">
      <c r="A3512" s="11" t="n">
        <v>46112</v>
      </c>
      <c r="B3512" t="inlineStr">
        <is>
          <t>Damyllis Lorraine de Oliveira Gonçalves</t>
        </is>
      </c>
      <c r="C3512" t="inlineStr">
        <is>
          <t>Técnico II</t>
        </is>
      </c>
      <c r="D3512" t="n">
        <v>14</v>
      </c>
      <c r="E3512" t="n">
        <v>12</v>
      </c>
      <c r="F3512" t="n">
        <v>16.42</v>
      </c>
      <c r="G3512" t="n">
        <v>0</v>
      </c>
      <c r="H3512" t="n">
        <v>0</v>
      </c>
      <c r="I3512" s="3" t="n">
        <v>0</v>
      </c>
      <c r="J3512" s="3" t="n">
        <v>0</v>
      </c>
      <c r="K3512" s="3" t="n">
        <v>0</v>
      </c>
      <c r="L3512" s="3">
        <f>IF(K3512&lt;-5,"CRÍTICO",IF(K3512&lt;0,"ATENÇÃO",IF(K3512&lt;=5,"OPORTUNO","MUITO BOM")))</f>
        <v/>
      </c>
      <c r="M3512" t="n">
        <v>11</v>
      </c>
      <c r="N3512" t="n">
        <v>99.03</v>
      </c>
      <c r="O3512" t="n">
        <v>23.99150743099788</v>
      </c>
    </row>
    <row r="3513" hidden="1">
      <c r="A3513" s="11" t="n">
        <v>46112</v>
      </c>
      <c r="B3513" t="inlineStr">
        <is>
          <t>Daniel Gomes da Silva</t>
        </is>
      </c>
      <c r="C3513" t="inlineStr">
        <is>
          <t>Técnico I</t>
        </is>
      </c>
      <c r="D3513" t="n">
        <v>19</v>
      </c>
      <c r="E3513" t="n">
        <v>18</v>
      </c>
      <c r="F3513" t="n">
        <v>23.52</v>
      </c>
      <c r="G3513" t="n">
        <v>0</v>
      </c>
      <c r="H3513" t="n">
        <v>0</v>
      </c>
      <c r="I3513" s="3">
        <f>E3513+G3513+H3513</f>
        <v/>
      </c>
      <c r="J3513" s="3">
        <f>ROUND(MIN(IF(C3513="Técnico III",35,IF(C3513="Técnico II",28,IF(C3513="Técnico I",23,IF(C3513="JR",20,IF(C3513="Estágio",10,0))))),IF(C3513="Técnico III",SUMIFS($D:$D,$A:$A,$A3513,$B:$B,"&lt;&gt;Patrícia Karla de Sousa Araújo",$B:$B,"&lt;&gt;Lorena Dias de Araujo",$B:$B,"&lt;&gt;Lucas Luiz Romero")*(35/1083),IF(C3513="Técnico II",SUMIFS($D:$D,$A:$A,$A3513,$B:$B,"&lt;&gt;Patrícia Karla de Sousa Araújo",$B:$B,"&lt;&gt;Lorena Dias de Araujo",$B:$B,"&lt;&gt;Lucas Luiz Romero")*(28/1083),IF(C3513="Técnico I",SUMIFS($D:$D,$A:$A,$A3513,$B:$B,"&lt;&gt;Patrícia Karla de Sousa Araújo",$B:$B,"&lt;&gt;Lorena Dias de Araujo",$B:$B,"&lt;&gt;Lucas Luiz Romero")*(23/1083),IF(C3513="JR",SUMIFS($D:$D,$A:$A,$A3513,$B:$B,"&lt;&gt;Patrícia Karla de Sousa Araújo",$B:$B,"&lt;&gt;Lorena Dias de Araujo",$B:$B,"&lt;&gt;Lucas Luiz Romero")*(20/1083),IF(C3513="Estágio",SUMIFS($D:$D,$A:$A,$A3513,$B:$B,"&lt;&gt;Patrícia Karla de Sousa Araújo",$B:$B,"&lt;&gt;Lorena Dias de Araujo",$B:$B,"&lt;&gt;Lucas Luiz Romero")*(10/1083),0)))))),0)</f>
        <v/>
      </c>
      <c r="K3513" s="3">
        <f>I3513-J3513</f>
        <v/>
      </c>
      <c r="L3513" s="3">
        <f>IF(K3513&lt;-5,"CRÍTICO",IF(K3513&lt;0,"ATENÇÃO",IF(K3513&lt;=5,"OPORTUNO","MUITO BOM")))</f>
        <v/>
      </c>
      <c r="M3513" t="n">
        <v>8</v>
      </c>
      <c r="N3513" t="n">
        <v>98.41</v>
      </c>
      <c r="O3513" t="n">
        <v>28.13852813852814</v>
      </c>
    </row>
    <row r="3514" hidden="1">
      <c r="A3514" s="11" t="n">
        <v>46112</v>
      </c>
      <c r="B3514" t="inlineStr">
        <is>
          <t>Davylla Rodrigues Freitas Silva</t>
        </is>
      </c>
      <c r="C3514" t="inlineStr">
        <is>
          <t>Técnico III</t>
        </is>
      </c>
      <c r="D3514" t="n">
        <v>37</v>
      </c>
      <c r="E3514" t="n">
        <v>35</v>
      </c>
      <c r="F3514" t="n">
        <v>17.06</v>
      </c>
      <c r="G3514" t="n">
        <v>0</v>
      </c>
      <c r="H3514" t="n">
        <v>0</v>
      </c>
      <c r="I3514" s="3" t="n">
        <v>0</v>
      </c>
      <c r="J3514" s="3" t="n">
        <v>0</v>
      </c>
      <c r="K3514" s="3" t="n">
        <v>0</v>
      </c>
      <c r="L3514" s="3">
        <f>IF(K3514&lt;-5,"CRÍTICO",IF(K3514&lt;0,"ATENÇÃO",IF(K3514&lt;=5,"OPORTUNO","MUITO BOM")))</f>
        <v/>
      </c>
      <c r="M3514" t="n">
        <v>35</v>
      </c>
      <c r="N3514" t="n">
        <v>98.73</v>
      </c>
      <c r="O3514" t="n">
        <v>29.14285714285714</v>
      </c>
    </row>
    <row r="3515" hidden="1">
      <c r="A3515" s="11" t="n">
        <v>46112</v>
      </c>
      <c r="B3515" t="inlineStr">
        <is>
          <t>Emilly Caylane Costa</t>
        </is>
      </c>
      <c r="C3515" t="inlineStr">
        <is>
          <t>Estágio</t>
        </is>
      </c>
      <c r="D3515" t="n">
        <v>8</v>
      </c>
      <c r="E3515" t="n">
        <v>5</v>
      </c>
      <c r="F3515" t="n">
        <v>35.32</v>
      </c>
      <c r="G3515" t="n">
        <v>0</v>
      </c>
      <c r="H3515" t="n">
        <v>0</v>
      </c>
      <c r="I3515" s="3">
        <f>E3515+G3515+H3515</f>
        <v/>
      </c>
      <c r="J3515" s="3">
        <f>ROUND(MIN(IF(C3515="Técnico III",35,IF(C3515="Técnico II",28,IF(C3515="Técnico I",23,IF(C3515="JR",20,IF(C3515="Estágio",10,0))))),IF(C3515="Técnico III",SUMIFS($D:$D,$A:$A,$A3515,$B:$B,"&lt;&gt;Patrícia Karla de Sousa Araújo",$B:$B,"&lt;&gt;Lorena Dias de Araujo",$B:$B,"&lt;&gt;Lucas Luiz Romero")*(35/1083),IF(C3515="Técnico II",SUMIFS($D:$D,$A:$A,$A3515,$B:$B,"&lt;&gt;Patrícia Karla de Sousa Araújo",$B:$B,"&lt;&gt;Lorena Dias de Araujo",$B:$B,"&lt;&gt;Lucas Luiz Romero")*(28/1083),IF(C3515="Técnico I",SUMIFS($D:$D,$A:$A,$A3515,$B:$B,"&lt;&gt;Patrícia Karla de Sousa Araújo",$B:$B,"&lt;&gt;Lorena Dias de Araujo",$B:$B,"&lt;&gt;Lucas Luiz Romero")*(23/1083),IF(C3515="JR",SUMIFS($D:$D,$A:$A,$A3515,$B:$B,"&lt;&gt;Patrícia Karla de Sousa Araújo",$B:$B,"&lt;&gt;Lorena Dias de Araujo",$B:$B,"&lt;&gt;Lucas Luiz Romero")*(20/1083),IF(C3515="Estágio",SUMIFS($D:$D,$A:$A,$A3515,$B:$B,"&lt;&gt;Patrícia Karla de Sousa Araújo",$B:$B,"&lt;&gt;Lorena Dias de Araujo",$B:$B,"&lt;&gt;Lucas Luiz Romero")*(10/1083),0)))))),0)</f>
        <v/>
      </c>
      <c r="K3515" s="3">
        <f>I3515-J3515</f>
        <v/>
      </c>
      <c r="L3515" s="3">
        <f>IF(K3515&lt;-5,"CRÍTICO",IF(K3515&lt;0,"ATENÇÃO",IF(K3515&lt;=5,"OPORTUNO","MUITO BOM")))</f>
        <v/>
      </c>
      <c r="M3515" t="n">
        <v>3</v>
      </c>
      <c r="N3515" t="n">
        <v>90.48</v>
      </c>
      <c r="O3515" t="n">
        <v>20.68965517241379</v>
      </c>
    </row>
    <row r="3516" hidden="1">
      <c r="A3516" s="11" t="n">
        <v>46112</v>
      </c>
      <c r="B3516" t="inlineStr">
        <is>
          <t>Emilly Kamilly Medeiros Miranda</t>
        </is>
      </c>
      <c r="C3516" t="inlineStr">
        <is>
          <t>Técnico II</t>
        </is>
      </c>
      <c r="D3516" t="n">
        <v>22</v>
      </c>
      <c r="E3516" t="n">
        <v>21</v>
      </c>
      <c r="F3516" t="n">
        <v>17.35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M3516" t="n">
        <v>18</v>
      </c>
      <c r="N3516" t="n">
        <v>98.06</v>
      </c>
      <c r="O3516" t="n">
        <v>24.78991596638656</v>
      </c>
    </row>
    <row r="3517" hidden="1">
      <c r="A3517" s="11" t="n">
        <v>46112</v>
      </c>
      <c r="B3517" t="inlineStr">
        <is>
          <t>Francielson de Oliveira</t>
        </is>
      </c>
      <c r="C3517" t="inlineStr">
        <is>
          <t>Técnico III</t>
        </is>
      </c>
      <c r="D3517" t="n">
        <v>0</v>
      </c>
      <c r="E3517" t="n">
        <v>0</v>
      </c>
      <c r="F3517" t="n">
        <v>0</v>
      </c>
      <c r="G3517" t="n">
        <v>0</v>
      </c>
      <c r="H3517" t="n">
        <v>0</v>
      </c>
      <c r="I3517" s="3" t="n">
        <v>0</v>
      </c>
      <c r="J3517" s="3" t="n">
        <v>0</v>
      </c>
      <c r="K3517" s="3" t="n">
        <v>0</v>
      </c>
      <c r="L3517" s="3">
        <f>IF(K3517&lt;-5,"CRÍTICO",IF(K3517&lt;0,"ATENÇÃO",IF(K3517&lt;=5,"OPORTUNO","MUITO BOM")))</f>
        <v/>
      </c>
      <c r="M3517" t="n">
        <v>0</v>
      </c>
      <c r="N3517" t="n">
        <v>97.78</v>
      </c>
      <c r="O3517" t="n">
        <v>25.49407114624506</v>
      </c>
    </row>
    <row r="3518" hidden="1">
      <c r="A3518" s="11" t="n">
        <v>46112</v>
      </c>
      <c r="B3518" t="inlineStr">
        <is>
          <t>Francilene Ferreira de Jesus</t>
        </is>
      </c>
      <c r="C3518" t="inlineStr">
        <is>
          <t>Técnico II</t>
        </is>
      </c>
      <c r="D3518" t="n">
        <v>29</v>
      </c>
      <c r="E3518" t="n">
        <v>26</v>
      </c>
      <c r="F3518" t="n">
        <v>17.36</v>
      </c>
      <c r="G3518" t="n">
        <v>0</v>
      </c>
      <c r="H3518" t="n">
        <v>0</v>
      </c>
      <c r="I3518" s="3">
        <f>E3518+G3518+H3518</f>
        <v/>
      </c>
      <c r="J3518" s="3">
        <f>ROUND(MIN(IF(C3518="Técnico III",35,IF(C3518="Técnico II",28,IF(C3518="Técnico I",23,IF(C3518="JR",20,IF(C3518="Estágio",10,0))))),IF(C3518="Técnico III",SUMIFS($D:$D,$A:$A,$A3518,$B:$B,"&lt;&gt;Patrícia Karla de Sousa Araújo",$B:$B,"&lt;&gt;Lorena Dias de Araujo",$B:$B,"&lt;&gt;Lucas Luiz Romero")*(35/1083),IF(C3518="Técnico II",SUMIFS($D:$D,$A:$A,$A3518,$B:$B,"&lt;&gt;Patrícia Karla de Sousa Araújo",$B:$B,"&lt;&gt;Lorena Dias de Araujo",$B:$B,"&lt;&gt;Lucas Luiz Romero")*(28/1083),IF(C3518="Técnico I",SUMIFS($D:$D,$A:$A,$A3518,$B:$B,"&lt;&gt;Patrícia Karla de Sousa Araújo",$B:$B,"&lt;&gt;Lorena Dias de Araujo",$B:$B,"&lt;&gt;Lucas Luiz Romero")*(23/1083),IF(C3518="JR",SUMIFS($D:$D,$A:$A,$A3518,$B:$B,"&lt;&gt;Patrícia Karla de Sousa Araújo",$B:$B,"&lt;&gt;Lorena Dias de Araujo",$B:$B,"&lt;&gt;Lucas Luiz Romero")*(20/1083),IF(C3518="Estágio",SUMIFS($D:$D,$A:$A,$A3518,$B:$B,"&lt;&gt;Patrícia Karla de Sousa Araújo",$B:$B,"&lt;&gt;Lorena Dias de Araujo",$B:$B,"&lt;&gt;Lucas Luiz Romero")*(10/1083),0)))))),0)</f>
        <v/>
      </c>
      <c r="K3518" s="3">
        <f>I3518-J3518</f>
        <v/>
      </c>
      <c r="L3518" s="3">
        <f>IF(K3518&lt;-5,"CRÍTICO",IF(K3518&lt;0,"ATENÇÃO",IF(K3518&lt;=5,"OPORTUNO","MUITO BOM")))</f>
        <v/>
      </c>
      <c r="M3518" t="n">
        <v>22</v>
      </c>
      <c r="N3518" t="n">
        <v>98.02</v>
      </c>
      <c r="O3518" t="n">
        <v>23.48484848484848</v>
      </c>
    </row>
    <row r="3519" hidden="1">
      <c r="A3519" s="10" t="n">
        <v>46164</v>
      </c>
      <c r="B3519" s="6" t="inlineStr">
        <is>
          <t>Patrícia Karla de Sousa Araújo</t>
        </is>
      </c>
      <c r="C3519" s="3" t="inlineStr">
        <is>
          <t>Técnico II</t>
        </is>
      </c>
      <c r="D3519" s="3" t="n">
        <v>17</v>
      </c>
      <c r="E3519" s="3" t="n">
        <v>17</v>
      </c>
      <c r="F3519" s="3" t="n">
        <v>22.2</v>
      </c>
      <c r="G3519" s="3" t="n">
        <v>0</v>
      </c>
      <c r="H3519" s="3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M3519" s="3" t="n">
        <v>12</v>
      </c>
      <c r="N3519" s="3" t="n">
        <v>100</v>
      </c>
      <c r="O3519" s="3" t="n">
        <v>20.18348623853211</v>
      </c>
    </row>
    <row r="3520" hidden="1">
      <c r="A3520" s="11" t="n">
        <v>46112</v>
      </c>
      <c r="B3520" t="inlineStr">
        <is>
          <t>Isabella Borges de Oliveira</t>
        </is>
      </c>
      <c r="C3520" t="inlineStr">
        <is>
          <t>Técnico II</t>
        </is>
      </c>
      <c r="D3520" t="n">
        <v>30</v>
      </c>
      <c r="E3520" t="n">
        <v>29</v>
      </c>
      <c r="F3520" t="n">
        <v>19.11</v>
      </c>
      <c r="G3520" t="n">
        <v>0</v>
      </c>
      <c r="H3520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t="n">
        <v>29</v>
      </c>
      <c r="N3520" t="n">
        <v>100</v>
      </c>
      <c r="O3520" t="n">
        <v>27.04918032786885</v>
      </c>
    </row>
    <row r="3521" hidden="1">
      <c r="A3521" s="11" t="n">
        <v>46112</v>
      </c>
      <c r="B3521" t="inlineStr">
        <is>
          <t>Janaina Lima dos Reis Urany</t>
        </is>
      </c>
      <c r="C3521" t="inlineStr">
        <is>
          <t>Técnico III</t>
        </is>
      </c>
      <c r="D3521" t="n">
        <v>51</v>
      </c>
      <c r="E3521" t="n">
        <v>42</v>
      </c>
      <c r="F3521" t="n">
        <v>13.24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M3521" t="n">
        <v>45</v>
      </c>
      <c r="N3521" t="n">
        <v>97.83</v>
      </c>
      <c r="O3521" t="n">
        <v>26.31578947368421</v>
      </c>
    </row>
    <row r="3522" hidden="1">
      <c r="A3522" s="11" t="n">
        <v>46112</v>
      </c>
      <c r="B3522" t="inlineStr">
        <is>
          <t>Jaqueline Evangelista da Silva Martins</t>
        </is>
      </c>
      <c r="C3522" t="inlineStr">
        <is>
          <t>Técnico III</t>
        </is>
      </c>
      <c r="D3522" t="n">
        <v>0</v>
      </c>
      <c r="E3522" t="n">
        <v>0</v>
      </c>
      <c r="F3522" t="n">
        <v>0</v>
      </c>
      <c r="G3522" t="n">
        <v>0</v>
      </c>
      <c r="H3522" t="n">
        <v>0</v>
      </c>
      <c r="I3522" s="3" t="n">
        <v>0</v>
      </c>
      <c r="J3522" s="3" t="n">
        <v>0</v>
      </c>
      <c r="K3522" s="3" t="n">
        <v>0</v>
      </c>
      <c r="L3522" s="3">
        <f>IF(K3522&lt;-5,"CRÍTICO",IF(K3522&lt;0,"ATENÇÃO",IF(K3522&lt;=5,"OPORTUNO","MUITO BOM")))</f>
        <v/>
      </c>
      <c r="M3522" t="n">
        <v>0</v>
      </c>
      <c r="N3522" t="n">
        <v>100</v>
      </c>
      <c r="O3522" t="n">
        <v>26.70157068062827</v>
      </c>
    </row>
    <row r="3523" hidden="1">
      <c r="A3523" s="11" t="n">
        <v>46112</v>
      </c>
      <c r="B3523" t="inlineStr">
        <is>
          <t>Jessica Faria da Silveira</t>
        </is>
      </c>
      <c r="C3523" t="inlineStr">
        <is>
          <t>Técnico II</t>
        </is>
      </c>
      <c r="D3523" t="n">
        <v>18</v>
      </c>
      <c r="E3523" t="n">
        <v>14</v>
      </c>
      <c r="F3523" t="n">
        <v>14.11</v>
      </c>
      <c r="G3523" t="n">
        <v>0</v>
      </c>
      <c r="H3523" t="n">
        <v>0</v>
      </c>
      <c r="I3523" s="3">
        <f>E3523+G3523+H3523</f>
        <v/>
      </c>
      <c r="J3523" s="3">
        <f>ROUND(MIN(IF(C3523="Técnico III",35,IF(C3523="Técnico II",28,IF(C3523="Técnico I",23,IF(C3523="JR",20,IF(C3523="Estágio",10,0))))),IF(C3523="Técnico III",SUMIFS($D:$D,$A:$A,$A3523,$B:$B,"&lt;&gt;Patrícia Karla de Sousa Araújo",$B:$B,"&lt;&gt;Lorena Dias de Araujo",$B:$B,"&lt;&gt;Lucas Luiz Romero")*(35/1083),IF(C3523="Técnico II",SUMIFS($D:$D,$A:$A,$A3523,$B:$B,"&lt;&gt;Patrícia Karla de Sousa Araújo",$B:$B,"&lt;&gt;Lorena Dias de Araujo",$B:$B,"&lt;&gt;Lucas Luiz Romero")*(28/1083),IF(C3523="Técnico I",SUMIFS($D:$D,$A:$A,$A3523,$B:$B,"&lt;&gt;Patrícia Karla de Sousa Araújo",$B:$B,"&lt;&gt;Lorena Dias de Araujo",$B:$B,"&lt;&gt;Lucas Luiz Romero")*(23/1083),IF(C3523="JR",SUMIFS($D:$D,$A:$A,$A3523,$B:$B,"&lt;&gt;Patrícia Karla de Sousa Araújo",$B:$B,"&lt;&gt;Lorena Dias de Araujo",$B:$B,"&lt;&gt;Lucas Luiz Romero")*(20/1083),IF(C3523="Estágio",SUMIFS($D:$D,$A:$A,$A3523,$B:$B,"&lt;&gt;Patrícia Karla de Sousa Araújo",$B:$B,"&lt;&gt;Lorena Dias de Araujo",$B:$B,"&lt;&gt;Lucas Luiz Romero")*(10/1083),0)))))),0)</f>
        <v/>
      </c>
      <c r="K3523" s="3">
        <f>I3523-J3523</f>
        <v/>
      </c>
      <c r="L3523" s="3">
        <f>IF(K3523&lt;-5,"CRÍTICO",IF(K3523&lt;0,"ATENÇÃO",IF(K3523&lt;=5,"OPORTUNO","MUITO BOM")))</f>
        <v/>
      </c>
      <c r="M3523" t="n">
        <v>13</v>
      </c>
      <c r="N3523" t="n">
        <v>97.47</v>
      </c>
      <c r="O3523" t="n">
        <v>22.88732394366197</v>
      </c>
    </row>
    <row r="3524" hidden="1">
      <c r="A3524" s="11" t="n">
        <v>46112</v>
      </c>
      <c r="B3524" t="inlineStr">
        <is>
          <t>Jéssica Fé Moura</t>
        </is>
      </c>
      <c r="C3524" t="inlineStr">
        <is>
          <t>Técnico III</t>
        </is>
      </c>
      <c r="D3524" t="n">
        <v>0</v>
      </c>
      <c r="E3524" t="n">
        <v>0</v>
      </c>
      <c r="F3524" t="n">
        <v>0</v>
      </c>
      <c r="G3524" t="n">
        <v>0</v>
      </c>
      <c r="H3524" t="n">
        <v>0</v>
      </c>
      <c r="I3524" s="3" t="n">
        <v>0</v>
      </c>
      <c r="J3524" s="3" t="n">
        <v>0</v>
      </c>
      <c r="K3524" s="3" t="n">
        <v>0</v>
      </c>
      <c r="L3524" s="3">
        <f>IF(K3524&lt;-5,"CRÍTICO",IF(K3524&lt;0,"ATENÇÃO",IF(K3524&lt;=5,"OPORTUNO","MUITO BOM")))</f>
        <v/>
      </c>
      <c r="M3524" t="n">
        <v>0</v>
      </c>
      <c r="N3524" t="n">
        <v>0</v>
      </c>
      <c r="O3524" t="n">
        <v>0</v>
      </c>
    </row>
    <row r="3525" hidden="1">
      <c r="A3525" s="11" t="n">
        <v>46112</v>
      </c>
      <c r="B3525" t="inlineStr">
        <is>
          <t>Karina Gonçalves Martins</t>
        </is>
      </c>
      <c r="C3525" t="inlineStr">
        <is>
          <t>JR</t>
        </is>
      </c>
      <c r="D3525" t="n">
        <v>23</v>
      </c>
      <c r="E3525" t="n">
        <v>21</v>
      </c>
      <c r="F3525" t="n">
        <v>21.5</v>
      </c>
      <c r="G3525" t="n">
        <v>0</v>
      </c>
      <c r="H3525" t="n">
        <v>0</v>
      </c>
      <c r="I3525" s="3">
        <f>E3525+G3525+H3525</f>
        <v/>
      </c>
      <c r="J3525" s="3">
        <f>ROUND(MIN(IF(C3525="Técnico III",35,IF(C3525="Técnico II",28,IF(C3525="Técnico I",23,IF(C3525="JR",20,IF(C3525="Estágio",10,0))))),IF(C3525="Técnico III",SUMIFS($D:$D,$A:$A,$A3525,$B:$B,"&lt;&gt;Patrícia Karla de Sousa Araújo",$B:$B,"&lt;&gt;Lorena Dias de Araujo",$B:$B,"&lt;&gt;Lucas Luiz Romero")*(35/1083),IF(C3525="Técnico II",SUMIFS($D:$D,$A:$A,$A3525,$B:$B,"&lt;&gt;Patrícia Karla de Sousa Araújo",$B:$B,"&lt;&gt;Lorena Dias de Araujo",$B:$B,"&lt;&gt;Lucas Luiz Romero")*(28/1083),IF(C3525="Técnico I",SUMIFS($D:$D,$A:$A,$A3525,$B:$B,"&lt;&gt;Patrícia Karla de Sousa Araújo",$B:$B,"&lt;&gt;Lorena Dias de Araujo",$B:$B,"&lt;&gt;Lucas Luiz Romero")*(23/1083),IF(C3525="JR",SUMIFS($D:$D,$A:$A,$A3525,$B:$B,"&lt;&gt;Patrícia Karla de Sousa Araújo",$B:$B,"&lt;&gt;Lorena Dias de Araujo",$B:$B,"&lt;&gt;Lucas Luiz Romero")*(20/1083),IF(C3525="Estágio",SUMIFS($D:$D,$A:$A,$A3525,$B:$B,"&lt;&gt;Patrícia Karla de Sousa Araújo",$B:$B,"&lt;&gt;Lorena Dias de Araujo",$B:$B,"&lt;&gt;Lucas Luiz Romero")*(10/1083),0)))))),0)</f>
        <v/>
      </c>
      <c r="K3525" s="3">
        <f>I3525-J3525</f>
        <v/>
      </c>
      <c r="L3525" s="3">
        <f>IF(K3525&lt;-5,"CRÍTICO",IF(K3525&lt;0,"ATENÇÃO",IF(K3525&lt;=5,"OPORTUNO","MUITO BOM")))</f>
        <v/>
      </c>
      <c r="M3525" t="n">
        <v>19</v>
      </c>
      <c r="N3525" t="n">
        <v>98.31</v>
      </c>
      <c r="O3525" t="n">
        <v>24.92012779552715</v>
      </c>
    </row>
    <row r="3526" hidden="1">
      <c r="A3526" s="11" t="n">
        <v>46112</v>
      </c>
      <c r="B3526" t="inlineStr">
        <is>
          <t>Kerollen Cristielly de Jesus Siqueira</t>
        </is>
      </c>
      <c r="C3526" t="inlineStr">
        <is>
          <t>Técnico III</t>
        </is>
      </c>
      <c r="D3526" t="n">
        <v>6</v>
      </c>
      <c r="E3526" t="n">
        <v>6</v>
      </c>
      <c r="F3526" t="n">
        <v>53.36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M3526" t="n">
        <v>7</v>
      </c>
      <c r="N3526" t="n">
        <v>96.81</v>
      </c>
      <c r="O3526" t="n">
        <v>32.36514522821577</v>
      </c>
    </row>
    <row r="3527" hidden="1">
      <c r="A3527" s="11" t="n">
        <v>46112</v>
      </c>
      <c r="B3527" t="inlineStr">
        <is>
          <t>Leandro de Souza Silva</t>
        </is>
      </c>
      <c r="C3527" t="inlineStr">
        <is>
          <t>JR</t>
        </is>
      </c>
      <c r="D3527" t="n">
        <v>18</v>
      </c>
      <c r="E3527" t="n">
        <v>18</v>
      </c>
      <c r="F3527" t="n">
        <v>18.42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M3527" t="n">
        <v>16</v>
      </c>
      <c r="N3527" t="n">
        <v>100</v>
      </c>
      <c r="O3527" t="n">
        <v>26.47058823529412</v>
      </c>
    </row>
    <row r="3528" hidden="1">
      <c r="A3528" s="11" t="n">
        <v>46112</v>
      </c>
      <c r="B3528" t="inlineStr">
        <is>
          <t>Leandro Oliveira de Sousa</t>
        </is>
      </c>
      <c r="C3528" t="inlineStr">
        <is>
          <t>Técnico III</t>
        </is>
      </c>
      <c r="D3528" t="n">
        <v>33</v>
      </c>
      <c r="E3528" t="n">
        <v>29</v>
      </c>
      <c r="F3528" t="n">
        <v>15.08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M3528" t="n">
        <v>28</v>
      </c>
      <c r="N3528" t="n">
        <v>100</v>
      </c>
      <c r="O3528" t="n">
        <v>28.49002849002849</v>
      </c>
    </row>
    <row r="3529" hidden="1">
      <c r="A3529" s="11" t="n">
        <v>46112</v>
      </c>
      <c r="B3529" t="inlineStr">
        <is>
          <t>Lizandra Gomes Duarte</t>
        </is>
      </c>
      <c r="C3529" t="inlineStr">
        <is>
          <t>Técnico II</t>
        </is>
      </c>
      <c r="D3529" t="n">
        <v>26</v>
      </c>
      <c r="E3529" t="n">
        <v>23</v>
      </c>
      <c r="F3529" t="n">
        <v>20.36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M3529" t="n">
        <v>9</v>
      </c>
      <c r="N3529" t="n">
        <v>99.14</v>
      </c>
      <c r="O3529" t="n">
        <v>27.2289156626506</v>
      </c>
    </row>
    <row r="3530" hidden="1">
      <c r="A3530" s="11" t="n">
        <v>46112</v>
      </c>
      <c r="B3530" t="inlineStr">
        <is>
          <t>Lorena Dias de Araujo</t>
        </is>
      </c>
      <c r="C3530" t="inlineStr">
        <is>
          <t>Técnico II</t>
        </is>
      </c>
      <c r="D3530" t="n">
        <v>6</v>
      </c>
      <c r="E3530" t="n">
        <v>6</v>
      </c>
      <c r="F3530" t="n">
        <v>16.47</v>
      </c>
      <c r="G3530" t="n">
        <v>0</v>
      </c>
      <c r="H3530" t="n">
        <v>0</v>
      </c>
      <c r="I3530" s="3" t="n">
        <v>0</v>
      </c>
      <c r="J3530" s="3" t="n">
        <v>0</v>
      </c>
      <c r="K3530" s="3" t="n">
        <v>0</v>
      </c>
      <c r="L3530" s="3">
        <f>IF(K3530&lt;-5,"CRÍTICO",IF(K3530&lt;0,"ATENÇÃO",IF(K3530&lt;=5,"OPORTUNO","MUITO BOM")))</f>
        <v/>
      </c>
      <c r="M3530" t="n">
        <v>3</v>
      </c>
      <c r="N3530" t="n">
        <v>97.52</v>
      </c>
      <c r="O3530" t="n">
        <v>28.2051282051282</v>
      </c>
    </row>
    <row r="3531" hidden="1">
      <c r="A3531" s="11" t="n">
        <v>46112</v>
      </c>
      <c r="B3531" t="inlineStr">
        <is>
          <t>Lucas Luiz Romero</t>
        </is>
      </c>
      <c r="C3531" t="inlineStr">
        <is>
          <t>Técnico III</t>
        </is>
      </c>
      <c r="D3531" t="n">
        <v>41</v>
      </c>
      <c r="E3531" t="n">
        <v>36</v>
      </c>
      <c r="F3531" t="n">
        <v>17.23</v>
      </c>
      <c r="G3531" t="n">
        <v>0</v>
      </c>
      <c r="H3531" t="n">
        <v>0</v>
      </c>
      <c r="I3531" s="3">
        <f>E3531+G3531+H3531</f>
        <v/>
      </c>
      <c r="J3531" s="3">
        <f>ROUND(MIN(IF(C3531="Técnico III",35,IF(C3531="Técnico II",28,IF(C3531="Técnico I",23,IF(C3531="JR",20,IF(C3531="Estágio",10,0))))),IF(C3531="Técnico III",SUMIFS($D:$D,$A:$A,$A3531,$B:$B,"&lt;&gt;Patrícia Karla de Sousa Araújo",$B:$B,"&lt;&gt;Lorena Dias de Araujo",$B:$B,"&lt;&gt;Lucas Luiz Romero")*(35/1083),IF(C3531="Técnico II",SUMIFS($D:$D,$A:$A,$A3531,$B:$B,"&lt;&gt;Patrícia Karla de Sousa Araújo",$B:$B,"&lt;&gt;Lorena Dias de Araujo",$B:$B,"&lt;&gt;Lucas Luiz Romero")*(28/1083),IF(C3531="Técnico I",SUMIFS($D:$D,$A:$A,$A3531,$B:$B,"&lt;&gt;Patrícia Karla de Sousa Araújo",$B:$B,"&lt;&gt;Lorena Dias de Araujo",$B:$B,"&lt;&gt;Lucas Luiz Romero")*(23/1083),IF(C3531="JR",SUMIFS($D:$D,$A:$A,$A3531,$B:$B,"&lt;&gt;Patrícia Karla de Sousa Araújo",$B:$B,"&lt;&gt;Lorena Dias de Araujo",$B:$B,"&lt;&gt;Lucas Luiz Romero")*(20/1083),IF(C3531="Estágio",SUMIFS($D:$D,$A:$A,$A3531,$B:$B,"&lt;&gt;Patrícia Karla de Sousa Araújo",$B:$B,"&lt;&gt;Lorena Dias de Araujo",$B:$B,"&lt;&gt;Lucas Luiz Romero")*(10/1083),0)))))),0)</f>
        <v/>
      </c>
      <c r="K3531" s="3">
        <f>I3531-J3531</f>
        <v/>
      </c>
      <c r="L3531" s="3">
        <f>IF(K3531&lt;-5,"CRÍTICO",IF(K3531&lt;0,"ATENÇÃO",IF(K3531&lt;=5,"OPORTUNO","MUITO BOM")))</f>
        <v/>
      </c>
      <c r="M3531" t="n">
        <v>26</v>
      </c>
      <c r="N3531" t="n">
        <v>90</v>
      </c>
      <c r="O3531" t="n">
        <v>24.18604651162791</v>
      </c>
    </row>
    <row r="3532" hidden="1">
      <c r="A3532" s="11" t="n">
        <v>46112</v>
      </c>
      <c r="B3532" t="inlineStr">
        <is>
          <t>Luiz Fernando de Carvalho Junior</t>
        </is>
      </c>
      <c r="C3532" t="inlineStr">
        <is>
          <t>Técnico I</t>
        </is>
      </c>
      <c r="D3532" t="n">
        <v>29</v>
      </c>
      <c r="E3532" t="n">
        <v>28</v>
      </c>
      <c r="F3532" t="n">
        <v>15.59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M3532" t="n">
        <v>28</v>
      </c>
      <c r="N3532" t="n">
        <v>98.90000000000001</v>
      </c>
      <c r="O3532" t="n">
        <v>26.7639902676399</v>
      </c>
    </row>
    <row r="3533" hidden="1">
      <c r="A3533" s="11" t="n">
        <v>46112</v>
      </c>
      <c r="B3533" t="inlineStr">
        <is>
          <t>Maria Eduarda Sousa Costa</t>
        </is>
      </c>
      <c r="C3533" t="inlineStr">
        <is>
          <t>Estágio</t>
        </is>
      </c>
      <c r="D3533" t="n">
        <v>8</v>
      </c>
      <c r="E3533" t="n">
        <v>8</v>
      </c>
      <c r="F3533" t="n">
        <v>40.1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M3533" t="n">
        <v>7</v>
      </c>
      <c r="N3533" t="n">
        <v>88.89</v>
      </c>
      <c r="O3533" t="n">
        <v>25.26315789473684</v>
      </c>
    </row>
    <row r="3534" hidden="1">
      <c r="A3534" s="11" t="n">
        <v>46112</v>
      </c>
      <c r="B3534" t="inlineStr">
        <is>
          <t>Matheus Farias De Souza</t>
        </is>
      </c>
      <c r="C3534" t="inlineStr">
        <is>
          <t>Técnico III</t>
        </is>
      </c>
      <c r="D3534" t="n">
        <v>34</v>
      </c>
      <c r="E3534" t="n">
        <v>30</v>
      </c>
      <c r="F3534" t="n">
        <v>15.39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M3534" t="n">
        <v>28</v>
      </c>
      <c r="N3534" t="n">
        <v>98.86</v>
      </c>
      <c r="O3534" t="n">
        <v>28.95927601809955</v>
      </c>
    </row>
    <row r="3535" hidden="1">
      <c r="A3535" s="11" t="n">
        <v>46112</v>
      </c>
      <c r="B3535" t="inlineStr">
        <is>
          <t>Maysa Victoria Dias Moura</t>
        </is>
      </c>
      <c r="C3535" t="inlineStr">
        <is>
          <t>Técnico III</t>
        </is>
      </c>
      <c r="D3535" t="n">
        <v>40</v>
      </c>
      <c r="E3535" t="n">
        <v>37</v>
      </c>
      <c r="F3535" t="n">
        <v>11.53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M3535" t="n">
        <v>25</v>
      </c>
      <c r="N3535" t="n">
        <v>98.06</v>
      </c>
      <c r="O3535" t="n">
        <v>22.40566037735849</v>
      </c>
    </row>
    <row r="3536" hidden="1">
      <c r="A3536" s="11" t="n">
        <v>46112</v>
      </c>
      <c r="B3536" t="inlineStr">
        <is>
          <t>Michelle G Santos</t>
        </is>
      </c>
      <c r="C3536" t="inlineStr">
        <is>
          <t>Estágio</t>
        </is>
      </c>
      <c r="D3536" t="n">
        <v>20</v>
      </c>
      <c r="E3536" t="n">
        <v>19</v>
      </c>
      <c r="F3536" t="n">
        <v>27.18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M3536" t="n">
        <v>7</v>
      </c>
      <c r="N3536" t="n">
        <v>95.83</v>
      </c>
      <c r="O3536" t="n">
        <v>25.77319587628866</v>
      </c>
    </row>
    <row r="3537" hidden="1">
      <c r="A3537" s="11" t="n">
        <v>46112</v>
      </c>
      <c r="B3537" t="inlineStr">
        <is>
          <t>Milena Sales</t>
        </is>
      </c>
      <c r="C3537" t="inlineStr">
        <is>
          <t>JR</t>
        </is>
      </c>
      <c r="D3537" t="n">
        <v>22</v>
      </c>
      <c r="E3537" t="n">
        <v>17</v>
      </c>
      <c r="F3537" t="n">
        <v>20.21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M3537" t="n">
        <v>14</v>
      </c>
      <c r="N3537" t="n">
        <v>100</v>
      </c>
      <c r="O3537" t="n">
        <v>15.38461538461539</v>
      </c>
    </row>
    <row r="3538" hidden="1">
      <c r="A3538" s="11" t="n">
        <v>46112</v>
      </c>
      <c r="B3538" t="inlineStr">
        <is>
          <t>Patrícia Karla de Sousa Araújo</t>
        </is>
      </c>
      <c r="C3538" t="inlineStr">
        <is>
          <t>Técnico II</t>
        </is>
      </c>
      <c r="D3538" t="n">
        <v>32</v>
      </c>
      <c r="E3538" t="n">
        <v>30</v>
      </c>
      <c r="F3538" t="n">
        <v>18.39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M3538" t="n">
        <v>20</v>
      </c>
      <c r="N3538" t="n">
        <v>100</v>
      </c>
      <c r="O3538" t="n">
        <v>27.51479289940828</v>
      </c>
    </row>
    <row r="3539" hidden="1">
      <c r="A3539" s="11" t="n">
        <v>46112</v>
      </c>
      <c r="B3539" t="inlineStr">
        <is>
          <t>Paulo Ricardo Santos</t>
        </is>
      </c>
      <c r="C3539" t="inlineStr">
        <is>
          <t>JR</t>
        </is>
      </c>
      <c r="D3539" t="n">
        <v>21</v>
      </c>
      <c r="E3539" t="n">
        <v>19</v>
      </c>
      <c r="F3539" t="n">
        <v>18.51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M3539" t="n">
        <v>12</v>
      </c>
      <c r="N3539" t="n">
        <v>100</v>
      </c>
      <c r="O3539" t="n">
        <v>24.87562189054727</v>
      </c>
    </row>
    <row r="3540" hidden="1">
      <c r="A3540" s="11" t="n">
        <v>46112</v>
      </c>
      <c r="B3540" t="inlineStr">
        <is>
          <t>Pedro Luiz Mota Sousa</t>
        </is>
      </c>
      <c r="C3540" t="inlineStr">
        <is>
          <t>JR</t>
        </is>
      </c>
      <c r="D3540" t="n">
        <v>27</v>
      </c>
      <c r="E3540" t="n">
        <v>25</v>
      </c>
      <c r="F3540" t="n">
        <v>22.34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M3540" t="n">
        <v>19</v>
      </c>
      <c r="N3540" t="n">
        <v>100</v>
      </c>
      <c r="O3540" t="n">
        <v>28.10810810810811</v>
      </c>
    </row>
    <row r="3541" hidden="1">
      <c r="A3541" s="11" t="n">
        <v>46112</v>
      </c>
      <c r="B3541" t="inlineStr">
        <is>
          <t>Quirino Diogo Leite Torres</t>
        </is>
      </c>
      <c r="C3541" t="inlineStr">
        <is>
          <t>Estágio</t>
        </is>
      </c>
      <c r="D3541" t="n">
        <v>8</v>
      </c>
      <c r="E3541" t="n">
        <v>6</v>
      </c>
      <c r="F3541" t="n">
        <v>34.04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M3541" t="n">
        <v>3</v>
      </c>
      <c r="N3541" t="n">
        <v>100</v>
      </c>
      <c r="O3541" t="n">
        <v>35</v>
      </c>
    </row>
    <row r="3542" hidden="1">
      <c r="A3542" s="11" t="n">
        <v>46112</v>
      </c>
      <c r="B3542" t="inlineStr">
        <is>
          <t>Raane Batista Matos</t>
        </is>
      </c>
      <c r="C3542" t="inlineStr">
        <is>
          <t>Técnico I</t>
        </is>
      </c>
      <c r="D3542" t="n">
        <v>29</v>
      </c>
      <c r="E3542" t="n">
        <v>28</v>
      </c>
      <c r="F3542" t="n">
        <v>18.54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M3542" t="n">
        <v>17</v>
      </c>
      <c r="N3542" t="n">
        <v>95.34999999999999</v>
      </c>
      <c r="O3542" t="n">
        <v>28.61538461538461</v>
      </c>
    </row>
    <row r="3543" hidden="1">
      <c r="A3543" s="11" t="n">
        <v>46112</v>
      </c>
      <c r="B3543" t="inlineStr">
        <is>
          <t>Rafael Gomes de Morais</t>
        </is>
      </c>
      <c r="C3543" t="inlineStr">
        <is>
          <t>Técnico III</t>
        </is>
      </c>
      <c r="D3543" t="n">
        <v>47</v>
      </c>
      <c r="E3543" t="n">
        <v>42</v>
      </c>
      <c r="F3543" t="n">
        <v>12.22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M3543" t="n">
        <v>35</v>
      </c>
      <c r="N3543" t="n">
        <v>98.26000000000001</v>
      </c>
      <c r="O3543" t="n">
        <v>27.54491017964072</v>
      </c>
    </row>
    <row r="3544" hidden="1">
      <c r="A3544" s="11" t="n">
        <v>46112</v>
      </c>
      <c r="B3544" t="inlineStr">
        <is>
          <t>Sara Maria Monteiro Lopes</t>
        </is>
      </c>
      <c r="C3544" t="inlineStr">
        <is>
          <t>Técnico I</t>
        </is>
      </c>
      <c r="D3544" t="n">
        <v>17</v>
      </c>
      <c r="E3544" t="n">
        <v>16</v>
      </c>
      <c r="F3544" t="n">
        <v>33.59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M3544" t="n">
        <v>14</v>
      </c>
      <c r="N3544" t="n">
        <v>98.55</v>
      </c>
      <c r="O3544" t="n">
        <v>25.33783783783784</v>
      </c>
    </row>
    <row r="3545" hidden="1">
      <c r="A3545" s="11" t="n">
        <v>46112</v>
      </c>
      <c r="B3545" t="inlineStr">
        <is>
          <t>Sarah Steffanie de Lima Borges</t>
        </is>
      </c>
      <c r="C3545" t="inlineStr">
        <is>
          <t>Técnico III</t>
        </is>
      </c>
      <c r="D3545" t="n">
        <v>35</v>
      </c>
      <c r="E3545" t="n">
        <v>33</v>
      </c>
      <c r="F3545" t="n">
        <v>15.24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M3545" t="n">
        <v>27</v>
      </c>
      <c r="N3545" t="n">
        <v>98.39</v>
      </c>
      <c r="O3545" t="n">
        <v>25.56390977443609</v>
      </c>
    </row>
    <row r="3546" hidden="1">
      <c r="A3546" s="11" t="n">
        <v>46113</v>
      </c>
      <c r="B3546" t="inlineStr">
        <is>
          <t>Alisson de Freitas Silva</t>
        </is>
      </c>
      <c r="C3546" t="inlineStr">
        <is>
          <t>Técnico II</t>
        </is>
      </c>
      <c r="D3546" t="n">
        <v>17</v>
      </c>
      <c r="E3546" t="n">
        <v>15</v>
      </c>
      <c r="F3546" t="n">
        <v>18.22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M3546" t="n">
        <v>13</v>
      </c>
      <c r="N3546" t="n">
        <v>100</v>
      </c>
      <c r="O3546" t="n">
        <v>32.76450511945392</v>
      </c>
    </row>
    <row r="3547" hidden="1">
      <c r="A3547" s="11" t="n">
        <v>46113</v>
      </c>
      <c r="B3547" t="inlineStr">
        <is>
          <t>Amanda Moura Ferreira</t>
        </is>
      </c>
      <c r="C3547" t="inlineStr">
        <is>
          <t>Técnico III</t>
        </is>
      </c>
      <c r="D3547" t="n">
        <v>0</v>
      </c>
      <c r="E3547" t="n">
        <v>0</v>
      </c>
      <c r="F3547" t="n">
        <v>0</v>
      </c>
      <c r="G3547" t="n">
        <v>0</v>
      </c>
      <c r="H3547" t="n">
        <v>0</v>
      </c>
      <c r="I3547" s="3" t="n">
        <v>0</v>
      </c>
      <c r="J3547" s="3" t="n">
        <v>0</v>
      </c>
      <c r="K3547" s="3" t="n">
        <v>0</v>
      </c>
      <c r="L3547" s="3">
        <f>IF(K3547&lt;-5,"CRÍTICO",IF(K3547&lt;0,"ATENÇÃO",IF(K3547&lt;=5,"OPORTUNO","MUITO BOM")))</f>
        <v/>
      </c>
      <c r="M3547" t="n">
        <v>24</v>
      </c>
      <c r="N3547" t="n">
        <v>98.66</v>
      </c>
      <c r="O3547" t="n">
        <v>35.41666666666667</v>
      </c>
    </row>
    <row r="3548" hidden="1">
      <c r="A3548" s="11" t="n">
        <v>46113</v>
      </c>
      <c r="B3548" t="inlineStr">
        <is>
          <t>Ana Karollyne Souza Faria</t>
        </is>
      </c>
      <c r="C3548" t="inlineStr">
        <is>
          <t>Técnico I</t>
        </is>
      </c>
      <c r="D3548" t="n">
        <v>26</v>
      </c>
      <c r="E3548" t="n">
        <v>26</v>
      </c>
      <c r="F3548" t="n">
        <v>21.52</v>
      </c>
      <c r="G3548" t="n">
        <v>0</v>
      </c>
      <c r="H3548" t="n">
        <v>0</v>
      </c>
      <c r="I3548" s="3">
        <f>E3548+G3548+H3548</f>
        <v/>
      </c>
      <c r="J3548" s="3">
        <f>ROUND(MIN(IF(C3548="Técnico III",35,IF(C3548="Técnico II",28,IF(C3548="Técnico I",23,IF(C3548="JR",20,IF(C3548="Estágio",10,0))))),IF(C3548="Técnico III",SUMIFS($D:$D,$A:$A,$A3548,$B:$B,"&lt;&gt;Patrícia Karla de Sousa Araújo",$B:$B,"&lt;&gt;Lorena Dias de Araujo",$B:$B,"&lt;&gt;Lucas Luiz Romero")*(35/1083),IF(C3548="Técnico II",SUMIFS($D:$D,$A:$A,$A3548,$B:$B,"&lt;&gt;Patrícia Karla de Sousa Araújo",$B:$B,"&lt;&gt;Lorena Dias de Araujo",$B:$B,"&lt;&gt;Lucas Luiz Romero")*(28/1083),IF(C3548="Técnico I",SUMIFS($D:$D,$A:$A,$A3548,$B:$B,"&lt;&gt;Patrícia Karla de Sousa Araújo",$B:$B,"&lt;&gt;Lorena Dias de Araujo",$B:$B,"&lt;&gt;Lucas Luiz Romero")*(23/1083),IF(C3548="JR",SUMIFS($D:$D,$A:$A,$A3548,$B:$B,"&lt;&gt;Patrícia Karla de Sousa Araújo",$B:$B,"&lt;&gt;Lorena Dias de Araujo",$B:$B,"&lt;&gt;Lucas Luiz Romero")*(20/1083),IF(C3548="Estágio",SUMIFS($D:$D,$A:$A,$A3548,$B:$B,"&lt;&gt;Patrícia Karla de Sousa Araújo",$B:$B,"&lt;&gt;Lorena Dias de Araujo",$B:$B,"&lt;&gt;Lucas Luiz Romero")*(10/1083),0)))))),0)</f>
        <v/>
      </c>
      <c r="K3548" s="3">
        <f>I3548-J3548</f>
        <v/>
      </c>
      <c r="L3548" s="3">
        <f>IF(K3548&lt;-5,"CRÍTICO",IF(K3548&lt;0,"ATENÇÃO",IF(K3548&lt;=5,"OPORTUNO","MUITO BOM")))</f>
        <v/>
      </c>
      <c r="M3548" t="n">
        <v>26</v>
      </c>
      <c r="N3548" t="n">
        <v>99.31999999999999</v>
      </c>
      <c r="O3548" t="n">
        <v>30.6483300589391</v>
      </c>
    </row>
    <row r="3549" hidden="1">
      <c r="A3549" s="11" t="n">
        <v>46113</v>
      </c>
      <c r="B3549" t="inlineStr">
        <is>
          <t>Ana Paula Da Luz Silva Aleixo</t>
        </is>
      </c>
      <c r="C3549" t="inlineStr">
        <is>
          <t>Técnico III</t>
        </is>
      </c>
      <c r="D3549" t="n">
        <v>22</v>
      </c>
      <c r="E3549" t="n">
        <v>21</v>
      </c>
      <c r="F3549" t="n">
        <v>26.55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M3549" t="n">
        <v>20</v>
      </c>
      <c r="N3549" t="n">
        <v>100</v>
      </c>
      <c r="O3549" t="n">
        <v>27.80373831775701</v>
      </c>
    </row>
    <row r="3550" hidden="1">
      <c r="A3550" s="11" t="n">
        <v>46113</v>
      </c>
      <c r="B3550" t="inlineStr">
        <is>
          <t>Anna Luiza Rezende Tavares</t>
        </is>
      </c>
      <c r="C3550" t="inlineStr">
        <is>
          <t>Estágio</t>
        </is>
      </c>
      <c r="D3550" t="n">
        <v>17</v>
      </c>
      <c r="E3550" t="n">
        <v>16</v>
      </c>
      <c r="F3550" t="n">
        <v>20.01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M3550" t="n">
        <v>15</v>
      </c>
      <c r="N3550" t="n">
        <v>96.73999999999999</v>
      </c>
      <c r="O3550" t="n">
        <v>28.67647058823529</v>
      </c>
    </row>
    <row r="3551" hidden="1">
      <c r="A3551" s="11" t="n">
        <v>46113</v>
      </c>
      <c r="B3551" t="inlineStr">
        <is>
          <t>Brenda de Menezes Silva</t>
        </is>
      </c>
      <c r="C3551" t="inlineStr">
        <is>
          <t>Técnico II</t>
        </is>
      </c>
      <c r="D3551" t="n">
        <v>44</v>
      </c>
      <c r="E3551" t="n">
        <v>36</v>
      </c>
      <c r="F3551" t="n">
        <v>13.25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M3551" t="n">
        <v>39</v>
      </c>
      <c r="N3551" t="n">
        <v>98.81999999999999</v>
      </c>
      <c r="O3551" t="n">
        <v>30.74141048824593</v>
      </c>
    </row>
    <row r="3552" hidden="1">
      <c r="A3552" s="11" t="n">
        <v>46113</v>
      </c>
      <c r="B3552" t="inlineStr">
        <is>
          <t>Carlos Mateus Cassimiro Nunes</t>
        </is>
      </c>
      <c r="C3552" t="inlineStr">
        <is>
          <t>Técnico II</t>
        </is>
      </c>
      <c r="D3552" t="n">
        <v>21</v>
      </c>
      <c r="E3552" t="n">
        <v>20</v>
      </c>
      <c r="F3552" t="n">
        <v>27.38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M3552" t="n">
        <v>18</v>
      </c>
      <c r="N3552" t="n">
        <v>98.2</v>
      </c>
      <c r="O3552" t="n">
        <v>27.17086834733893</v>
      </c>
    </row>
    <row r="3553" hidden="1">
      <c r="A3553" s="11" t="n">
        <v>46113</v>
      </c>
      <c r="B3553" t="inlineStr">
        <is>
          <t>Claudio de Sousa Velasco Filho</t>
        </is>
      </c>
      <c r="C3553" t="inlineStr">
        <is>
          <t>Estágio</t>
        </is>
      </c>
      <c r="D3553" t="n">
        <v>9</v>
      </c>
      <c r="E3553" t="n">
        <v>9</v>
      </c>
      <c r="F3553" t="n">
        <v>28.3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M3553" t="n">
        <v>9</v>
      </c>
      <c r="N3553" t="n">
        <v>100</v>
      </c>
      <c r="O3553" t="n">
        <v>23.13432835820895</v>
      </c>
    </row>
    <row r="3554" hidden="1">
      <c r="A3554" s="11" t="n">
        <v>46113</v>
      </c>
      <c r="B3554" t="inlineStr">
        <is>
          <t>Clessiane Pereira dos Santos</t>
        </is>
      </c>
      <c r="C3554" t="inlineStr">
        <is>
          <t>Técnico I</t>
        </is>
      </c>
      <c r="D3554" t="n">
        <v>28</v>
      </c>
      <c r="E3554" t="n">
        <v>26</v>
      </c>
      <c r="F3554" t="n">
        <v>18.22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M3554" t="n">
        <v>26</v>
      </c>
      <c r="N3554" t="n">
        <v>96.3</v>
      </c>
      <c r="O3554" t="n">
        <v>32.21957040572792</v>
      </c>
    </row>
    <row r="3555" hidden="1">
      <c r="A3555" s="11" t="n">
        <v>46113</v>
      </c>
      <c r="B3555" t="inlineStr">
        <is>
          <t>Cristiane Ramos da Silva Rocha</t>
        </is>
      </c>
      <c r="C3555" t="inlineStr">
        <is>
          <t>Técnico III</t>
        </is>
      </c>
      <c r="D3555" t="n">
        <v>30</v>
      </c>
      <c r="E3555" t="n">
        <v>28</v>
      </c>
      <c r="F3555" t="n">
        <v>13.22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M3555" t="n">
        <v>25</v>
      </c>
      <c r="N3555" t="n">
        <v>93.75</v>
      </c>
      <c r="O3555" t="n">
        <v>26.81992337164751</v>
      </c>
    </row>
    <row r="3556" hidden="1">
      <c r="A3556" s="11" t="n">
        <v>46113</v>
      </c>
      <c r="B3556" t="inlineStr">
        <is>
          <t>Damyllis Lorraine de Oliveira Gonçalves</t>
        </is>
      </c>
      <c r="C3556" t="inlineStr">
        <is>
          <t>Técnico II</t>
        </is>
      </c>
      <c r="D3556" t="n">
        <v>36</v>
      </c>
      <c r="E3556" t="n">
        <v>32</v>
      </c>
      <c r="F3556" t="n">
        <v>20.19</v>
      </c>
      <c r="G3556" t="n">
        <v>0</v>
      </c>
      <c r="H3556" t="n">
        <v>0</v>
      </c>
      <c r="I3556" s="3" t="n">
        <v>0</v>
      </c>
      <c r="J3556" s="3" t="n">
        <v>0</v>
      </c>
      <c r="K3556" s="3" t="n">
        <v>0</v>
      </c>
      <c r="L3556" s="3">
        <f>IF(K3556&lt;-5,"CRÍTICO",IF(K3556&lt;0,"ATENÇÃO",IF(K3556&lt;=5,"OPORTUNO","MUITO BOM")))</f>
        <v/>
      </c>
      <c r="M3556" t="n">
        <v>28</v>
      </c>
      <c r="N3556" t="n">
        <v>97.86</v>
      </c>
      <c r="O3556" t="n">
        <v>31.01851851851852</v>
      </c>
    </row>
    <row r="3557" hidden="1">
      <c r="A3557" s="11" t="n">
        <v>46113</v>
      </c>
      <c r="B3557" t="inlineStr">
        <is>
          <t>Daniel Gomes da Silva</t>
        </is>
      </c>
      <c r="C3557" t="inlineStr">
        <is>
          <t>Técnico I</t>
        </is>
      </c>
      <c r="D3557" t="n">
        <v>25</v>
      </c>
      <c r="E3557" t="n">
        <v>25</v>
      </c>
      <c r="F3557" t="n">
        <v>16.56</v>
      </c>
      <c r="G3557" t="n">
        <v>0</v>
      </c>
      <c r="H3557" t="n">
        <v>0</v>
      </c>
      <c r="I3557" s="3">
        <f>E3557+G3557+H3557</f>
        <v/>
      </c>
      <c r="J3557" s="3">
        <f>ROUND(MIN(IF(C3557="Técnico III",35,IF(C3557="Técnico II",28,IF(C3557="Técnico I",23,IF(C3557="JR",20,IF(C3557="Estágio",10,0))))),IF(C3557="Técnico III",SUMIFS($D:$D,$A:$A,$A3557,$B:$B,"&lt;&gt;Patrícia Karla de Sousa Araújo",$B:$B,"&lt;&gt;Lorena Dias de Araujo",$B:$B,"&lt;&gt;Lucas Luiz Romero")*(35/1083),IF(C3557="Técnico II",SUMIFS($D:$D,$A:$A,$A3557,$B:$B,"&lt;&gt;Patrícia Karla de Sousa Araújo",$B:$B,"&lt;&gt;Lorena Dias de Araujo",$B:$B,"&lt;&gt;Lucas Luiz Romero")*(28/1083),IF(C3557="Técnico I",SUMIFS($D:$D,$A:$A,$A3557,$B:$B,"&lt;&gt;Patrícia Karla de Sousa Araújo",$B:$B,"&lt;&gt;Lorena Dias de Araujo",$B:$B,"&lt;&gt;Lucas Luiz Romero")*(23/1083),IF(C3557="JR",SUMIFS($D:$D,$A:$A,$A3557,$B:$B,"&lt;&gt;Patrícia Karla de Sousa Araújo",$B:$B,"&lt;&gt;Lorena Dias de Araujo",$B:$B,"&lt;&gt;Lucas Luiz Romero")*(20/1083),IF(C3557="Estágio",SUMIFS($D:$D,$A:$A,$A3557,$B:$B,"&lt;&gt;Patrícia Karla de Sousa Araújo",$B:$B,"&lt;&gt;Lorena Dias de Araujo",$B:$B,"&lt;&gt;Lucas Luiz Romero")*(10/1083),0)))))),0)</f>
        <v/>
      </c>
      <c r="K3557" s="3">
        <f>I3557-J3557</f>
        <v/>
      </c>
      <c r="L3557" s="3">
        <f>IF(K3557&lt;-5,"CRÍTICO",IF(K3557&lt;0,"ATENÇÃO",IF(K3557&lt;=5,"OPORTUNO","MUITO BOM")))</f>
        <v/>
      </c>
      <c r="M3557" t="n">
        <v>7</v>
      </c>
      <c r="N3557" t="n">
        <v>100</v>
      </c>
      <c r="O3557" t="n">
        <v>36.59420289855073</v>
      </c>
    </row>
    <row r="3558" hidden="1">
      <c r="A3558" s="11" t="n">
        <v>46113</v>
      </c>
      <c r="B3558" t="inlineStr">
        <is>
          <t>Davylla Rodrigues Freitas Silva</t>
        </is>
      </c>
      <c r="C3558" t="inlineStr">
        <is>
          <t>Técnico III</t>
        </is>
      </c>
      <c r="D3558" t="n">
        <v>26</v>
      </c>
      <c r="E3558" t="n">
        <v>25</v>
      </c>
      <c r="F3558" t="n">
        <v>22.07</v>
      </c>
      <c r="G3558" t="n">
        <v>0</v>
      </c>
      <c r="H3558" t="n">
        <v>0</v>
      </c>
      <c r="I3558" s="3" t="n">
        <v>0</v>
      </c>
      <c r="J3558" s="3" t="n">
        <v>0</v>
      </c>
      <c r="K3558" s="3" t="n">
        <v>0</v>
      </c>
      <c r="L3558" s="3">
        <f>IF(K3558&lt;-5,"CRÍTICO",IF(K3558&lt;0,"ATENÇÃO",IF(K3558&lt;=5,"OPORTUNO","MUITO BOM")))</f>
        <v/>
      </c>
      <c r="M3558" t="n">
        <v>25</v>
      </c>
      <c r="N3558" t="n">
        <v>100</v>
      </c>
      <c r="O3558" t="n">
        <v>38.65384615384615</v>
      </c>
    </row>
    <row r="3559" hidden="1">
      <c r="A3559" s="11" t="n">
        <v>46113</v>
      </c>
      <c r="B3559" t="inlineStr">
        <is>
          <t>Emilly Caylane Costa</t>
        </is>
      </c>
      <c r="C3559" t="inlineStr">
        <is>
          <t>Estágio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M3559" t="n">
        <v>0</v>
      </c>
      <c r="N3559" t="n">
        <v>100</v>
      </c>
      <c r="O3559" t="n">
        <v>27.36842105263158</v>
      </c>
    </row>
    <row r="3560" hidden="1">
      <c r="A3560" s="11" t="n">
        <v>46113</v>
      </c>
      <c r="B3560" t="inlineStr">
        <is>
          <t>Emilly Kamilly Medeiros Miranda</t>
        </is>
      </c>
      <c r="C3560" t="inlineStr">
        <is>
          <t>Técnico II</t>
        </is>
      </c>
      <c r="D3560" t="n">
        <v>23</v>
      </c>
      <c r="E3560" t="n">
        <v>21</v>
      </c>
      <c r="F3560" t="n">
        <v>18.43</v>
      </c>
      <c r="G3560" t="n">
        <v>0</v>
      </c>
      <c r="H3560" t="n">
        <v>0</v>
      </c>
      <c r="I3560" s="3">
        <f>E3560+G3560+H3560</f>
        <v/>
      </c>
      <c r="J3560" s="3">
        <f>ROUND(MIN(IF(C3560="Técnico III",35,IF(C3560="Técnico II",28,IF(C3560="Técnico I",23,IF(C3560="JR",20,IF(C3560="Estágio",10,0))))),IF(C3560="Técnico III",SUMIFS($D:$D,$A:$A,$A3560,$B:$B,"&lt;&gt;Patrícia Karla de Sousa Araújo",$B:$B,"&lt;&gt;Lorena Dias de Araujo",$B:$B,"&lt;&gt;Lucas Luiz Romero")*(35/1083),IF(C3560="Técnico II",SUMIFS($D:$D,$A:$A,$A3560,$B:$B,"&lt;&gt;Patrícia Karla de Sousa Araújo",$B:$B,"&lt;&gt;Lorena Dias de Araujo",$B:$B,"&lt;&gt;Lucas Luiz Romero")*(28/1083),IF(C3560="Técnico I",SUMIFS($D:$D,$A:$A,$A3560,$B:$B,"&lt;&gt;Patrícia Karla de Sousa Araújo",$B:$B,"&lt;&gt;Lorena Dias de Araujo",$B:$B,"&lt;&gt;Lucas Luiz Romero")*(23/1083),IF(C3560="JR",SUMIFS($D:$D,$A:$A,$A3560,$B:$B,"&lt;&gt;Patrícia Karla de Sousa Araújo",$B:$B,"&lt;&gt;Lorena Dias de Araujo",$B:$B,"&lt;&gt;Lucas Luiz Romero")*(20/1083),IF(C3560="Estágio",SUMIFS($D:$D,$A:$A,$A3560,$B:$B,"&lt;&gt;Patrícia Karla de Sousa Araújo",$B:$B,"&lt;&gt;Lorena Dias de Araujo",$B:$B,"&lt;&gt;Lucas Luiz Romero")*(10/1083),0)))))),0)</f>
        <v/>
      </c>
      <c r="K3560" s="3">
        <f>I3560-J3560</f>
        <v/>
      </c>
      <c r="L3560" s="3">
        <f>IF(K3560&lt;-5,"CRÍTICO",IF(K3560&lt;0,"ATENÇÃO",IF(K3560&lt;=5,"OPORTUNO","MUITO BOM")))</f>
        <v/>
      </c>
      <c r="M3560" t="n">
        <v>22</v>
      </c>
      <c r="N3560" t="n">
        <v>97.83</v>
      </c>
      <c r="O3560" t="n">
        <v>28.35164835164835</v>
      </c>
    </row>
    <row r="3561" hidden="1">
      <c r="A3561" s="11" t="n">
        <v>46113</v>
      </c>
      <c r="B3561" t="inlineStr">
        <is>
          <t>Francielson de Oliveira</t>
        </is>
      </c>
      <c r="C3561" t="inlineStr">
        <is>
          <t>Técnico III</t>
        </is>
      </c>
      <c r="D3561" t="n">
        <v>30</v>
      </c>
      <c r="E3561" t="n">
        <v>25</v>
      </c>
      <c r="F3561" t="n">
        <v>12.24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M3561" t="n">
        <v>25</v>
      </c>
      <c r="N3561" t="n">
        <v>99.26000000000001</v>
      </c>
      <c r="O3561" t="n">
        <v>29.76653696498055</v>
      </c>
    </row>
    <row r="3562" hidden="1">
      <c r="A3562" s="11" t="n">
        <v>46113</v>
      </c>
      <c r="B3562" t="inlineStr">
        <is>
          <t>Francilene Ferreira de Jesus</t>
        </is>
      </c>
      <c r="C3562" t="inlineStr">
        <is>
          <t>Técnico II</t>
        </is>
      </c>
      <c r="D3562" t="n">
        <v>37</v>
      </c>
      <c r="E3562" t="n">
        <v>35</v>
      </c>
      <c r="F3562" t="n">
        <v>15.19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M3562" t="n">
        <v>37</v>
      </c>
      <c r="N3562" t="n">
        <v>99.19</v>
      </c>
      <c r="O3562" t="n">
        <v>29.46236559139785</v>
      </c>
    </row>
    <row r="3563">
      <c r="A3563" s="13" t="n">
        <v>46167</v>
      </c>
      <c r="B3563" t="inlineStr">
        <is>
          <t>Alisson de Freitas Silva</t>
        </is>
      </c>
      <c r="C3563" t="inlineStr">
        <is>
          <t>Técnico II</t>
        </is>
      </c>
      <c r="D3563" s="3" t="n">
        <v>34</v>
      </c>
      <c r="E3563" s="3" t="n">
        <v>30</v>
      </c>
      <c r="F3563" s="3" t="n">
        <v>10.14</v>
      </c>
      <c r="G3563" s="3" t="n">
        <v>0</v>
      </c>
      <c r="H3563" s="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M3563" s="3" t="n">
        <v>23</v>
      </c>
      <c r="N3563" s="3" t="n">
        <v>99.18000000000001</v>
      </c>
      <c r="O3563" s="3" t="n">
        <v>24.5014245014245</v>
      </c>
    </row>
    <row r="3564" hidden="1">
      <c r="A3564" s="11" t="n">
        <v>46113</v>
      </c>
      <c r="B3564" t="inlineStr">
        <is>
          <t>Isabella Borges de Oliveira</t>
        </is>
      </c>
      <c r="C3564" t="inlineStr">
        <is>
          <t>Técnico II</t>
        </is>
      </c>
      <c r="D3564" t="n">
        <v>36</v>
      </c>
      <c r="E3564" t="n">
        <v>35</v>
      </c>
      <c r="F3564" t="n">
        <v>17.12</v>
      </c>
      <c r="G3564" t="n">
        <v>0</v>
      </c>
      <c r="H3564" t="n">
        <v>0</v>
      </c>
      <c r="I3564" s="3">
        <f>E3564+G3564+H3564</f>
        <v/>
      </c>
      <c r="J3564" s="3">
        <f>ROUND(MIN(IF(C3564="Técnico III",35,IF(C3564="Técnico II",28,IF(C3564="Técnico I",23,IF(C3564="JR",20,IF(C3564="Estágio",10,0))))),IF(C3564="Técnico III",SUMIFS($D:$D,$A:$A,$A3564,$B:$B,"&lt;&gt;Patrícia Karla de Sousa Araújo",$B:$B,"&lt;&gt;Lorena Dias de Araujo",$B:$B,"&lt;&gt;Lucas Luiz Romero")*(35/1083),IF(C3564="Técnico II",SUMIFS($D:$D,$A:$A,$A3564,$B:$B,"&lt;&gt;Patrícia Karla de Sousa Araújo",$B:$B,"&lt;&gt;Lorena Dias de Araujo",$B:$B,"&lt;&gt;Lucas Luiz Romero")*(28/1083),IF(C3564="Técnico I",SUMIFS($D:$D,$A:$A,$A3564,$B:$B,"&lt;&gt;Patrícia Karla de Sousa Araújo",$B:$B,"&lt;&gt;Lorena Dias de Araujo",$B:$B,"&lt;&gt;Lucas Luiz Romero")*(23/1083),IF(C3564="JR",SUMIFS($D:$D,$A:$A,$A3564,$B:$B,"&lt;&gt;Patrícia Karla de Sousa Araújo",$B:$B,"&lt;&gt;Lorena Dias de Araujo",$B:$B,"&lt;&gt;Lucas Luiz Romero")*(20/1083),IF(C3564="Estágio",SUMIFS($D:$D,$A:$A,$A3564,$B:$B,"&lt;&gt;Patrícia Karla de Sousa Araújo",$B:$B,"&lt;&gt;Lorena Dias de Araujo",$B:$B,"&lt;&gt;Lucas Luiz Romero")*(10/1083),0)))))),0)</f>
        <v/>
      </c>
      <c r="K3564" s="3">
        <f>I3564-J3564</f>
        <v/>
      </c>
      <c r="L3564" s="3">
        <f>IF(K3564&lt;-5,"CRÍTICO",IF(K3564&lt;0,"ATENÇÃO",IF(K3564&lt;=5,"OPORTUNO","MUITO BOM")))</f>
        <v/>
      </c>
      <c r="M3564" t="n">
        <v>32</v>
      </c>
      <c r="N3564" t="n">
        <v>100</v>
      </c>
      <c r="O3564" t="n">
        <v>28.92156862745098</v>
      </c>
    </row>
    <row r="3565" hidden="1">
      <c r="A3565" s="11" t="n">
        <v>46113</v>
      </c>
      <c r="B3565" t="inlineStr">
        <is>
          <t>Janaina Lima dos Reis Urany</t>
        </is>
      </c>
      <c r="C3565" t="inlineStr">
        <is>
          <t>Técnico III</t>
        </is>
      </c>
      <c r="D3565" t="n">
        <v>45</v>
      </c>
      <c r="E3565" t="n">
        <v>41</v>
      </c>
      <c r="F3565" t="n">
        <v>12.26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M3565" t="n">
        <v>41</v>
      </c>
      <c r="N3565" t="n">
        <v>99.56999999999999</v>
      </c>
      <c r="O3565" t="n">
        <v>30.63583815028902</v>
      </c>
    </row>
    <row r="3566" hidden="1">
      <c r="A3566" s="11" t="n">
        <v>46113</v>
      </c>
      <c r="B3566" t="inlineStr">
        <is>
          <t>Jaqueline Evangelista da Silva Martins</t>
        </is>
      </c>
      <c r="C3566" t="inlineStr">
        <is>
          <t>Técnico III</t>
        </is>
      </c>
      <c r="D3566" t="n">
        <v>2</v>
      </c>
      <c r="E3566" t="n">
        <v>2</v>
      </c>
      <c r="F3566" t="n">
        <v>20.07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M3566" t="n">
        <v>2</v>
      </c>
      <c r="N3566" t="n">
        <v>95.65000000000001</v>
      </c>
      <c r="O3566" t="n">
        <v>32.43243243243244</v>
      </c>
    </row>
    <row r="3567" hidden="1">
      <c r="A3567" s="11" t="n">
        <v>46113</v>
      </c>
      <c r="B3567" t="inlineStr">
        <is>
          <t>Jessica Faria da Silveira</t>
        </is>
      </c>
      <c r="C3567" t="inlineStr">
        <is>
          <t>Técnico II</t>
        </is>
      </c>
      <c r="D3567" t="n">
        <v>28</v>
      </c>
      <c r="E3567" t="n">
        <v>25</v>
      </c>
      <c r="F3567" t="n">
        <v>21.55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M3567" t="n">
        <v>26</v>
      </c>
      <c r="N3567" t="n">
        <v>98.81</v>
      </c>
      <c r="O3567" t="n">
        <v>26.25698324022346</v>
      </c>
    </row>
    <row r="3568" hidden="1">
      <c r="A3568" s="11" t="n">
        <v>46113</v>
      </c>
      <c r="B3568" t="inlineStr">
        <is>
          <t>Jéssica Fé Moura</t>
        </is>
      </c>
      <c r="C3568" t="inlineStr">
        <is>
          <t>Técnico III</t>
        </is>
      </c>
      <c r="D3568" t="n">
        <v>0</v>
      </c>
      <c r="E3568" t="n">
        <v>0</v>
      </c>
      <c r="F3568" t="n">
        <v>0</v>
      </c>
      <c r="G3568" t="n">
        <v>0</v>
      </c>
      <c r="H3568" t="n">
        <v>0</v>
      </c>
      <c r="I3568" s="3" t="n">
        <v>0</v>
      </c>
      <c r="J3568" s="3" t="n">
        <v>0</v>
      </c>
      <c r="K3568" s="3" t="n">
        <v>0</v>
      </c>
      <c r="L3568" s="3">
        <f>IF(K3568&lt;-5,"CRÍTICO",IF(K3568&lt;0,"ATENÇÃO",IF(K3568&lt;=5,"OPORTUNO","MUITO BOM")))</f>
        <v/>
      </c>
      <c r="M3568" t="n">
        <v>0</v>
      </c>
      <c r="N3568" t="n">
        <v>0</v>
      </c>
      <c r="O3568" t="n">
        <v>0</v>
      </c>
    </row>
    <row r="3569" hidden="1">
      <c r="A3569" s="11" t="n">
        <v>46113</v>
      </c>
      <c r="B3569" t="inlineStr">
        <is>
          <t>Karina Gonçalves Martins</t>
        </is>
      </c>
      <c r="C3569" t="inlineStr">
        <is>
          <t>JR</t>
        </is>
      </c>
      <c r="D3569" t="n">
        <v>22</v>
      </c>
      <c r="E3569" t="n">
        <v>18</v>
      </c>
      <c r="F3569" t="n">
        <v>19</v>
      </c>
      <c r="G3569" t="n">
        <v>0</v>
      </c>
      <c r="H3569" t="n">
        <v>0</v>
      </c>
      <c r="I3569" s="3">
        <f>E3569+G3569+H3569</f>
        <v/>
      </c>
      <c r="J3569" s="3">
        <f>ROUND(MIN(IF(C3569="Técnico III",35,IF(C3569="Técnico II",28,IF(C3569="Técnico I",23,IF(C3569="JR",20,IF(C3569="Estágio",10,0))))),IF(C3569="Técnico III",SUMIFS($D:$D,$A:$A,$A3569,$B:$B,"&lt;&gt;Patrícia Karla de Sousa Araújo",$B:$B,"&lt;&gt;Lorena Dias de Araujo",$B:$B,"&lt;&gt;Lucas Luiz Romero")*(35/1083),IF(C3569="Técnico II",SUMIFS($D:$D,$A:$A,$A3569,$B:$B,"&lt;&gt;Patrícia Karla de Sousa Araújo",$B:$B,"&lt;&gt;Lorena Dias de Araujo",$B:$B,"&lt;&gt;Lucas Luiz Romero")*(28/1083),IF(C3569="Técnico I",SUMIFS($D:$D,$A:$A,$A3569,$B:$B,"&lt;&gt;Patrícia Karla de Sousa Araújo",$B:$B,"&lt;&gt;Lorena Dias de Araujo",$B:$B,"&lt;&gt;Lucas Luiz Romero")*(23/1083),IF(C3569="JR",SUMIFS($D:$D,$A:$A,$A3569,$B:$B,"&lt;&gt;Patrícia Karla de Sousa Araújo",$B:$B,"&lt;&gt;Lorena Dias de Araujo",$B:$B,"&lt;&gt;Lucas Luiz Romero")*(20/1083),IF(C3569="Estágio",SUMIFS($D:$D,$A:$A,$A3569,$B:$B,"&lt;&gt;Patrícia Karla de Sousa Araújo",$B:$B,"&lt;&gt;Lorena Dias de Araujo",$B:$B,"&lt;&gt;Lucas Luiz Romero")*(10/1083),0)))))),0)</f>
        <v/>
      </c>
      <c r="K3569" s="3">
        <f>I3569-J3569</f>
        <v/>
      </c>
      <c r="L3569" s="3">
        <f>IF(K3569&lt;-5,"CRÍTICO",IF(K3569&lt;0,"ATENÇÃO",IF(K3569&lt;=5,"OPORTUNO","MUITO BOM")))</f>
        <v/>
      </c>
      <c r="M3569" t="n">
        <v>19</v>
      </c>
      <c r="N3569" t="n">
        <v>97.17</v>
      </c>
      <c r="O3569" t="n">
        <v>28.81844380403458</v>
      </c>
    </row>
    <row r="3570" hidden="1">
      <c r="A3570" s="11" t="n">
        <v>46113</v>
      </c>
      <c r="B3570" t="inlineStr">
        <is>
          <t>Kerollen Cristielly de Jesus Siqueira</t>
        </is>
      </c>
      <c r="C3570" t="inlineStr">
        <is>
          <t>Técnico III</t>
        </is>
      </c>
      <c r="D3570" t="n">
        <v>19</v>
      </c>
      <c r="E3570" t="n">
        <v>19</v>
      </c>
      <c r="F3570" t="n">
        <v>12.21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M3570" t="n">
        <v>19</v>
      </c>
      <c r="N3570" t="n">
        <v>96.81</v>
      </c>
      <c r="O3570" t="n">
        <v>48.01864801864802</v>
      </c>
    </row>
    <row r="3571" hidden="1">
      <c r="A3571" s="11" t="n">
        <v>46113</v>
      </c>
      <c r="B3571" t="inlineStr">
        <is>
          <t>Leandro de Souza Silva</t>
        </is>
      </c>
      <c r="C3571" t="inlineStr">
        <is>
          <t>JR</t>
        </is>
      </c>
      <c r="D3571" t="n">
        <v>14</v>
      </c>
      <c r="E3571" t="n">
        <v>14</v>
      </c>
      <c r="F3571" t="n">
        <v>33.52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M3571" t="n">
        <v>11</v>
      </c>
      <c r="N3571" t="n">
        <v>98.15000000000001</v>
      </c>
      <c r="O3571" t="n">
        <v>27.1551724137931</v>
      </c>
    </row>
    <row r="3572" hidden="1">
      <c r="A3572" s="11" t="n">
        <v>46113</v>
      </c>
      <c r="B3572" t="inlineStr">
        <is>
          <t>Leandro Oliveira de Sousa</t>
        </is>
      </c>
      <c r="C3572" t="inlineStr">
        <is>
          <t>Técnico III</t>
        </is>
      </c>
      <c r="D3572" t="n">
        <v>24</v>
      </c>
      <c r="E3572" t="n">
        <v>24</v>
      </c>
      <c r="F3572" t="n">
        <v>21.48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M3572" t="n">
        <v>21</v>
      </c>
      <c r="N3572" t="n">
        <v>99.15000000000001</v>
      </c>
      <c r="O3572" t="n">
        <v>27.58620689655172</v>
      </c>
    </row>
    <row r="3573" hidden="1">
      <c r="A3573" s="11" t="n">
        <v>46113</v>
      </c>
      <c r="B3573" t="inlineStr">
        <is>
          <t>Lizandra Gomes Duarte</t>
        </is>
      </c>
      <c r="C3573" t="inlineStr">
        <is>
          <t>Técnico II</t>
        </is>
      </c>
      <c r="D3573" t="n">
        <v>26</v>
      </c>
      <c r="E3573" t="n">
        <v>24</v>
      </c>
      <c r="F3573" t="n">
        <v>20.29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M3573" t="n">
        <v>23</v>
      </c>
      <c r="N3573" t="n">
        <v>99.17</v>
      </c>
      <c r="O3573" t="n">
        <v>29.75206611570248</v>
      </c>
    </row>
    <row r="3574" hidden="1">
      <c r="A3574" s="11" t="n">
        <v>46113</v>
      </c>
      <c r="B3574" t="inlineStr">
        <is>
          <t>Lorena Dias de Araujo</t>
        </is>
      </c>
      <c r="C3574" t="inlineStr">
        <is>
          <t>Técnico II</t>
        </is>
      </c>
      <c r="D3574" t="n">
        <v>35</v>
      </c>
      <c r="E3574" t="n">
        <v>34</v>
      </c>
      <c r="F3574" t="n">
        <v>15.59</v>
      </c>
      <c r="G3574" t="n">
        <v>0</v>
      </c>
      <c r="H3574" t="n">
        <v>0</v>
      </c>
      <c r="I3574" s="3" t="n">
        <v>0</v>
      </c>
      <c r="J3574" s="3" t="n">
        <v>0</v>
      </c>
      <c r="K3574" s="3" t="n">
        <v>0</v>
      </c>
      <c r="L3574" s="3">
        <f>IF(K3574&lt;-5,"CRÍTICO",IF(K3574&lt;0,"ATENÇÃO",IF(K3574&lt;=5,"OPORTUNO","MUITO BOM")))</f>
        <v/>
      </c>
      <c r="M3574" t="n">
        <v>33</v>
      </c>
      <c r="N3574" t="n">
        <v>98.73</v>
      </c>
      <c r="O3574" t="n">
        <v>28.96174863387978</v>
      </c>
    </row>
    <row r="3575" hidden="1">
      <c r="A3575" s="11" t="n">
        <v>46113</v>
      </c>
      <c r="B3575" t="inlineStr">
        <is>
          <t>Lucas Luiz Romero</t>
        </is>
      </c>
      <c r="C3575" t="inlineStr">
        <is>
          <t>Técnico III</t>
        </is>
      </c>
      <c r="D3575" t="n">
        <v>61</v>
      </c>
      <c r="E3575" t="n">
        <v>48</v>
      </c>
      <c r="F3575" t="n">
        <v>11.44</v>
      </c>
      <c r="G3575" t="n">
        <v>0</v>
      </c>
      <c r="H3575" t="n">
        <v>0</v>
      </c>
      <c r="I3575" s="3">
        <f>E3575+G3575+H3575</f>
        <v/>
      </c>
      <c r="J3575" s="3">
        <f>ROUND(MIN(IF(C3575="Técnico III",35,IF(C3575="Técnico II",28,IF(C3575="Técnico I",23,IF(C3575="JR",20,IF(C3575="Estágio",10,0))))),IF(C3575="Técnico III",SUMIFS($D:$D,$A:$A,$A3575,$B:$B,"&lt;&gt;Patrícia Karla de Sousa Araújo",$B:$B,"&lt;&gt;Lorena Dias de Araujo",$B:$B,"&lt;&gt;Lucas Luiz Romero")*(35/1083),IF(C3575="Técnico II",SUMIFS($D:$D,$A:$A,$A3575,$B:$B,"&lt;&gt;Patrícia Karla de Sousa Araújo",$B:$B,"&lt;&gt;Lorena Dias de Araujo",$B:$B,"&lt;&gt;Lucas Luiz Romero")*(28/1083),IF(C3575="Técnico I",SUMIFS($D:$D,$A:$A,$A3575,$B:$B,"&lt;&gt;Patrícia Karla de Sousa Araújo",$B:$B,"&lt;&gt;Lorena Dias de Araujo",$B:$B,"&lt;&gt;Lucas Luiz Romero")*(23/1083),IF(C3575="JR",SUMIFS($D:$D,$A:$A,$A3575,$B:$B,"&lt;&gt;Patrícia Karla de Sousa Araújo",$B:$B,"&lt;&gt;Lorena Dias de Araujo",$B:$B,"&lt;&gt;Lucas Luiz Romero")*(20/1083),IF(C3575="Estágio",SUMIFS($D:$D,$A:$A,$A3575,$B:$B,"&lt;&gt;Patrícia Karla de Sousa Araújo",$B:$B,"&lt;&gt;Lorena Dias de Araujo",$B:$B,"&lt;&gt;Lucas Luiz Romero")*(10/1083),0)))))),0)</f>
        <v/>
      </c>
      <c r="K3575" s="3">
        <f>I3575-J3575</f>
        <v/>
      </c>
      <c r="L3575" s="3">
        <f>IF(K3575&lt;-5,"CRÍTICO",IF(K3575&lt;0,"ATENÇÃO",IF(K3575&lt;=5,"OPORTUNO","MUITO BOM")))</f>
        <v/>
      </c>
      <c r="M3575" t="n">
        <v>39</v>
      </c>
      <c r="N3575" t="n">
        <v>88.68000000000001</v>
      </c>
      <c r="O3575" t="n">
        <v>22.03389830508474</v>
      </c>
    </row>
    <row r="3576" hidden="1">
      <c r="A3576" s="11" t="n">
        <v>46113</v>
      </c>
      <c r="B3576" t="inlineStr">
        <is>
          <t>Luiz Fernando de Carvalho Junior</t>
        </is>
      </c>
      <c r="C3576" t="inlineStr">
        <is>
          <t>Técnico I</t>
        </is>
      </c>
      <c r="D3576" t="n">
        <v>28</v>
      </c>
      <c r="E3576" t="n">
        <v>24</v>
      </c>
      <c r="F3576" t="n">
        <v>20.47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M3576" t="n">
        <v>27</v>
      </c>
      <c r="N3576" t="n">
        <v>97.37</v>
      </c>
      <c r="O3576" t="n">
        <v>25.76530612244898</v>
      </c>
    </row>
    <row r="3577" hidden="1">
      <c r="A3577" s="11" t="n">
        <v>46113</v>
      </c>
      <c r="B3577" t="inlineStr">
        <is>
          <t>Maria Eduarda Sousa Costa</t>
        </is>
      </c>
      <c r="C3577" t="inlineStr">
        <is>
          <t>Estágio</t>
        </is>
      </c>
      <c r="D3577" t="n">
        <v>0</v>
      </c>
      <c r="E3577" t="n">
        <v>0</v>
      </c>
      <c r="F3577" t="n">
        <v>0</v>
      </c>
      <c r="G3577" t="n">
        <v>0</v>
      </c>
      <c r="H3577" t="n">
        <v>0</v>
      </c>
      <c r="I3577" s="3" t="n">
        <v>0</v>
      </c>
      <c r="J3577" s="3" t="n">
        <v>0</v>
      </c>
      <c r="K3577" s="3" t="n">
        <v>0</v>
      </c>
      <c r="L3577" s="3">
        <f>IF(K3577&lt;-5,"CRÍTICO",IF(K3577&lt;0,"ATENÇÃO",IF(K3577&lt;=5,"OPORTUNO","MUITO BOM")))</f>
        <v/>
      </c>
      <c r="M3577" t="n">
        <v>0</v>
      </c>
      <c r="N3577" t="n">
        <v>100</v>
      </c>
      <c r="O3577" t="n">
        <v>25</v>
      </c>
    </row>
    <row r="3578" hidden="1">
      <c r="A3578" s="11" t="n">
        <v>46113</v>
      </c>
      <c r="B3578" t="inlineStr">
        <is>
          <t>Matheus Farias De Souza</t>
        </is>
      </c>
      <c r="C3578" t="inlineStr">
        <is>
          <t>Técnico III</t>
        </is>
      </c>
      <c r="D3578" t="n">
        <v>50</v>
      </c>
      <c r="E3578" t="n">
        <v>48</v>
      </c>
      <c r="F3578" t="n">
        <v>12.04</v>
      </c>
      <c r="G3578" t="n">
        <v>0</v>
      </c>
      <c r="H3578" t="n">
        <v>0</v>
      </c>
      <c r="I3578" s="3">
        <f>E3578+G3578+H3578</f>
        <v/>
      </c>
      <c r="J3578" s="3">
        <f>ROUND(MIN(IF(C3578="Técnico III",35,IF(C3578="Técnico II",28,IF(C3578="Técnico I",23,IF(C3578="JR",20,IF(C3578="Estágio",10,0))))),IF(C3578="Técnico III",SUMIFS($D:$D,$A:$A,$A3578,$B:$B,"&lt;&gt;Patrícia Karla de Sousa Araújo",$B:$B,"&lt;&gt;Lorena Dias de Araujo",$B:$B,"&lt;&gt;Lucas Luiz Romero")*(35/1083),IF(C3578="Técnico II",SUMIFS($D:$D,$A:$A,$A3578,$B:$B,"&lt;&gt;Patrícia Karla de Sousa Araújo",$B:$B,"&lt;&gt;Lorena Dias de Araujo",$B:$B,"&lt;&gt;Lucas Luiz Romero")*(28/1083),IF(C3578="Técnico I",SUMIFS($D:$D,$A:$A,$A3578,$B:$B,"&lt;&gt;Patrícia Karla de Sousa Araújo",$B:$B,"&lt;&gt;Lorena Dias de Araujo",$B:$B,"&lt;&gt;Lucas Luiz Romero")*(23/1083),IF(C3578="JR",SUMIFS($D:$D,$A:$A,$A3578,$B:$B,"&lt;&gt;Patrícia Karla de Sousa Araújo",$B:$B,"&lt;&gt;Lorena Dias de Araujo",$B:$B,"&lt;&gt;Lucas Luiz Romero")*(20/1083),IF(C3578="Estágio",SUMIFS($D:$D,$A:$A,$A3578,$B:$B,"&lt;&gt;Patrícia Karla de Sousa Araújo",$B:$B,"&lt;&gt;Lorena Dias de Araujo",$B:$B,"&lt;&gt;Lucas Luiz Romero")*(10/1083),0)))))),0)</f>
        <v/>
      </c>
      <c r="K3578" s="3">
        <f>I3578-J3578</f>
        <v/>
      </c>
      <c r="L3578" s="3">
        <f>IF(K3578&lt;-5,"CRÍTICO",IF(K3578&lt;0,"ATENÇÃO",IF(K3578&lt;=5,"OPORTUNO","MUITO BOM")))</f>
        <v/>
      </c>
      <c r="M3578" t="n">
        <v>47</v>
      </c>
      <c r="N3578" t="n">
        <v>100</v>
      </c>
      <c r="O3578" t="n">
        <v>23.9870340356564</v>
      </c>
    </row>
    <row r="3579" hidden="1">
      <c r="A3579" s="11" t="n">
        <v>46113</v>
      </c>
      <c r="B3579" t="inlineStr">
        <is>
          <t>Maysa Victoria Dias Moura</t>
        </is>
      </c>
      <c r="C3579" t="inlineStr">
        <is>
          <t>Técnico III</t>
        </is>
      </c>
      <c r="D3579" t="n">
        <v>35</v>
      </c>
      <c r="E3579" t="n">
        <v>31</v>
      </c>
      <c r="F3579" t="n">
        <v>12.33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M3579" t="n">
        <v>25</v>
      </c>
      <c r="N3579" t="n">
        <v>95.48999999999999</v>
      </c>
      <c r="O3579" t="n">
        <v>28.37022132796781</v>
      </c>
    </row>
    <row r="3580" hidden="1">
      <c r="A3580" s="11" t="n">
        <v>46113</v>
      </c>
      <c r="B3580" t="inlineStr">
        <is>
          <t>Michelle G Santos</t>
        </is>
      </c>
      <c r="C3580" t="inlineStr">
        <is>
          <t>Estágio</t>
        </is>
      </c>
      <c r="D3580" t="n">
        <v>18</v>
      </c>
      <c r="E3580" t="n">
        <v>16</v>
      </c>
      <c r="F3580" t="n">
        <v>22.36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M3580" t="n">
        <v>9</v>
      </c>
      <c r="N3580" t="n">
        <v>100</v>
      </c>
      <c r="O3580" t="n">
        <v>23.77622377622378</v>
      </c>
    </row>
    <row r="3581" hidden="1">
      <c r="A3581" s="11" t="n">
        <v>46113</v>
      </c>
      <c r="B3581" t="inlineStr">
        <is>
          <t>Milena Sales</t>
        </is>
      </c>
      <c r="C3581" t="inlineStr">
        <is>
          <t>JR</t>
        </is>
      </c>
      <c r="D3581" t="n">
        <v>27</v>
      </c>
      <c r="E3581" t="n">
        <v>23</v>
      </c>
      <c r="F3581" t="n">
        <v>18.55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M3581" t="n">
        <v>11</v>
      </c>
      <c r="N3581" t="n">
        <v>96.15000000000001</v>
      </c>
      <c r="O3581" t="n">
        <v>24.04580152671756</v>
      </c>
    </row>
    <row r="3582" hidden="1">
      <c r="A3582" s="11" t="n">
        <v>46113</v>
      </c>
      <c r="B3582" t="inlineStr">
        <is>
          <t>Patrícia Karla de Sousa Araújo</t>
        </is>
      </c>
      <c r="C3582" t="inlineStr">
        <is>
          <t>Técnico II</t>
        </is>
      </c>
      <c r="D3582" t="n">
        <v>24</v>
      </c>
      <c r="E3582" t="n">
        <v>21</v>
      </c>
      <c r="F3582" t="n">
        <v>23.41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M3582" t="n">
        <v>19</v>
      </c>
      <c r="N3582" t="n">
        <v>99.02</v>
      </c>
      <c r="O3582" t="n">
        <v>34.7972972972973</v>
      </c>
    </row>
    <row r="3583" hidden="1">
      <c r="A3583" s="11" t="n">
        <v>46113</v>
      </c>
      <c r="B3583" t="inlineStr">
        <is>
          <t>Paulo Ricardo Santos</t>
        </is>
      </c>
      <c r="C3583" t="inlineStr">
        <is>
          <t>JR</t>
        </is>
      </c>
      <c r="D3583" t="n">
        <v>21</v>
      </c>
      <c r="E3583" t="n">
        <v>21</v>
      </c>
      <c r="F3583" t="n">
        <v>16.51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M3583" t="n">
        <v>16</v>
      </c>
      <c r="N3583" t="n">
        <v>98.84</v>
      </c>
      <c r="O3583" t="n">
        <v>31.86813186813187</v>
      </c>
    </row>
    <row r="3584" hidden="1">
      <c r="A3584" s="11" t="n">
        <v>46113</v>
      </c>
      <c r="B3584" t="inlineStr">
        <is>
          <t>Pedro Luiz Mota Sousa</t>
        </is>
      </c>
      <c r="C3584" t="inlineStr">
        <is>
          <t>JR</t>
        </is>
      </c>
      <c r="D3584" t="n">
        <v>19</v>
      </c>
      <c r="E3584" t="n">
        <v>19</v>
      </c>
      <c r="F3584" t="n">
        <v>22.12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M3584" t="n">
        <v>18</v>
      </c>
      <c r="N3584" t="n">
        <v>100</v>
      </c>
      <c r="O3584" t="n">
        <v>34.66666666666667</v>
      </c>
    </row>
    <row r="3585" hidden="1">
      <c r="A3585" s="11" t="n">
        <v>46113</v>
      </c>
      <c r="B3585" t="inlineStr">
        <is>
          <t>Quirino Diogo Leite Torres</t>
        </is>
      </c>
      <c r="C3585" t="inlineStr">
        <is>
          <t>Estágio</t>
        </is>
      </c>
      <c r="D3585" t="n">
        <v>10</v>
      </c>
      <c r="E3585" t="n">
        <v>10</v>
      </c>
      <c r="F3585" t="n">
        <v>25.37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M3585" t="n">
        <v>9</v>
      </c>
      <c r="N3585" t="n">
        <v>94.12</v>
      </c>
      <c r="O3585" t="n">
        <v>32.8</v>
      </c>
    </row>
    <row r="3586" hidden="1">
      <c r="A3586" s="11" t="n">
        <v>46113</v>
      </c>
      <c r="B3586" t="inlineStr">
        <is>
          <t>Raane Batista Matos</t>
        </is>
      </c>
      <c r="C3586" t="inlineStr">
        <is>
          <t>Técnico I</t>
        </is>
      </c>
      <c r="D3586" t="n">
        <v>33</v>
      </c>
      <c r="E3586" t="n">
        <v>32</v>
      </c>
      <c r="F3586" t="n">
        <v>15.14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M3586" t="n">
        <v>28</v>
      </c>
      <c r="N3586" t="n">
        <v>98.31999999999999</v>
      </c>
      <c r="O3586" t="n">
        <v>26.85851318944844</v>
      </c>
    </row>
    <row r="3587" hidden="1">
      <c r="A3587" s="11" t="n">
        <v>46113</v>
      </c>
      <c r="B3587" t="inlineStr">
        <is>
          <t>Rafael Gomes de Morais</t>
        </is>
      </c>
      <c r="C3587" t="inlineStr">
        <is>
          <t>Técnico III</t>
        </is>
      </c>
      <c r="D3587" t="n">
        <v>47</v>
      </c>
      <c r="E3587" t="n">
        <v>42</v>
      </c>
      <c r="F3587" t="n">
        <v>13.55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M3587" t="n">
        <v>37</v>
      </c>
      <c r="N3587" t="n">
        <v>100</v>
      </c>
      <c r="O3587" t="n">
        <v>31.13553113553114</v>
      </c>
    </row>
    <row r="3588" hidden="1">
      <c r="A3588" s="11" t="n">
        <v>46113</v>
      </c>
      <c r="B3588" t="inlineStr">
        <is>
          <t>Sara Maria Monteiro Lopes</t>
        </is>
      </c>
      <c r="C3588" t="inlineStr">
        <is>
          <t>Técnico I</t>
        </is>
      </c>
      <c r="D3588" t="n">
        <v>24</v>
      </c>
      <c r="E3588" t="n">
        <v>24</v>
      </c>
      <c r="F3588" t="n">
        <v>20.54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M3588" t="n">
        <v>26</v>
      </c>
      <c r="N3588" t="n">
        <v>100</v>
      </c>
      <c r="O3588" t="n">
        <v>26.36986301369863</v>
      </c>
    </row>
    <row r="3589" hidden="1">
      <c r="A3589" s="11" t="n">
        <v>46113</v>
      </c>
      <c r="B3589" t="inlineStr">
        <is>
          <t>Sarah Steffanie de Lima Borges</t>
        </is>
      </c>
      <c r="C3589" t="inlineStr">
        <is>
          <t>Técnico III</t>
        </is>
      </c>
      <c r="D3589" t="n">
        <v>34</v>
      </c>
      <c r="E3589" t="n">
        <v>31</v>
      </c>
      <c r="F3589" t="n">
        <v>13.37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M3589" t="n">
        <v>31</v>
      </c>
      <c r="N3589" t="n">
        <v>99.20999999999999</v>
      </c>
      <c r="O3589" t="n">
        <v>25.18891687657431</v>
      </c>
    </row>
    <row r="3590" hidden="1">
      <c r="A3590" s="11" t="n">
        <v>46114</v>
      </c>
      <c r="B3590" t="inlineStr">
        <is>
          <t>Alisson de Freitas Silva</t>
        </is>
      </c>
      <c r="C3590" t="inlineStr">
        <is>
          <t>Técnico II</t>
        </is>
      </c>
      <c r="D3590" t="n">
        <v>10</v>
      </c>
      <c r="E3590" t="n">
        <v>8</v>
      </c>
      <c r="F3590" t="n">
        <v>16.58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M3590" t="n">
        <v>4</v>
      </c>
      <c r="N3590" t="n">
        <v>100</v>
      </c>
      <c r="O3590" t="n">
        <v>32.76450511945392</v>
      </c>
    </row>
    <row r="3591" hidden="1">
      <c r="A3591" s="11" t="n">
        <v>46114</v>
      </c>
      <c r="B3591" t="inlineStr">
        <is>
          <t>Amanda Moura Ferreira</t>
        </is>
      </c>
      <c r="C3591" t="inlineStr">
        <is>
          <t>Técnico III</t>
        </is>
      </c>
      <c r="D3591" t="n">
        <v>0</v>
      </c>
      <c r="E3591" t="n">
        <v>0</v>
      </c>
      <c r="F3591" t="n">
        <v>0</v>
      </c>
      <c r="G3591" t="n">
        <v>0</v>
      </c>
      <c r="H3591" t="n">
        <v>0</v>
      </c>
      <c r="I3591" s="3" t="n">
        <v>0</v>
      </c>
      <c r="J3591" s="3" t="n">
        <v>0</v>
      </c>
      <c r="K3591" s="3" t="n">
        <v>0</v>
      </c>
      <c r="L3591" s="3">
        <f>IF(K3591&lt;-5,"CRÍTICO",IF(K3591&lt;0,"ATENÇÃO",IF(K3591&lt;=5,"OPORTUNO","MUITO BOM")))</f>
        <v/>
      </c>
      <c r="M3591" t="n">
        <v>31</v>
      </c>
      <c r="N3591" t="n">
        <v>98.66</v>
      </c>
      <c r="O3591" t="n">
        <v>35.41666666666667</v>
      </c>
    </row>
    <row r="3592" hidden="1">
      <c r="A3592" s="11" t="n">
        <v>46114</v>
      </c>
      <c r="B3592" t="inlineStr">
        <is>
          <t>Ana Karollyne Souza Faria</t>
        </is>
      </c>
      <c r="C3592" t="inlineStr">
        <is>
          <t>Técnico I</t>
        </is>
      </c>
      <c r="D3592" t="n">
        <v>37</v>
      </c>
      <c r="E3592" t="n">
        <v>35</v>
      </c>
      <c r="F3592" t="n">
        <v>17</v>
      </c>
      <c r="G3592" t="n">
        <v>0</v>
      </c>
      <c r="H3592" t="n">
        <v>0</v>
      </c>
      <c r="I3592" s="3">
        <f>E3592+G3592+H3592</f>
        <v/>
      </c>
      <c r="J3592" s="3">
        <f>ROUND(MIN(IF(C3592="Técnico III",35,IF(C3592="Técnico II",28,IF(C3592="Técnico I",23,IF(C3592="JR",20,IF(C3592="Estágio",10,0))))),IF(C3592="Técnico III",SUMIFS($D:$D,$A:$A,$A3592,$B:$B,"&lt;&gt;Patrícia Karla de Sousa Araújo",$B:$B,"&lt;&gt;Lorena Dias de Araujo",$B:$B,"&lt;&gt;Lucas Luiz Romero")*(35/1083),IF(C3592="Técnico II",SUMIFS($D:$D,$A:$A,$A3592,$B:$B,"&lt;&gt;Patrícia Karla de Sousa Araújo",$B:$B,"&lt;&gt;Lorena Dias de Araujo",$B:$B,"&lt;&gt;Lucas Luiz Romero")*(28/1083),IF(C3592="Técnico I",SUMIFS($D:$D,$A:$A,$A3592,$B:$B,"&lt;&gt;Patrícia Karla de Sousa Araújo",$B:$B,"&lt;&gt;Lorena Dias de Araujo",$B:$B,"&lt;&gt;Lucas Luiz Romero")*(23/1083),IF(C3592="JR",SUMIFS($D:$D,$A:$A,$A3592,$B:$B,"&lt;&gt;Patrícia Karla de Sousa Araújo",$B:$B,"&lt;&gt;Lorena Dias de Araujo",$B:$B,"&lt;&gt;Lucas Luiz Romero")*(20/1083),IF(C3592="Estágio",SUMIFS($D:$D,$A:$A,$A3592,$B:$B,"&lt;&gt;Patrícia Karla de Sousa Araújo",$B:$B,"&lt;&gt;Lorena Dias de Araujo",$B:$B,"&lt;&gt;Lucas Luiz Romero")*(10/1083),0)))))),0)</f>
        <v/>
      </c>
      <c r="K3592" s="3">
        <f>I3592-J3592</f>
        <v/>
      </c>
      <c r="L3592" s="3">
        <f>IF(K3592&lt;-5,"CRÍTICO",IF(K3592&lt;0,"ATENÇÃO",IF(K3592&lt;=5,"OPORTUNO","MUITO BOM")))</f>
        <v/>
      </c>
      <c r="M3592" t="n">
        <v>31</v>
      </c>
      <c r="N3592" t="n">
        <v>99.31999999999999</v>
      </c>
      <c r="O3592" t="n">
        <v>30.6483300589391</v>
      </c>
    </row>
    <row r="3593" hidden="1">
      <c r="A3593" s="11" t="n">
        <v>46114</v>
      </c>
      <c r="B3593" t="inlineStr">
        <is>
          <t>Ana Paula Da Luz Silva Aleixo</t>
        </is>
      </c>
      <c r="C3593" t="inlineStr">
        <is>
          <t>Técnico III</t>
        </is>
      </c>
      <c r="D3593" t="n">
        <v>33</v>
      </c>
      <c r="E3593" t="n">
        <v>28</v>
      </c>
      <c r="F3593" t="n">
        <v>17.02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M3593" t="n">
        <v>32</v>
      </c>
      <c r="N3593" t="n">
        <v>100</v>
      </c>
      <c r="O3593" t="n">
        <v>27.80373831775701</v>
      </c>
    </row>
    <row r="3594" hidden="1">
      <c r="A3594" s="11" t="n">
        <v>46114</v>
      </c>
      <c r="B3594" t="inlineStr">
        <is>
          <t>Anna Luiza Rezende Tavares</t>
        </is>
      </c>
      <c r="C3594" t="inlineStr">
        <is>
          <t>Estágio</t>
        </is>
      </c>
      <c r="D3594" t="n">
        <v>13</v>
      </c>
      <c r="E3594" t="n">
        <v>13</v>
      </c>
      <c r="F3594" t="n">
        <v>20.26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M3594" t="n">
        <v>12</v>
      </c>
      <c r="N3594" t="n">
        <v>96.73999999999999</v>
      </c>
      <c r="O3594" t="n">
        <v>28.67647058823529</v>
      </c>
    </row>
    <row r="3595" hidden="1">
      <c r="A3595" s="11" t="n">
        <v>46114</v>
      </c>
      <c r="B3595" t="inlineStr">
        <is>
          <t>Brenda de Menezes Silva</t>
        </is>
      </c>
      <c r="C3595" t="inlineStr">
        <is>
          <t>Técnico II</t>
        </is>
      </c>
      <c r="D3595" t="n">
        <v>38</v>
      </c>
      <c r="E3595" t="n">
        <v>31</v>
      </c>
      <c r="F3595" t="n">
        <v>12.16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M3595" t="n">
        <v>37</v>
      </c>
      <c r="N3595" t="n">
        <v>98.81999999999999</v>
      </c>
      <c r="O3595" t="n">
        <v>30.74141048824593</v>
      </c>
    </row>
    <row r="3596" hidden="1">
      <c r="A3596" s="11" t="n">
        <v>46114</v>
      </c>
      <c r="B3596" t="inlineStr">
        <is>
          <t>Carlos Mateus Cassimiro Nunes</t>
        </is>
      </c>
      <c r="C3596" t="inlineStr">
        <is>
          <t>Técnico II</t>
        </is>
      </c>
      <c r="D3596" t="n">
        <v>31</v>
      </c>
      <c r="E3596" t="n">
        <v>28</v>
      </c>
      <c r="F3596" t="n">
        <v>15.36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M3596" t="n">
        <v>27</v>
      </c>
      <c r="N3596" t="n">
        <v>98.2</v>
      </c>
      <c r="O3596" t="n">
        <v>27.17086834733893</v>
      </c>
    </row>
    <row r="3597" hidden="1">
      <c r="A3597" s="11" t="n">
        <v>46114</v>
      </c>
      <c r="B3597" t="inlineStr">
        <is>
          <t>Claudio de Sousa Velasco Filho</t>
        </is>
      </c>
      <c r="C3597" t="inlineStr">
        <is>
          <t>Estágio</t>
        </is>
      </c>
      <c r="D3597" t="n">
        <v>11</v>
      </c>
      <c r="E3597" t="n">
        <v>10</v>
      </c>
      <c r="F3597" t="n">
        <v>26.42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M3597" t="n">
        <v>10</v>
      </c>
      <c r="N3597" t="n">
        <v>100</v>
      </c>
      <c r="O3597" t="n">
        <v>23.13432835820895</v>
      </c>
    </row>
    <row r="3598" hidden="1">
      <c r="A3598" s="11" t="n">
        <v>46114</v>
      </c>
      <c r="B3598" t="inlineStr">
        <is>
          <t>Clessiane Pereira dos Santos</t>
        </is>
      </c>
      <c r="C3598" t="inlineStr">
        <is>
          <t>Técnico I</t>
        </is>
      </c>
      <c r="D3598" t="n">
        <v>27</v>
      </c>
      <c r="E3598" t="n">
        <v>21</v>
      </c>
      <c r="F3598" t="n">
        <v>16.45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M3598" t="n">
        <v>25</v>
      </c>
      <c r="N3598" t="n">
        <v>96.3</v>
      </c>
      <c r="O3598" t="n">
        <v>32.21957040572792</v>
      </c>
    </row>
    <row r="3599" hidden="1">
      <c r="A3599" s="11" t="n">
        <v>46114</v>
      </c>
      <c r="B3599" t="inlineStr">
        <is>
          <t>Cristiane Ramos da Silva Rocha</t>
        </is>
      </c>
      <c r="C3599" t="inlineStr">
        <is>
          <t>Técnico III</t>
        </is>
      </c>
      <c r="D3599" t="n">
        <v>47</v>
      </c>
      <c r="E3599" t="n">
        <v>42</v>
      </c>
      <c r="F3599" t="n">
        <v>12.35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M3599" t="n">
        <v>33</v>
      </c>
      <c r="N3599" t="n">
        <v>93.75</v>
      </c>
      <c r="O3599" t="n">
        <v>26.81992337164751</v>
      </c>
    </row>
    <row r="3600" hidden="1">
      <c r="A3600" s="11" t="n">
        <v>46114</v>
      </c>
      <c r="B3600" t="inlineStr">
        <is>
          <t>Damyllis Lorraine de Oliveira Gonçalves</t>
        </is>
      </c>
      <c r="C3600" t="inlineStr">
        <is>
          <t>Técnico II</t>
        </is>
      </c>
      <c r="D3600" t="n">
        <v>25</v>
      </c>
      <c r="E3600" t="n">
        <v>21</v>
      </c>
      <c r="F3600" t="n">
        <v>23.35</v>
      </c>
      <c r="G3600" t="n">
        <v>0</v>
      </c>
      <c r="H3600" t="n">
        <v>0</v>
      </c>
      <c r="I3600" s="3" t="n">
        <v>0</v>
      </c>
      <c r="J3600" s="3" t="n">
        <v>0</v>
      </c>
      <c r="K3600" s="3" t="n">
        <v>0</v>
      </c>
      <c r="L3600" s="3">
        <f>IF(K3600&lt;-5,"CRÍTICO",IF(K3600&lt;0,"ATENÇÃO",IF(K3600&lt;=5,"OPORTUNO","MUITO BOM")))</f>
        <v/>
      </c>
      <c r="M3600" t="n">
        <v>21</v>
      </c>
      <c r="N3600" t="n">
        <v>97.86</v>
      </c>
      <c r="O3600" t="n">
        <v>31.01851851851852</v>
      </c>
    </row>
    <row r="3601" hidden="1">
      <c r="A3601" s="11" t="n">
        <v>46114</v>
      </c>
      <c r="B3601" t="inlineStr">
        <is>
          <t>Daniel Gomes da Silva</t>
        </is>
      </c>
      <c r="C3601" t="inlineStr">
        <is>
          <t>Técnico I</t>
        </is>
      </c>
      <c r="D3601" t="n">
        <v>18</v>
      </c>
      <c r="E3601" t="n">
        <v>18</v>
      </c>
      <c r="F3601" t="n">
        <v>23.57</v>
      </c>
      <c r="G3601" t="n">
        <v>0</v>
      </c>
      <c r="H3601" t="n">
        <v>0</v>
      </c>
      <c r="I3601" s="3">
        <f>E3601+G3601+H3601</f>
        <v/>
      </c>
      <c r="J3601" s="3">
        <f>ROUND(MIN(IF(C3601="Técnico III",35,IF(C3601="Técnico II",28,IF(C3601="Técnico I",23,IF(C3601="JR",20,IF(C3601="Estágio",10,0))))),IF(C3601="Técnico III",SUMIFS($D:$D,$A:$A,$A3601,$B:$B,"&lt;&gt;Patrícia Karla de Sousa Araújo",$B:$B,"&lt;&gt;Lorena Dias de Araujo",$B:$B,"&lt;&gt;Lucas Luiz Romero")*(35/1083),IF(C3601="Técnico II",SUMIFS($D:$D,$A:$A,$A3601,$B:$B,"&lt;&gt;Patrícia Karla de Sousa Araújo",$B:$B,"&lt;&gt;Lorena Dias de Araujo",$B:$B,"&lt;&gt;Lucas Luiz Romero")*(28/1083),IF(C3601="Técnico I",SUMIFS($D:$D,$A:$A,$A3601,$B:$B,"&lt;&gt;Patrícia Karla de Sousa Araújo",$B:$B,"&lt;&gt;Lorena Dias de Araujo",$B:$B,"&lt;&gt;Lucas Luiz Romero")*(23/1083),IF(C3601="JR",SUMIFS($D:$D,$A:$A,$A3601,$B:$B,"&lt;&gt;Patrícia Karla de Sousa Araújo",$B:$B,"&lt;&gt;Lorena Dias de Araujo",$B:$B,"&lt;&gt;Lucas Luiz Romero")*(20/1083),IF(C3601="Estágio",SUMIFS($D:$D,$A:$A,$A3601,$B:$B,"&lt;&gt;Patrícia Karla de Sousa Araújo",$B:$B,"&lt;&gt;Lorena Dias de Araujo",$B:$B,"&lt;&gt;Lucas Luiz Romero")*(10/1083),0)))))),0)</f>
        <v/>
      </c>
      <c r="K3601" s="3">
        <f>I3601-J3601</f>
        <v/>
      </c>
      <c r="L3601" s="3">
        <f>IF(K3601&lt;-5,"CRÍTICO",IF(K3601&lt;0,"ATENÇÃO",IF(K3601&lt;=5,"OPORTUNO","MUITO BOM")))</f>
        <v/>
      </c>
      <c r="M3601" t="n">
        <v>6</v>
      </c>
      <c r="N3601" t="n">
        <v>100</v>
      </c>
      <c r="O3601" t="n">
        <v>36.59420289855073</v>
      </c>
    </row>
    <row r="3602" hidden="1">
      <c r="A3602" s="11" t="n">
        <v>46114</v>
      </c>
      <c r="B3602" t="inlineStr">
        <is>
          <t>Davylla Rodrigues Freitas Silva</t>
        </is>
      </c>
      <c r="C3602" t="inlineStr">
        <is>
          <t>Técnico III</t>
        </is>
      </c>
      <c r="D3602" t="n">
        <v>35</v>
      </c>
      <c r="E3602" t="n">
        <v>33</v>
      </c>
      <c r="F3602" t="n">
        <v>18.2</v>
      </c>
      <c r="G3602" t="n">
        <v>0</v>
      </c>
      <c r="H3602" t="n">
        <v>0</v>
      </c>
      <c r="I3602" s="3" t="n">
        <v>0</v>
      </c>
      <c r="J3602" s="3" t="n">
        <v>0</v>
      </c>
      <c r="K3602" s="3" t="n">
        <v>0</v>
      </c>
      <c r="L3602" s="3">
        <f>IF(K3602&lt;-5,"CRÍTICO",IF(K3602&lt;0,"ATENÇÃO",IF(K3602&lt;=5,"OPORTUNO","MUITO BOM")))</f>
        <v/>
      </c>
      <c r="M3602" t="n">
        <v>33</v>
      </c>
      <c r="N3602" t="n">
        <v>100</v>
      </c>
      <c r="O3602" t="n">
        <v>38.65384615384615</v>
      </c>
    </row>
    <row r="3603" hidden="1">
      <c r="A3603" s="11" t="n">
        <v>46114</v>
      </c>
      <c r="B3603" t="inlineStr">
        <is>
          <t>Emilly Caylane Costa</t>
        </is>
      </c>
      <c r="C3603" t="inlineStr">
        <is>
          <t>Estágio</t>
        </is>
      </c>
      <c r="D3603" t="n">
        <v>6</v>
      </c>
      <c r="E3603" t="n">
        <v>6</v>
      </c>
      <c r="F3603" t="n">
        <v>54.12</v>
      </c>
      <c r="G3603" t="n">
        <v>0</v>
      </c>
      <c r="H3603" t="n">
        <v>0</v>
      </c>
      <c r="I3603" s="3">
        <f>E3603+G3603+H3603</f>
        <v/>
      </c>
      <c r="J3603" s="3">
        <f>ROUND(MIN(IF(C3603="Técnico III",35,IF(C3603="Técnico II",28,IF(C3603="Técnico I",23,IF(C3603="JR",20,IF(C3603="Estágio",10,0))))),IF(C3603="Técnico III",SUMIFS($D:$D,$A:$A,$A3603,$B:$B,"&lt;&gt;Patrícia Karla de Sousa Araújo",$B:$B,"&lt;&gt;Lorena Dias de Araujo",$B:$B,"&lt;&gt;Lucas Luiz Romero")*(35/1083),IF(C3603="Técnico II",SUMIFS($D:$D,$A:$A,$A3603,$B:$B,"&lt;&gt;Patrícia Karla de Sousa Araújo",$B:$B,"&lt;&gt;Lorena Dias de Araujo",$B:$B,"&lt;&gt;Lucas Luiz Romero")*(28/1083),IF(C3603="Técnico I",SUMIFS($D:$D,$A:$A,$A3603,$B:$B,"&lt;&gt;Patrícia Karla de Sousa Araújo",$B:$B,"&lt;&gt;Lorena Dias de Araujo",$B:$B,"&lt;&gt;Lucas Luiz Romero")*(23/1083),IF(C3603="JR",SUMIFS($D:$D,$A:$A,$A3603,$B:$B,"&lt;&gt;Patrícia Karla de Sousa Araújo",$B:$B,"&lt;&gt;Lorena Dias de Araujo",$B:$B,"&lt;&gt;Lucas Luiz Romero")*(20/1083),IF(C3603="Estágio",SUMIFS($D:$D,$A:$A,$A3603,$B:$B,"&lt;&gt;Patrícia Karla de Sousa Araújo",$B:$B,"&lt;&gt;Lorena Dias de Araujo",$B:$B,"&lt;&gt;Lucas Luiz Romero")*(10/1083),0)))))),0)</f>
        <v/>
      </c>
      <c r="K3603" s="3">
        <f>I3603-J3603</f>
        <v/>
      </c>
      <c r="L3603" s="3">
        <f>IF(K3603&lt;-5,"CRÍTICO",IF(K3603&lt;0,"ATENÇÃO",IF(K3603&lt;=5,"OPORTUNO","MUITO BOM")))</f>
        <v/>
      </c>
      <c r="M3603" t="n">
        <v>5</v>
      </c>
      <c r="N3603" t="n">
        <v>100</v>
      </c>
      <c r="O3603" t="n">
        <v>27.36842105263158</v>
      </c>
    </row>
    <row r="3604" hidden="1">
      <c r="A3604" s="11" t="n">
        <v>46114</v>
      </c>
      <c r="B3604" t="inlineStr">
        <is>
          <t>Emilly Kamilly Medeiros Miranda</t>
        </is>
      </c>
      <c r="C3604" t="inlineStr">
        <is>
          <t>Técnico II</t>
        </is>
      </c>
      <c r="D3604" t="n">
        <v>33</v>
      </c>
      <c r="E3604" t="n">
        <v>31</v>
      </c>
      <c r="F3604" t="n">
        <v>14.08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M3604" t="n">
        <v>24</v>
      </c>
      <c r="N3604" t="n">
        <v>97.83</v>
      </c>
      <c r="O3604" t="n">
        <v>28.35164835164835</v>
      </c>
    </row>
    <row r="3605" hidden="1">
      <c r="A3605" s="11" t="n">
        <v>46114</v>
      </c>
      <c r="B3605" t="inlineStr">
        <is>
          <t>Francielson de Oliveira</t>
        </is>
      </c>
      <c r="C3605" t="inlineStr">
        <is>
          <t>Técnico III</t>
        </is>
      </c>
      <c r="D3605" t="n">
        <v>26</v>
      </c>
      <c r="E3605" t="n">
        <v>26</v>
      </c>
      <c r="F3605" t="n">
        <v>16.58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M3605" t="n">
        <v>26</v>
      </c>
      <c r="N3605" t="n">
        <v>99.26000000000001</v>
      </c>
      <c r="O3605" t="n">
        <v>29.76653696498055</v>
      </c>
    </row>
    <row r="3606" hidden="1">
      <c r="A3606" s="11" t="n">
        <v>46114</v>
      </c>
      <c r="B3606" t="inlineStr">
        <is>
          <t>Francilene Ferreira de Jesus</t>
        </is>
      </c>
      <c r="C3606" t="inlineStr">
        <is>
          <t>Técnico II</t>
        </is>
      </c>
      <c r="D3606" t="n">
        <v>33</v>
      </c>
      <c r="E3606" t="n">
        <v>33</v>
      </c>
      <c r="F3606" t="n">
        <v>20.44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M3606" t="n">
        <v>29</v>
      </c>
      <c r="N3606" t="n">
        <v>99.19</v>
      </c>
      <c r="O3606" t="n">
        <v>29.46236559139785</v>
      </c>
    </row>
    <row r="3607" hidden="1">
      <c r="A3607" s="11" t="n">
        <v>46167</v>
      </c>
      <c r="B3607" t="inlineStr">
        <is>
          <t>Brenda de Menezes Silva</t>
        </is>
      </c>
      <c r="C3607" t="inlineStr">
        <is>
          <t>Técnico II</t>
        </is>
      </c>
      <c r="D3607" s="3" t="n">
        <v>35</v>
      </c>
      <c r="E3607" s="3" t="n">
        <v>31</v>
      </c>
      <c r="F3607" s="3" t="n">
        <v>10.11</v>
      </c>
      <c r="G3607" s="3" t="n">
        <v>0</v>
      </c>
      <c r="H3607" s="3" t="n">
        <v>0</v>
      </c>
      <c r="I3607" s="3" t="n">
        <v>0</v>
      </c>
      <c r="J3607" s="3" t="n">
        <v>0</v>
      </c>
      <c r="K3607" s="3" t="n">
        <v>0</v>
      </c>
      <c r="L3607" s="3">
        <f>IF(K3607&lt;-5,"CRÍTICO",IF(K3607&lt;0,"ATENÇÃO",IF(K3607&lt;=5,"OPORTUNO","MUITO BOM")))</f>
        <v/>
      </c>
      <c r="M3607" s="3" t="n">
        <v>30</v>
      </c>
      <c r="N3607" s="3" t="n">
        <v>99.34999999999999</v>
      </c>
      <c r="O3607" s="3" t="n">
        <v>19.85294117647059</v>
      </c>
    </row>
    <row r="3608" hidden="1">
      <c r="A3608" s="11" t="n">
        <v>46114</v>
      </c>
      <c r="B3608" t="inlineStr">
        <is>
          <t>Isabella Borges de Oliveira</t>
        </is>
      </c>
      <c r="C3608" t="inlineStr">
        <is>
          <t>Técnico II</t>
        </is>
      </c>
      <c r="D3608" t="n">
        <v>36</v>
      </c>
      <c r="E3608" t="n">
        <v>34</v>
      </c>
      <c r="F3608" t="n">
        <v>16.58</v>
      </c>
      <c r="G3608" t="n">
        <v>0</v>
      </c>
      <c r="H3608" t="n">
        <v>0</v>
      </c>
      <c r="I3608" s="3">
        <f>E3608+G3608+H3608</f>
        <v/>
      </c>
      <c r="J3608" s="3">
        <f>ROUND(MIN(IF(C3608="Técnico III",35,IF(C3608="Técnico II",28,IF(C3608="Técnico I",23,IF(C3608="JR",20,IF(C3608="Estágio",10,0))))),IF(C3608="Técnico III",SUMIFS($D:$D,$A:$A,$A3608,$B:$B,"&lt;&gt;Patrícia Karla de Sousa Araújo",$B:$B,"&lt;&gt;Lorena Dias de Araujo",$B:$B,"&lt;&gt;Lucas Luiz Romero")*(35/1083),IF(C3608="Técnico II",SUMIFS($D:$D,$A:$A,$A3608,$B:$B,"&lt;&gt;Patrícia Karla de Sousa Araújo",$B:$B,"&lt;&gt;Lorena Dias de Araujo",$B:$B,"&lt;&gt;Lucas Luiz Romero")*(28/1083),IF(C3608="Técnico I",SUMIFS($D:$D,$A:$A,$A3608,$B:$B,"&lt;&gt;Patrícia Karla de Sousa Araújo",$B:$B,"&lt;&gt;Lorena Dias de Araujo",$B:$B,"&lt;&gt;Lucas Luiz Romero")*(23/1083),IF(C3608="JR",SUMIFS($D:$D,$A:$A,$A3608,$B:$B,"&lt;&gt;Patrícia Karla de Sousa Araújo",$B:$B,"&lt;&gt;Lorena Dias de Araujo",$B:$B,"&lt;&gt;Lucas Luiz Romero")*(20/1083),IF(C3608="Estágio",SUMIFS($D:$D,$A:$A,$A3608,$B:$B,"&lt;&gt;Patrícia Karla de Sousa Araújo",$B:$B,"&lt;&gt;Lorena Dias de Araujo",$B:$B,"&lt;&gt;Lucas Luiz Romero")*(10/1083),0)))))),0)</f>
        <v/>
      </c>
      <c r="K3608" s="3">
        <f>I3608-J3608</f>
        <v/>
      </c>
      <c r="L3608" s="3">
        <f>IF(K3608&lt;-5,"CRÍTICO",IF(K3608&lt;0,"ATENÇÃO",IF(K3608&lt;=5,"OPORTUNO","MUITO BOM")))</f>
        <v/>
      </c>
      <c r="M3608" t="n">
        <v>30</v>
      </c>
      <c r="N3608" t="n">
        <v>100</v>
      </c>
      <c r="O3608" t="n">
        <v>28.92156862745098</v>
      </c>
    </row>
    <row r="3609" hidden="1">
      <c r="A3609" s="11" t="n">
        <v>46114</v>
      </c>
      <c r="B3609" t="inlineStr">
        <is>
          <t>Janaina Lima dos Reis Urany</t>
        </is>
      </c>
      <c r="C3609" t="inlineStr">
        <is>
          <t>Técnico III</t>
        </is>
      </c>
      <c r="D3609" t="n">
        <v>56</v>
      </c>
      <c r="E3609" t="n">
        <v>50</v>
      </c>
      <c r="F3609" t="n">
        <v>12.22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M3609" t="n">
        <v>49</v>
      </c>
      <c r="N3609" t="n">
        <v>99.56999999999999</v>
      </c>
      <c r="O3609" t="n">
        <v>30.63583815028902</v>
      </c>
    </row>
    <row r="3610" hidden="1">
      <c r="A3610" s="11" t="n">
        <v>46114</v>
      </c>
      <c r="B3610" t="inlineStr">
        <is>
          <t>Jaqueline Evangelista da Silva Martins</t>
        </is>
      </c>
      <c r="C3610" t="inlineStr">
        <is>
          <t>Técnico III</t>
        </is>
      </c>
      <c r="D3610" t="n">
        <v>12</v>
      </c>
      <c r="E3610" t="n">
        <v>12</v>
      </c>
      <c r="F3610" t="n">
        <v>18.31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M3610" t="n">
        <v>10</v>
      </c>
      <c r="N3610" t="n">
        <v>95.65000000000001</v>
      </c>
      <c r="O3610" t="n">
        <v>32.43243243243244</v>
      </c>
    </row>
    <row r="3611" hidden="1">
      <c r="A3611" s="11" t="n">
        <v>46114</v>
      </c>
      <c r="B3611" t="inlineStr">
        <is>
          <t>Jessica Faria da Silveira</t>
        </is>
      </c>
      <c r="C3611" t="inlineStr">
        <is>
          <t>Técnico II</t>
        </is>
      </c>
      <c r="D3611" t="n">
        <v>18</v>
      </c>
      <c r="E3611" t="n">
        <v>18</v>
      </c>
      <c r="F3611" t="n">
        <v>18.35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M3611" t="n">
        <v>15</v>
      </c>
      <c r="N3611" t="n">
        <v>98.81</v>
      </c>
      <c r="O3611" t="n">
        <v>26.25698324022346</v>
      </c>
    </row>
    <row r="3612" hidden="1">
      <c r="A3612" s="11" t="n">
        <v>46114</v>
      </c>
      <c r="B3612" t="inlineStr">
        <is>
          <t>Jéssica Fé Moura</t>
        </is>
      </c>
      <c r="C3612" t="inlineStr">
        <is>
          <t>Técnico III</t>
        </is>
      </c>
      <c r="D3612" t="n">
        <v>0</v>
      </c>
      <c r="E3612" t="n">
        <v>0</v>
      </c>
      <c r="F3612" t="n">
        <v>0</v>
      </c>
      <c r="G3612" t="n">
        <v>0</v>
      </c>
      <c r="H3612" t="n">
        <v>0</v>
      </c>
      <c r="I3612" s="3" t="n">
        <v>0</v>
      </c>
      <c r="J3612" s="3" t="n">
        <v>0</v>
      </c>
      <c r="K3612" s="3" t="n">
        <v>0</v>
      </c>
      <c r="L3612" s="3">
        <f>IF(K3612&lt;-5,"CRÍTICO",IF(K3612&lt;0,"ATENÇÃO",IF(K3612&lt;=5,"OPORTUNO","MUITO BOM")))</f>
        <v/>
      </c>
      <c r="M3612" t="n">
        <v>0</v>
      </c>
      <c r="N3612" t="n">
        <v>0</v>
      </c>
      <c r="O3612" t="n">
        <v>0</v>
      </c>
    </row>
    <row r="3613" hidden="1">
      <c r="A3613" s="11" t="n">
        <v>46114</v>
      </c>
      <c r="B3613" t="inlineStr">
        <is>
          <t>Karina Gonçalves Martins</t>
        </is>
      </c>
      <c r="C3613" t="inlineStr">
        <is>
          <t>JR</t>
        </is>
      </c>
      <c r="D3613" t="n">
        <v>22</v>
      </c>
      <c r="E3613" t="n">
        <v>22</v>
      </c>
      <c r="F3613" t="n">
        <v>18.44</v>
      </c>
      <c r="G3613" t="n">
        <v>0</v>
      </c>
      <c r="H3613" t="n">
        <v>0</v>
      </c>
      <c r="I3613" s="3">
        <f>E3613+G3613+H3613</f>
        <v/>
      </c>
      <c r="J3613" s="3">
        <f>ROUND(MIN(IF(C3613="Técnico III",35,IF(C3613="Técnico II",28,IF(C3613="Técnico I",23,IF(C3613="JR",20,IF(C3613="Estágio",10,0))))),IF(C3613="Técnico III",SUMIFS($D:$D,$A:$A,$A3613,$B:$B,"&lt;&gt;Patrícia Karla de Sousa Araújo",$B:$B,"&lt;&gt;Lorena Dias de Araujo",$B:$B,"&lt;&gt;Lucas Luiz Romero")*(35/1083),IF(C3613="Técnico II",SUMIFS($D:$D,$A:$A,$A3613,$B:$B,"&lt;&gt;Patrícia Karla de Sousa Araújo",$B:$B,"&lt;&gt;Lorena Dias de Araujo",$B:$B,"&lt;&gt;Lucas Luiz Romero")*(28/1083),IF(C3613="Técnico I",SUMIFS($D:$D,$A:$A,$A3613,$B:$B,"&lt;&gt;Patrícia Karla de Sousa Araújo",$B:$B,"&lt;&gt;Lorena Dias de Araujo",$B:$B,"&lt;&gt;Lucas Luiz Romero")*(23/1083),IF(C3613="JR",SUMIFS($D:$D,$A:$A,$A3613,$B:$B,"&lt;&gt;Patrícia Karla de Sousa Araújo",$B:$B,"&lt;&gt;Lorena Dias de Araujo",$B:$B,"&lt;&gt;Lucas Luiz Romero")*(20/1083),IF(C3613="Estágio",SUMIFS($D:$D,$A:$A,$A3613,$B:$B,"&lt;&gt;Patrícia Karla de Sousa Araújo",$B:$B,"&lt;&gt;Lorena Dias de Araujo",$B:$B,"&lt;&gt;Lucas Luiz Romero")*(10/1083),0)))))),0)</f>
        <v/>
      </c>
      <c r="K3613" s="3">
        <f>I3613-J3613</f>
        <v/>
      </c>
      <c r="L3613" s="3">
        <f>IF(K3613&lt;-5,"CRÍTICO",IF(K3613&lt;0,"ATENÇÃO",IF(K3613&lt;=5,"OPORTUNO","MUITO BOM")))</f>
        <v/>
      </c>
      <c r="M3613" t="n">
        <v>20</v>
      </c>
      <c r="N3613" t="n">
        <v>97.17</v>
      </c>
      <c r="O3613" t="n">
        <v>28.81844380403458</v>
      </c>
    </row>
    <row r="3614" hidden="1">
      <c r="A3614" s="11" t="n">
        <v>46114</v>
      </c>
      <c r="B3614" t="inlineStr">
        <is>
          <t>Kerollen Cristielly de Jesus Siqueira</t>
        </is>
      </c>
      <c r="C3614" t="inlineStr">
        <is>
          <t>Técnico III</t>
        </is>
      </c>
      <c r="D3614" t="n">
        <v>6</v>
      </c>
      <c r="E3614" t="n">
        <v>6</v>
      </c>
      <c r="F3614" t="n">
        <v>24.18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M3614" t="n">
        <v>6</v>
      </c>
      <c r="N3614" t="n">
        <v>96.81</v>
      </c>
      <c r="O3614" t="n">
        <v>48.01864801864802</v>
      </c>
    </row>
    <row r="3615" hidden="1">
      <c r="A3615" s="11" t="n">
        <v>46114</v>
      </c>
      <c r="B3615" t="inlineStr">
        <is>
          <t>Leandro de Souza Silva</t>
        </is>
      </c>
      <c r="C3615" t="inlineStr">
        <is>
          <t>JR</t>
        </is>
      </c>
      <c r="D3615" t="n">
        <v>22</v>
      </c>
      <c r="E3615" t="n">
        <v>21</v>
      </c>
      <c r="F3615" t="n">
        <v>25.36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M3615" t="n">
        <v>19</v>
      </c>
      <c r="N3615" t="n">
        <v>98.15000000000001</v>
      </c>
      <c r="O3615" t="n">
        <v>27.1551724137931</v>
      </c>
    </row>
    <row r="3616" hidden="1">
      <c r="A3616" s="11" t="n">
        <v>46114</v>
      </c>
      <c r="B3616" t="inlineStr">
        <is>
          <t>Leandro Oliveira de Sousa</t>
        </is>
      </c>
      <c r="C3616" t="inlineStr">
        <is>
          <t>Técnico III</t>
        </is>
      </c>
      <c r="D3616" t="n">
        <v>40</v>
      </c>
      <c r="E3616" t="n">
        <v>38</v>
      </c>
      <c r="F3616" t="n">
        <v>13.41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M3616" t="n">
        <v>35</v>
      </c>
      <c r="N3616" t="n">
        <v>99.15000000000001</v>
      </c>
      <c r="O3616" t="n">
        <v>27.58620689655172</v>
      </c>
    </row>
    <row r="3617" hidden="1">
      <c r="A3617" s="11" t="n">
        <v>46114</v>
      </c>
      <c r="B3617" t="inlineStr">
        <is>
          <t>Lizandra Gomes Duarte</t>
        </is>
      </c>
      <c r="C3617" t="inlineStr">
        <is>
          <t>Técnico II</t>
        </is>
      </c>
      <c r="D3617" t="n">
        <v>37</v>
      </c>
      <c r="E3617" t="n">
        <v>35</v>
      </c>
      <c r="F3617" t="n">
        <v>20.24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M3617" t="n">
        <v>20</v>
      </c>
      <c r="N3617" t="n">
        <v>99.17</v>
      </c>
      <c r="O3617" t="n">
        <v>29.75206611570248</v>
      </c>
    </row>
    <row r="3618" hidden="1">
      <c r="A3618" s="11" t="n">
        <v>46114</v>
      </c>
      <c r="B3618" t="inlineStr">
        <is>
          <t>Lorena Dias de Araujo</t>
        </is>
      </c>
      <c r="C3618" t="inlineStr">
        <is>
          <t>Técnico II</t>
        </is>
      </c>
      <c r="D3618" t="n">
        <v>45</v>
      </c>
      <c r="E3618" t="n">
        <v>42</v>
      </c>
      <c r="F3618" t="n">
        <v>16.47</v>
      </c>
      <c r="G3618" t="n">
        <v>0</v>
      </c>
      <c r="H3618" t="n">
        <v>0</v>
      </c>
      <c r="I3618" s="3" t="n">
        <v>0</v>
      </c>
      <c r="J3618" s="3" t="n">
        <v>0</v>
      </c>
      <c r="K3618" s="3" t="n">
        <v>0</v>
      </c>
      <c r="L3618" s="3">
        <f>IF(K3618&lt;-5,"CRÍTICO",IF(K3618&lt;0,"ATENÇÃO",IF(K3618&lt;=5,"OPORTUNO","MUITO BOM")))</f>
        <v/>
      </c>
      <c r="M3618" t="n">
        <v>39</v>
      </c>
      <c r="N3618" t="n">
        <v>98.73</v>
      </c>
      <c r="O3618" t="n">
        <v>28.96174863387978</v>
      </c>
    </row>
    <row r="3619" hidden="1">
      <c r="A3619" s="11" t="n">
        <v>46114</v>
      </c>
      <c r="B3619" t="inlineStr">
        <is>
          <t>Lucas Luiz Romero</t>
        </is>
      </c>
      <c r="C3619" t="inlineStr">
        <is>
          <t>Técnico III</t>
        </is>
      </c>
      <c r="D3619" t="n">
        <v>44</v>
      </c>
      <c r="E3619" t="n">
        <v>32</v>
      </c>
      <c r="F3619" t="n">
        <v>14.1</v>
      </c>
      <c r="G3619" t="n">
        <v>0</v>
      </c>
      <c r="H3619" t="n">
        <v>0</v>
      </c>
      <c r="I3619" s="3">
        <f>E3619+G3619+H3619</f>
        <v/>
      </c>
      <c r="J3619" s="3">
        <f>ROUND(MIN(IF(C3619="Técnico III",35,IF(C3619="Técnico II",28,IF(C3619="Técnico I",23,IF(C3619="JR",20,IF(C3619="Estágio",10,0))))),IF(C3619="Técnico III",SUMIFS($D:$D,$A:$A,$A3619,$B:$B,"&lt;&gt;Patrícia Karla de Sousa Araújo",$B:$B,"&lt;&gt;Lorena Dias de Araujo",$B:$B,"&lt;&gt;Lucas Luiz Romero")*(35/1083),IF(C3619="Técnico II",SUMIFS($D:$D,$A:$A,$A3619,$B:$B,"&lt;&gt;Patrícia Karla de Sousa Araújo",$B:$B,"&lt;&gt;Lorena Dias de Araujo",$B:$B,"&lt;&gt;Lucas Luiz Romero")*(28/1083),IF(C3619="Técnico I",SUMIFS($D:$D,$A:$A,$A3619,$B:$B,"&lt;&gt;Patrícia Karla de Sousa Araújo",$B:$B,"&lt;&gt;Lorena Dias de Araujo",$B:$B,"&lt;&gt;Lucas Luiz Romero")*(23/1083),IF(C3619="JR",SUMIFS($D:$D,$A:$A,$A3619,$B:$B,"&lt;&gt;Patrícia Karla de Sousa Araújo",$B:$B,"&lt;&gt;Lorena Dias de Araujo",$B:$B,"&lt;&gt;Lucas Luiz Romero")*(20/1083),IF(C3619="Estágio",SUMIFS($D:$D,$A:$A,$A3619,$B:$B,"&lt;&gt;Patrícia Karla de Sousa Araújo",$B:$B,"&lt;&gt;Lorena Dias de Araujo",$B:$B,"&lt;&gt;Lucas Luiz Romero")*(10/1083),0)))))),0)</f>
        <v/>
      </c>
      <c r="K3619" s="3">
        <f>I3619-J3619</f>
        <v/>
      </c>
      <c r="L3619" s="3">
        <f>IF(K3619&lt;-5,"CRÍTICO",IF(K3619&lt;0,"ATENÇÃO",IF(K3619&lt;=5,"OPORTUNO","MUITO BOM")))</f>
        <v/>
      </c>
      <c r="M3619" t="n">
        <v>27</v>
      </c>
      <c r="N3619" t="n">
        <v>88.68000000000001</v>
      </c>
      <c r="O3619" t="n">
        <v>22.03389830508474</v>
      </c>
    </row>
    <row r="3620" hidden="1">
      <c r="A3620" s="11" t="n">
        <v>46114</v>
      </c>
      <c r="B3620" t="inlineStr">
        <is>
          <t>Luiz Fernando de Carvalho Junior</t>
        </is>
      </c>
      <c r="C3620" t="inlineStr">
        <is>
          <t>Técnico I</t>
        </is>
      </c>
      <c r="D3620" t="n">
        <v>28</v>
      </c>
      <c r="E3620" t="n">
        <v>27</v>
      </c>
      <c r="F3620" t="n">
        <v>15.3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M3620" t="n">
        <v>28</v>
      </c>
      <c r="N3620" t="n">
        <v>97.37</v>
      </c>
      <c r="O3620" t="n">
        <v>25.76530612244898</v>
      </c>
    </row>
    <row r="3621" hidden="1">
      <c r="A3621" s="11" t="n">
        <v>46114</v>
      </c>
      <c r="B3621" t="inlineStr">
        <is>
          <t>Maria Eduarda Sousa Costa</t>
        </is>
      </c>
      <c r="C3621" t="inlineStr">
        <is>
          <t>Estágio</t>
        </is>
      </c>
      <c r="D3621" t="n">
        <v>10</v>
      </c>
      <c r="E3621" t="n">
        <v>10</v>
      </c>
      <c r="F3621" t="n">
        <v>23.32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M3621" t="n">
        <v>7</v>
      </c>
      <c r="N3621" t="n">
        <v>100</v>
      </c>
      <c r="O3621" t="n">
        <v>25</v>
      </c>
    </row>
    <row r="3622" hidden="1">
      <c r="A3622" s="11" t="n">
        <v>46114</v>
      </c>
      <c r="B3622" t="inlineStr">
        <is>
          <t>Matheus Farias De Souza</t>
        </is>
      </c>
      <c r="C3622" t="inlineStr">
        <is>
          <t>Técnico III</t>
        </is>
      </c>
      <c r="D3622" t="n">
        <v>44</v>
      </c>
      <c r="E3622" t="n">
        <v>41</v>
      </c>
      <c r="F3622" t="n">
        <v>13.21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M3622" t="n">
        <v>37</v>
      </c>
      <c r="N3622" t="n">
        <v>100</v>
      </c>
      <c r="O3622" t="n">
        <v>23.9870340356564</v>
      </c>
    </row>
    <row r="3623" hidden="1">
      <c r="A3623" s="11" t="n">
        <v>46114</v>
      </c>
      <c r="B3623" t="inlineStr">
        <is>
          <t>Maysa Victoria Dias Moura</t>
        </is>
      </c>
      <c r="C3623" t="inlineStr">
        <is>
          <t>Técnico III</t>
        </is>
      </c>
      <c r="D3623" t="n">
        <v>38</v>
      </c>
      <c r="E3623" t="n">
        <v>32</v>
      </c>
      <c r="F3623" t="n">
        <v>12.01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M3623" t="n">
        <v>29</v>
      </c>
      <c r="N3623" t="n">
        <v>95.48999999999999</v>
      </c>
      <c r="O3623" t="n">
        <v>28.37022132796781</v>
      </c>
    </row>
    <row r="3624" hidden="1">
      <c r="A3624" s="11" t="n">
        <v>46114</v>
      </c>
      <c r="B3624" t="inlineStr">
        <is>
          <t>Michelle G Santos</t>
        </is>
      </c>
      <c r="C3624" t="inlineStr">
        <is>
          <t>Estágio</t>
        </is>
      </c>
      <c r="D3624" t="n">
        <v>18</v>
      </c>
      <c r="E3624" t="n">
        <v>18</v>
      </c>
      <c r="F3624" t="n">
        <v>24.05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M3624" t="n">
        <v>11</v>
      </c>
      <c r="N3624" t="n">
        <v>100</v>
      </c>
      <c r="O3624" t="n">
        <v>23.77622377622378</v>
      </c>
    </row>
    <row r="3625" hidden="1">
      <c r="A3625" s="11" t="n">
        <v>46114</v>
      </c>
      <c r="B3625" t="inlineStr">
        <is>
          <t>Milena Sales</t>
        </is>
      </c>
      <c r="C3625" t="inlineStr">
        <is>
          <t>JR</t>
        </is>
      </c>
      <c r="D3625" t="n">
        <v>21</v>
      </c>
      <c r="E3625" t="n">
        <v>17</v>
      </c>
      <c r="F3625" t="n">
        <v>20.36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M3625" t="n">
        <v>16</v>
      </c>
      <c r="N3625" t="n">
        <v>96.15000000000001</v>
      </c>
      <c r="O3625" t="n">
        <v>24.04580152671756</v>
      </c>
    </row>
    <row r="3626" hidden="1">
      <c r="A3626" s="11" t="n">
        <v>46114</v>
      </c>
      <c r="B3626" t="inlineStr">
        <is>
          <t>Patrícia Karla de Sousa Araújo</t>
        </is>
      </c>
      <c r="C3626" t="inlineStr">
        <is>
          <t>Técnico II</t>
        </is>
      </c>
      <c r="D3626" t="n">
        <v>19</v>
      </c>
      <c r="E3626" t="n">
        <v>18</v>
      </c>
      <c r="F3626" t="n">
        <v>14.17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M3626" t="n">
        <v>15</v>
      </c>
      <c r="N3626" t="n">
        <v>99.02</v>
      </c>
      <c r="O3626" t="n">
        <v>34.7972972972973</v>
      </c>
    </row>
    <row r="3627" hidden="1">
      <c r="A3627" s="11" t="n">
        <v>46114</v>
      </c>
      <c r="B3627" t="inlineStr">
        <is>
          <t>Paulo Ricardo Santos</t>
        </is>
      </c>
      <c r="C3627" t="inlineStr">
        <is>
          <t>JR</t>
        </is>
      </c>
      <c r="D3627" t="n">
        <v>22</v>
      </c>
      <c r="E3627" t="n">
        <v>21</v>
      </c>
      <c r="F3627" t="n">
        <v>15.57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M3627" t="n">
        <v>18</v>
      </c>
      <c r="N3627" t="n">
        <v>98.84</v>
      </c>
      <c r="O3627" t="n">
        <v>31.86813186813187</v>
      </c>
    </row>
    <row r="3628" hidden="1">
      <c r="A3628" s="11" t="n">
        <v>46114</v>
      </c>
      <c r="B3628" t="inlineStr">
        <is>
          <t>Pedro Luiz Mota Sousa</t>
        </is>
      </c>
      <c r="C3628" t="inlineStr">
        <is>
          <t>JR</t>
        </is>
      </c>
      <c r="D3628" t="n">
        <v>17</v>
      </c>
      <c r="E3628" t="n">
        <v>17</v>
      </c>
      <c r="F3628" t="n">
        <v>24.14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M3628" t="n">
        <v>15</v>
      </c>
      <c r="N3628" t="n">
        <v>100</v>
      </c>
      <c r="O3628" t="n">
        <v>34.66666666666667</v>
      </c>
    </row>
    <row r="3629" hidden="1">
      <c r="A3629" s="11" t="n">
        <v>46114</v>
      </c>
      <c r="B3629" t="inlineStr">
        <is>
          <t>Quirino Diogo Leite Torres</t>
        </is>
      </c>
      <c r="C3629" t="inlineStr">
        <is>
          <t>Estágio</t>
        </is>
      </c>
      <c r="D3629" t="n">
        <v>8</v>
      </c>
      <c r="E3629" t="n">
        <v>7</v>
      </c>
      <c r="F3629" t="n">
        <v>27.17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M3629" t="n">
        <v>3</v>
      </c>
      <c r="N3629" t="n">
        <v>94.12</v>
      </c>
      <c r="O3629" t="n">
        <v>32.8</v>
      </c>
    </row>
    <row r="3630" hidden="1">
      <c r="A3630" s="11" t="n">
        <v>46114</v>
      </c>
      <c r="B3630" t="inlineStr">
        <is>
          <t>Raane Batista Matos</t>
        </is>
      </c>
      <c r="C3630" t="inlineStr">
        <is>
          <t>Técnico I</t>
        </is>
      </c>
      <c r="D3630" t="n">
        <v>33</v>
      </c>
      <c r="E3630" t="n">
        <v>29</v>
      </c>
      <c r="F3630" t="n">
        <v>13.5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M3630" t="n">
        <v>23</v>
      </c>
      <c r="N3630" t="n">
        <v>98.31999999999999</v>
      </c>
      <c r="O3630" t="n">
        <v>26.85851318944844</v>
      </c>
    </row>
    <row r="3631" hidden="1">
      <c r="A3631" s="11" t="n">
        <v>46114</v>
      </c>
      <c r="B3631" t="inlineStr">
        <is>
          <t>Rafael Gomes de Morais</t>
        </is>
      </c>
      <c r="C3631" t="inlineStr">
        <is>
          <t>Técnico III</t>
        </is>
      </c>
      <c r="D3631" t="n">
        <v>41</v>
      </c>
      <c r="E3631" t="n">
        <v>38</v>
      </c>
      <c r="F3631" t="n">
        <v>15.29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M3631" t="n">
        <v>35</v>
      </c>
      <c r="N3631" t="n">
        <v>100</v>
      </c>
      <c r="O3631" t="n">
        <v>31.13553113553114</v>
      </c>
    </row>
    <row r="3632" hidden="1">
      <c r="A3632" s="11" t="n">
        <v>46114</v>
      </c>
      <c r="B3632" t="inlineStr">
        <is>
          <t>Sara Maria Monteiro Lopes</t>
        </is>
      </c>
      <c r="C3632" t="inlineStr">
        <is>
          <t>Técnico I</t>
        </is>
      </c>
      <c r="D3632" t="n">
        <v>20</v>
      </c>
      <c r="E3632" t="n">
        <v>18</v>
      </c>
      <c r="F3632" t="n">
        <v>22.3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M3632" t="n">
        <v>17</v>
      </c>
      <c r="N3632" t="n">
        <v>100</v>
      </c>
      <c r="O3632" t="n">
        <v>26.36986301369863</v>
      </c>
    </row>
    <row r="3633" hidden="1">
      <c r="A3633" s="11" t="n">
        <v>46114</v>
      </c>
      <c r="B3633" t="inlineStr">
        <is>
          <t>Sarah Steffanie de Lima Borges</t>
        </is>
      </c>
      <c r="C3633" t="inlineStr">
        <is>
          <t>Técnico III</t>
        </is>
      </c>
      <c r="D3633" t="n">
        <v>36</v>
      </c>
      <c r="E3633" t="n">
        <v>32</v>
      </c>
      <c r="F3633" t="n">
        <v>15.15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M3633" t="n">
        <v>28</v>
      </c>
      <c r="N3633" t="n">
        <v>99.20999999999999</v>
      </c>
      <c r="O3633" t="n">
        <v>25.18891687657431</v>
      </c>
    </row>
    <row r="3634" hidden="1">
      <c r="A3634" s="11" t="n">
        <v>46115</v>
      </c>
      <c r="B3634" t="inlineStr">
        <is>
          <t>Alisson de Freitas Silva</t>
        </is>
      </c>
      <c r="C3634" t="inlineStr">
        <is>
          <t>Técnico II</t>
        </is>
      </c>
      <c r="D3634" t="n">
        <v>0</v>
      </c>
      <c r="E3634" t="n">
        <v>0</v>
      </c>
      <c r="F3634" t="n">
        <v>0</v>
      </c>
      <c r="G3634" t="n">
        <v>0</v>
      </c>
      <c r="H3634" t="n">
        <v>0</v>
      </c>
      <c r="I3634" s="3" t="n">
        <v>0</v>
      </c>
      <c r="J3634" s="3" t="n">
        <v>0</v>
      </c>
      <c r="K3634" s="3" t="n">
        <v>0</v>
      </c>
      <c r="L3634" s="3">
        <f>IF(K3634&lt;-5,"CRÍTICO",IF(K3634&lt;0,"ATENÇÃO",IF(K3634&lt;=5,"OPORTUNO","MUITO BOM")))</f>
        <v/>
      </c>
      <c r="M3634" t="n">
        <v>0</v>
      </c>
      <c r="N3634" t="n">
        <v>100</v>
      </c>
      <c r="O3634" t="n">
        <v>32.76450511945392</v>
      </c>
    </row>
    <row r="3635" hidden="1">
      <c r="A3635" s="11" t="n">
        <v>46115</v>
      </c>
      <c r="B3635" t="inlineStr">
        <is>
          <t>Amanda Moura Ferreira</t>
        </is>
      </c>
      <c r="C3635" t="inlineStr">
        <is>
          <t>Técnico III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M3635" t="n">
        <v>0</v>
      </c>
      <c r="N3635" t="n">
        <v>98.66</v>
      </c>
      <c r="O3635" t="n">
        <v>35.41666666666667</v>
      </c>
    </row>
    <row r="3636" hidden="1">
      <c r="A3636" s="11" t="n">
        <v>46115</v>
      </c>
      <c r="B3636" t="inlineStr">
        <is>
          <t>Ana Karollyne Souza Faria</t>
        </is>
      </c>
      <c r="C3636" t="inlineStr">
        <is>
          <t>Técnico 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M3636" t="n">
        <v>0</v>
      </c>
      <c r="N3636" t="n">
        <v>99.31999999999999</v>
      </c>
      <c r="O3636" t="n">
        <v>30.6483300589391</v>
      </c>
    </row>
    <row r="3637" hidden="1">
      <c r="A3637" s="11" t="n">
        <v>46115</v>
      </c>
      <c r="B3637" t="inlineStr">
        <is>
          <t>Ana Paula Da Luz Silva Aleixo</t>
        </is>
      </c>
      <c r="C3637" t="inlineStr">
        <is>
          <t>Técnico III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M3637" t="n">
        <v>0</v>
      </c>
      <c r="N3637" t="n">
        <v>100</v>
      </c>
      <c r="O3637" t="n">
        <v>27.80373831775701</v>
      </c>
    </row>
    <row r="3638" hidden="1">
      <c r="A3638" s="11" t="n">
        <v>46115</v>
      </c>
      <c r="B3638" t="inlineStr">
        <is>
          <t>Anna Luiza Rezende Tavares</t>
        </is>
      </c>
      <c r="C3638" t="inlineStr">
        <is>
          <t>Estágio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M3638" t="n">
        <v>0</v>
      </c>
      <c r="N3638" t="n">
        <v>96.73999999999999</v>
      </c>
      <c r="O3638" t="n">
        <v>28.67647058823529</v>
      </c>
    </row>
    <row r="3639" hidden="1">
      <c r="A3639" s="11" t="n">
        <v>46115</v>
      </c>
      <c r="B3639" t="inlineStr">
        <is>
          <t>Brenda de Menezes Silva</t>
        </is>
      </c>
      <c r="C3639" t="inlineStr">
        <is>
          <t>Técnico II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M3639" t="n">
        <v>0</v>
      </c>
      <c r="N3639" t="n">
        <v>98.81999999999999</v>
      </c>
      <c r="O3639" t="n">
        <v>30.74141048824593</v>
      </c>
    </row>
    <row r="3640" hidden="1">
      <c r="A3640" s="11" t="n">
        <v>46115</v>
      </c>
      <c r="B3640" t="inlineStr">
        <is>
          <t>Carlos Mateus Cassimiro Nunes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M3640" t="n">
        <v>0</v>
      </c>
      <c r="N3640" t="n">
        <v>98.2</v>
      </c>
      <c r="O3640" t="n">
        <v>27.17086834733893</v>
      </c>
    </row>
    <row r="3641" hidden="1">
      <c r="A3641" s="11" t="n">
        <v>46115</v>
      </c>
      <c r="B3641" t="inlineStr">
        <is>
          <t>Claudio de Sousa Velasco Filho</t>
        </is>
      </c>
      <c r="C3641" t="inlineStr">
        <is>
          <t>Estágio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M3641" t="n">
        <v>0</v>
      </c>
      <c r="N3641" t="n">
        <v>100</v>
      </c>
      <c r="O3641" t="n">
        <v>23.13432835820895</v>
      </c>
    </row>
    <row r="3642" hidden="1">
      <c r="A3642" s="11" t="n">
        <v>46115</v>
      </c>
      <c r="B3642" t="inlineStr">
        <is>
          <t>Clessiane Pereira dos Santos</t>
        </is>
      </c>
      <c r="C3642" t="inlineStr">
        <is>
          <t>Técnico I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M3642" t="n">
        <v>0</v>
      </c>
      <c r="N3642" t="n">
        <v>96.3</v>
      </c>
      <c r="O3642" t="n">
        <v>32.21957040572792</v>
      </c>
    </row>
    <row r="3643" hidden="1">
      <c r="A3643" s="11" t="n">
        <v>46115</v>
      </c>
      <c r="B3643" t="inlineStr">
        <is>
          <t>Cristiane Ramos da Silva Rocha</t>
        </is>
      </c>
      <c r="C3643" t="inlineStr">
        <is>
          <t>Técnico III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M3643" t="n">
        <v>0</v>
      </c>
      <c r="N3643" t="n">
        <v>93.75</v>
      </c>
      <c r="O3643" t="n">
        <v>26.81992337164751</v>
      </c>
    </row>
    <row r="3644" hidden="1">
      <c r="A3644" s="11" t="n">
        <v>46115</v>
      </c>
      <c r="B3644" t="inlineStr">
        <is>
          <t>Damyllis Lorraine de Oliveira Gonçalves</t>
        </is>
      </c>
      <c r="C3644" t="inlineStr">
        <is>
          <t>Técnico 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M3644" t="n">
        <v>0</v>
      </c>
      <c r="N3644" t="n">
        <v>97.86</v>
      </c>
      <c r="O3644" t="n">
        <v>31.01851851851852</v>
      </c>
    </row>
    <row r="3645" hidden="1">
      <c r="A3645" s="11" t="n">
        <v>46115</v>
      </c>
      <c r="B3645" t="inlineStr">
        <is>
          <t>Daniel Gomes da Silva</t>
        </is>
      </c>
      <c r="C3645" t="inlineStr">
        <is>
          <t>Técnico 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M3645" t="n">
        <v>0</v>
      </c>
      <c r="N3645" t="n">
        <v>100</v>
      </c>
      <c r="O3645" t="n">
        <v>36.59420289855073</v>
      </c>
    </row>
    <row r="3646" hidden="1">
      <c r="A3646" s="11" t="n">
        <v>46115</v>
      </c>
      <c r="B3646" t="inlineStr">
        <is>
          <t>Davylla Rodrigues Freitas Silva</t>
        </is>
      </c>
      <c r="C3646" t="inlineStr">
        <is>
          <t>Técnico III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M3646" t="n">
        <v>0</v>
      </c>
      <c r="N3646" t="n">
        <v>100</v>
      </c>
      <c r="O3646" t="n">
        <v>38.65384615384615</v>
      </c>
    </row>
    <row r="3647" hidden="1">
      <c r="A3647" s="11" t="n">
        <v>46115</v>
      </c>
      <c r="B3647" t="inlineStr">
        <is>
          <t>Emilly Caylane Costa</t>
        </is>
      </c>
      <c r="C3647" t="inlineStr">
        <is>
          <t>Estágio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M3647" t="n">
        <v>0</v>
      </c>
      <c r="N3647" t="n">
        <v>100</v>
      </c>
      <c r="O3647" t="n">
        <v>27.36842105263158</v>
      </c>
    </row>
    <row r="3648" hidden="1">
      <c r="A3648" s="11" t="n">
        <v>46115</v>
      </c>
      <c r="B3648" t="inlineStr">
        <is>
          <t>Emilly Kamilly Medeiros Miranda</t>
        </is>
      </c>
      <c r="C3648" t="inlineStr">
        <is>
          <t>Técnico II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M3648" t="n">
        <v>0</v>
      </c>
      <c r="N3648" t="n">
        <v>97.83</v>
      </c>
      <c r="O3648" t="n">
        <v>28.35164835164835</v>
      </c>
    </row>
    <row r="3649" hidden="1">
      <c r="A3649" s="11" t="n">
        <v>46115</v>
      </c>
      <c r="B3649" t="inlineStr">
        <is>
          <t>Francielson de Oliveira</t>
        </is>
      </c>
      <c r="C3649" t="inlineStr">
        <is>
          <t>Técnico III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M3649" t="n">
        <v>0</v>
      </c>
      <c r="N3649" t="n">
        <v>99.26000000000001</v>
      </c>
      <c r="O3649" t="n">
        <v>29.76653696498055</v>
      </c>
    </row>
    <row r="3650" hidden="1">
      <c r="A3650" s="11" t="n">
        <v>46115</v>
      </c>
      <c r="B3650" t="inlineStr">
        <is>
          <t>Francilene Ferreira de Jesus</t>
        </is>
      </c>
      <c r="C3650" t="inlineStr">
        <is>
          <t>Técnico 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M3650" t="n">
        <v>0</v>
      </c>
      <c r="N3650" t="n">
        <v>99.19</v>
      </c>
      <c r="O3650" t="n">
        <v>29.46236559139785</v>
      </c>
    </row>
    <row r="3651" hidden="1">
      <c r="A3651" s="11" t="n">
        <v>46167</v>
      </c>
      <c r="B3651" t="inlineStr">
        <is>
          <t>Carlos Mateus Cassimiro Nunes</t>
        </is>
      </c>
      <c r="C3651" t="inlineStr">
        <is>
          <t>Técnico II</t>
        </is>
      </c>
      <c r="D3651" s="3" t="n">
        <v>23</v>
      </c>
      <c r="E3651" s="3" t="n">
        <v>23</v>
      </c>
      <c r="F3651" s="3" t="n">
        <v>20.51</v>
      </c>
      <c r="G3651" s="3" t="n">
        <v>0</v>
      </c>
      <c r="H3651" s="3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M3651" s="3" t="n">
        <v>20</v>
      </c>
      <c r="N3651" s="3" t="n">
        <v>99.06999999999999</v>
      </c>
      <c r="O3651" s="3" t="n">
        <v>20.09803921568627</v>
      </c>
    </row>
    <row r="3652" hidden="1">
      <c r="A3652" s="11" t="n">
        <v>46115</v>
      </c>
      <c r="B3652" t="inlineStr">
        <is>
          <t>Isabella Borges de Oliveira</t>
        </is>
      </c>
      <c r="C3652" t="inlineStr">
        <is>
          <t>Técnico II</t>
        </is>
      </c>
      <c r="D3652" t="n">
        <v>0</v>
      </c>
      <c r="E3652" t="n">
        <v>0</v>
      </c>
      <c r="F3652" t="n">
        <v>0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  <c r="M3652" t="n">
        <v>0</v>
      </c>
      <c r="N3652" t="n">
        <v>100</v>
      </c>
      <c r="O3652" t="n">
        <v>28.92156862745098</v>
      </c>
    </row>
    <row r="3653" hidden="1">
      <c r="A3653" s="11" t="n">
        <v>46115</v>
      </c>
      <c r="B3653" t="inlineStr">
        <is>
          <t>Janaina Lima dos Reis Urany</t>
        </is>
      </c>
      <c r="C3653" t="inlineStr">
        <is>
          <t>Técnico III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M3653" t="n">
        <v>0</v>
      </c>
      <c r="N3653" t="n">
        <v>99.56999999999999</v>
      </c>
      <c r="O3653" t="n">
        <v>30.63583815028902</v>
      </c>
    </row>
    <row r="3654" hidden="1">
      <c r="A3654" s="11" t="n">
        <v>46115</v>
      </c>
      <c r="B3654" t="inlineStr">
        <is>
          <t>Jaqueline Evangelista da Silva Martins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M3654" t="n">
        <v>0</v>
      </c>
      <c r="N3654" t="n">
        <v>95.65000000000001</v>
      </c>
      <c r="O3654" t="n">
        <v>32.43243243243244</v>
      </c>
    </row>
    <row r="3655" hidden="1">
      <c r="A3655" s="11" t="n">
        <v>46115</v>
      </c>
      <c r="B3655" t="inlineStr">
        <is>
          <t>Jessica Faria da Silveira</t>
        </is>
      </c>
      <c r="C3655" t="inlineStr">
        <is>
          <t>Técnico 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M3655" t="n">
        <v>0</v>
      </c>
      <c r="N3655" t="n">
        <v>98.81</v>
      </c>
      <c r="O3655" t="n">
        <v>26.25698324022346</v>
      </c>
    </row>
    <row r="3656" hidden="1">
      <c r="A3656" s="11" t="n">
        <v>46115</v>
      </c>
      <c r="B3656" t="inlineStr">
        <is>
          <t>Jéssica Fé Moura</t>
        </is>
      </c>
      <c r="C3656" t="inlineStr">
        <is>
          <t>Técnico III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M3656" t="n">
        <v>0</v>
      </c>
      <c r="N3656" t="n">
        <v>0</v>
      </c>
      <c r="O3656" t="n">
        <v>0</v>
      </c>
    </row>
    <row r="3657" hidden="1">
      <c r="A3657" s="11" t="n">
        <v>46115</v>
      </c>
      <c r="B3657" t="inlineStr">
        <is>
          <t>Karina Gonçalves Martins</t>
        </is>
      </c>
      <c r="C3657" t="inlineStr">
        <is>
          <t>JR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M3657" t="n">
        <v>0</v>
      </c>
      <c r="N3657" t="n">
        <v>97.17</v>
      </c>
      <c r="O3657" t="n">
        <v>28.81844380403458</v>
      </c>
    </row>
    <row r="3658" hidden="1">
      <c r="A3658" s="11" t="n">
        <v>46115</v>
      </c>
      <c r="B3658" t="inlineStr">
        <is>
          <t>Kerollen Cristielly de Jesus Siqueira</t>
        </is>
      </c>
      <c r="C3658" t="inlineStr">
        <is>
          <t>Técnico III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M3658" t="n">
        <v>0</v>
      </c>
      <c r="N3658" t="n">
        <v>96.81</v>
      </c>
      <c r="O3658" t="n">
        <v>48.01864801864802</v>
      </c>
    </row>
    <row r="3659" hidden="1">
      <c r="A3659" s="11" t="n">
        <v>46115</v>
      </c>
      <c r="B3659" t="inlineStr">
        <is>
          <t>Leandro de Souza Silva</t>
        </is>
      </c>
      <c r="C3659" t="inlineStr">
        <is>
          <t>JR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M3659" t="n">
        <v>0</v>
      </c>
      <c r="N3659" t="n">
        <v>98.15000000000001</v>
      </c>
      <c r="O3659" t="n">
        <v>27.1551724137931</v>
      </c>
    </row>
    <row r="3660" hidden="1">
      <c r="A3660" s="11" t="n">
        <v>46115</v>
      </c>
      <c r="B3660" t="inlineStr">
        <is>
          <t>Leandro Oliveira de Sousa</t>
        </is>
      </c>
      <c r="C3660" t="inlineStr">
        <is>
          <t>Técnico III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M3660" t="n">
        <v>0</v>
      </c>
      <c r="N3660" t="n">
        <v>99.15000000000001</v>
      </c>
      <c r="O3660" t="n">
        <v>27.58620689655172</v>
      </c>
    </row>
    <row r="3661" hidden="1">
      <c r="A3661" s="11" t="n">
        <v>46115</v>
      </c>
      <c r="B3661" t="inlineStr">
        <is>
          <t>Lizandra Gomes Duarte</t>
        </is>
      </c>
      <c r="C3661" t="inlineStr">
        <is>
          <t>Técnico 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M3661" t="n">
        <v>10</v>
      </c>
      <c r="N3661" t="n">
        <v>99.17</v>
      </c>
      <c r="O3661" t="n">
        <v>29.75206611570248</v>
      </c>
    </row>
    <row r="3662" hidden="1">
      <c r="A3662" s="11" t="n">
        <v>46115</v>
      </c>
      <c r="B3662" t="inlineStr">
        <is>
          <t>Lorena Dias de Araujo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M3662" t="n">
        <v>0</v>
      </c>
      <c r="N3662" t="n">
        <v>98.73</v>
      </c>
      <c r="O3662" t="n">
        <v>28.96174863387978</v>
      </c>
    </row>
    <row r="3663" hidden="1">
      <c r="A3663" s="11" t="n">
        <v>46115</v>
      </c>
      <c r="B3663" t="inlineStr">
        <is>
          <t>Lucas Luiz Romero</t>
        </is>
      </c>
      <c r="C3663" t="inlineStr">
        <is>
          <t>Técnico III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M3663" t="n">
        <v>0</v>
      </c>
      <c r="N3663" t="n">
        <v>88.68000000000001</v>
      </c>
      <c r="O3663" t="n">
        <v>22.03389830508474</v>
      </c>
    </row>
    <row r="3664" hidden="1">
      <c r="A3664" s="11" t="n">
        <v>46115</v>
      </c>
      <c r="B3664" t="inlineStr">
        <is>
          <t>Luiz Fernando de Carvalho Junior</t>
        </is>
      </c>
      <c r="C3664" t="inlineStr">
        <is>
          <t>Técnico 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M3664" t="n">
        <v>0</v>
      </c>
      <c r="N3664" t="n">
        <v>97.37</v>
      </c>
      <c r="O3664" t="n">
        <v>25.76530612244898</v>
      </c>
    </row>
    <row r="3665" hidden="1">
      <c r="A3665" s="11" t="n">
        <v>46115</v>
      </c>
      <c r="B3665" t="inlineStr">
        <is>
          <t>Maria Eduarda Sousa Costa</t>
        </is>
      </c>
      <c r="C3665" t="inlineStr">
        <is>
          <t>Estágio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M3665" t="n">
        <v>0</v>
      </c>
      <c r="N3665" t="n">
        <v>100</v>
      </c>
      <c r="O3665" t="n">
        <v>25</v>
      </c>
    </row>
    <row r="3666" hidden="1">
      <c r="A3666" s="11" t="n">
        <v>46115</v>
      </c>
      <c r="B3666" t="inlineStr">
        <is>
          <t>Matheus Farias De Souza</t>
        </is>
      </c>
      <c r="C3666" t="inlineStr">
        <is>
          <t>Técnico III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M3666" t="n">
        <v>0</v>
      </c>
      <c r="N3666" t="n">
        <v>100</v>
      </c>
      <c r="O3666" t="n">
        <v>23.9870340356564</v>
      </c>
    </row>
    <row r="3667" hidden="1">
      <c r="A3667" s="11" t="n">
        <v>46115</v>
      </c>
      <c r="B3667" t="inlineStr">
        <is>
          <t>Maysa Victoria Dias Moura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M3667" t="n">
        <v>0</v>
      </c>
      <c r="N3667" t="n">
        <v>95.48999999999999</v>
      </c>
      <c r="O3667" t="n">
        <v>28.37022132796781</v>
      </c>
    </row>
    <row r="3668" hidden="1">
      <c r="A3668" s="11" t="n">
        <v>46115</v>
      </c>
      <c r="B3668" t="inlineStr">
        <is>
          <t>Michelle G Santos</t>
        </is>
      </c>
      <c r="C3668" t="inlineStr">
        <is>
          <t>Estágio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M3668" t="n">
        <v>0</v>
      </c>
      <c r="N3668" t="n">
        <v>100</v>
      </c>
      <c r="O3668" t="n">
        <v>23.77622377622378</v>
      </c>
    </row>
    <row r="3669" hidden="1">
      <c r="A3669" s="11" t="n">
        <v>46115</v>
      </c>
      <c r="B3669" t="inlineStr">
        <is>
          <t>Milena Sales</t>
        </is>
      </c>
      <c r="C3669" t="inlineStr">
        <is>
          <t>JR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M3669" t="n">
        <v>0</v>
      </c>
      <c r="N3669" t="n">
        <v>96.15000000000001</v>
      </c>
      <c r="O3669" t="n">
        <v>24.04580152671756</v>
      </c>
    </row>
    <row r="3670" hidden="1">
      <c r="A3670" s="11" t="n">
        <v>46115</v>
      </c>
      <c r="B3670" t="inlineStr">
        <is>
          <t>Patrícia Karla de Sousa Araújo</t>
        </is>
      </c>
      <c r="C3670" t="inlineStr">
        <is>
          <t>Técnico II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M3670" t="n">
        <v>0</v>
      </c>
      <c r="N3670" t="n">
        <v>99.02</v>
      </c>
      <c r="O3670" t="n">
        <v>34.7972972972973</v>
      </c>
    </row>
    <row r="3671" hidden="1">
      <c r="A3671" s="11" t="n">
        <v>46115</v>
      </c>
      <c r="B3671" t="inlineStr">
        <is>
          <t>Paulo Ricardo Santos</t>
        </is>
      </c>
      <c r="C3671" t="inlineStr">
        <is>
          <t>JR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M3671" t="n">
        <v>0</v>
      </c>
      <c r="N3671" t="n">
        <v>98.84</v>
      </c>
      <c r="O3671" t="n">
        <v>31.86813186813187</v>
      </c>
    </row>
    <row r="3672" hidden="1">
      <c r="A3672" s="11" t="n">
        <v>46115</v>
      </c>
      <c r="B3672" t="inlineStr">
        <is>
          <t>Pedro Luiz Mota Sousa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M3672" t="n">
        <v>0</v>
      </c>
      <c r="N3672" t="n">
        <v>100</v>
      </c>
      <c r="O3672" t="n">
        <v>34.66666666666667</v>
      </c>
    </row>
    <row r="3673" hidden="1">
      <c r="A3673" s="11" t="n">
        <v>46115</v>
      </c>
      <c r="B3673" t="inlineStr">
        <is>
          <t>Quirino Diogo Leite Torres</t>
        </is>
      </c>
      <c r="C3673" t="inlineStr">
        <is>
          <t>Estágio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M3673" t="n">
        <v>0</v>
      </c>
      <c r="N3673" t="n">
        <v>94.12</v>
      </c>
      <c r="O3673" t="n">
        <v>32.8</v>
      </c>
    </row>
    <row r="3674" hidden="1">
      <c r="A3674" s="11" t="n">
        <v>46115</v>
      </c>
      <c r="B3674" t="inlineStr">
        <is>
          <t>Raane Batista Matos</t>
        </is>
      </c>
      <c r="C3674" t="inlineStr">
        <is>
          <t>Técnico I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M3674" t="n">
        <v>0</v>
      </c>
      <c r="N3674" t="n">
        <v>98.31999999999999</v>
      </c>
      <c r="O3674" t="n">
        <v>26.85851318944844</v>
      </c>
    </row>
    <row r="3675" hidden="1">
      <c r="A3675" s="11" t="n">
        <v>46115</v>
      </c>
      <c r="B3675" t="inlineStr">
        <is>
          <t>Rafael Gomes de Morais</t>
        </is>
      </c>
      <c r="C3675" t="inlineStr">
        <is>
          <t>Técnico III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M3675" t="n">
        <v>0</v>
      </c>
      <c r="N3675" t="n">
        <v>100</v>
      </c>
      <c r="O3675" t="n">
        <v>31.13553113553114</v>
      </c>
    </row>
    <row r="3676" hidden="1">
      <c r="A3676" s="11" t="n">
        <v>46115</v>
      </c>
      <c r="B3676" t="inlineStr">
        <is>
          <t>Sara Maria Monteiro Lopes</t>
        </is>
      </c>
      <c r="C3676" t="inlineStr">
        <is>
          <t>Técnico 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M3676" t="n">
        <v>0</v>
      </c>
      <c r="N3676" t="n">
        <v>100</v>
      </c>
      <c r="O3676" t="n">
        <v>26.36986301369863</v>
      </c>
    </row>
    <row r="3677" hidden="1">
      <c r="A3677" s="11" t="n">
        <v>46115</v>
      </c>
      <c r="B3677" t="inlineStr">
        <is>
          <t>Sarah Steffanie de Lima Borges</t>
        </is>
      </c>
      <c r="C3677" t="inlineStr">
        <is>
          <t>Técnico III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M3677" t="n">
        <v>0</v>
      </c>
      <c r="N3677" t="n">
        <v>99.20999999999999</v>
      </c>
      <c r="O3677" t="n">
        <v>25.18891687657431</v>
      </c>
    </row>
    <row r="3678" hidden="1">
      <c r="A3678" s="11" t="n">
        <v>46118</v>
      </c>
      <c r="B3678" t="inlineStr">
        <is>
          <t>Alisson de Freitas Silva</t>
        </is>
      </c>
      <c r="C3678" t="inlineStr">
        <is>
          <t>Técnico II</t>
        </is>
      </c>
      <c r="D3678" t="n">
        <v>18</v>
      </c>
      <c r="E3678" t="n">
        <v>14</v>
      </c>
      <c r="F3678" t="n">
        <v>20.28</v>
      </c>
      <c r="G3678" t="n">
        <v>0</v>
      </c>
      <c r="H3678" t="n">
        <v>0</v>
      </c>
      <c r="I3678" s="3">
        <f>E3678+G3678+H3678</f>
        <v/>
      </c>
      <c r="J3678" s="3">
        <f>ROUND(MIN(IF(C3678="Técnico III",35,IF(C3678="Técnico II",28,IF(C3678="Técnico I",23,IF(C3678="JR",20,IF(C3678="Estágio",10,0))))),IF(C3678="Técnico III",SUMIFS($D:$D,$A:$A,$A3678,$B:$B,"&lt;&gt;Patrícia Karla de Sousa Araújo",$B:$B,"&lt;&gt;Lorena Dias de Araujo",$B:$B,"&lt;&gt;Lucas Luiz Romero")*(35/1083),IF(C3678="Técnico II",SUMIFS($D:$D,$A:$A,$A3678,$B:$B,"&lt;&gt;Patrícia Karla de Sousa Araújo",$B:$B,"&lt;&gt;Lorena Dias de Araujo",$B:$B,"&lt;&gt;Lucas Luiz Romero")*(28/1083),IF(C3678="Técnico I",SUMIFS($D:$D,$A:$A,$A3678,$B:$B,"&lt;&gt;Patrícia Karla de Sousa Araújo",$B:$B,"&lt;&gt;Lorena Dias de Araujo",$B:$B,"&lt;&gt;Lucas Luiz Romero")*(23/1083),IF(C3678="JR",SUMIFS($D:$D,$A:$A,$A3678,$B:$B,"&lt;&gt;Patrícia Karla de Sousa Araújo",$B:$B,"&lt;&gt;Lorena Dias de Araujo",$B:$B,"&lt;&gt;Lucas Luiz Romero")*(20/1083),IF(C3678="Estágio",SUMIFS($D:$D,$A:$A,$A3678,$B:$B,"&lt;&gt;Patrícia Karla de Sousa Araújo",$B:$B,"&lt;&gt;Lorena Dias de Araujo",$B:$B,"&lt;&gt;Lucas Luiz Romero")*(10/1083),0)))))),0)</f>
        <v/>
      </c>
      <c r="K3678" s="3">
        <f>I3678-J3678</f>
        <v/>
      </c>
      <c r="L3678" s="3">
        <f>IF(K3678&lt;-5,"CRÍTICO",IF(K3678&lt;0,"ATENÇÃO",IF(K3678&lt;=5,"OPORTUNO","MUITO BOM")))</f>
        <v/>
      </c>
      <c r="M3678" t="n">
        <v>14</v>
      </c>
      <c r="N3678" t="n">
        <v>100</v>
      </c>
      <c r="O3678" t="n">
        <v>32.76450511945392</v>
      </c>
    </row>
    <row r="3679" hidden="1">
      <c r="A3679" s="11" t="n">
        <v>46118</v>
      </c>
      <c r="B3679" t="inlineStr">
        <is>
          <t>Amanda Moura Ferreira</t>
        </is>
      </c>
      <c r="C3679" t="inlineStr">
        <is>
          <t>Técnico III</t>
        </is>
      </c>
      <c r="D3679" t="n">
        <v>0</v>
      </c>
      <c r="E3679" t="n">
        <v>0</v>
      </c>
      <c r="F3679" t="n">
        <v>0</v>
      </c>
      <c r="G3679" t="n">
        <v>0</v>
      </c>
      <c r="H3679" t="n">
        <v>0</v>
      </c>
      <c r="I3679" s="3" t="n">
        <v>0</v>
      </c>
      <c r="J3679" s="3" t="n">
        <v>0</v>
      </c>
      <c r="K3679" s="3" t="n">
        <v>0</v>
      </c>
      <c r="L3679" s="3">
        <f>IF(K3679&lt;-5,"CRÍTICO",IF(K3679&lt;0,"ATENÇÃO",IF(K3679&lt;=5,"OPORTUNO","MUITO BOM")))</f>
        <v/>
      </c>
      <c r="M3679" t="n">
        <v>32</v>
      </c>
      <c r="N3679" t="n">
        <v>98.66</v>
      </c>
      <c r="O3679" t="n">
        <v>35.41666666666667</v>
      </c>
    </row>
    <row r="3680" hidden="1">
      <c r="A3680" s="11" t="n">
        <v>46118</v>
      </c>
      <c r="B3680" t="inlineStr">
        <is>
          <t>Ana Karollyne Souza Faria</t>
        </is>
      </c>
      <c r="C3680" t="inlineStr">
        <is>
          <t>Técnico I</t>
        </is>
      </c>
      <c r="D3680" t="n">
        <v>29</v>
      </c>
      <c r="E3680" t="n">
        <v>25</v>
      </c>
      <c r="F3680" t="n">
        <v>17.36</v>
      </c>
      <c r="G3680" t="n">
        <v>0</v>
      </c>
      <c r="H3680" t="n">
        <v>0</v>
      </c>
      <c r="I3680" s="3">
        <f>E3680+G3680+H3680</f>
        <v/>
      </c>
      <c r="J3680" s="3">
        <f>ROUND(MIN(IF(C3680="Técnico III",35,IF(C3680="Técnico II",28,IF(C3680="Técnico I",23,IF(C3680="JR",20,IF(C3680="Estágio",10,0))))),IF(C3680="Técnico III",SUMIFS($D:$D,$A:$A,$A3680,$B:$B,"&lt;&gt;Patrícia Karla de Sousa Araújo",$B:$B,"&lt;&gt;Lorena Dias de Araujo",$B:$B,"&lt;&gt;Lucas Luiz Romero")*(35/1083),IF(C3680="Técnico II",SUMIFS($D:$D,$A:$A,$A3680,$B:$B,"&lt;&gt;Patrícia Karla de Sousa Araújo",$B:$B,"&lt;&gt;Lorena Dias de Araujo",$B:$B,"&lt;&gt;Lucas Luiz Romero")*(28/1083),IF(C3680="Técnico I",SUMIFS($D:$D,$A:$A,$A3680,$B:$B,"&lt;&gt;Patrícia Karla de Sousa Araújo",$B:$B,"&lt;&gt;Lorena Dias de Araujo",$B:$B,"&lt;&gt;Lucas Luiz Romero")*(23/1083),IF(C3680="JR",SUMIFS($D:$D,$A:$A,$A3680,$B:$B,"&lt;&gt;Patrícia Karla de Sousa Araújo",$B:$B,"&lt;&gt;Lorena Dias de Araujo",$B:$B,"&lt;&gt;Lucas Luiz Romero")*(20/1083),IF(C3680="Estágio",SUMIFS($D:$D,$A:$A,$A3680,$B:$B,"&lt;&gt;Patrícia Karla de Sousa Araújo",$B:$B,"&lt;&gt;Lorena Dias de Araujo",$B:$B,"&lt;&gt;Lucas Luiz Romero")*(10/1083),0)))))),0)</f>
        <v/>
      </c>
      <c r="K3680" s="3">
        <f>I3680-J3680</f>
        <v/>
      </c>
      <c r="L3680" s="3">
        <f>IF(K3680&lt;-5,"CRÍTICO",IF(K3680&lt;0,"ATENÇÃO",IF(K3680&lt;=5,"OPORTUNO","MUITO BOM")))</f>
        <v/>
      </c>
      <c r="M3680" t="n">
        <v>31</v>
      </c>
      <c r="N3680" t="n">
        <v>99.31999999999999</v>
      </c>
      <c r="O3680" t="n">
        <v>30.6483300589391</v>
      </c>
    </row>
    <row r="3681" hidden="1">
      <c r="A3681" s="11" t="n">
        <v>46118</v>
      </c>
      <c r="B3681" t="inlineStr">
        <is>
          <t>Ana Paula Da Luz Silva Aleixo</t>
        </is>
      </c>
      <c r="C3681" t="inlineStr">
        <is>
          <t>Técnico III</t>
        </is>
      </c>
      <c r="D3681" t="n">
        <v>49</v>
      </c>
      <c r="E3681" t="n">
        <v>41</v>
      </c>
      <c r="F3681" t="n">
        <v>12.04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M3681" t="n">
        <v>40</v>
      </c>
      <c r="N3681" t="n">
        <v>100</v>
      </c>
      <c r="O3681" t="n">
        <v>27.80373831775701</v>
      </c>
    </row>
    <row r="3682" hidden="1">
      <c r="A3682" s="11" t="n">
        <v>46118</v>
      </c>
      <c r="B3682" t="inlineStr">
        <is>
          <t>Anna Luiza Rezende Tavares</t>
        </is>
      </c>
      <c r="C3682" t="inlineStr">
        <is>
          <t>Estágio</t>
        </is>
      </c>
      <c r="D3682" t="n">
        <v>25</v>
      </c>
      <c r="E3682" t="n">
        <v>21</v>
      </c>
      <c r="F3682" t="n">
        <v>12.25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M3682" t="n">
        <v>20</v>
      </c>
      <c r="N3682" t="n">
        <v>96.73999999999999</v>
      </c>
      <c r="O3682" t="n">
        <v>28.67647058823529</v>
      </c>
    </row>
    <row r="3683" hidden="1">
      <c r="A3683" s="11" t="n">
        <v>46118</v>
      </c>
      <c r="B3683" t="inlineStr">
        <is>
          <t>Brenda de Menezes Silva</t>
        </is>
      </c>
      <c r="C3683" t="inlineStr">
        <is>
          <t>Técnico II</t>
        </is>
      </c>
      <c r="D3683" t="n">
        <v>42</v>
      </c>
      <c r="E3683" t="n">
        <v>36</v>
      </c>
      <c r="F3683" t="n">
        <v>15.1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M3683" t="n">
        <v>38</v>
      </c>
      <c r="N3683" t="n">
        <v>98.81999999999999</v>
      </c>
      <c r="O3683" t="n">
        <v>30.74141048824593</v>
      </c>
    </row>
    <row r="3684" hidden="1">
      <c r="A3684" s="11" t="n">
        <v>46118</v>
      </c>
      <c r="B3684" t="inlineStr">
        <is>
          <t>Carlos Mateus Cassimiro Nunes</t>
        </is>
      </c>
      <c r="C3684" t="inlineStr">
        <is>
          <t>Técnico II</t>
        </is>
      </c>
      <c r="D3684" t="n">
        <v>33</v>
      </c>
      <c r="E3684" t="n">
        <v>31</v>
      </c>
      <c r="F3684" t="n">
        <v>19.06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M3684" t="n">
        <v>28</v>
      </c>
      <c r="N3684" t="n">
        <v>98.2</v>
      </c>
      <c r="O3684" t="n">
        <v>27.17086834733893</v>
      </c>
    </row>
    <row r="3685" hidden="1">
      <c r="A3685" s="11" t="n">
        <v>46118</v>
      </c>
      <c r="B3685" t="inlineStr">
        <is>
          <t>Claudio de Sousa Velasco Filho</t>
        </is>
      </c>
      <c r="C3685" t="inlineStr">
        <is>
          <t>Estágio</t>
        </is>
      </c>
      <c r="D3685" t="n">
        <v>12</v>
      </c>
      <c r="E3685" t="n">
        <v>11</v>
      </c>
      <c r="F3685" t="n">
        <v>22.04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M3685" t="n">
        <v>11</v>
      </c>
      <c r="N3685" t="n">
        <v>100</v>
      </c>
      <c r="O3685" t="n">
        <v>23.13432835820895</v>
      </c>
    </row>
    <row r="3686" hidden="1">
      <c r="A3686" s="11" t="n">
        <v>46118</v>
      </c>
      <c r="B3686" t="inlineStr">
        <is>
          <t>Clessiane Pereira dos Santos</t>
        </is>
      </c>
      <c r="C3686" t="inlineStr">
        <is>
          <t>Técnico I</t>
        </is>
      </c>
      <c r="D3686" t="n">
        <v>34</v>
      </c>
      <c r="E3686" t="n">
        <v>32</v>
      </c>
      <c r="F3686" t="n">
        <v>14.14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M3686" t="n">
        <v>32</v>
      </c>
      <c r="N3686" t="n">
        <v>96.3</v>
      </c>
      <c r="O3686" t="n">
        <v>32.21957040572792</v>
      </c>
    </row>
    <row r="3687" hidden="1">
      <c r="A3687" s="11" t="n">
        <v>46118</v>
      </c>
      <c r="B3687" t="inlineStr">
        <is>
          <t>Cristiane Ramos da Silva Rocha</t>
        </is>
      </c>
      <c r="C3687" t="inlineStr">
        <is>
          <t>Técnico III</t>
        </is>
      </c>
      <c r="D3687" t="n">
        <v>37</v>
      </c>
      <c r="E3687" t="n">
        <v>34</v>
      </c>
      <c r="F3687" t="n">
        <v>12.19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M3687" t="n">
        <v>35</v>
      </c>
      <c r="N3687" t="n">
        <v>93.75</v>
      </c>
      <c r="O3687" t="n">
        <v>26.81992337164751</v>
      </c>
    </row>
    <row r="3688" hidden="1">
      <c r="A3688" s="11" t="n">
        <v>46118</v>
      </c>
      <c r="B3688" t="inlineStr">
        <is>
          <t>Damyllis Lorraine de Oliveira Gonçalves</t>
        </is>
      </c>
      <c r="C3688" t="inlineStr">
        <is>
          <t>Técnico II</t>
        </is>
      </c>
      <c r="D3688" t="n">
        <v>33</v>
      </c>
      <c r="E3688" t="n">
        <v>29</v>
      </c>
      <c r="F3688" t="n">
        <v>13.56</v>
      </c>
      <c r="G3688" t="n">
        <v>0</v>
      </c>
      <c r="H3688" t="n">
        <v>0</v>
      </c>
      <c r="I3688" s="3" t="n">
        <v>0</v>
      </c>
      <c r="J3688" s="3" t="n">
        <v>0</v>
      </c>
      <c r="K3688" s="3" t="n">
        <v>0</v>
      </c>
      <c r="L3688" s="3">
        <f>IF(K3688&lt;-5,"CRÍTICO",IF(K3688&lt;0,"ATENÇÃO",IF(K3688&lt;=5,"OPORTUNO","MUITO BOM")))</f>
        <v/>
      </c>
      <c r="M3688" t="n">
        <v>28</v>
      </c>
      <c r="N3688" t="n">
        <v>97.86</v>
      </c>
      <c r="O3688" t="n">
        <v>31.01851851851852</v>
      </c>
    </row>
    <row r="3689" hidden="1">
      <c r="A3689" s="11" t="n">
        <v>46118</v>
      </c>
      <c r="B3689" t="inlineStr">
        <is>
          <t>Daniel Gomes da Silva</t>
        </is>
      </c>
      <c r="C3689" t="inlineStr">
        <is>
          <t>Técnico I</t>
        </is>
      </c>
      <c r="D3689" t="n">
        <v>23</v>
      </c>
      <c r="E3689" t="n">
        <v>22</v>
      </c>
      <c r="F3689" t="n">
        <v>19.05</v>
      </c>
      <c r="G3689" t="n">
        <v>0</v>
      </c>
      <c r="H3689" t="n">
        <v>0</v>
      </c>
      <c r="I3689" s="3">
        <f>E3689+G3689+H3689</f>
        <v/>
      </c>
      <c r="J3689" s="3">
        <f>ROUND(MIN(IF(C3689="Técnico III",35,IF(C3689="Técnico II",28,IF(C3689="Técnico I",23,IF(C3689="JR",20,IF(C3689="Estágio",10,0))))),IF(C3689="Técnico III",SUMIFS($D:$D,$A:$A,$A3689,$B:$B,"&lt;&gt;Patrícia Karla de Sousa Araújo",$B:$B,"&lt;&gt;Lorena Dias de Araujo",$B:$B,"&lt;&gt;Lucas Luiz Romero")*(35/1083),IF(C3689="Técnico II",SUMIFS($D:$D,$A:$A,$A3689,$B:$B,"&lt;&gt;Patrícia Karla de Sousa Araújo",$B:$B,"&lt;&gt;Lorena Dias de Araujo",$B:$B,"&lt;&gt;Lucas Luiz Romero")*(28/1083),IF(C3689="Técnico I",SUMIFS($D:$D,$A:$A,$A3689,$B:$B,"&lt;&gt;Patrícia Karla de Sousa Araújo",$B:$B,"&lt;&gt;Lorena Dias de Araujo",$B:$B,"&lt;&gt;Lucas Luiz Romero")*(23/1083),IF(C3689="JR",SUMIFS($D:$D,$A:$A,$A3689,$B:$B,"&lt;&gt;Patrícia Karla de Sousa Araújo",$B:$B,"&lt;&gt;Lorena Dias de Araujo",$B:$B,"&lt;&gt;Lucas Luiz Romero")*(20/1083),IF(C3689="Estágio",SUMIFS($D:$D,$A:$A,$A3689,$B:$B,"&lt;&gt;Patrícia Karla de Sousa Araújo",$B:$B,"&lt;&gt;Lorena Dias de Araujo",$B:$B,"&lt;&gt;Lucas Luiz Romero")*(10/1083),0)))))),0)</f>
        <v/>
      </c>
      <c r="K3689" s="3">
        <f>I3689-J3689</f>
        <v/>
      </c>
      <c r="L3689" s="3">
        <f>IF(K3689&lt;-5,"CRÍTICO",IF(K3689&lt;0,"ATENÇÃO",IF(K3689&lt;=5,"OPORTUNO","MUITO BOM")))</f>
        <v/>
      </c>
      <c r="M3689" t="n">
        <v>12</v>
      </c>
      <c r="N3689" t="n">
        <v>100</v>
      </c>
      <c r="O3689" t="n">
        <v>36.59420289855073</v>
      </c>
    </row>
    <row r="3690" hidden="1">
      <c r="A3690" s="11" t="n">
        <v>46118</v>
      </c>
      <c r="B3690" t="inlineStr">
        <is>
          <t>Davylla Rodrigues Freitas Silva</t>
        </is>
      </c>
      <c r="C3690" t="inlineStr">
        <is>
          <t>Técnico III</t>
        </is>
      </c>
      <c r="D3690" t="n">
        <v>27</v>
      </c>
      <c r="E3690" t="n">
        <v>27</v>
      </c>
      <c r="F3690" t="n">
        <v>20.3</v>
      </c>
      <c r="G3690" t="n">
        <v>0</v>
      </c>
      <c r="H3690" t="n">
        <v>0</v>
      </c>
      <c r="I3690" s="3" t="n">
        <v>0</v>
      </c>
      <c r="J3690" s="3" t="n">
        <v>0</v>
      </c>
      <c r="K3690" s="3" t="n">
        <v>0</v>
      </c>
      <c r="L3690" s="3">
        <f>IF(K3690&lt;-5,"CRÍTICO",IF(K3690&lt;0,"ATENÇÃO",IF(K3690&lt;=5,"OPORTUNO","MUITO BOM")))</f>
        <v/>
      </c>
      <c r="M3690" t="n">
        <v>35</v>
      </c>
      <c r="N3690" t="n">
        <v>100</v>
      </c>
      <c r="O3690" t="n">
        <v>38.65384615384615</v>
      </c>
    </row>
    <row r="3691" hidden="1">
      <c r="A3691" s="11" t="n">
        <v>46118</v>
      </c>
      <c r="B3691" t="inlineStr">
        <is>
          <t>Emilly Caylane Costa</t>
        </is>
      </c>
      <c r="C3691" t="inlineStr">
        <is>
          <t>Estágio</t>
        </is>
      </c>
      <c r="D3691" t="n">
        <v>8</v>
      </c>
      <c r="E3691" t="n">
        <v>8</v>
      </c>
      <c r="F3691" t="n">
        <v>37.14</v>
      </c>
      <c r="G3691" t="n">
        <v>0</v>
      </c>
      <c r="H3691" t="n">
        <v>0</v>
      </c>
      <c r="I3691" s="3">
        <f>E3691+G3691+H3691</f>
        <v/>
      </c>
      <c r="J3691" s="3">
        <f>ROUND(MIN(IF(C3691="Técnico III",35,IF(C3691="Técnico II",28,IF(C3691="Técnico I",23,IF(C3691="JR",20,IF(C3691="Estágio",10,0))))),IF(C3691="Técnico III",SUMIFS($D:$D,$A:$A,$A3691,$B:$B,"&lt;&gt;Patrícia Karla de Sousa Araújo",$B:$B,"&lt;&gt;Lorena Dias de Araujo",$B:$B,"&lt;&gt;Lucas Luiz Romero")*(35/1083),IF(C3691="Técnico II",SUMIFS($D:$D,$A:$A,$A3691,$B:$B,"&lt;&gt;Patrícia Karla de Sousa Araújo",$B:$B,"&lt;&gt;Lorena Dias de Araujo",$B:$B,"&lt;&gt;Lucas Luiz Romero")*(28/1083),IF(C3691="Técnico I",SUMIFS($D:$D,$A:$A,$A3691,$B:$B,"&lt;&gt;Patrícia Karla de Sousa Araújo",$B:$B,"&lt;&gt;Lorena Dias de Araujo",$B:$B,"&lt;&gt;Lucas Luiz Romero")*(23/1083),IF(C3691="JR",SUMIFS($D:$D,$A:$A,$A3691,$B:$B,"&lt;&gt;Patrícia Karla de Sousa Araújo",$B:$B,"&lt;&gt;Lorena Dias de Araujo",$B:$B,"&lt;&gt;Lucas Luiz Romero")*(20/1083),IF(C3691="Estágio",SUMIFS($D:$D,$A:$A,$A3691,$B:$B,"&lt;&gt;Patrícia Karla de Sousa Araújo",$B:$B,"&lt;&gt;Lorena Dias de Araujo",$B:$B,"&lt;&gt;Lucas Luiz Romero")*(10/1083),0)))))),0)</f>
        <v/>
      </c>
      <c r="K3691" s="3">
        <f>I3691-J3691</f>
        <v/>
      </c>
      <c r="L3691" s="3">
        <f>IF(K3691&lt;-5,"CRÍTICO",IF(K3691&lt;0,"ATENÇÃO",IF(K3691&lt;=5,"OPORTUNO","MUITO BOM")))</f>
        <v/>
      </c>
      <c r="M3691" t="n">
        <v>8</v>
      </c>
      <c r="N3691" t="n">
        <v>100</v>
      </c>
      <c r="O3691" t="n">
        <v>27.36842105263158</v>
      </c>
    </row>
    <row r="3692" hidden="1">
      <c r="A3692" s="11" t="n">
        <v>46118</v>
      </c>
      <c r="B3692" t="inlineStr">
        <is>
          <t>Emilly Kamilly Medeiros Miranda</t>
        </is>
      </c>
      <c r="C3692" t="inlineStr">
        <is>
          <t>Técnico II</t>
        </is>
      </c>
      <c r="D3692" t="n">
        <v>35</v>
      </c>
      <c r="E3692" t="n">
        <v>33</v>
      </c>
      <c r="F3692" t="n">
        <v>14.19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M3692" t="n">
        <v>31</v>
      </c>
      <c r="N3692" t="n">
        <v>97.83</v>
      </c>
      <c r="O3692" t="n">
        <v>28.35164835164835</v>
      </c>
    </row>
    <row r="3693" hidden="1">
      <c r="A3693" s="11" t="n">
        <v>46118</v>
      </c>
      <c r="B3693" t="inlineStr">
        <is>
          <t>Francielson de Oliveira</t>
        </is>
      </c>
      <c r="C3693" t="inlineStr">
        <is>
          <t>Técnico III</t>
        </is>
      </c>
      <c r="D3693" t="n">
        <v>29</v>
      </c>
      <c r="E3693" t="n">
        <v>28</v>
      </c>
      <c r="F3693" t="n">
        <v>17.03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M3693" t="n">
        <v>29</v>
      </c>
      <c r="N3693" t="n">
        <v>99.26000000000001</v>
      </c>
      <c r="O3693" t="n">
        <v>29.76653696498055</v>
      </c>
    </row>
    <row r="3694" hidden="1">
      <c r="A3694" s="11" t="n">
        <v>46118</v>
      </c>
      <c r="B3694" t="inlineStr">
        <is>
          <t>Francilene Ferreira de Jesus</t>
        </is>
      </c>
      <c r="C3694" t="inlineStr">
        <is>
          <t>Técnico II</t>
        </is>
      </c>
      <c r="D3694" t="n">
        <v>34</v>
      </c>
      <c r="E3694" t="n">
        <v>30</v>
      </c>
      <c r="F3694" t="n">
        <v>20.59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M3694" t="n">
        <v>29</v>
      </c>
      <c r="N3694" t="n">
        <v>99.19</v>
      </c>
      <c r="O3694" t="n">
        <v>29.46236559139785</v>
      </c>
    </row>
    <row r="3695" hidden="1">
      <c r="A3695" s="11" t="n">
        <v>46167</v>
      </c>
      <c r="B3695" t="inlineStr">
        <is>
          <t>Damyllis Lorraine de Oliveira Gonçalves</t>
        </is>
      </c>
      <c r="C3695" t="inlineStr">
        <is>
          <t>Técnico II</t>
        </is>
      </c>
      <c r="D3695" s="3" t="n">
        <v>0</v>
      </c>
      <c r="E3695" s="3" t="n">
        <v>0</v>
      </c>
      <c r="F3695" s="3" t="n">
        <v>0</v>
      </c>
      <c r="G3695" s="3" t="n">
        <v>0</v>
      </c>
      <c r="H3695" s="3" t="n">
        <v>0</v>
      </c>
      <c r="I3695" s="3" t="n">
        <v>0</v>
      </c>
      <c r="J3695" s="3" t="n">
        <v>0</v>
      </c>
      <c r="K3695" s="3" t="n">
        <v>0</v>
      </c>
      <c r="L3695" s="3">
        <f>IF(K3695&lt;-5,"CRÍTICO",IF(K3695&lt;0,"ATENÇÃO",IF(K3695&lt;=5,"OPORTUNO","MUITO BOM")))</f>
        <v/>
      </c>
      <c r="M3695" s="3" t="n">
        <v>0</v>
      </c>
      <c r="N3695" s="3" t="n">
        <v>98.81</v>
      </c>
      <c r="O3695" s="3" t="n">
        <v>22.76785714285714</v>
      </c>
    </row>
    <row r="3696" hidden="1">
      <c r="A3696" s="11" t="n">
        <v>46118</v>
      </c>
      <c r="B3696" t="inlineStr">
        <is>
          <t>Isabella Borges de Oliveira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  <c r="M3696" t="n">
        <v>0</v>
      </c>
      <c r="N3696" t="n">
        <v>100</v>
      </c>
      <c r="O3696" t="n">
        <v>28.92156862745098</v>
      </c>
    </row>
    <row r="3697" hidden="1">
      <c r="A3697" s="11" t="n">
        <v>46118</v>
      </c>
      <c r="B3697" t="inlineStr">
        <is>
          <t>Janaina Lima dos Reis Urany</t>
        </is>
      </c>
      <c r="C3697" t="inlineStr">
        <is>
          <t>Técnico III</t>
        </is>
      </c>
      <c r="D3697" t="n">
        <v>46</v>
      </c>
      <c r="E3697" t="n">
        <v>46</v>
      </c>
      <c r="F3697" t="n">
        <v>13.59</v>
      </c>
      <c r="G3697" t="n">
        <v>0</v>
      </c>
      <c r="H3697" t="n">
        <v>0</v>
      </c>
      <c r="I3697" s="3">
        <f>E3697+G3697+H3697</f>
        <v/>
      </c>
      <c r="J3697" s="3">
        <f>ROUND(MIN(IF(C3697="Técnico III",35,IF(C3697="Técnico II",28,IF(C3697="Técnico I",23,IF(C3697="JR",20,IF(C3697="Estágio",10,0))))),IF(C3697="Técnico III",SUMIFS($D:$D,$A:$A,$A3697,$B:$B,"&lt;&gt;Patrícia Karla de Sousa Araújo",$B:$B,"&lt;&gt;Lorena Dias de Araujo",$B:$B,"&lt;&gt;Lucas Luiz Romero")*(35/1083),IF(C3697="Técnico II",SUMIFS($D:$D,$A:$A,$A3697,$B:$B,"&lt;&gt;Patrícia Karla de Sousa Araújo",$B:$B,"&lt;&gt;Lorena Dias de Araujo",$B:$B,"&lt;&gt;Lucas Luiz Romero")*(28/1083),IF(C3697="Técnico I",SUMIFS($D:$D,$A:$A,$A3697,$B:$B,"&lt;&gt;Patrícia Karla de Sousa Araújo",$B:$B,"&lt;&gt;Lorena Dias de Araujo",$B:$B,"&lt;&gt;Lucas Luiz Romero")*(23/1083),IF(C3697="JR",SUMIFS($D:$D,$A:$A,$A3697,$B:$B,"&lt;&gt;Patrícia Karla de Sousa Araújo",$B:$B,"&lt;&gt;Lorena Dias de Araujo",$B:$B,"&lt;&gt;Lucas Luiz Romero")*(20/1083),IF(C3697="Estágio",SUMIFS($D:$D,$A:$A,$A3697,$B:$B,"&lt;&gt;Patrícia Karla de Sousa Araújo",$B:$B,"&lt;&gt;Lorena Dias de Araujo",$B:$B,"&lt;&gt;Lucas Luiz Romero")*(10/1083),0)))))),0)</f>
        <v/>
      </c>
      <c r="K3697" s="3">
        <f>I3697-J3697</f>
        <v/>
      </c>
      <c r="L3697" s="3">
        <f>IF(K3697&lt;-5,"CRÍTICO",IF(K3697&lt;0,"ATENÇÃO",IF(K3697&lt;=5,"OPORTUNO","MUITO BOM")))</f>
        <v/>
      </c>
      <c r="M3697" t="n">
        <v>44</v>
      </c>
      <c r="N3697" t="n">
        <v>99.56999999999999</v>
      </c>
      <c r="O3697" t="n">
        <v>30.63583815028902</v>
      </c>
    </row>
    <row r="3698" hidden="1">
      <c r="A3698" s="11" t="n">
        <v>46118</v>
      </c>
      <c r="B3698" t="inlineStr">
        <is>
          <t>Jaqueline Evangelista da Silva Martins</t>
        </is>
      </c>
      <c r="C3698" t="inlineStr">
        <is>
          <t>Técnico III</t>
        </is>
      </c>
      <c r="D3698" t="n">
        <v>0</v>
      </c>
      <c r="E3698" t="n">
        <v>0</v>
      </c>
      <c r="F3698" t="n">
        <v>0</v>
      </c>
      <c r="G3698" t="n">
        <v>0</v>
      </c>
      <c r="H3698" t="n">
        <v>0</v>
      </c>
      <c r="I3698" s="3" t="n">
        <v>0</v>
      </c>
      <c r="J3698" s="3" t="n">
        <v>0</v>
      </c>
      <c r="K3698" s="3" t="n">
        <v>0</v>
      </c>
      <c r="L3698" s="3">
        <f>IF(K3698&lt;-5,"CRÍTICO",IF(K3698&lt;0,"ATENÇÃO",IF(K3698&lt;=5,"OPORTUNO","MUITO BOM")))</f>
        <v/>
      </c>
      <c r="M3698" t="n">
        <v>0</v>
      </c>
      <c r="N3698" t="n">
        <v>95.65000000000001</v>
      </c>
      <c r="O3698" t="n">
        <v>32.43243243243244</v>
      </c>
    </row>
    <row r="3699" hidden="1">
      <c r="A3699" s="11" t="n">
        <v>46118</v>
      </c>
      <c r="B3699" t="inlineStr">
        <is>
          <t>Jessica Faria da Silveira</t>
        </is>
      </c>
      <c r="C3699" t="inlineStr">
        <is>
          <t>Técnico II</t>
        </is>
      </c>
      <c r="D3699" t="n">
        <v>12</v>
      </c>
      <c r="E3699" t="n">
        <v>12</v>
      </c>
      <c r="F3699" t="n">
        <v>16.45</v>
      </c>
      <c r="G3699" t="n">
        <v>0</v>
      </c>
      <c r="H3699" t="n">
        <v>0</v>
      </c>
      <c r="I3699" s="3">
        <f>E3699+G3699+H3699</f>
        <v/>
      </c>
      <c r="J3699" s="3">
        <f>ROUND(MIN(IF(C3699="Técnico III",35,IF(C3699="Técnico II",28,IF(C3699="Técnico I",23,IF(C3699="JR",20,IF(C3699="Estágio",10,0))))),IF(C3699="Técnico III",SUMIFS($D:$D,$A:$A,$A3699,$B:$B,"&lt;&gt;Patrícia Karla de Sousa Araújo",$B:$B,"&lt;&gt;Lorena Dias de Araujo",$B:$B,"&lt;&gt;Lucas Luiz Romero")*(35/1083),IF(C3699="Técnico II",SUMIFS($D:$D,$A:$A,$A3699,$B:$B,"&lt;&gt;Patrícia Karla de Sousa Araújo",$B:$B,"&lt;&gt;Lorena Dias de Araujo",$B:$B,"&lt;&gt;Lucas Luiz Romero")*(28/1083),IF(C3699="Técnico I",SUMIFS($D:$D,$A:$A,$A3699,$B:$B,"&lt;&gt;Patrícia Karla de Sousa Araújo",$B:$B,"&lt;&gt;Lorena Dias de Araujo",$B:$B,"&lt;&gt;Lucas Luiz Romero")*(23/1083),IF(C3699="JR",SUMIFS($D:$D,$A:$A,$A3699,$B:$B,"&lt;&gt;Patrícia Karla de Sousa Araújo",$B:$B,"&lt;&gt;Lorena Dias de Araujo",$B:$B,"&lt;&gt;Lucas Luiz Romero")*(20/1083),IF(C3699="Estágio",SUMIFS($D:$D,$A:$A,$A3699,$B:$B,"&lt;&gt;Patrícia Karla de Sousa Araújo",$B:$B,"&lt;&gt;Lorena Dias de Araujo",$B:$B,"&lt;&gt;Lucas Luiz Romero")*(10/1083),0)))))),0)</f>
        <v/>
      </c>
      <c r="K3699" s="3">
        <f>I3699-J3699</f>
        <v/>
      </c>
      <c r="L3699" s="3">
        <f>IF(K3699&lt;-5,"CRÍTICO",IF(K3699&lt;0,"ATENÇÃO",IF(K3699&lt;=5,"OPORTUNO","MUITO BOM")))</f>
        <v/>
      </c>
      <c r="M3699" t="n">
        <v>14</v>
      </c>
      <c r="N3699" t="n">
        <v>98.81</v>
      </c>
      <c r="O3699" t="n">
        <v>26.25698324022346</v>
      </c>
    </row>
    <row r="3700" hidden="1">
      <c r="A3700" s="11" t="n">
        <v>46118</v>
      </c>
      <c r="B3700" t="inlineStr">
        <is>
          <t>Jéssica Fé Moura</t>
        </is>
      </c>
      <c r="C3700" t="inlineStr">
        <is>
          <t>Técnico III</t>
        </is>
      </c>
      <c r="D3700" t="n">
        <v>0</v>
      </c>
      <c r="E3700" t="n">
        <v>0</v>
      </c>
      <c r="F3700" t="n">
        <v>0</v>
      </c>
      <c r="G3700" t="n">
        <v>0</v>
      </c>
      <c r="H3700" t="n">
        <v>0</v>
      </c>
      <c r="I3700" s="3" t="n">
        <v>0</v>
      </c>
      <c r="J3700" s="3" t="n">
        <v>0</v>
      </c>
      <c r="K3700" s="3" t="n">
        <v>0</v>
      </c>
      <c r="L3700" s="3">
        <f>IF(K3700&lt;-5,"CRÍTICO",IF(K3700&lt;0,"ATENÇÃO",IF(K3700&lt;=5,"OPORTUNO","MUITO BOM")))</f>
        <v/>
      </c>
      <c r="M3700" t="n">
        <v>0</v>
      </c>
      <c r="N3700" t="n">
        <v>0</v>
      </c>
      <c r="O3700" t="n">
        <v>0</v>
      </c>
    </row>
    <row r="3701" hidden="1">
      <c r="A3701" s="11" t="n">
        <v>46118</v>
      </c>
      <c r="B3701" t="inlineStr">
        <is>
          <t>Karina Gonçalves Martins</t>
        </is>
      </c>
      <c r="C3701" t="inlineStr">
        <is>
          <t>JR</t>
        </is>
      </c>
      <c r="D3701" t="n">
        <v>19</v>
      </c>
      <c r="E3701" t="n">
        <v>17</v>
      </c>
      <c r="F3701" t="n">
        <v>23.21</v>
      </c>
      <c r="G3701" t="n">
        <v>0</v>
      </c>
      <c r="H3701" t="n">
        <v>0</v>
      </c>
      <c r="I3701" s="3">
        <f>E3701+G3701+H3701</f>
        <v/>
      </c>
      <c r="J3701" s="3">
        <f>ROUND(MIN(IF(C3701="Técnico III",35,IF(C3701="Técnico II",28,IF(C3701="Técnico I",23,IF(C3701="JR",20,IF(C3701="Estágio",10,0))))),IF(C3701="Técnico III",SUMIFS($D:$D,$A:$A,$A3701,$B:$B,"&lt;&gt;Patrícia Karla de Sousa Araújo",$B:$B,"&lt;&gt;Lorena Dias de Araujo",$B:$B,"&lt;&gt;Lucas Luiz Romero")*(35/1083),IF(C3701="Técnico II",SUMIFS($D:$D,$A:$A,$A3701,$B:$B,"&lt;&gt;Patrícia Karla de Sousa Araújo",$B:$B,"&lt;&gt;Lorena Dias de Araujo",$B:$B,"&lt;&gt;Lucas Luiz Romero")*(28/1083),IF(C3701="Técnico I",SUMIFS($D:$D,$A:$A,$A3701,$B:$B,"&lt;&gt;Patrícia Karla de Sousa Araújo",$B:$B,"&lt;&gt;Lorena Dias de Araujo",$B:$B,"&lt;&gt;Lucas Luiz Romero")*(23/1083),IF(C3701="JR",SUMIFS($D:$D,$A:$A,$A3701,$B:$B,"&lt;&gt;Patrícia Karla de Sousa Araújo",$B:$B,"&lt;&gt;Lorena Dias de Araujo",$B:$B,"&lt;&gt;Lucas Luiz Romero")*(20/1083),IF(C3701="Estágio",SUMIFS($D:$D,$A:$A,$A3701,$B:$B,"&lt;&gt;Patrícia Karla de Sousa Araújo",$B:$B,"&lt;&gt;Lorena Dias de Araujo",$B:$B,"&lt;&gt;Lucas Luiz Romero")*(10/1083),0)))))),0)</f>
        <v/>
      </c>
      <c r="K3701" s="3">
        <f>I3701-J3701</f>
        <v/>
      </c>
      <c r="L3701" s="3">
        <f>IF(K3701&lt;-5,"CRÍTICO",IF(K3701&lt;0,"ATENÇÃO",IF(K3701&lt;=5,"OPORTUNO","MUITO BOM")))</f>
        <v/>
      </c>
      <c r="M3701" t="n">
        <v>17</v>
      </c>
      <c r="N3701" t="n">
        <v>97.17</v>
      </c>
      <c r="O3701" t="n">
        <v>28.81844380403458</v>
      </c>
    </row>
    <row r="3702" hidden="1">
      <c r="A3702" s="11" t="n">
        <v>46118</v>
      </c>
      <c r="B3702" t="inlineStr">
        <is>
          <t>Kerollen Cristielly de Jesus Siqueira</t>
        </is>
      </c>
      <c r="C3702" t="inlineStr">
        <is>
          <t>Técnico III</t>
        </is>
      </c>
      <c r="D3702" t="n">
        <v>11</v>
      </c>
      <c r="E3702" t="n">
        <v>9</v>
      </c>
      <c r="F3702" t="n">
        <v>21.4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M3702" t="n">
        <v>11</v>
      </c>
      <c r="N3702" t="n">
        <v>96.81</v>
      </c>
      <c r="O3702" t="n">
        <v>48.01864801864802</v>
      </c>
    </row>
    <row r="3703" hidden="1">
      <c r="A3703" s="11" t="n">
        <v>46118</v>
      </c>
      <c r="B3703" t="inlineStr">
        <is>
          <t>Leandro de Souza Silva</t>
        </is>
      </c>
      <c r="C3703" t="inlineStr">
        <is>
          <t>JR</t>
        </is>
      </c>
      <c r="D3703" t="n">
        <v>15</v>
      </c>
      <c r="E3703" t="n">
        <v>12</v>
      </c>
      <c r="F3703" t="n">
        <v>29.11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M3703" t="n">
        <v>12</v>
      </c>
      <c r="N3703" t="n">
        <v>98.15000000000001</v>
      </c>
      <c r="O3703" t="n">
        <v>27.1551724137931</v>
      </c>
    </row>
    <row r="3704" hidden="1">
      <c r="A3704" s="11" t="n">
        <v>46118</v>
      </c>
      <c r="B3704" t="inlineStr">
        <is>
          <t>Leandro Oliveira de Sousa</t>
        </is>
      </c>
      <c r="C3704" t="inlineStr">
        <is>
          <t>Técnico III</t>
        </is>
      </c>
      <c r="D3704" t="n">
        <v>31</v>
      </c>
      <c r="E3704" t="n">
        <v>29</v>
      </c>
      <c r="F3704" t="n">
        <v>16.54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M3704" t="n">
        <v>29</v>
      </c>
      <c r="N3704" t="n">
        <v>99.15000000000001</v>
      </c>
      <c r="O3704" t="n">
        <v>27.58620689655172</v>
      </c>
    </row>
    <row r="3705" hidden="1">
      <c r="A3705" s="11" t="n">
        <v>46118</v>
      </c>
      <c r="B3705" t="inlineStr">
        <is>
          <t>Lizandra Gomes Duarte</t>
        </is>
      </c>
      <c r="C3705" t="inlineStr">
        <is>
          <t>Técnico II</t>
        </is>
      </c>
      <c r="D3705" t="n">
        <v>24</v>
      </c>
      <c r="E3705" t="n">
        <v>23</v>
      </c>
      <c r="F3705" t="n">
        <v>22.19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M3705" t="n">
        <v>10</v>
      </c>
      <c r="N3705" t="n">
        <v>99.17</v>
      </c>
      <c r="O3705" t="n">
        <v>29.75206611570248</v>
      </c>
    </row>
    <row r="3706" hidden="1">
      <c r="A3706" s="11" t="n">
        <v>46118</v>
      </c>
      <c r="B3706" t="inlineStr">
        <is>
          <t>Lorena Dias de Araujo</t>
        </is>
      </c>
      <c r="C3706" t="inlineStr">
        <is>
          <t>Técnico II</t>
        </is>
      </c>
      <c r="D3706" t="n">
        <v>36</v>
      </c>
      <c r="E3706" t="n">
        <v>35</v>
      </c>
      <c r="F3706" t="n">
        <v>18.25</v>
      </c>
      <c r="G3706" t="n">
        <v>0</v>
      </c>
      <c r="H3706" t="n">
        <v>0</v>
      </c>
      <c r="I3706" s="3" t="n">
        <v>0</v>
      </c>
      <c r="J3706" s="3" t="n">
        <v>0</v>
      </c>
      <c r="K3706" s="3" t="n">
        <v>0</v>
      </c>
      <c r="L3706" s="3">
        <f>IF(K3706&lt;-5,"CRÍTICO",IF(K3706&lt;0,"ATENÇÃO",IF(K3706&lt;=5,"OPORTUNO","MUITO BOM")))</f>
        <v/>
      </c>
      <c r="M3706" t="n">
        <v>31</v>
      </c>
      <c r="N3706" t="n">
        <v>98.73</v>
      </c>
      <c r="O3706" t="n">
        <v>28.96174863387978</v>
      </c>
    </row>
    <row r="3707" hidden="1">
      <c r="A3707" s="11" t="n">
        <v>46118</v>
      </c>
      <c r="B3707" t="inlineStr">
        <is>
          <t>Lucas Luiz Romero</t>
        </is>
      </c>
      <c r="C3707" t="inlineStr">
        <is>
          <t>Técnico III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M3707" t="n">
        <v>0</v>
      </c>
      <c r="N3707" t="n">
        <v>88.68000000000001</v>
      </c>
      <c r="O3707" t="n">
        <v>22.03389830508474</v>
      </c>
    </row>
    <row r="3708" hidden="1">
      <c r="A3708" s="11" t="n">
        <v>46118</v>
      </c>
      <c r="B3708" t="inlineStr">
        <is>
          <t>Luiz Fernando de Carvalho Junior</t>
        </is>
      </c>
      <c r="C3708" t="inlineStr">
        <is>
          <t>Técnico I</t>
        </is>
      </c>
      <c r="D3708" t="n">
        <v>24</v>
      </c>
      <c r="E3708" t="n">
        <v>23</v>
      </c>
      <c r="F3708" t="n">
        <v>20.4</v>
      </c>
      <c r="G3708" t="n">
        <v>0</v>
      </c>
      <c r="H3708" t="n">
        <v>0</v>
      </c>
      <c r="I3708" s="3">
        <f>E3708+G3708+H3708</f>
        <v/>
      </c>
      <c r="J3708" s="3">
        <f>ROUND(MIN(IF(C3708="Técnico III",35,IF(C3708="Técnico II",28,IF(C3708="Técnico I",23,IF(C3708="JR",20,IF(C3708="Estágio",10,0))))),IF(C3708="Técnico III",SUMIFS($D:$D,$A:$A,$A3708,$B:$B,"&lt;&gt;Patrícia Karla de Sousa Araújo",$B:$B,"&lt;&gt;Lorena Dias de Araujo",$B:$B,"&lt;&gt;Lucas Luiz Romero")*(35/1083),IF(C3708="Técnico II",SUMIFS($D:$D,$A:$A,$A3708,$B:$B,"&lt;&gt;Patrícia Karla de Sousa Araújo",$B:$B,"&lt;&gt;Lorena Dias de Araujo",$B:$B,"&lt;&gt;Lucas Luiz Romero")*(28/1083),IF(C3708="Técnico I",SUMIFS($D:$D,$A:$A,$A3708,$B:$B,"&lt;&gt;Patrícia Karla de Sousa Araújo",$B:$B,"&lt;&gt;Lorena Dias de Araujo",$B:$B,"&lt;&gt;Lucas Luiz Romero")*(23/1083),IF(C3708="JR",SUMIFS($D:$D,$A:$A,$A3708,$B:$B,"&lt;&gt;Patrícia Karla de Sousa Araújo",$B:$B,"&lt;&gt;Lorena Dias de Araujo",$B:$B,"&lt;&gt;Lucas Luiz Romero")*(20/1083),IF(C3708="Estágio",SUMIFS($D:$D,$A:$A,$A3708,$B:$B,"&lt;&gt;Patrícia Karla de Sousa Araújo",$B:$B,"&lt;&gt;Lorena Dias de Araujo",$B:$B,"&lt;&gt;Lucas Luiz Romero")*(10/1083),0)))))),0)</f>
        <v/>
      </c>
      <c r="K3708" s="3">
        <f>I3708-J3708</f>
        <v/>
      </c>
      <c r="L3708" s="3">
        <f>IF(K3708&lt;-5,"CRÍTICO",IF(K3708&lt;0,"ATENÇÃO",IF(K3708&lt;=5,"OPORTUNO","MUITO BOM")))</f>
        <v/>
      </c>
      <c r="M3708" t="n">
        <v>21</v>
      </c>
      <c r="N3708" t="n">
        <v>97.37</v>
      </c>
      <c r="O3708" t="n">
        <v>25.76530612244898</v>
      </c>
    </row>
    <row r="3709" hidden="1">
      <c r="A3709" s="11" t="n">
        <v>46118</v>
      </c>
      <c r="B3709" t="inlineStr">
        <is>
          <t>Maria Eduarda Sousa Costa</t>
        </is>
      </c>
      <c r="C3709" t="inlineStr">
        <is>
          <t>Estágio</t>
        </is>
      </c>
      <c r="D3709" t="n">
        <v>11</v>
      </c>
      <c r="E3709" t="n">
        <v>10</v>
      </c>
      <c r="F3709" t="n">
        <v>27.37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M3709" t="n">
        <v>9</v>
      </c>
      <c r="N3709" t="n">
        <v>100</v>
      </c>
      <c r="O3709" t="n">
        <v>25</v>
      </c>
    </row>
    <row r="3710" hidden="1">
      <c r="A3710" s="11" t="n">
        <v>46118</v>
      </c>
      <c r="B3710" t="inlineStr">
        <is>
          <t>Matheus Farias De Souza</t>
        </is>
      </c>
      <c r="C3710" t="inlineStr">
        <is>
          <t>Técnico III</t>
        </is>
      </c>
      <c r="D3710" t="n">
        <v>44</v>
      </c>
      <c r="E3710" t="n">
        <v>42</v>
      </c>
      <c r="F3710" t="n">
        <v>12.16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M3710" t="n">
        <v>41</v>
      </c>
      <c r="N3710" t="n">
        <v>100</v>
      </c>
      <c r="O3710" t="n">
        <v>23.9870340356564</v>
      </c>
    </row>
    <row r="3711" hidden="1">
      <c r="A3711" s="11" t="n">
        <v>46118</v>
      </c>
      <c r="B3711" t="inlineStr">
        <is>
          <t>Maysa Victoria Dias Moura</t>
        </is>
      </c>
      <c r="C3711" t="inlineStr">
        <is>
          <t>Técnico III</t>
        </is>
      </c>
      <c r="D3711" t="n">
        <v>27</v>
      </c>
      <c r="E3711" t="n">
        <v>25</v>
      </c>
      <c r="F3711" t="n">
        <v>18.48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M3711" t="n">
        <v>20</v>
      </c>
      <c r="N3711" t="n">
        <v>95.48999999999999</v>
      </c>
      <c r="O3711" t="n">
        <v>28.37022132796781</v>
      </c>
    </row>
    <row r="3712" hidden="1">
      <c r="A3712" s="11" t="n">
        <v>46118</v>
      </c>
      <c r="B3712" t="inlineStr">
        <is>
          <t>Michelle G Santos</t>
        </is>
      </c>
      <c r="C3712" t="inlineStr">
        <is>
          <t>Estágio</t>
        </is>
      </c>
      <c r="D3712" t="n">
        <v>7</v>
      </c>
      <c r="E3712" t="n">
        <v>5</v>
      </c>
      <c r="F3712" t="n">
        <v>20.12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M3712" t="n">
        <v>4</v>
      </c>
      <c r="N3712" t="n">
        <v>100</v>
      </c>
      <c r="O3712" t="n">
        <v>23.77622377622378</v>
      </c>
    </row>
    <row r="3713" hidden="1">
      <c r="A3713" s="11" t="n">
        <v>46118</v>
      </c>
      <c r="B3713" t="inlineStr">
        <is>
          <t>Milena Sales</t>
        </is>
      </c>
      <c r="C3713" t="inlineStr">
        <is>
          <t>JR</t>
        </is>
      </c>
      <c r="D3713" t="n">
        <v>27</v>
      </c>
      <c r="E3713" t="n">
        <v>23</v>
      </c>
      <c r="F3713" t="n">
        <v>23.53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M3713" t="n">
        <v>16</v>
      </c>
      <c r="N3713" t="n">
        <v>96.15000000000001</v>
      </c>
      <c r="O3713" t="n">
        <v>24.04580152671756</v>
      </c>
    </row>
    <row r="3714" hidden="1">
      <c r="A3714" s="11" t="n">
        <v>46118</v>
      </c>
      <c r="B3714" t="inlineStr">
        <is>
          <t>Patrícia Karla de Sousa Araújo</t>
        </is>
      </c>
      <c r="C3714" t="inlineStr">
        <is>
          <t>Técnico II</t>
        </is>
      </c>
      <c r="D3714" t="n">
        <v>31</v>
      </c>
      <c r="E3714" t="n">
        <v>27</v>
      </c>
      <c r="F3714" t="n">
        <v>20.23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M3714" t="n">
        <v>24</v>
      </c>
      <c r="N3714" t="n">
        <v>99.02</v>
      </c>
      <c r="O3714" t="n">
        <v>34.7972972972973</v>
      </c>
    </row>
    <row r="3715" hidden="1">
      <c r="A3715" s="11" t="n">
        <v>46118</v>
      </c>
      <c r="B3715" t="inlineStr">
        <is>
          <t>Paulo Ricardo Santos</t>
        </is>
      </c>
      <c r="C3715" t="inlineStr">
        <is>
          <t>JR</t>
        </is>
      </c>
      <c r="D3715" t="n">
        <v>21</v>
      </c>
      <c r="E3715" t="n">
        <v>17</v>
      </c>
      <c r="F3715" t="n">
        <v>12.21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M3715" t="n">
        <v>18</v>
      </c>
      <c r="N3715" t="n">
        <v>98.84</v>
      </c>
      <c r="O3715" t="n">
        <v>31.86813186813187</v>
      </c>
    </row>
    <row r="3716" hidden="1">
      <c r="A3716" s="11" t="n">
        <v>46118</v>
      </c>
      <c r="B3716" t="inlineStr">
        <is>
          <t>Pedro Luiz Mota Sousa</t>
        </is>
      </c>
      <c r="C3716" t="inlineStr">
        <is>
          <t>JR</t>
        </is>
      </c>
      <c r="D3716" t="n">
        <v>21</v>
      </c>
      <c r="E3716" t="n">
        <v>20</v>
      </c>
      <c r="F3716" t="n">
        <v>22.04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M3716" t="n">
        <v>21</v>
      </c>
      <c r="N3716" t="n">
        <v>100</v>
      </c>
      <c r="O3716" t="n">
        <v>34.66666666666667</v>
      </c>
    </row>
    <row r="3717" hidden="1">
      <c r="A3717" s="11" t="n">
        <v>46118</v>
      </c>
      <c r="B3717" t="inlineStr">
        <is>
          <t>Quirino Diogo Leite Torres</t>
        </is>
      </c>
      <c r="C3717" t="inlineStr">
        <is>
          <t>Estágio</t>
        </is>
      </c>
      <c r="D3717" t="n">
        <v>9</v>
      </c>
      <c r="E3717" t="n">
        <v>9</v>
      </c>
      <c r="F3717" t="n">
        <v>19.05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M3717" t="n">
        <v>4</v>
      </c>
      <c r="N3717" t="n">
        <v>94.12</v>
      </c>
      <c r="O3717" t="n">
        <v>32.8</v>
      </c>
    </row>
    <row r="3718" hidden="1">
      <c r="A3718" s="11" t="n">
        <v>46118</v>
      </c>
      <c r="B3718" t="inlineStr">
        <is>
          <t>Raane Batista Matos</t>
        </is>
      </c>
      <c r="C3718" t="inlineStr">
        <is>
          <t>Técnico I</t>
        </is>
      </c>
      <c r="D3718" t="n">
        <v>22</v>
      </c>
      <c r="E3718" t="n">
        <v>20</v>
      </c>
      <c r="F3718" t="n">
        <v>15.13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M3718" t="n">
        <v>16</v>
      </c>
      <c r="N3718" t="n">
        <v>98.31999999999999</v>
      </c>
      <c r="O3718" t="n">
        <v>26.85851318944844</v>
      </c>
    </row>
    <row r="3719" hidden="1">
      <c r="A3719" s="11" t="n">
        <v>46118</v>
      </c>
      <c r="B3719" t="inlineStr">
        <is>
          <t>Rafael Gomes de Morais</t>
        </is>
      </c>
      <c r="C3719" t="inlineStr">
        <is>
          <t>Técnico III</t>
        </is>
      </c>
      <c r="D3719" t="n">
        <v>44</v>
      </c>
      <c r="E3719" t="n">
        <v>37</v>
      </c>
      <c r="F3719" t="n">
        <v>12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M3719" t="n">
        <v>33</v>
      </c>
      <c r="N3719" t="n">
        <v>100</v>
      </c>
      <c r="O3719" t="n">
        <v>31.13553113553114</v>
      </c>
    </row>
    <row r="3720" hidden="1">
      <c r="A3720" s="11" t="n">
        <v>46118</v>
      </c>
      <c r="B3720" t="inlineStr">
        <is>
          <t>Sara Maria Monteiro Lopes</t>
        </is>
      </c>
      <c r="C3720" t="inlineStr">
        <is>
          <t>Técnico I</t>
        </is>
      </c>
      <c r="D3720" t="n">
        <v>18</v>
      </c>
      <c r="E3720" t="n">
        <v>17</v>
      </c>
      <c r="F3720" t="n">
        <v>27.27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M3720" t="n">
        <v>14</v>
      </c>
      <c r="N3720" t="n">
        <v>100</v>
      </c>
      <c r="O3720" t="n">
        <v>26.36986301369863</v>
      </c>
    </row>
    <row r="3721" hidden="1">
      <c r="A3721" s="11" t="n">
        <v>46118</v>
      </c>
      <c r="B3721" t="inlineStr">
        <is>
          <t>Sarah Steffanie de Lima Borges</t>
        </is>
      </c>
      <c r="C3721" t="inlineStr">
        <is>
          <t>Técnico III</t>
        </is>
      </c>
      <c r="D3721" t="n">
        <v>31</v>
      </c>
      <c r="E3721" t="n">
        <v>28</v>
      </c>
      <c r="F3721" t="n">
        <v>13.5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M3721" t="n">
        <v>24</v>
      </c>
      <c r="N3721" t="n">
        <v>99.20999999999999</v>
      </c>
      <c r="O3721" t="n">
        <v>25.18891687657431</v>
      </c>
    </row>
    <row r="3722" hidden="1">
      <c r="A3722" s="11" t="n">
        <v>46119</v>
      </c>
      <c r="B3722" t="inlineStr">
        <is>
          <t>Alisson de Freitas Silva</t>
        </is>
      </c>
      <c r="C3722" t="inlineStr">
        <is>
          <t>Técnico II</t>
        </is>
      </c>
      <c r="D3722" t="n">
        <v>12</v>
      </c>
      <c r="E3722" t="n">
        <v>6</v>
      </c>
      <c r="F3722" t="n">
        <v>10.34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M3722" t="n">
        <v>3</v>
      </c>
      <c r="N3722" t="n">
        <v>100</v>
      </c>
      <c r="O3722" t="n">
        <v>32.76450511945392</v>
      </c>
    </row>
    <row r="3723" hidden="1">
      <c r="A3723" s="11" t="n">
        <v>46119</v>
      </c>
      <c r="B3723" t="inlineStr">
        <is>
          <t>Amanda Moura Ferreira</t>
        </is>
      </c>
      <c r="C3723" t="inlineStr">
        <is>
          <t>Técnico III</t>
        </is>
      </c>
      <c r="D3723" t="n">
        <v>0</v>
      </c>
      <c r="E3723" t="n">
        <v>0</v>
      </c>
      <c r="F3723" t="n">
        <v>0</v>
      </c>
      <c r="G3723" t="n">
        <v>0</v>
      </c>
      <c r="H3723" t="n">
        <v>0</v>
      </c>
      <c r="I3723" s="3" t="n">
        <v>0</v>
      </c>
      <c r="J3723" s="3" t="n">
        <v>0</v>
      </c>
      <c r="K3723" s="3" t="n">
        <v>0</v>
      </c>
      <c r="L3723" s="3">
        <f>IF(K3723&lt;-5,"CRÍTICO",IF(K3723&lt;0,"ATENÇÃO",IF(K3723&lt;=5,"OPORTUNO","MUITO BOM")))</f>
        <v/>
      </c>
      <c r="M3723" t="n">
        <v>28</v>
      </c>
      <c r="N3723" t="n">
        <v>98.66</v>
      </c>
      <c r="O3723" t="n">
        <v>35.41666666666667</v>
      </c>
    </row>
    <row r="3724" hidden="1">
      <c r="A3724" s="11" t="n">
        <v>46119</v>
      </c>
      <c r="B3724" t="inlineStr">
        <is>
          <t>Ana Karollyne Souza Faria</t>
        </is>
      </c>
      <c r="C3724" t="inlineStr">
        <is>
          <t>Técnico I</t>
        </is>
      </c>
      <c r="D3724" t="n">
        <v>36</v>
      </c>
      <c r="E3724" t="n">
        <v>33</v>
      </c>
      <c r="F3724" t="n">
        <v>19.01</v>
      </c>
      <c r="G3724" t="n">
        <v>0</v>
      </c>
      <c r="H3724" t="n">
        <v>0</v>
      </c>
      <c r="I3724" s="3">
        <f>E3724+G3724+H3724</f>
        <v/>
      </c>
      <c r="J3724" s="3">
        <f>ROUND(MIN(IF(C3724="Técnico III",35,IF(C3724="Técnico II",28,IF(C3724="Técnico I",23,IF(C3724="JR",20,IF(C3724="Estágio",10,0))))),IF(C3724="Técnico III",SUMIFS($D:$D,$A:$A,$A3724,$B:$B,"&lt;&gt;Patrícia Karla de Sousa Araújo",$B:$B,"&lt;&gt;Lorena Dias de Araujo",$B:$B,"&lt;&gt;Lucas Luiz Romero")*(35/1083),IF(C3724="Técnico II",SUMIFS($D:$D,$A:$A,$A3724,$B:$B,"&lt;&gt;Patrícia Karla de Sousa Araújo",$B:$B,"&lt;&gt;Lorena Dias de Araujo",$B:$B,"&lt;&gt;Lucas Luiz Romero")*(28/1083),IF(C3724="Técnico I",SUMIFS($D:$D,$A:$A,$A3724,$B:$B,"&lt;&gt;Patrícia Karla de Sousa Araújo",$B:$B,"&lt;&gt;Lorena Dias de Araujo",$B:$B,"&lt;&gt;Lucas Luiz Romero")*(23/1083),IF(C3724="JR",SUMIFS($D:$D,$A:$A,$A3724,$B:$B,"&lt;&gt;Patrícia Karla de Sousa Araújo",$B:$B,"&lt;&gt;Lorena Dias de Araujo",$B:$B,"&lt;&gt;Lucas Luiz Romero")*(20/1083),IF(C3724="Estágio",SUMIFS($D:$D,$A:$A,$A3724,$B:$B,"&lt;&gt;Patrícia Karla de Sousa Araújo",$B:$B,"&lt;&gt;Lorena Dias de Araujo",$B:$B,"&lt;&gt;Lucas Luiz Romero")*(10/1083),0)))))),0)</f>
        <v/>
      </c>
      <c r="K3724" s="3">
        <f>I3724-J3724</f>
        <v/>
      </c>
      <c r="L3724" s="3">
        <f>IF(K3724&lt;-5,"CRÍTICO",IF(K3724&lt;0,"ATENÇÃO",IF(K3724&lt;=5,"OPORTUNO","MUITO BOM")))</f>
        <v/>
      </c>
      <c r="M3724" t="n">
        <v>34</v>
      </c>
      <c r="N3724" t="n">
        <v>99.31999999999999</v>
      </c>
      <c r="O3724" t="n">
        <v>30.6483300589391</v>
      </c>
    </row>
    <row r="3725" hidden="1">
      <c r="A3725" s="11" t="n">
        <v>46119</v>
      </c>
      <c r="B3725" t="inlineStr">
        <is>
          <t>Ana Paula Da Luz Silva Aleixo</t>
        </is>
      </c>
      <c r="C3725" t="inlineStr">
        <is>
          <t>Técnico III</t>
        </is>
      </c>
      <c r="D3725" t="n">
        <v>30</v>
      </c>
      <c r="E3725" t="n">
        <v>28</v>
      </c>
      <c r="F3725" t="n">
        <v>23.42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M3725" t="n">
        <v>27</v>
      </c>
      <c r="N3725" t="n">
        <v>100</v>
      </c>
      <c r="O3725" t="n">
        <v>27.80373831775701</v>
      </c>
    </row>
    <row r="3726" hidden="1">
      <c r="A3726" s="11" t="n">
        <v>46119</v>
      </c>
      <c r="B3726" t="inlineStr">
        <is>
          <t>Anna Luiza Rezende Tavares</t>
        </is>
      </c>
      <c r="C3726" t="inlineStr">
        <is>
          <t>Estágio</t>
        </is>
      </c>
      <c r="D3726" t="n">
        <v>25</v>
      </c>
      <c r="E3726" t="n">
        <v>23</v>
      </c>
      <c r="F3726" t="n">
        <v>12.33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M3726" t="n">
        <v>20</v>
      </c>
      <c r="N3726" t="n">
        <v>96.73999999999999</v>
      </c>
      <c r="O3726" t="n">
        <v>28.67647058823529</v>
      </c>
    </row>
    <row r="3727" hidden="1">
      <c r="A3727" s="11" t="n">
        <v>46119</v>
      </c>
      <c r="B3727" t="inlineStr">
        <is>
          <t>Brenda de Menezes Silva</t>
        </is>
      </c>
      <c r="C3727" t="inlineStr">
        <is>
          <t>Técnico II</t>
        </is>
      </c>
      <c r="D3727" t="n">
        <v>41</v>
      </c>
      <c r="E3727" t="n">
        <v>38</v>
      </c>
      <c r="F3727" t="n">
        <v>19.13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M3727" t="n">
        <v>38</v>
      </c>
      <c r="N3727" t="n">
        <v>98.81999999999999</v>
      </c>
      <c r="O3727" t="n">
        <v>30.74141048824593</v>
      </c>
    </row>
    <row r="3728" hidden="1">
      <c r="A3728" s="11" t="n">
        <v>46119</v>
      </c>
      <c r="B3728" t="inlineStr">
        <is>
          <t>Carlos Mateus Cassimiro Nunes</t>
        </is>
      </c>
      <c r="C3728" t="inlineStr">
        <is>
          <t>Técnico II</t>
        </is>
      </c>
      <c r="D3728" t="n">
        <v>28</v>
      </c>
      <c r="E3728" t="n">
        <v>28</v>
      </c>
      <c r="F3728" t="n">
        <v>23.32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M3728" t="n">
        <v>30</v>
      </c>
      <c r="N3728" t="n">
        <v>98.2</v>
      </c>
      <c r="O3728" t="n">
        <v>27.17086834733893</v>
      </c>
    </row>
    <row r="3729" hidden="1">
      <c r="A3729" s="11" t="n">
        <v>46119</v>
      </c>
      <c r="B3729" t="inlineStr">
        <is>
          <t>Claudio de Sousa Velasco Filho</t>
        </is>
      </c>
      <c r="C3729" t="inlineStr">
        <is>
          <t>Estágio</t>
        </is>
      </c>
      <c r="D3729" t="n">
        <v>13</v>
      </c>
      <c r="E3729" t="n">
        <v>10</v>
      </c>
      <c r="F3729" t="n">
        <v>17.32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M3729" t="n">
        <v>10</v>
      </c>
      <c r="N3729" t="n">
        <v>100</v>
      </c>
      <c r="O3729" t="n">
        <v>23.13432835820895</v>
      </c>
    </row>
    <row r="3730" hidden="1">
      <c r="A3730" s="11" t="n">
        <v>46119</v>
      </c>
      <c r="B3730" t="inlineStr">
        <is>
          <t>Clessiane Pereira dos Santos</t>
        </is>
      </c>
      <c r="C3730" t="inlineStr">
        <is>
          <t>Técnico I</t>
        </is>
      </c>
      <c r="D3730" t="n">
        <v>26</v>
      </c>
      <c r="E3730" t="n">
        <v>24</v>
      </c>
      <c r="F3730" t="n">
        <v>20.11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M3730" t="n">
        <v>20</v>
      </c>
      <c r="N3730" t="n">
        <v>96.3</v>
      </c>
      <c r="O3730" t="n">
        <v>32.21957040572792</v>
      </c>
    </row>
    <row r="3731" hidden="1">
      <c r="A3731" s="11" t="n">
        <v>46119</v>
      </c>
      <c r="B3731" t="inlineStr">
        <is>
          <t>Cristiane Ramos da Silva Rocha</t>
        </is>
      </c>
      <c r="C3731" t="inlineStr">
        <is>
          <t>Técnico III</t>
        </is>
      </c>
      <c r="D3731" t="n">
        <v>46</v>
      </c>
      <c r="E3731" t="n">
        <v>39</v>
      </c>
      <c r="F3731" t="n">
        <v>10.37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M3731" t="n">
        <v>37</v>
      </c>
      <c r="N3731" t="n">
        <v>93.75</v>
      </c>
      <c r="O3731" t="n">
        <v>26.81992337164751</v>
      </c>
    </row>
    <row r="3732" hidden="1">
      <c r="A3732" s="11" t="n">
        <v>46119</v>
      </c>
      <c r="B3732" t="inlineStr">
        <is>
          <t>Damyllis Lorraine de Oliveira Gonçalves</t>
        </is>
      </c>
      <c r="C3732" t="inlineStr">
        <is>
          <t>Técnico II</t>
        </is>
      </c>
      <c r="D3732" t="n">
        <v>33</v>
      </c>
      <c r="E3732" t="n">
        <v>31</v>
      </c>
      <c r="F3732" t="n">
        <v>15.14</v>
      </c>
      <c r="G3732" t="n">
        <v>0</v>
      </c>
      <c r="H3732" t="n">
        <v>0</v>
      </c>
      <c r="I3732" s="3" t="n">
        <v>0</v>
      </c>
      <c r="J3732" s="3" t="n">
        <v>0</v>
      </c>
      <c r="K3732" s="3" t="n">
        <v>0</v>
      </c>
      <c r="L3732" s="3">
        <f>IF(K3732&lt;-5,"CRÍTICO",IF(K3732&lt;0,"ATENÇÃO",IF(K3732&lt;=5,"OPORTUNO","MUITO BOM")))</f>
        <v/>
      </c>
      <c r="M3732" t="n">
        <v>23</v>
      </c>
      <c r="N3732" t="n">
        <v>97.86</v>
      </c>
      <c r="O3732" t="n">
        <v>31.01851851851852</v>
      </c>
    </row>
    <row r="3733" hidden="1">
      <c r="A3733" s="11" t="n">
        <v>46119</v>
      </c>
      <c r="B3733" t="inlineStr">
        <is>
          <t>Daniel Gomes da Silva</t>
        </is>
      </c>
      <c r="C3733" t="inlineStr">
        <is>
          <t>Técnico I</t>
        </is>
      </c>
      <c r="D3733" t="n">
        <v>31</v>
      </c>
      <c r="E3733" t="n">
        <v>28</v>
      </c>
      <c r="F3733" t="n">
        <v>14.15</v>
      </c>
      <c r="G3733" t="n">
        <v>0</v>
      </c>
      <c r="H3733" t="n">
        <v>0</v>
      </c>
      <c r="I3733" s="3">
        <f>E3733+G3733+H3733</f>
        <v/>
      </c>
      <c r="J3733" s="3">
        <f>ROUND(MIN(IF(C3733="Técnico III",35,IF(C3733="Técnico II",28,IF(C3733="Técnico I",23,IF(C3733="JR",20,IF(C3733="Estágio",10,0))))),IF(C3733="Técnico III",SUMIFS($D:$D,$A:$A,$A3733,$B:$B,"&lt;&gt;Patrícia Karla de Sousa Araújo",$B:$B,"&lt;&gt;Lorena Dias de Araujo",$B:$B,"&lt;&gt;Lucas Luiz Romero")*(35/1083),IF(C3733="Técnico II",SUMIFS($D:$D,$A:$A,$A3733,$B:$B,"&lt;&gt;Patrícia Karla de Sousa Araújo",$B:$B,"&lt;&gt;Lorena Dias de Araujo",$B:$B,"&lt;&gt;Lucas Luiz Romero")*(28/1083),IF(C3733="Técnico I",SUMIFS($D:$D,$A:$A,$A3733,$B:$B,"&lt;&gt;Patrícia Karla de Sousa Araújo",$B:$B,"&lt;&gt;Lorena Dias de Araujo",$B:$B,"&lt;&gt;Lucas Luiz Romero")*(23/1083),IF(C3733="JR",SUMIFS($D:$D,$A:$A,$A3733,$B:$B,"&lt;&gt;Patrícia Karla de Sousa Araújo",$B:$B,"&lt;&gt;Lorena Dias de Araujo",$B:$B,"&lt;&gt;Lucas Luiz Romero")*(20/1083),IF(C3733="Estágio",SUMIFS($D:$D,$A:$A,$A3733,$B:$B,"&lt;&gt;Patrícia Karla de Sousa Araújo",$B:$B,"&lt;&gt;Lorena Dias de Araujo",$B:$B,"&lt;&gt;Lucas Luiz Romero")*(10/1083),0)))))),0)</f>
        <v/>
      </c>
      <c r="K3733" s="3">
        <f>I3733-J3733</f>
        <v/>
      </c>
      <c r="L3733" s="3">
        <f>IF(K3733&lt;-5,"CRÍTICO",IF(K3733&lt;0,"ATENÇÃO",IF(K3733&lt;=5,"OPORTUNO","MUITO BOM")))</f>
        <v/>
      </c>
      <c r="M3733" t="n">
        <v>23</v>
      </c>
      <c r="N3733" t="n">
        <v>100</v>
      </c>
      <c r="O3733" t="n">
        <v>36.59420289855073</v>
      </c>
    </row>
    <row r="3734" hidden="1">
      <c r="A3734" s="11" t="n">
        <v>46119</v>
      </c>
      <c r="B3734" t="inlineStr">
        <is>
          <t>Davylla Rodrigues Freitas Silva</t>
        </is>
      </c>
      <c r="C3734" t="inlineStr">
        <is>
          <t>Técnico III</t>
        </is>
      </c>
      <c r="D3734" t="n">
        <v>30</v>
      </c>
      <c r="E3734" t="n">
        <v>30</v>
      </c>
      <c r="F3734" t="n">
        <v>20.47</v>
      </c>
      <c r="G3734" t="n">
        <v>0</v>
      </c>
      <c r="H3734" t="n">
        <v>0</v>
      </c>
      <c r="I3734" s="3" t="n">
        <v>0</v>
      </c>
      <c r="J3734" s="3" t="n">
        <v>0</v>
      </c>
      <c r="K3734" s="3" t="n">
        <v>0</v>
      </c>
      <c r="L3734" s="3">
        <f>IF(K3734&lt;-5,"CRÍTICO",IF(K3734&lt;0,"ATENÇÃO",IF(K3734&lt;=5,"OPORTUNO","MUITO BOM")))</f>
        <v/>
      </c>
      <c r="M3734" t="n">
        <v>29</v>
      </c>
      <c r="N3734" t="n">
        <v>100</v>
      </c>
      <c r="O3734" t="n">
        <v>38.65384615384615</v>
      </c>
    </row>
    <row r="3735" hidden="1">
      <c r="A3735" s="11" t="n">
        <v>46119</v>
      </c>
      <c r="B3735" t="inlineStr">
        <is>
          <t>Emilly Caylane Costa</t>
        </is>
      </c>
      <c r="C3735" t="inlineStr">
        <is>
          <t>Estágio</t>
        </is>
      </c>
      <c r="D3735" t="n">
        <v>5</v>
      </c>
      <c r="E3735" t="n">
        <v>5</v>
      </c>
      <c r="F3735" t="n">
        <v>43.39</v>
      </c>
      <c r="G3735" t="n">
        <v>0</v>
      </c>
      <c r="H3735" t="n">
        <v>0</v>
      </c>
      <c r="I3735" s="3">
        <f>E3735+G3735+H3735</f>
        <v/>
      </c>
      <c r="J3735" s="3">
        <f>ROUND(MIN(IF(C3735="Técnico III",35,IF(C3735="Técnico II",28,IF(C3735="Técnico I",23,IF(C3735="JR",20,IF(C3735="Estágio",10,0))))),IF(C3735="Técnico III",SUMIFS($D:$D,$A:$A,$A3735,$B:$B,"&lt;&gt;Patrícia Karla de Sousa Araújo",$B:$B,"&lt;&gt;Lorena Dias de Araujo",$B:$B,"&lt;&gt;Lucas Luiz Romero")*(35/1083),IF(C3735="Técnico II",SUMIFS($D:$D,$A:$A,$A3735,$B:$B,"&lt;&gt;Patrícia Karla de Sousa Araújo",$B:$B,"&lt;&gt;Lorena Dias de Araujo",$B:$B,"&lt;&gt;Lucas Luiz Romero")*(28/1083),IF(C3735="Técnico I",SUMIFS($D:$D,$A:$A,$A3735,$B:$B,"&lt;&gt;Patrícia Karla de Sousa Araújo",$B:$B,"&lt;&gt;Lorena Dias de Araujo",$B:$B,"&lt;&gt;Lucas Luiz Romero")*(23/1083),IF(C3735="JR",SUMIFS($D:$D,$A:$A,$A3735,$B:$B,"&lt;&gt;Patrícia Karla de Sousa Araújo",$B:$B,"&lt;&gt;Lorena Dias de Araujo",$B:$B,"&lt;&gt;Lucas Luiz Romero")*(20/1083),IF(C3735="Estágio",SUMIFS($D:$D,$A:$A,$A3735,$B:$B,"&lt;&gt;Patrícia Karla de Sousa Araújo",$B:$B,"&lt;&gt;Lorena Dias de Araujo",$B:$B,"&lt;&gt;Lucas Luiz Romero")*(10/1083),0)))))),0)</f>
        <v/>
      </c>
      <c r="K3735" s="3">
        <f>I3735-J3735</f>
        <v/>
      </c>
      <c r="L3735" s="3">
        <f>IF(K3735&lt;-5,"CRÍTICO",IF(K3735&lt;0,"ATENÇÃO",IF(K3735&lt;=5,"OPORTUNO","MUITO BOM")))</f>
        <v/>
      </c>
      <c r="M3735" t="n">
        <v>5</v>
      </c>
      <c r="N3735" t="n">
        <v>100</v>
      </c>
      <c r="O3735" t="n">
        <v>27.36842105263158</v>
      </c>
    </row>
    <row r="3736" hidden="1">
      <c r="A3736" s="11" t="n">
        <v>46119</v>
      </c>
      <c r="B3736" t="inlineStr">
        <is>
          <t>Emilly Kamilly Medeiros Miranda</t>
        </is>
      </c>
      <c r="C3736" t="inlineStr">
        <is>
          <t>Técnico II</t>
        </is>
      </c>
      <c r="D3736" t="n">
        <v>18</v>
      </c>
      <c r="E3736" t="n">
        <v>18</v>
      </c>
      <c r="F3736" t="n">
        <v>19.12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M3736" t="n">
        <v>19</v>
      </c>
      <c r="N3736" t="n">
        <v>97.83</v>
      </c>
      <c r="O3736" t="n">
        <v>28.35164835164835</v>
      </c>
    </row>
    <row r="3737" hidden="1">
      <c r="A3737" s="11" t="n">
        <v>46119</v>
      </c>
      <c r="B3737" t="inlineStr">
        <is>
          <t>Francielson de Oliveira</t>
        </is>
      </c>
      <c r="C3737" t="inlineStr">
        <is>
          <t>Técnico III</t>
        </is>
      </c>
      <c r="D3737" t="n">
        <v>29</v>
      </c>
      <c r="E3737" t="n">
        <v>29</v>
      </c>
      <c r="F3737" t="n">
        <v>16.48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M3737" t="n">
        <v>29</v>
      </c>
      <c r="N3737" t="n">
        <v>99.26000000000001</v>
      </c>
      <c r="O3737" t="n">
        <v>29.76653696498055</v>
      </c>
    </row>
    <row r="3738" hidden="1">
      <c r="A3738" s="11" t="n">
        <v>46119</v>
      </c>
      <c r="B3738" t="inlineStr">
        <is>
          <t>Francilene Ferreira de Jesus</t>
        </is>
      </c>
      <c r="C3738" t="inlineStr">
        <is>
          <t>Técnico II</t>
        </is>
      </c>
      <c r="D3738" t="n">
        <v>27</v>
      </c>
      <c r="E3738" t="n">
        <v>26</v>
      </c>
      <c r="F3738" t="n">
        <v>18.52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M3738" t="n">
        <v>24</v>
      </c>
      <c r="N3738" t="n">
        <v>99.19</v>
      </c>
      <c r="O3738" t="n">
        <v>29.46236559139785</v>
      </c>
    </row>
    <row r="3739" hidden="1">
      <c r="A3739" s="11" t="n">
        <v>46167</v>
      </c>
      <c r="B3739" t="inlineStr">
        <is>
          <t>Emilly Kamilly Medeiros Miranda</t>
        </is>
      </c>
      <c r="C3739" t="inlineStr">
        <is>
          <t>Técnico II</t>
        </is>
      </c>
      <c r="D3739" s="3" t="n">
        <v>23</v>
      </c>
      <c r="E3739" s="3" t="n">
        <v>21</v>
      </c>
      <c r="F3739" s="3" t="n">
        <v>13.4</v>
      </c>
      <c r="G3739" s="3" t="n">
        <v>0</v>
      </c>
      <c r="H3739" s="3" t="n">
        <v>0</v>
      </c>
      <c r="I3739" s="3" t="n">
        <v>0</v>
      </c>
      <c r="J3739" s="3" t="n">
        <v>0</v>
      </c>
      <c r="K3739" s="3" t="n">
        <v>0</v>
      </c>
      <c r="L3739" s="3">
        <f>IF(K3739&lt;-5,"CRÍTICO",IF(K3739&lt;0,"ATENÇÃO",IF(K3739&lt;=5,"OPORTUNO","MUITO BOM")))</f>
        <v/>
      </c>
      <c r="M3739" s="3" t="n">
        <v>17</v>
      </c>
      <c r="N3739" s="3" t="n">
        <v>99.01000000000001</v>
      </c>
      <c r="O3739" s="3" t="n">
        <v>17.76649746192894</v>
      </c>
    </row>
    <row r="3740" hidden="1">
      <c r="A3740" s="11" t="n">
        <v>46119</v>
      </c>
      <c r="B3740" t="inlineStr">
        <is>
          <t>Isabella Borges de Oliveira</t>
        </is>
      </c>
      <c r="C3740" t="inlineStr">
        <is>
          <t>Técnico II</t>
        </is>
      </c>
      <c r="D3740" t="n">
        <v>0</v>
      </c>
      <c r="E3740" t="n">
        <v>0</v>
      </c>
      <c r="F3740" t="n">
        <v>0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  <c r="M3740" t="n">
        <v>0</v>
      </c>
      <c r="N3740" t="n">
        <v>100</v>
      </c>
      <c r="O3740" t="n">
        <v>28.92156862745098</v>
      </c>
    </row>
    <row r="3741" hidden="1">
      <c r="A3741" s="11" t="n">
        <v>46119</v>
      </c>
      <c r="B3741" t="inlineStr">
        <is>
          <t>Janaina Lima dos Reis Urany</t>
        </is>
      </c>
      <c r="C3741" t="inlineStr">
        <is>
          <t>Técnico III</t>
        </is>
      </c>
      <c r="D3741" t="n">
        <v>46</v>
      </c>
      <c r="E3741" t="n">
        <v>43</v>
      </c>
      <c r="F3741" t="n">
        <v>10.53</v>
      </c>
      <c r="G3741" t="n">
        <v>0</v>
      </c>
      <c r="H3741" t="n">
        <v>0</v>
      </c>
      <c r="I3741" s="3">
        <f>E3741+G3741+H3741</f>
        <v/>
      </c>
      <c r="J3741" s="3">
        <f>ROUND(MIN(IF(C3741="Técnico III",35,IF(C3741="Técnico II",28,IF(C3741="Técnico I",23,IF(C3741="JR",20,IF(C3741="Estágio",10,0))))),IF(C3741="Técnico III",SUMIFS($D:$D,$A:$A,$A3741,$B:$B,"&lt;&gt;Patrícia Karla de Sousa Araújo",$B:$B,"&lt;&gt;Lorena Dias de Araujo",$B:$B,"&lt;&gt;Lucas Luiz Romero")*(35/1083),IF(C3741="Técnico II",SUMIFS($D:$D,$A:$A,$A3741,$B:$B,"&lt;&gt;Patrícia Karla de Sousa Araújo",$B:$B,"&lt;&gt;Lorena Dias de Araujo",$B:$B,"&lt;&gt;Lucas Luiz Romero")*(28/1083),IF(C3741="Técnico I",SUMIFS($D:$D,$A:$A,$A3741,$B:$B,"&lt;&gt;Patrícia Karla de Sousa Araújo",$B:$B,"&lt;&gt;Lorena Dias de Araujo",$B:$B,"&lt;&gt;Lucas Luiz Romero")*(23/1083),IF(C3741="JR",SUMIFS($D:$D,$A:$A,$A3741,$B:$B,"&lt;&gt;Patrícia Karla de Sousa Araújo",$B:$B,"&lt;&gt;Lorena Dias de Araujo",$B:$B,"&lt;&gt;Lucas Luiz Romero")*(20/1083),IF(C3741="Estágio",SUMIFS($D:$D,$A:$A,$A3741,$B:$B,"&lt;&gt;Patrícia Karla de Sousa Araújo",$B:$B,"&lt;&gt;Lorena Dias de Araujo",$B:$B,"&lt;&gt;Lucas Luiz Romero")*(10/1083),0)))))),0)</f>
        <v/>
      </c>
      <c r="K3741" s="3">
        <f>I3741-J3741</f>
        <v/>
      </c>
      <c r="L3741" s="3">
        <f>IF(K3741&lt;-5,"CRÍTICO",IF(K3741&lt;0,"ATENÇÃO",IF(K3741&lt;=5,"OPORTUNO","MUITO BOM")))</f>
        <v/>
      </c>
      <c r="M3741" t="n">
        <v>48</v>
      </c>
      <c r="N3741" t="n">
        <v>99.56999999999999</v>
      </c>
      <c r="O3741" t="n">
        <v>30.63583815028902</v>
      </c>
    </row>
    <row r="3742" hidden="1">
      <c r="A3742" s="11" t="n">
        <v>46119</v>
      </c>
      <c r="B3742" t="inlineStr">
        <is>
          <t>Jaqueline Evangelista da Silva Martins</t>
        </is>
      </c>
      <c r="C3742" t="inlineStr">
        <is>
          <t>Técnico III</t>
        </is>
      </c>
      <c r="D3742" t="n">
        <v>0</v>
      </c>
      <c r="E3742" t="n">
        <v>0</v>
      </c>
      <c r="F3742" t="n">
        <v>0</v>
      </c>
      <c r="G3742" t="n">
        <v>0</v>
      </c>
      <c r="H3742" t="n">
        <v>0</v>
      </c>
      <c r="I3742" s="3" t="n">
        <v>0</v>
      </c>
      <c r="J3742" s="3" t="n">
        <v>0</v>
      </c>
      <c r="K3742" s="3" t="n">
        <v>0</v>
      </c>
      <c r="L3742" s="3">
        <f>IF(K3742&lt;-5,"CRÍTICO",IF(K3742&lt;0,"ATENÇÃO",IF(K3742&lt;=5,"OPORTUNO","MUITO BOM")))</f>
        <v/>
      </c>
      <c r="M3742" t="n">
        <v>0</v>
      </c>
      <c r="N3742" t="n">
        <v>95.65000000000001</v>
      </c>
      <c r="O3742" t="n">
        <v>32.43243243243244</v>
      </c>
    </row>
    <row r="3743" hidden="1">
      <c r="A3743" s="11" t="n">
        <v>46119</v>
      </c>
      <c r="B3743" t="inlineStr">
        <is>
          <t>Jessica Faria da Silveira</t>
        </is>
      </c>
      <c r="C3743" t="inlineStr">
        <is>
          <t>Técnico II</t>
        </is>
      </c>
      <c r="D3743" t="n">
        <v>27</v>
      </c>
      <c r="E3743" t="n">
        <v>24</v>
      </c>
      <c r="F3743" t="n">
        <v>15.58</v>
      </c>
      <c r="G3743" t="n">
        <v>0</v>
      </c>
      <c r="H3743" t="n">
        <v>0</v>
      </c>
      <c r="I3743" s="3">
        <f>E3743+G3743+H3743</f>
        <v/>
      </c>
      <c r="J3743" s="3">
        <f>ROUND(MIN(IF(C3743="Técnico III",35,IF(C3743="Técnico II",28,IF(C3743="Técnico I",23,IF(C3743="JR",20,IF(C3743="Estágio",10,0))))),IF(C3743="Técnico III",SUMIFS($D:$D,$A:$A,$A3743,$B:$B,"&lt;&gt;Patrícia Karla de Sousa Araújo",$B:$B,"&lt;&gt;Lorena Dias de Araujo",$B:$B,"&lt;&gt;Lucas Luiz Romero")*(35/1083),IF(C3743="Técnico II",SUMIFS($D:$D,$A:$A,$A3743,$B:$B,"&lt;&gt;Patrícia Karla de Sousa Araújo",$B:$B,"&lt;&gt;Lorena Dias de Araujo",$B:$B,"&lt;&gt;Lucas Luiz Romero")*(28/1083),IF(C3743="Técnico I",SUMIFS($D:$D,$A:$A,$A3743,$B:$B,"&lt;&gt;Patrícia Karla de Sousa Araújo",$B:$B,"&lt;&gt;Lorena Dias de Araujo",$B:$B,"&lt;&gt;Lucas Luiz Romero")*(23/1083),IF(C3743="JR",SUMIFS($D:$D,$A:$A,$A3743,$B:$B,"&lt;&gt;Patrícia Karla de Sousa Araújo",$B:$B,"&lt;&gt;Lorena Dias de Araujo",$B:$B,"&lt;&gt;Lucas Luiz Romero")*(20/1083),IF(C3743="Estágio",SUMIFS($D:$D,$A:$A,$A3743,$B:$B,"&lt;&gt;Patrícia Karla de Sousa Araújo",$B:$B,"&lt;&gt;Lorena Dias de Araujo",$B:$B,"&lt;&gt;Lucas Luiz Romero")*(10/1083),0)))))),0)</f>
        <v/>
      </c>
      <c r="K3743" s="3">
        <f>I3743-J3743</f>
        <v/>
      </c>
      <c r="L3743" s="3">
        <f>IF(K3743&lt;-5,"CRÍTICO",IF(K3743&lt;0,"ATENÇÃO",IF(K3743&lt;=5,"OPORTUNO","MUITO BOM")))</f>
        <v/>
      </c>
      <c r="M3743" t="n">
        <v>20</v>
      </c>
      <c r="N3743" t="n">
        <v>98.81</v>
      </c>
      <c r="O3743" t="n">
        <v>26.25698324022346</v>
      </c>
    </row>
    <row r="3744" hidden="1">
      <c r="A3744" s="11" t="n">
        <v>46119</v>
      </c>
      <c r="B3744" t="inlineStr">
        <is>
          <t>Jéssica Fé Moura</t>
        </is>
      </c>
      <c r="C3744" t="inlineStr">
        <is>
          <t>Técnico III</t>
        </is>
      </c>
      <c r="D3744" t="n">
        <v>0</v>
      </c>
      <c r="E3744" t="n">
        <v>0</v>
      </c>
      <c r="F3744" t="n">
        <v>0</v>
      </c>
      <c r="G3744" t="n">
        <v>0</v>
      </c>
      <c r="H3744" t="n">
        <v>0</v>
      </c>
      <c r="I3744" s="3" t="n">
        <v>0</v>
      </c>
      <c r="J3744" s="3" t="n">
        <v>0</v>
      </c>
      <c r="K3744" s="3" t="n">
        <v>0</v>
      </c>
      <c r="L3744" s="3">
        <f>IF(K3744&lt;-5,"CRÍTICO",IF(K3744&lt;0,"ATENÇÃO",IF(K3744&lt;=5,"OPORTUNO","MUITO BOM")))</f>
        <v/>
      </c>
      <c r="M3744" t="n">
        <v>0</v>
      </c>
      <c r="N3744" t="n">
        <v>0</v>
      </c>
      <c r="O3744" t="n">
        <v>0</v>
      </c>
    </row>
    <row r="3745" hidden="1">
      <c r="A3745" s="11" t="n">
        <v>46119</v>
      </c>
      <c r="B3745" t="inlineStr">
        <is>
          <t>Karina Gonçalves Martins</t>
        </is>
      </c>
      <c r="C3745" t="inlineStr">
        <is>
          <t>JR</t>
        </is>
      </c>
      <c r="D3745" t="n">
        <v>24</v>
      </c>
      <c r="E3745" t="n">
        <v>24</v>
      </c>
      <c r="F3745" t="n">
        <v>19.19</v>
      </c>
      <c r="G3745" t="n">
        <v>0</v>
      </c>
      <c r="H3745" t="n">
        <v>0</v>
      </c>
      <c r="I3745" s="3">
        <f>E3745+G3745+H3745</f>
        <v/>
      </c>
      <c r="J3745" s="3">
        <f>ROUND(MIN(IF(C3745="Técnico III",35,IF(C3745="Técnico II",28,IF(C3745="Técnico I",23,IF(C3745="JR",20,IF(C3745="Estágio",10,0))))),IF(C3745="Técnico III",SUMIFS($D:$D,$A:$A,$A3745,$B:$B,"&lt;&gt;Patrícia Karla de Sousa Araújo",$B:$B,"&lt;&gt;Lorena Dias de Araujo",$B:$B,"&lt;&gt;Lucas Luiz Romero")*(35/1083),IF(C3745="Técnico II",SUMIFS($D:$D,$A:$A,$A3745,$B:$B,"&lt;&gt;Patrícia Karla de Sousa Araújo",$B:$B,"&lt;&gt;Lorena Dias de Araujo",$B:$B,"&lt;&gt;Lucas Luiz Romero")*(28/1083),IF(C3745="Técnico I",SUMIFS($D:$D,$A:$A,$A3745,$B:$B,"&lt;&gt;Patrícia Karla de Sousa Araújo",$B:$B,"&lt;&gt;Lorena Dias de Araujo",$B:$B,"&lt;&gt;Lucas Luiz Romero")*(23/1083),IF(C3745="JR",SUMIFS($D:$D,$A:$A,$A3745,$B:$B,"&lt;&gt;Patrícia Karla de Sousa Araújo",$B:$B,"&lt;&gt;Lorena Dias de Araujo",$B:$B,"&lt;&gt;Lucas Luiz Romero")*(20/1083),IF(C3745="Estágio",SUMIFS($D:$D,$A:$A,$A3745,$B:$B,"&lt;&gt;Patrícia Karla de Sousa Araújo",$B:$B,"&lt;&gt;Lorena Dias de Araujo",$B:$B,"&lt;&gt;Lucas Luiz Romero")*(10/1083),0)))))),0)</f>
        <v/>
      </c>
      <c r="K3745" s="3">
        <f>I3745-J3745</f>
        <v/>
      </c>
      <c r="L3745" s="3">
        <f>IF(K3745&lt;-5,"CRÍTICO",IF(K3745&lt;0,"ATENÇÃO",IF(K3745&lt;=5,"OPORTUNO","MUITO BOM")))</f>
        <v/>
      </c>
      <c r="M3745" t="n">
        <v>22</v>
      </c>
      <c r="N3745" t="n">
        <v>97.17</v>
      </c>
      <c r="O3745" t="n">
        <v>28.81844380403458</v>
      </c>
    </row>
    <row r="3746" hidden="1">
      <c r="A3746" s="11" t="n">
        <v>46119</v>
      </c>
      <c r="B3746" t="inlineStr">
        <is>
          <t>Kerollen Cristielly de Jesus Siqueira</t>
        </is>
      </c>
      <c r="C3746" t="inlineStr">
        <is>
          <t>Técnico III</t>
        </is>
      </c>
      <c r="D3746" t="n">
        <v>24</v>
      </c>
      <c r="E3746" t="n">
        <v>24</v>
      </c>
      <c r="F3746" t="n">
        <v>19.14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M3746" t="n">
        <v>23</v>
      </c>
      <c r="N3746" t="n">
        <v>96.81</v>
      </c>
      <c r="O3746" t="n">
        <v>48.01864801864802</v>
      </c>
    </row>
    <row r="3747" hidden="1">
      <c r="A3747" s="11" t="n">
        <v>46119</v>
      </c>
      <c r="B3747" t="inlineStr">
        <is>
          <t>Leandro de Souza Silva</t>
        </is>
      </c>
      <c r="C3747" t="inlineStr">
        <is>
          <t>JR</t>
        </is>
      </c>
      <c r="D3747" t="n">
        <v>18</v>
      </c>
      <c r="E3747" t="n">
        <v>16</v>
      </c>
      <c r="F3747" t="n">
        <v>23.54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M3747" t="n">
        <v>13</v>
      </c>
      <c r="N3747" t="n">
        <v>98.15000000000001</v>
      </c>
      <c r="O3747" t="n">
        <v>27.1551724137931</v>
      </c>
    </row>
    <row r="3748" hidden="1">
      <c r="A3748" s="11" t="n">
        <v>46119</v>
      </c>
      <c r="B3748" t="inlineStr">
        <is>
          <t>Leandro Oliveira de Sousa</t>
        </is>
      </c>
      <c r="C3748" t="inlineStr">
        <is>
          <t>Técnico III</t>
        </is>
      </c>
      <c r="D3748" t="n">
        <v>28</v>
      </c>
      <c r="E3748" t="n">
        <v>25</v>
      </c>
      <c r="F3748" t="n">
        <v>15.2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M3748" t="n">
        <v>25</v>
      </c>
      <c r="N3748" t="n">
        <v>99.15000000000001</v>
      </c>
      <c r="O3748" t="n">
        <v>27.58620689655172</v>
      </c>
    </row>
    <row r="3749" hidden="1">
      <c r="A3749" s="11" t="n">
        <v>46119</v>
      </c>
      <c r="B3749" t="inlineStr">
        <is>
          <t>Lizandra Gomes Duarte</t>
        </is>
      </c>
      <c r="C3749" t="inlineStr">
        <is>
          <t>Técnico II</t>
        </is>
      </c>
      <c r="D3749" t="n">
        <v>30</v>
      </c>
      <c r="E3749" t="n">
        <v>29</v>
      </c>
      <c r="F3749" t="n">
        <v>20.48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M3749" t="n">
        <v>26</v>
      </c>
      <c r="N3749" t="n">
        <v>99.17</v>
      </c>
      <c r="O3749" t="n">
        <v>29.75206611570248</v>
      </c>
    </row>
    <row r="3750" hidden="1">
      <c r="A3750" s="11" t="n">
        <v>46119</v>
      </c>
      <c r="B3750" t="inlineStr">
        <is>
          <t>Lorena Dias de Araujo</t>
        </is>
      </c>
      <c r="C3750" t="inlineStr">
        <is>
          <t>Técnico II</t>
        </is>
      </c>
      <c r="D3750" t="n">
        <v>37</v>
      </c>
      <c r="E3750" t="n">
        <v>34</v>
      </c>
      <c r="F3750" t="n">
        <v>16.52</v>
      </c>
      <c r="G3750" t="n">
        <v>0</v>
      </c>
      <c r="H3750" t="n">
        <v>0</v>
      </c>
      <c r="I3750" s="3" t="n">
        <v>0</v>
      </c>
      <c r="J3750" s="3" t="n">
        <v>0</v>
      </c>
      <c r="K3750" s="3" t="n">
        <v>0</v>
      </c>
      <c r="L3750" s="3">
        <f>IF(K3750&lt;-5,"CRÍTICO",IF(K3750&lt;0,"ATENÇÃO",IF(K3750&lt;=5,"OPORTUNO","MUITO BOM")))</f>
        <v/>
      </c>
      <c r="M3750" t="n">
        <v>33</v>
      </c>
      <c r="N3750" t="n">
        <v>98.73</v>
      </c>
      <c r="O3750" t="n">
        <v>28.96174863387978</v>
      </c>
    </row>
    <row r="3751" hidden="1">
      <c r="A3751" s="11" t="n">
        <v>46119</v>
      </c>
      <c r="B3751" t="inlineStr">
        <is>
          <t>Lucas Luiz Romero</t>
        </is>
      </c>
      <c r="C3751" t="inlineStr">
        <is>
          <t>Técnico III</t>
        </is>
      </c>
      <c r="D3751" t="n">
        <v>35</v>
      </c>
      <c r="E3751" t="n">
        <v>30</v>
      </c>
      <c r="F3751" t="n">
        <v>20.04</v>
      </c>
      <c r="G3751" t="n">
        <v>0</v>
      </c>
      <c r="H3751" t="n">
        <v>0</v>
      </c>
      <c r="I3751" s="3">
        <f>E3751+G3751+H3751</f>
        <v/>
      </c>
      <c r="J3751" s="3">
        <f>ROUND(MIN(IF(C3751="Técnico III",35,IF(C3751="Técnico II",28,IF(C3751="Técnico I",23,IF(C3751="JR",20,IF(C3751="Estágio",10,0))))),IF(C3751="Técnico III",SUMIFS($D:$D,$A:$A,$A3751,$B:$B,"&lt;&gt;Patrícia Karla de Sousa Araújo",$B:$B,"&lt;&gt;Lorena Dias de Araujo",$B:$B,"&lt;&gt;Lucas Luiz Romero")*(35/1083),IF(C3751="Técnico II",SUMIFS($D:$D,$A:$A,$A3751,$B:$B,"&lt;&gt;Patrícia Karla de Sousa Araújo",$B:$B,"&lt;&gt;Lorena Dias de Araujo",$B:$B,"&lt;&gt;Lucas Luiz Romero")*(28/1083),IF(C3751="Técnico I",SUMIFS($D:$D,$A:$A,$A3751,$B:$B,"&lt;&gt;Patrícia Karla de Sousa Araújo",$B:$B,"&lt;&gt;Lorena Dias de Araujo",$B:$B,"&lt;&gt;Lucas Luiz Romero")*(23/1083),IF(C3751="JR",SUMIFS($D:$D,$A:$A,$A3751,$B:$B,"&lt;&gt;Patrícia Karla de Sousa Araújo",$B:$B,"&lt;&gt;Lorena Dias de Araujo",$B:$B,"&lt;&gt;Lucas Luiz Romero")*(20/1083),IF(C3751="Estágio",SUMIFS($D:$D,$A:$A,$A3751,$B:$B,"&lt;&gt;Patrícia Karla de Sousa Araújo",$B:$B,"&lt;&gt;Lorena Dias de Araujo",$B:$B,"&lt;&gt;Lucas Luiz Romero")*(10/1083),0)))))),0)</f>
        <v/>
      </c>
      <c r="K3751" s="3">
        <f>I3751-J3751</f>
        <v/>
      </c>
      <c r="L3751" s="3">
        <f>IF(K3751&lt;-5,"CRÍTICO",IF(K3751&lt;0,"ATENÇÃO",IF(K3751&lt;=5,"OPORTUNO","MUITO BOM")))</f>
        <v/>
      </c>
      <c r="M3751" t="n">
        <v>21</v>
      </c>
      <c r="N3751" t="n">
        <v>88.68000000000001</v>
      </c>
      <c r="O3751" t="n">
        <v>22.03389830508474</v>
      </c>
    </row>
    <row r="3752" hidden="1">
      <c r="A3752" s="11" t="n">
        <v>46119</v>
      </c>
      <c r="B3752" t="inlineStr">
        <is>
          <t>Luiz Fernando de Carvalho Junior</t>
        </is>
      </c>
      <c r="C3752" t="inlineStr">
        <is>
          <t>Técnico I</t>
        </is>
      </c>
      <c r="D3752" t="n">
        <v>12</v>
      </c>
      <c r="E3752" t="n">
        <v>12</v>
      </c>
      <c r="F3752" t="n">
        <v>20.14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M3752" t="n">
        <v>11</v>
      </c>
      <c r="N3752" t="n">
        <v>97.37</v>
      </c>
      <c r="O3752" t="n">
        <v>25.76530612244898</v>
      </c>
    </row>
    <row r="3753" hidden="1">
      <c r="A3753" s="11" t="n">
        <v>46119</v>
      </c>
      <c r="B3753" t="inlineStr">
        <is>
          <t>Maria Eduarda Sousa Costa</t>
        </is>
      </c>
      <c r="C3753" t="inlineStr">
        <is>
          <t>Estágio</t>
        </is>
      </c>
      <c r="D3753" t="n">
        <v>11</v>
      </c>
      <c r="E3753" t="n">
        <v>10</v>
      </c>
      <c r="F3753" t="n">
        <v>33.31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M3753" t="n">
        <v>7</v>
      </c>
      <c r="N3753" t="n">
        <v>100</v>
      </c>
      <c r="O3753" t="n">
        <v>25</v>
      </c>
    </row>
    <row r="3754" hidden="1">
      <c r="A3754" s="11" t="n">
        <v>46119</v>
      </c>
      <c r="B3754" t="inlineStr">
        <is>
          <t>Matheus Farias De Souza</t>
        </is>
      </c>
      <c r="C3754" t="inlineStr">
        <is>
          <t>Técnico III</t>
        </is>
      </c>
      <c r="D3754" t="n">
        <v>44</v>
      </c>
      <c r="E3754" t="n">
        <v>43</v>
      </c>
      <c r="F3754" t="n">
        <v>15.07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M3754" t="n">
        <v>40</v>
      </c>
      <c r="N3754" t="n">
        <v>100</v>
      </c>
      <c r="O3754" t="n">
        <v>23.9870340356564</v>
      </c>
    </row>
    <row r="3755" hidden="1">
      <c r="A3755" s="11" t="n">
        <v>46119</v>
      </c>
      <c r="B3755" t="inlineStr">
        <is>
          <t>Maysa Victoria Dias Moura</t>
        </is>
      </c>
      <c r="C3755" t="inlineStr">
        <is>
          <t>Técnico III</t>
        </is>
      </c>
      <c r="D3755" t="n">
        <v>40</v>
      </c>
      <c r="E3755" t="n">
        <v>35</v>
      </c>
      <c r="F3755" t="n">
        <v>12.18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M3755" t="n">
        <v>27</v>
      </c>
      <c r="N3755" t="n">
        <v>95.48999999999999</v>
      </c>
      <c r="O3755" t="n">
        <v>28.37022132796781</v>
      </c>
    </row>
    <row r="3756" hidden="1">
      <c r="A3756" s="11" t="n">
        <v>46119</v>
      </c>
      <c r="B3756" t="inlineStr">
        <is>
          <t>Michelle G Santos</t>
        </is>
      </c>
      <c r="C3756" t="inlineStr">
        <is>
          <t>Estágio</t>
        </is>
      </c>
      <c r="D3756" t="n">
        <v>11</v>
      </c>
      <c r="E3756" t="n">
        <v>10</v>
      </c>
      <c r="F3756" t="n">
        <v>17.02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M3756" t="n">
        <v>9</v>
      </c>
      <c r="N3756" t="n">
        <v>100</v>
      </c>
      <c r="O3756" t="n">
        <v>23.77622377622378</v>
      </c>
    </row>
    <row r="3757" hidden="1">
      <c r="A3757" s="11" t="n">
        <v>46119</v>
      </c>
      <c r="B3757" t="inlineStr">
        <is>
          <t>Milena Sales</t>
        </is>
      </c>
      <c r="C3757" t="inlineStr">
        <is>
          <t>JR</t>
        </is>
      </c>
      <c r="D3757" t="n">
        <v>23</v>
      </c>
      <c r="E3757" t="n">
        <v>19</v>
      </c>
      <c r="F3757" t="n">
        <v>23.44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M3757" t="n">
        <v>12</v>
      </c>
      <c r="N3757" t="n">
        <v>96.15000000000001</v>
      </c>
      <c r="O3757" t="n">
        <v>24.04580152671756</v>
      </c>
    </row>
    <row r="3758" hidden="1">
      <c r="A3758" s="11" t="n">
        <v>46119</v>
      </c>
      <c r="B3758" t="inlineStr">
        <is>
          <t>Patrícia Karla de Sousa Araújo</t>
        </is>
      </c>
      <c r="C3758" t="inlineStr">
        <is>
          <t>Técnico II</t>
        </is>
      </c>
      <c r="D3758" t="n">
        <v>19</v>
      </c>
      <c r="E3758" t="n">
        <v>19</v>
      </c>
      <c r="F3758" t="n">
        <v>23.54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M3758" t="n">
        <v>18</v>
      </c>
      <c r="N3758" t="n">
        <v>99.02</v>
      </c>
      <c r="O3758" t="n">
        <v>34.7972972972973</v>
      </c>
    </row>
    <row r="3759" hidden="1">
      <c r="A3759" s="11" t="n">
        <v>46119</v>
      </c>
      <c r="B3759" t="inlineStr">
        <is>
          <t>Paulo Ricardo Santos</t>
        </is>
      </c>
      <c r="C3759" t="inlineStr">
        <is>
          <t>JR</t>
        </is>
      </c>
      <c r="D3759" t="n">
        <v>16</v>
      </c>
      <c r="E3759" t="n">
        <v>16</v>
      </c>
      <c r="F3759" t="n">
        <v>17.36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M3759" t="n">
        <v>15</v>
      </c>
      <c r="N3759" t="n">
        <v>98.84</v>
      </c>
      <c r="O3759" t="n">
        <v>31.86813186813187</v>
      </c>
    </row>
    <row r="3760" hidden="1">
      <c r="A3760" s="11" t="n">
        <v>46119</v>
      </c>
      <c r="B3760" t="inlineStr">
        <is>
          <t>Pedro Luiz Mota Sousa</t>
        </is>
      </c>
      <c r="C3760" t="inlineStr">
        <is>
          <t>JR</t>
        </is>
      </c>
      <c r="D3760" t="n">
        <v>18</v>
      </c>
      <c r="E3760" t="n">
        <v>16</v>
      </c>
      <c r="F3760" t="n">
        <v>20.14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M3760" t="n">
        <v>13</v>
      </c>
      <c r="N3760" t="n">
        <v>100</v>
      </c>
      <c r="O3760" t="n">
        <v>34.66666666666667</v>
      </c>
    </row>
    <row r="3761" hidden="1">
      <c r="A3761" s="11" t="n">
        <v>46119</v>
      </c>
      <c r="B3761" t="inlineStr">
        <is>
          <t>Quirino Diogo Leite Torres</t>
        </is>
      </c>
      <c r="C3761" t="inlineStr">
        <is>
          <t>Estágio</t>
        </is>
      </c>
      <c r="D3761" t="n">
        <v>10</v>
      </c>
      <c r="E3761" t="n">
        <v>9</v>
      </c>
      <c r="F3761" t="n">
        <v>18.21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M3761" t="n">
        <v>5</v>
      </c>
      <c r="N3761" t="n">
        <v>94.12</v>
      </c>
      <c r="O3761" t="n">
        <v>32.8</v>
      </c>
    </row>
    <row r="3762" hidden="1">
      <c r="A3762" s="11" t="n">
        <v>46119</v>
      </c>
      <c r="B3762" t="inlineStr">
        <is>
          <t>Raane Batista Matos</t>
        </is>
      </c>
      <c r="C3762" t="inlineStr">
        <is>
          <t>Técnico I</t>
        </is>
      </c>
      <c r="D3762" t="n">
        <v>36</v>
      </c>
      <c r="E3762" t="n">
        <v>31</v>
      </c>
      <c r="F3762" t="n">
        <v>13.3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M3762" t="n">
        <v>28</v>
      </c>
      <c r="N3762" t="n">
        <v>98.31999999999999</v>
      </c>
      <c r="O3762" t="n">
        <v>26.85851318944844</v>
      </c>
    </row>
    <row r="3763" hidden="1">
      <c r="A3763" s="11" t="n">
        <v>46119</v>
      </c>
      <c r="B3763" t="inlineStr">
        <is>
          <t>Rafael Gomes de Morais</t>
        </is>
      </c>
      <c r="C3763" t="inlineStr">
        <is>
          <t>Técnico III</t>
        </is>
      </c>
      <c r="D3763" t="n">
        <v>45</v>
      </c>
      <c r="E3763" t="n">
        <v>39</v>
      </c>
      <c r="F3763" t="n">
        <v>12.37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M3763" t="n">
        <v>31</v>
      </c>
      <c r="N3763" t="n">
        <v>100</v>
      </c>
      <c r="O3763" t="n">
        <v>31.13553113553114</v>
      </c>
    </row>
    <row r="3764" hidden="1">
      <c r="A3764" s="11" t="n">
        <v>46119</v>
      </c>
      <c r="B3764" t="inlineStr">
        <is>
          <t>Sara Maria Monteiro Lopes</t>
        </is>
      </c>
      <c r="C3764" t="inlineStr">
        <is>
          <t>Técnico I</t>
        </is>
      </c>
      <c r="D3764" t="n">
        <v>21</v>
      </c>
      <c r="E3764" t="n">
        <v>21</v>
      </c>
      <c r="F3764" t="n">
        <v>23.42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M3764" t="n">
        <v>20</v>
      </c>
      <c r="N3764" t="n">
        <v>100</v>
      </c>
      <c r="O3764" t="n">
        <v>26.36986301369863</v>
      </c>
    </row>
    <row r="3765" hidden="1">
      <c r="A3765" s="11" t="n">
        <v>46119</v>
      </c>
      <c r="B3765" t="inlineStr">
        <is>
          <t>Sarah Steffanie de Lima Borges</t>
        </is>
      </c>
      <c r="C3765" t="inlineStr">
        <is>
          <t>Técnico III</t>
        </is>
      </c>
      <c r="D3765" t="n">
        <v>31</v>
      </c>
      <c r="E3765" t="n">
        <v>31</v>
      </c>
      <c r="F3765" t="n">
        <v>20.04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M3765" t="n">
        <v>26</v>
      </c>
      <c r="N3765" t="n">
        <v>99.20999999999999</v>
      </c>
      <c r="O3765" t="n">
        <v>25.18891687657431</v>
      </c>
    </row>
    <row r="3766" hidden="1">
      <c r="A3766" s="11" t="n">
        <v>46120</v>
      </c>
      <c r="B3766" t="inlineStr">
        <is>
          <t>Alisson de Freitas Silva</t>
        </is>
      </c>
      <c r="C3766" t="inlineStr">
        <is>
          <t>Técnico II</t>
        </is>
      </c>
      <c r="D3766" t="n">
        <v>31</v>
      </c>
      <c r="E3766" t="n">
        <v>25</v>
      </c>
      <c r="F3766" t="n">
        <v>10.26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M3766" t="n">
        <v>15</v>
      </c>
      <c r="N3766" t="n">
        <v>100</v>
      </c>
      <c r="O3766" t="n">
        <v>32.76450511945392</v>
      </c>
    </row>
    <row r="3767" hidden="1">
      <c r="A3767" s="11" t="n">
        <v>46120</v>
      </c>
      <c r="B3767" t="inlineStr">
        <is>
          <t>Amanda Moura Ferreira</t>
        </is>
      </c>
      <c r="C3767" t="inlineStr">
        <is>
          <t>Técnico III</t>
        </is>
      </c>
      <c r="D3767" t="n">
        <v>0</v>
      </c>
      <c r="E3767" t="n">
        <v>0</v>
      </c>
      <c r="F3767" t="n">
        <v>0</v>
      </c>
      <c r="G3767" t="n">
        <v>0</v>
      </c>
      <c r="H3767" t="n">
        <v>0</v>
      </c>
      <c r="I3767" s="3" t="n">
        <v>0</v>
      </c>
      <c r="J3767" s="3" t="n">
        <v>0</v>
      </c>
      <c r="K3767" s="3" t="n">
        <v>0</v>
      </c>
      <c r="L3767" s="3">
        <f>IF(K3767&lt;-5,"CRÍTICO",IF(K3767&lt;0,"ATENÇÃO",IF(K3767&lt;=5,"OPORTUNO","MUITO BOM")))</f>
        <v/>
      </c>
      <c r="M3767" t="n">
        <v>26</v>
      </c>
      <c r="N3767" t="n">
        <v>98.66</v>
      </c>
      <c r="O3767" t="n">
        <v>35.41666666666667</v>
      </c>
    </row>
    <row r="3768" hidden="1">
      <c r="A3768" s="11" t="n">
        <v>46120</v>
      </c>
      <c r="B3768" t="inlineStr">
        <is>
          <t>Ana Karollyne Souza Faria</t>
        </is>
      </c>
      <c r="C3768" t="inlineStr">
        <is>
          <t>Técnico I</t>
        </is>
      </c>
      <c r="D3768" t="n">
        <v>35</v>
      </c>
      <c r="E3768" t="n">
        <v>33</v>
      </c>
      <c r="F3768" t="n">
        <v>17.16</v>
      </c>
      <c r="G3768" t="n">
        <v>0</v>
      </c>
      <c r="H3768" t="n">
        <v>0</v>
      </c>
      <c r="I3768" s="3">
        <f>E3768+G3768+H3768</f>
        <v/>
      </c>
      <c r="J3768" s="3">
        <f>ROUND(MIN(IF(C3768="Técnico III",35,IF(C3768="Técnico II",28,IF(C3768="Técnico I",23,IF(C3768="JR",20,IF(C3768="Estágio",10,0))))),IF(C3768="Técnico III",SUMIFS($D:$D,$A:$A,$A3768,$B:$B,"&lt;&gt;Patrícia Karla de Sousa Araújo",$B:$B,"&lt;&gt;Lorena Dias de Araujo",$B:$B,"&lt;&gt;Lucas Luiz Romero")*(35/1083),IF(C3768="Técnico II",SUMIFS($D:$D,$A:$A,$A3768,$B:$B,"&lt;&gt;Patrícia Karla de Sousa Araújo",$B:$B,"&lt;&gt;Lorena Dias de Araujo",$B:$B,"&lt;&gt;Lucas Luiz Romero")*(28/1083),IF(C3768="Técnico I",SUMIFS($D:$D,$A:$A,$A3768,$B:$B,"&lt;&gt;Patrícia Karla de Sousa Araújo",$B:$B,"&lt;&gt;Lorena Dias de Araujo",$B:$B,"&lt;&gt;Lucas Luiz Romero")*(23/1083),IF(C3768="JR",SUMIFS($D:$D,$A:$A,$A3768,$B:$B,"&lt;&gt;Patrícia Karla de Sousa Araújo",$B:$B,"&lt;&gt;Lorena Dias de Araujo",$B:$B,"&lt;&gt;Lucas Luiz Romero")*(20/1083),IF(C3768="Estágio",SUMIFS($D:$D,$A:$A,$A3768,$B:$B,"&lt;&gt;Patrícia Karla de Sousa Araújo",$B:$B,"&lt;&gt;Lorena Dias de Araujo",$B:$B,"&lt;&gt;Lucas Luiz Romero")*(10/1083),0)))))),0)</f>
        <v/>
      </c>
      <c r="K3768" s="3">
        <f>I3768-J3768</f>
        <v/>
      </c>
      <c r="L3768" s="3">
        <f>IF(K3768&lt;-5,"CRÍTICO",IF(K3768&lt;0,"ATENÇÃO",IF(K3768&lt;=5,"OPORTUNO","MUITO BOM")))</f>
        <v/>
      </c>
      <c r="M3768" t="n">
        <v>32</v>
      </c>
      <c r="N3768" t="n">
        <v>99.31999999999999</v>
      </c>
      <c r="O3768" t="n">
        <v>30.6483300589391</v>
      </c>
    </row>
    <row r="3769" hidden="1">
      <c r="A3769" s="11" t="n">
        <v>46120</v>
      </c>
      <c r="B3769" t="inlineStr">
        <is>
          <t>Ana Paula Da Luz Silva Aleixo</t>
        </is>
      </c>
      <c r="C3769" t="inlineStr">
        <is>
          <t>Técnico III</t>
        </is>
      </c>
      <c r="D3769" t="n">
        <v>37</v>
      </c>
      <c r="E3769" t="n">
        <v>35</v>
      </c>
      <c r="F3769" t="n">
        <v>14.11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M3769" t="n">
        <v>31</v>
      </c>
      <c r="N3769" t="n">
        <v>100</v>
      </c>
      <c r="O3769" t="n">
        <v>27.80373831775701</v>
      </c>
    </row>
    <row r="3770" hidden="1">
      <c r="A3770" s="11" t="n">
        <v>46120</v>
      </c>
      <c r="B3770" t="inlineStr">
        <is>
          <t>Anna Luiza Rezende Tavares</t>
        </is>
      </c>
      <c r="C3770" t="inlineStr">
        <is>
          <t>Estágio</t>
        </is>
      </c>
      <c r="D3770" t="n">
        <v>15</v>
      </c>
      <c r="E3770" t="n">
        <v>15</v>
      </c>
      <c r="F3770" t="n">
        <v>22.09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M3770" t="n">
        <v>13</v>
      </c>
      <c r="N3770" t="n">
        <v>96.73999999999999</v>
      </c>
      <c r="O3770" t="n">
        <v>28.67647058823529</v>
      </c>
    </row>
    <row r="3771" hidden="1">
      <c r="A3771" s="11" t="n">
        <v>46120</v>
      </c>
      <c r="B3771" t="inlineStr">
        <is>
          <t>Brenda de Menezes Silva</t>
        </is>
      </c>
      <c r="C3771" t="inlineStr">
        <is>
          <t>Técnico II</t>
        </is>
      </c>
      <c r="D3771" t="n">
        <v>31</v>
      </c>
      <c r="E3771" t="n">
        <v>27</v>
      </c>
      <c r="F3771" t="n">
        <v>16.5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M3771" t="n">
        <v>29</v>
      </c>
      <c r="N3771" t="n">
        <v>98.81999999999999</v>
      </c>
      <c r="O3771" t="n">
        <v>30.74141048824593</v>
      </c>
    </row>
    <row r="3772" hidden="1">
      <c r="A3772" s="11" t="n">
        <v>46120</v>
      </c>
      <c r="B3772" t="inlineStr">
        <is>
          <t>Carlos Mateus Cassimiro Nunes</t>
        </is>
      </c>
      <c r="C3772" t="inlineStr">
        <is>
          <t>Técnico II</t>
        </is>
      </c>
      <c r="D3772" t="n">
        <v>14</v>
      </c>
      <c r="E3772" t="n">
        <v>14</v>
      </c>
      <c r="F3772" t="n">
        <v>22.27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M3772" t="n">
        <v>18</v>
      </c>
      <c r="N3772" t="n">
        <v>98.2</v>
      </c>
      <c r="O3772" t="n">
        <v>27.17086834733893</v>
      </c>
    </row>
    <row r="3773" hidden="1">
      <c r="A3773" s="11" t="n">
        <v>46120</v>
      </c>
      <c r="B3773" t="inlineStr">
        <is>
          <t>Claudio de Sousa Velasco Filho</t>
        </is>
      </c>
      <c r="C3773" t="inlineStr">
        <is>
          <t>Estágio</t>
        </is>
      </c>
      <c r="D3773" t="n">
        <v>4</v>
      </c>
      <c r="E3773" t="n">
        <v>4</v>
      </c>
      <c r="F3773" t="n">
        <v>55.43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M3773" t="n">
        <v>4</v>
      </c>
      <c r="N3773" t="n">
        <v>100</v>
      </c>
      <c r="O3773" t="n">
        <v>23.13432835820895</v>
      </c>
    </row>
    <row r="3774" hidden="1">
      <c r="A3774" s="11" t="n">
        <v>46120</v>
      </c>
      <c r="B3774" t="inlineStr">
        <is>
          <t>Clessiane Pereira dos Santos</t>
        </is>
      </c>
      <c r="C3774" t="inlineStr">
        <is>
          <t>Técnico I</t>
        </is>
      </c>
      <c r="D3774" t="n">
        <v>23</v>
      </c>
      <c r="E3774" t="n">
        <v>22</v>
      </c>
      <c r="F3774" t="n">
        <v>15.5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M3774" t="n">
        <v>30</v>
      </c>
      <c r="N3774" t="n">
        <v>96.3</v>
      </c>
      <c r="O3774" t="n">
        <v>32.21957040572792</v>
      </c>
    </row>
    <row r="3775" hidden="1">
      <c r="A3775" s="11" t="n">
        <v>46120</v>
      </c>
      <c r="B3775" t="inlineStr">
        <is>
          <t>Cristiane Ramos da Silva Rocha</t>
        </is>
      </c>
      <c r="C3775" t="inlineStr">
        <is>
          <t>Técnico III</t>
        </is>
      </c>
      <c r="D3775" t="n">
        <v>24</v>
      </c>
      <c r="E3775" t="n">
        <v>21</v>
      </c>
      <c r="F3775" t="n">
        <v>11.54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M3775" t="n">
        <v>17</v>
      </c>
      <c r="N3775" t="n">
        <v>93.75</v>
      </c>
      <c r="O3775" t="n">
        <v>26.81992337164751</v>
      </c>
    </row>
    <row r="3776" hidden="1">
      <c r="A3776" s="11" t="n">
        <v>46120</v>
      </c>
      <c r="B3776" t="inlineStr">
        <is>
          <t>Damyllis Lorraine de Oliveira Gonçalves</t>
        </is>
      </c>
      <c r="C3776" t="inlineStr">
        <is>
          <t>Técnico II</t>
        </is>
      </c>
      <c r="D3776" t="n">
        <v>37</v>
      </c>
      <c r="E3776" t="n">
        <v>33</v>
      </c>
      <c r="F3776" t="n">
        <v>15.35</v>
      </c>
      <c r="G3776" t="n">
        <v>0</v>
      </c>
      <c r="H3776" t="n">
        <v>0</v>
      </c>
      <c r="I3776" s="3" t="n">
        <v>0</v>
      </c>
      <c r="J3776" s="3" t="n">
        <v>0</v>
      </c>
      <c r="K3776" s="3" t="n">
        <v>0</v>
      </c>
      <c r="L3776" s="3">
        <f>IF(K3776&lt;-5,"CRÍTICO",IF(K3776&lt;0,"ATENÇÃO",IF(K3776&lt;=5,"OPORTUNO","MUITO BOM")))</f>
        <v/>
      </c>
      <c r="M3776" t="n">
        <v>31</v>
      </c>
      <c r="N3776" t="n">
        <v>97.86</v>
      </c>
      <c r="O3776" t="n">
        <v>31.01851851851852</v>
      </c>
    </row>
    <row r="3777" hidden="1">
      <c r="A3777" s="11" t="n">
        <v>46120</v>
      </c>
      <c r="B3777" t="inlineStr">
        <is>
          <t>Daniel Gomes da Silva</t>
        </is>
      </c>
      <c r="C3777" t="inlineStr">
        <is>
          <t>Técnico I</t>
        </is>
      </c>
      <c r="D3777" t="n">
        <v>30</v>
      </c>
      <c r="E3777" t="n">
        <v>28</v>
      </c>
      <c r="F3777" t="n">
        <v>15.05</v>
      </c>
      <c r="G3777" t="n">
        <v>0</v>
      </c>
      <c r="H3777" t="n">
        <v>0</v>
      </c>
      <c r="I3777" s="3">
        <f>E3777+G3777+H3777</f>
        <v/>
      </c>
      <c r="J3777" s="3">
        <f>ROUND(MIN(IF(C3777="Técnico III",35,IF(C3777="Técnico II",28,IF(C3777="Técnico I",23,IF(C3777="JR",20,IF(C3777="Estágio",10,0))))),IF(C3777="Técnico III",SUMIFS($D:$D,$A:$A,$A3777,$B:$B,"&lt;&gt;Patrícia Karla de Sousa Araújo",$B:$B,"&lt;&gt;Lorena Dias de Araujo",$B:$B,"&lt;&gt;Lucas Luiz Romero")*(35/1083),IF(C3777="Técnico II",SUMIFS($D:$D,$A:$A,$A3777,$B:$B,"&lt;&gt;Patrícia Karla de Sousa Araújo",$B:$B,"&lt;&gt;Lorena Dias de Araujo",$B:$B,"&lt;&gt;Lucas Luiz Romero")*(28/1083),IF(C3777="Técnico I",SUMIFS($D:$D,$A:$A,$A3777,$B:$B,"&lt;&gt;Patrícia Karla de Sousa Araújo",$B:$B,"&lt;&gt;Lorena Dias de Araujo",$B:$B,"&lt;&gt;Lucas Luiz Romero")*(23/1083),IF(C3777="JR",SUMIFS($D:$D,$A:$A,$A3777,$B:$B,"&lt;&gt;Patrícia Karla de Sousa Araújo",$B:$B,"&lt;&gt;Lorena Dias de Araujo",$B:$B,"&lt;&gt;Lucas Luiz Romero")*(20/1083),IF(C3777="Estágio",SUMIFS($D:$D,$A:$A,$A3777,$B:$B,"&lt;&gt;Patrícia Karla de Sousa Araújo",$B:$B,"&lt;&gt;Lorena Dias de Araujo",$B:$B,"&lt;&gt;Lucas Luiz Romero")*(10/1083),0)))))),0)</f>
        <v/>
      </c>
      <c r="K3777" s="3">
        <f>I3777-J3777</f>
        <v/>
      </c>
      <c r="L3777" s="3">
        <f>IF(K3777&lt;-5,"CRÍTICO",IF(K3777&lt;0,"ATENÇÃO",IF(K3777&lt;=5,"OPORTUNO","MUITO BOM")))</f>
        <v/>
      </c>
      <c r="M3777" t="n">
        <v>19</v>
      </c>
      <c r="N3777" t="n">
        <v>100</v>
      </c>
      <c r="O3777" t="n">
        <v>36.59420289855073</v>
      </c>
    </row>
    <row r="3778" hidden="1">
      <c r="A3778" s="11" t="n">
        <v>46120</v>
      </c>
      <c r="B3778" t="inlineStr">
        <is>
          <t>Davylla Rodrigues Freitas Silva</t>
        </is>
      </c>
      <c r="C3778" t="inlineStr">
        <is>
          <t>Técnico III</t>
        </is>
      </c>
      <c r="D3778" t="n">
        <v>34</v>
      </c>
      <c r="E3778" t="n">
        <v>34</v>
      </c>
      <c r="F3778" t="n">
        <v>19.03</v>
      </c>
      <c r="G3778" t="n">
        <v>0</v>
      </c>
      <c r="H3778" t="n">
        <v>0</v>
      </c>
      <c r="I3778" s="3" t="n">
        <v>0</v>
      </c>
      <c r="J3778" s="3" t="n">
        <v>0</v>
      </c>
      <c r="K3778" s="3" t="n">
        <v>0</v>
      </c>
      <c r="L3778" s="3">
        <f>IF(K3778&lt;-5,"CRÍTICO",IF(K3778&lt;0,"ATENÇÃO",IF(K3778&lt;=5,"OPORTUNO","MUITO BOM")))</f>
        <v/>
      </c>
      <c r="M3778" t="n">
        <v>39</v>
      </c>
      <c r="N3778" t="n">
        <v>100</v>
      </c>
      <c r="O3778" t="n">
        <v>38.65384615384615</v>
      </c>
    </row>
    <row r="3779" hidden="1">
      <c r="A3779" s="11" t="n">
        <v>46120</v>
      </c>
      <c r="B3779" t="inlineStr">
        <is>
          <t>Emilly Caylane Costa</t>
        </is>
      </c>
      <c r="C3779" t="inlineStr">
        <is>
          <t>Estágio</t>
        </is>
      </c>
      <c r="D3779" t="n">
        <v>5</v>
      </c>
      <c r="E3779" t="n">
        <v>4</v>
      </c>
      <c r="F3779" t="n">
        <v>23.29</v>
      </c>
      <c r="G3779" t="n">
        <v>0</v>
      </c>
      <c r="H3779" t="n">
        <v>0</v>
      </c>
      <c r="I3779" s="3">
        <f>E3779+G3779+H3779</f>
        <v/>
      </c>
      <c r="J3779" s="3">
        <f>ROUND(MIN(IF(C3779="Técnico III",35,IF(C3779="Técnico II",28,IF(C3779="Técnico I",23,IF(C3779="JR",20,IF(C3779="Estágio",10,0))))),IF(C3779="Técnico III",SUMIFS($D:$D,$A:$A,$A3779,$B:$B,"&lt;&gt;Patrícia Karla de Sousa Araújo",$B:$B,"&lt;&gt;Lorena Dias de Araujo",$B:$B,"&lt;&gt;Lucas Luiz Romero")*(35/1083),IF(C3779="Técnico II",SUMIFS($D:$D,$A:$A,$A3779,$B:$B,"&lt;&gt;Patrícia Karla de Sousa Araújo",$B:$B,"&lt;&gt;Lorena Dias de Araujo",$B:$B,"&lt;&gt;Lucas Luiz Romero")*(28/1083),IF(C3779="Técnico I",SUMIFS($D:$D,$A:$A,$A3779,$B:$B,"&lt;&gt;Patrícia Karla de Sousa Araújo",$B:$B,"&lt;&gt;Lorena Dias de Araujo",$B:$B,"&lt;&gt;Lucas Luiz Romero")*(23/1083),IF(C3779="JR",SUMIFS($D:$D,$A:$A,$A3779,$B:$B,"&lt;&gt;Patrícia Karla de Sousa Araújo",$B:$B,"&lt;&gt;Lorena Dias de Araujo",$B:$B,"&lt;&gt;Lucas Luiz Romero")*(20/1083),IF(C3779="Estágio",SUMIFS($D:$D,$A:$A,$A3779,$B:$B,"&lt;&gt;Patrícia Karla de Sousa Araújo",$B:$B,"&lt;&gt;Lorena Dias de Araujo",$B:$B,"&lt;&gt;Lucas Luiz Romero")*(10/1083),0)))))),0)</f>
        <v/>
      </c>
      <c r="K3779" s="3">
        <f>I3779-J3779</f>
        <v/>
      </c>
      <c r="L3779" s="3">
        <f>IF(K3779&lt;-5,"CRÍTICO",IF(K3779&lt;0,"ATENÇÃO",IF(K3779&lt;=5,"OPORTUNO","MUITO BOM")))</f>
        <v/>
      </c>
      <c r="M3779" t="n">
        <v>2</v>
      </c>
      <c r="N3779" t="n">
        <v>100</v>
      </c>
      <c r="O3779" t="n">
        <v>27.36842105263158</v>
      </c>
    </row>
    <row r="3780" hidden="1">
      <c r="A3780" s="11" t="n">
        <v>46120</v>
      </c>
      <c r="B3780" t="inlineStr">
        <is>
          <t>Emilly Kamilly Medeiros Miranda</t>
        </is>
      </c>
      <c r="C3780" t="inlineStr">
        <is>
          <t>Técnico II</t>
        </is>
      </c>
      <c r="D3780" t="n">
        <v>29</v>
      </c>
      <c r="E3780" t="n">
        <v>27</v>
      </c>
      <c r="F3780" t="n">
        <v>17.09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M3780" t="n">
        <v>25</v>
      </c>
      <c r="N3780" t="n">
        <v>97.83</v>
      </c>
      <c r="O3780" t="n">
        <v>28.35164835164835</v>
      </c>
    </row>
    <row r="3781" hidden="1">
      <c r="A3781" s="11" t="n">
        <v>46120</v>
      </c>
      <c r="B3781" t="inlineStr">
        <is>
          <t>Francielson de Oliveira</t>
        </is>
      </c>
      <c r="C3781" t="inlineStr">
        <is>
          <t>Técnico III</t>
        </is>
      </c>
      <c r="D3781" t="n">
        <v>28</v>
      </c>
      <c r="E3781" t="n">
        <v>26</v>
      </c>
      <c r="F3781" t="n">
        <v>17.25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M3781" t="n">
        <v>23</v>
      </c>
      <c r="N3781" t="n">
        <v>99.26000000000001</v>
      </c>
      <c r="O3781" t="n">
        <v>29.76653696498055</v>
      </c>
    </row>
    <row r="3782" hidden="1">
      <c r="A3782" s="11" t="n">
        <v>46120</v>
      </c>
      <c r="B3782" t="inlineStr">
        <is>
          <t>Francilene Ferreira de Jesus</t>
        </is>
      </c>
      <c r="C3782" t="inlineStr">
        <is>
          <t>Técnico II</t>
        </is>
      </c>
      <c r="D3782" t="n">
        <v>34</v>
      </c>
      <c r="E3782" t="n">
        <v>33</v>
      </c>
      <c r="F3782" t="n">
        <v>18.46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M3782" t="n">
        <v>28</v>
      </c>
      <c r="N3782" t="n">
        <v>99.19</v>
      </c>
      <c r="O3782" t="n">
        <v>29.46236559139785</v>
      </c>
    </row>
    <row r="3783" hidden="1">
      <c r="A3783" s="11" t="n">
        <v>46167</v>
      </c>
      <c r="B3783" t="inlineStr">
        <is>
          <t>Francilene Ferreira de Jesus</t>
        </is>
      </c>
      <c r="C3783" t="inlineStr">
        <is>
          <t>Técnico II</t>
        </is>
      </c>
      <c r="D3783" s="3" t="n">
        <v>0</v>
      </c>
      <c r="E3783" s="3" t="n">
        <v>0</v>
      </c>
      <c r="F3783" s="3" t="n">
        <v>0</v>
      </c>
      <c r="G3783" s="3" t="n">
        <v>0</v>
      </c>
      <c r="H3783" s="3" t="n">
        <v>0</v>
      </c>
      <c r="I3783" s="3" t="n">
        <v>0</v>
      </c>
      <c r="J3783" s="3" t="n">
        <v>0</v>
      </c>
      <c r="K3783" s="3" t="n">
        <v>0</v>
      </c>
      <c r="L3783" s="3">
        <f>IF(K3783&lt;-5,"CRÍTICO",IF(K3783&lt;0,"ATENÇÃO",IF(K3783&lt;=5,"OPORTUNO","MUITO BOM")))</f>
        <v/>
      </c>
      <c r="M3783" s="3" t="n">
        <v>0</v>
      </c>
      <c r="N3783" s="3" t="n">
        <v>100</v>
      </c>
      <c r="O3783" s="3" t="n">
        <v>17.24137931034483</v>
      </c>
    </row>
    <row r="3784" hidden="1">
      <c r="A3784" s="11" t="n">
        <v>46120</v>
      </c>
      <c r="B3784" t="inlineStr">
        <is>
          <t>Isabella Borges de Oliveira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  <c r="M3784" t="n">
        <v>0</v>
      </c>
      <c r="N3784" t="n">
        <v>100</v>
      </c>
      <c r="O3784" t="n">
        <v>28.92156862745098</v>
      </c>
    </row>
    <row r="3785" hidden="1">
      <c r="A3785" s="11" t="n">
        <v>46120</v>
      </c>
      <c r="B3785" t="inlineStr">
        <is>
          <t>Janaina Lima dos Reis Urany</t>
        </is>
      </c>
      <c r="C3785" t="inlineStr">
        <is>
          <t>Técnico III</t>
        </is>
      </c>
      <c r="D3785" t="n">
        <v>40</v>
      </c>
      <c r="E3785" t="n">
        <v>37</v>
      </c>
      <c r="F3785" t="n">
        <v>15.28</v>
      </c>
      <c r="G3785" t="n">
        <v>0</v>
      </c>
      <c r="H3785" t="n">
        <v>0</v>
      </c>
      <c r="I3785" s="3">
        <f>E3785+G3785+H3785</f>
        <v/>
      </c>
      <c r="J3785" s="3">
        <f>ROUND(MIN(IF(C3785="Técnico III",35,IF(C3785="Técnico II",28,IF(C3785="Técnico I",23,IF(C3785="JR",20,IF(C3785="Estágio",10,0))))),IF(C3785="Técnico III",SUMIFS($D:$D,$A:$A,$A3785,$B:$B,"&lt;&gt;Patrícia Karla de Sousa Araújo",$B:$B,"&lt;&gt;Lorena Dias de Araujo",$B:$B,"&lt;&gt;Lucas Luiz Romero")*(35/1083),IF(C3785="Técnico II",SUMIFS($D:$D,$A:$A,$A3785,$B:$B,"&lt;&gt;Patrícia Karla de Sousa Araújo",$B:$B,"&lt;&gt;Lorena Dias de Araujo",$B:$B,"&lt;&gt;Lucas Luiz Romero")*(28/1083),IF(C3785="Técnico I",SUMIFS($D:$D,$A:$A,$A3785,$B:$B,"&lt;&gt;Patrícia Karla de Sousa Araújo",$B:$B,"&lt;&gt;Lorena Dias de Araujo",$B:$B,"&lt;&gt;Lucas Luiz Romero")*(23/1083),IF(C3785="JR",SUMIFS($D:$D,$A:$A,$A3785,$B:$B,"&lt;&gt;Patrícia Karla de Sousa Araújo",$B:$B,"&lt;&gt;Lorena Dias de Araujo",$B:$B,"&lt;&gt;Lucas Luiz Romero")*(20/1083),IF(C3785="Estágio",SUMIFS($D:$D,$A:$A,$A3785,$B:$B,"&lt;&gt;Patrícia Karla de Sousa Araújo",$B:$B,"&lt;&gt;Lorena Dias de Araujo",$B:$B,"&lt;&gt;Lucas Luiz Romero")*(10/1083),0)))))),0)</f>
        <v/>
      </c>
      <c r="K3785" s="3">
        <f>I3785-J3785</f>
        <v/>
      </c>
      <c r="L3785" s="3">
        <f>IF(K3785&lt;-5,"CRÍTICO",IF(K3785&lt;0,"ATENÇÃO",IF(K3785&lt;=5,"OPORTUNO","MUITO BOM")))</f>
        <v/>
      </c>
      <c r="M3785" t="n">
        <v>37</v>
      </c>
      <c r="N3785" t="n">
        <v>99.56999999999999</v>
      </c>
      <c r="O3785" t="n">
        <v>30.63583815028902</v>
      </c>
    </row>
    <row r="3786" hidden="1">
      <c r="A3786" s="11" t="n">
        <v>46120</v>
      </c>
      <c r="B3786" t="inlineStr">
        <is>
          <t>Jaqueline Evangelista da Silva Martins</t>
        </is>
      </c>
      <c r="C3786" t="inlineStr">
        <is>
          <t>Técnico III</t>
        </is>
      </c>
      <c r="D3786" t="n">
        <v>0</v>
      </c>
      <c r="E3786" t="n">
        <v>0</v>
      </c>
      <c r="F3786" t="n">
        <v>0</v>
      </c>
      <c r="G3786" t="n">
        <v>0</v>
      </c>
      <c r="H3786" t="n">
        <v>0</v>
      </c>
      <c r="I3786" s="3" t="n">
        <v>0</v>
      </c>
      <c r="J3786" s="3" t="n">
        <v>0</v>
      </c>
      <c r="K3786" s="3" t="n">
        <v>0</v>
      </c>
      <c r="L3786" s="3">
        <f>IF(K3786&lt;-5,"CRÍTICO",IF(K3786&lt;0,"ATENÇÃO",IF(K3786&lt;=5,"OPORTUNO","MUITO BOM")))</f>
        <v/>
      </c>
      <c r="M3786" t="n">
        <v>0</v>
      </c>
      <c r="N3786" t="n">
        <v>95.65000000000001</v>
      </c>
      <c r="O3786" t="n">
        <v>32.43243243243244</v>
      </c>
    </row>
    <row r="3787" hidden="1">
      <c r="A3787" s="11" t="n">
        <v>46120</v>
      </c>
      <c r="B3787" t="inlineStr">
        <is>
          <t>Jessica Faria da Silveira</t>
        </is>
      </c>
      <c r="C3787" t="inlineStr">
        <is>
          <t>Técnico II</t>
        </is>
      </c>
      <c r="D3787" t="n">
        <v>28</v>
      </c>
      <c r="E3787" t="n">
        <v>25</v>
      </c>
      <c r="F3787" t="n">
        <v>18.21</v>
      </c>
      <c r="G3787" t="n">
        <v>0</v>
      </c>
      <c r="H3787" t="n">
        <v>0</v>
      </c>
      <c r="I3787" s="3">
        <f>E3787+G3787+H3787</f>
        <v/>
      </c>
      <c r="J3787" s="3">
        <f>ROUND(MIN(IF(C3787="Técnico III",35,IF(C3787="Técnico II",28,IF(C3787="Técnico I",23,IF(C3787="JR",20,IF(C3787="Estágio",10,0))))),IF(C3787="Técnico III",SUMIFS($D:$D,$A:$A,$A3787,$B:$B,"&lt;&gt;Patrícia Karla de Sousa Araújo",$B:$B,"&lt;&gt;Lorena Dias de Araujo",$B:$B,"&lt;&gt;Lucas Luiz Romero")*(35/1083),IF(C3787="Técnico II",SUMIFS($D:$D,$A:$A,$A3787,$B:$B,"&lt;&gt;Patrícia Karla de Sousa Araújo",$B:$B,"&lt;&gt;Lorena Dias de Araujo",$B:$B,"&lt;&gt;Lucas Luiz Romero")*(28/1083),IF(C3787="Técnico I",SUMIFS($D:$D,$A:$A,$A3787,$B:$B,"&lt;&gt;Patrícia Karla de Sousa Araújo",$B:$B,"&lt;&gt;Lorena Dias de Araujo",$B:$B,"&lt;&gt;Lucas Luiz Romero")*(23/1083),IF(C3787="JR",SUMIFS($D:$D,$A:$A,$A3787,$B:$B,"&lt;&gt;Patrícia Karla de Sousa Araújo",$B:$B,"&lt;&gt;Lorena Dias de Araujo",$B:$B,"&lt;&gt;Lucas Luiz Romero")*(20/1083),IF(C3787="Estágio",SUMIFS($D:$D,$A:$A,$A3787,$B:$B,"&lt;&gt;Patrícia Karla de Sousa Araújo",$B:$B,"&lt;&gt;Lorena Dias de Araujo",$B:$B,"&lt;&gt;Lucas Luiz Romero")*(10/1083),0)))))),0)</f>
        <v/>
      </c>
      <c r="K3787" s="3">
        <f>I3787-J3787</f>
        <v/>
      </c>
      <c r="L3787" s="3">
        <f>IF(K3787&lt;-5,"CRÍTICO",IF(K3787&lt;0,"ATENÇÃO",IF(K3787&lt;=5,"OPORTUNO","MUITO BOM")))</f>
        <v/>
      </c>
      <c r="M3787" t="n">
        <v>24</v>
      </c>
      <c r="N3787" t="n">
        <v>98.81</v>
      </c>
      <c r="O3787" t="n">
        <v>26.25698324022346</v>
      </c>
    </row>
    <row r="3788" hidden="1">
      <c r="A3788" s="11" t="n">
        <v>46120</v>
      </c>
      <c r="B3788" t="inlineStr">
        <is>
          <t>Jéssica Fé Moura</t>
        </is>
      </c>
      <c r="C3788" t="inlineStr">
        <is>
          <t>Técnico III</t>
        </is>
      </c>
      <c r="D3788" t="n">
        <v>0</v>
      </c>
      <c r="E3788" t="n">
        <v>0</v>
      </c>
      <c r="F3788" t="n">
        <v>0</v>
      </c>
      <c r="G3788" t="n">
        <v>0</v>
      </c>
      <c r="H3788" t="n">
        <v>0</v>
      </c>
      <c r="I3788" s="3" t="n">
        <v>0</v>
      </c>
      <c r="J3788" s="3" t="n">
        <v>0</v>
      </c>
      <c r="K3788" s="3" t="n">
        <v>0</v>
      </c>
      <c r="L3788" s="3">
        <f>IF(K3788&lt;-5,"CRÍTICO",IF(K3788&lt;0,"ATENÇÃO",IF(K3788&lt;=5,"OPORTUNO","MUITO BOM")))</f>
        <v/>
      </c>
      <c r="M3788" t="n">
        <v>0</v>
      </c>
      <c r="N3788" t="n">
        <v>0</v>
      </c>
      <c r="O3788" t="n">
        <v>0</v>
      </c>
    </row>
    <row r="3789" hidden="1">
      <c r="A3789" s="11" t="n">
        <v>46120</v>
      </c>
      <c r="B3789" t="inlineStr">
        <is>
          <t>Karina Gonçalves Martins</t>
        </is>
      </c>
      <c r="C3789" t="inlineStr">
        <is>
          <t>JR</t>
        </is>
      </c>
      <c r="D3789" t="n">
        <v>22</v>
      </c>
      <c r="E3789" t="n">
        <v>22</v>
      </c>
      <c r="F3789" t="n">
        <v>15.44</v>
      </c>
      <c r="G3789" t="n">
        <v>0</v>
      </c>
      <c r="H3789" t="n">
        <v>0</v>
      </c>
      <c r="I3789" s="3">
        <f>E3789+G3789+H3789</f>
        <v/>
      </c>
      <c r="J3789" s="3">
        <f>ROUND(MIN(IF(C3789="Técnico III",35,IF(C3789="Técnico II",28,IF(C3789="Técnico I",23,IF(C3789="JR",20,IF(C3789="Estágio",10,0))))),IF(C3789="Técnico III",SUMIFS($D:$D,$A:$A,$A3789,$B:$B,"&lt;&gt;Patrícia Karla de Sousa Araújo",$B:$B,"&lt;&gt;Lorena Dias de Araujo",$B:$B,"&lt;&gt;Lucas Luiz Romero")*(35/1083),IF(C3789="Técnico II",SUMIFS($D:$D,$A:$A,$A3789,$B:$B,"&lt;&gt;Patrícia Karla de Sousa Araújo",$B:$B,"&lt;&gt;Lorena Dias de Araujo",$B:$B,"&lt;&gt;Lucas Luiz Romero")*(28/1083),IF(C3789="Técnico I",SUMIFS($D:$D,$A:$A,$A3789,$B:$B,"&lt;&gt;Patrícia Karla de Sousa Araújo",$B:$B,"&lt;&gt;Lorena Dias de Araujo",$B:$B,"&lt;&gt;Lucas Luiz Romero")*(23/1083),IF(C3789="JR",SUMIFS($D:$D,$A:$A,$A3789,$B:$B,"&lt;&gt;Patrícia Karla de Sousa Araújo",$B:$B,"&lt;&gt;Lorena Dias de Araujo",$B:$B,"&lt;&gt;Lucas Luiz Romero")*(20/1083),IF(C3789="Estágio",SUMIFS($D:$D,$A:$A,$A3789,$B:$B,"&lt;&gt;Patrícia Karla de Sousa Araújo",$B:$B,"&lt;&gt;Lorena Dias de Araujo",$B:$B,"&lt;&gt;Lucas Luiz Romero")*(10/1083),0)))))),0)</f>
        <v/>
      </c>
      <c r="K3789" s="3">
        <f>I3789-J3789</f>
        <v/>
      </c>
      <c r="L3789" s="3">
        <f>IF(K3789&lt;-5,"CRÍTICO",IF(K3789&lt;0,"ATENÇÃO",IF(K3789&lt;=5,"OPORTUNO","MUITO BOM")))</f>
        <v/>
      </c>
      <c r="M3789" t="n">
        <v>14</v>
      </c>
      <c r="N3789" t="n">
        <v>97.17</v>
      </c>
      <c r="O3789" t="n">
        <v>28.81844380403458</v>
      </c>
    </row>
    <row r="3790" hidden="1">
      <c r="A3790" s="11" t="n">
        <v>46120</v>
      </c>
      <c r="B3790" t="inlineStr">
        <is>
          <t>Kerollen Cristielly de Jesus Siqueira</t>
        </is>
      </c>
      <c r="C3790" t="inlineStr">
        <is>
          <t>Técnico III</t>
        </is>
      </c>
      <c r="D3790" t="n">
        <v>18</v>
      </c>
      <c r="E3790" t="n">
        <v>17</v>
      </c>
      <c r="F3790" t="n">
        <v>20.5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M3790" t="n">
        <v>18</v>
      </c>
      <c r="N3790" t="n">
        <v>96.81</v>
      </c>
      <c r="O3790" t="n">
        <v>48.01864801864802</v>
      </c>
    </row>
    <row r="3791" hidden="1">
      <c r="A3791" s="11" t="n">
        <v>46120</v>
      </c>
      <c r="B3791" t="inlineStr">
        <is>
          <t>Leandro de Souza Silva</t>
        </is>
      </c>
      <c r="C3791" t="inlineStr">
        <is>
          <t>JR</t>
        </is>
      </c>
      <c r="D3791" t="n">
        <v>20</v>
      </c>
      <c r="E3791" t="n">
        <v>17</v>
      </c>
      <c r="F3791" t="n">
        <v>19.13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M3791" t="n">
        <v>13</v>
      </c>
      <c r="N3791" t="n">
        <v>98.15000000000001</v>
      </c>
      <c r="O3791" t="n">
        <v>27.1551724137931</v>
      </c>
    </row>
    <row r="3792" hidden="1">
      <c r="A3792" s="11" t="n">
        <v>46120</v>
      </c>
      <c r="B3792" t="inlineStr">
        <is>
          <t>Leandro Oliveira de Sousa</t>
        </is>
      </c>
      <c r="C3792" t="inlineStr">
        <is>
          <t>Técnico III</t>
        </is>
      </c>
      <c r="D3792" t="n">
        <v>30</v>
      </c>
      <c r="E3792" t="n">
        <v>29</v>
      </c>
      <c r="F3792" t="n">
        <v>11.46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M3792" t="n">
        <v>28</v>
      </c>
      <c r="N3792" t="n">
        <v>99.15000000000001</v>
      </c>
      <c r="O3792" t="n">
        <v>27.58620689655172</v>
      </c>
    </row>
    <row r="3793" hidden="1">
      <c r="A3793" s="11" t="n">
        <v>46120</v>
      </c>
      <c r="B3793" t="inlineStr">
        <is>
          <t>Lizandra Gomes Duarte</t>
        </is>
      </c>
      <c r="C3793" t="inlineStr">
        <is>
          <t>Técnico II</t>
        </is>
      </c>
      <c r="D3793" t="n">
        <v>26</v>
      </c>
      <c r="E3793" t="n">
        <v>24</v>
      </c>
      <c r="F3793" t="n">
        <v>18.36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M3793" t="n">
        <v>13</v>
      </c>
      <c r="N3793" t="n">
        <v>99.17</v>
      </c>
      <c r="O3793" t="n">
        <v>29.75206611570248</v>
      </c>
    </row>
    <row r="3794" hidden="1">
      <c r="A3794" s="11" t="n">
        <v>46120</v>
      </c>
      <c r="B3794" t="inlineStr">
        <is>
          <t>Lorena Dias de Araujo</t>
        </is>
      </c>
      <c r="C3794" t="inlineStr">
        <is>
          <t>Técnico II</t>
        </is>
      </c>
      <c r="D3794" t="n">
        <v>21</v>
      </c>
      <c r="E3794" t="n">
        <v>20</v>
      </c>
      <c r="F3794" t="n">
        <v>21.5</v>
      </c>
      <c r="G3794" t="n">
        <v>0</v>
      </c>
      <c r="H3794" t="n">
        <v>0</v>
      </c>
      <c r="I3794" s="3" t="n">
        <v>0</v>
      </c>
      <c r="J3794" s="3" t="n">
        <v>0</v>
      </c>
      <c r="K3794" s="3" t="n">
        <v>0</v>
      </c>
      <c r="L3794" s="3">
        <f>IF(K3794&lt;-5,"CRÍTICO",IF(K3794&lt;0,"ATENÇÃO",IF(K3794&lt;=5,"OPORTUNO","MUITO BOM")))</f>
        <v/>
      </c>
      <c r="M3794" t="n">
        <v>23</v>
      </c>
      <c r="N3794" t="n">
        <v>98.73</v>
      </c>
      <c r="O3794" t="n">
        <v>28.96174863387978</v>
      </c>
    </row>
    <row r="3795" hidden="1">
      <c r="A3795" s="11" t="n">
        <v>46120</v>
      </c>
      <c r="B3795" t="inlineStr">
        <is>
          <t>Lucas Luiz Romero</t>
        </is>
      </c>
      <c r="C3795" t="inlineStr">
        <is>
          <t>Técnico III</t>
        </is>
      </c>
      <c r="D3795" t="n">
        <v>43</v>
      </c>
      <c r="E3795" t="n">
        <v>36</v>
      </c>
      <c r="F3795" t="n">
        <v>13.47</v>
      </c>
      <c r="G3795" t="n">
        <v>0</v>
      </c>
      <c r="H3795" t="n">
        <v>0</v>
      </c>
      <c r="I3795" s="3">
        <f>E3795+G3795+H3795</f>
        <v/>
      </c>
      <c r="J3795" s="3">
        <f>ROUND(MIN(IF(C3795="Técnico III",35,IF(C3795="Técnico II",28,IF(C3795="Técnico I",23,IF(C3795="JR",20,IF(C3795="Estágio",10,0))))),IF(C3795="Técnico III",SUMIFS($D:$D,$A:$A,$A3795,$B:$B,"&lt;&gt;Patrícia Karla de Sousa Araújo",$B:$B,"&lt;&gt;Lorena Dias de Araujo",$B:$B,"&lt;&gt;Lucas Luiz Romero")*(35/1083),IF(C3795="Técnico II",SUMIFS($D:$D,$A:$A,$A3795,$B:$B,"&lt;&gt;Patrícia Karla de Sousa Araújo",$B:$B,"&lt;&gt;Lorena Dias de Araujo",$B:$B,"&lt;&gt;Lucas Luiz Romero")*(28/1083),IF(C3795="Técnico I",SUMIFS($D:$D,$A:$A,$A3795,$B:$B,"&lt;&gt;Patrícia Karla de Sousa Araújo",$B:$B,"&lt;&gt;Lorena Dias de Araujo",$B:$B,"&lt;&gt;Lucas Luiz Romero")*(23/1083),IF(C3795="JR",SUMIFS($D:$D,$A:$A,$A3795,$B:$B,"&lt;&gt;Patrícia Karla de Sousa Araújo",$B:$B,"&lt;&gt;Lorena Dias de Araujo",$B:$B,"&lt;&gt;Lucas Luiz Romero")*(20/1083),IF(C3795="Estágio",SUMIFS($D:$D,$A:$A,$A3795,$B:$B,"&lt;&gt;Patrícia Karla de Sousa Araújo",$B:$B,"&lt;&gt;Lorena Dias de Araujo",$B:$B,"&lt;&gt;Lucas Luiz Romero")*(10/1083),0)))))),0)</f>
        <v/>
      </c>
      <c r="K3795" s="3">
        <f>I3795-J3795</f>
        <v/>
      </c>
      <c r="L3795" s="3">
        <f>IF(K3795&lt;-5,"CRÍTICO",IF(K3795&lt;0,"ATENÇÃO",IF(K3795&lt;=5,"OPORTUNO","MUITO BOM")))</f>
        <v/>
      </c>
      <c r="M3795" t="n">
        <v>21</v>
      </c>
      <c r="N3795" t="n">
        <v>88.68000000000001</v>
      </c>
      <c r="O3795" t="n">
        <v>22.03389830508474</v>
      </c>
    </row>
    <row r="3796" hidden="1">
      <c r="A3796" s="11" t="n">
        <v>46120</v>
      </c>
      <c r="B3796" t="inlineStr">
        <is>
          <t>Luiz Fernando de Carvalho Junior</t>
        </is>
      </c>
      <c r="C3796" t="inlineStr">
        <is>
          <t>Técnico I</t>
        </is>
      </c>
      <c r="D3796" t="n">
        <v>32</v>
      </c>
      <c r="E3796" t="n">
        <v>26</v>
      </c>
      <c r="F3796" t="n">
        <v>13.59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M3796" t="n">
        <v>28</v>
      </c>
      <c r="N3796" t="n">
        <v>97.37</v>
      </c>
      <c r="O3796" t="n">
        <v>25.76530612244898</v>
      </c>
    </row>
    <row r="3797" hidden="1">
      <c r="A3797" s="11" t="n">
        <v>46120</v>
      </c>
      <c r="B3797" t="inlineStr">
        <is>
          <t>Maria Eduarda Sousa Costa</t>
        </is>
      </c>
      <c r="C3797" t="inlineStr">
        <is>
          <t>Estágio</t>
        </is>
      </c>
      <c r="D3797" t="n">
        <v>0</v>
      </c>
      <c r="E3797" t="n">
        <v>0</v>
      </c>
      <c r="F3797" t="n">
        <v>0</v>
      </c>
      <c r="G3797" t="n">
        <v>0</v>
      </c>
      <c r="H3797" t="n">
        <v>0</v>
      </c>
      <c r="I3797" s="3" t="n">
        <v>0</v>
      </c>
      <c r="J3797" s="3" t="n">
        <v>0</v>
      </c>
      <c r="K3797" s="3" t="n">
        <v>0</v>
      </c>
      <c r="L3797" s="3">
        <f>IF(K3797&lt;-5,"CRÍTICO",IF(K3797&lt;0,"ATENÇÃO",IF(K3797&lt;=5,"OPORTUNO","MUITO BOM")))</f>
        <v/>
      </c>
      <c r="M3797" t="n">
        <v>0</v>
      </c>
      <c r="N3797" t="n">
        <v>100</v>
      </c>
      <c r="O3797" t="n">
        <v>25</v>
      </c>
    </row>
    <row r="3798" hidden="1">
      <c r="A3798" s="11" t="n">
        <v>46120</v>
      </c>
      <c r="B3798" t="inlineStr">
        <is>
          <t>Matheus Farias De Souza</t>
        </is>
      </c>
      <c r="C3798" t="inlineStr">
        <is>
          <t>Técnico III</t>
        </is>
      </c>
      <c r="D3798" t="n">
        <v>18</v>
      </c>
      <c r="E3798" t="n">
        <v>18</v>
      </c>
      <c r="F3798" t="n">
        <v>15.45</v>
      </c>
      <c r="G3798" t="n">
        <v>0</v>
      </c>
      <c r="H3798" t="n">
        <v>0</v>
      </c>
      <c r="I3798" s="3">
        <f>E3798+G3798+H3798</f>
        <v/>
      </c>
      <c r="J3798" s="3">
        <f>ROUND(MIN(IF(C3798="Técnico III",35,IF(C3798="Técnico II",28,IF(C3798="Técnico I",23,IF(C3798="JR",20,IF(C3798="Estágio",10,0))))),IF(C3798="Técnico III",SUMIFS($D:$D,$A:$A,$A3798,$B:$B,"&lt;&gt;Patrícia Karla de Sousa Araújo",$B:$B,"&lt;&gt;Lorena Dias de Araujo",$B:$B,"&lt;&gt;Lucas Luiz Romero")*(35/1083),IF(C3798="Técnico II",SUMIFS($D:$D,$A:$A,$A3798,$B:$B,"&lt;&gt;Patrícia Karla de Sousa Araújo",$B:$B,"&lt;&gt;Lorena Dias de Araujo",$B:$B,"&lt;&gt;Lucas Luiz Romero")*(28/1083),IF(C3798="Técnico I",SUMIFS($D:$D,$A:$A,$A3798,$B:$B,"&lt;&gt;Patrícia Karla de Sousa Araújo",$B:$B,"&lt;&gt;Lorena Dias de Araujo",$B:$B,"&lt;&gt;Lucas Luiz Romero")*(23/1083),IF(C3798="JR",SUMIFS($D:$D,$A:$A,$A3798,$B:$B,"&lt;&gt;Patrícia Karla de Sousa Araújo",$B:$B,"&lt;&gt;Lorena Dias de Araujo",$B:$B,"&lt;&gt;Lucas Luiz Romero")*(20/1083),IF(C3798="Estágio",SUMIFS($D:$D,$A:$A,$A3798,$B:$B,"&lt;&gt;Patrícia Karla de Sousa Araújo",$B:$B,"&lt;&gt;Lorena Dias de Araujo",$B:$B,"&lt;&gt;Lucas Luiz Romero")*(10/1083),0)))))),0)</f>
        <v/>
      </c>
      <c r="K3798" s="3">
        <f>I3798-J3798</f>
        <v/>
      </c>
      <c r="L3798" s="3">
        <f>IF(K3798&lt;-5,"CRÍTICO",IF(K3798&lt;0,"ATENÇÃO",IF(K3798&lt;=5,"OPORTUNO","MUITO BOM")))</f>
        <v/>
      </c>
      <c r="M3798" t="n">
        <v>20</v>
      </c>
      <c r="N3798" t="n">
        <v>100</v>
      </c>
      <c r="O3798" t="n">
        <v>23.9870340356564</v>
      </c>
    </row>
    <row r="3799" hidden="1">
      <c r="A3799" s="11" t="n">
        <v>46120</v>
      </c>
      <c r="B3799" t="inlineStr">
        <is>
          <t>Maysa Victoria Dias Moura</t>
        </is>
      </c>
      <c r="C3799" t="inlineStr">
        <is>
          <t>Técnico III</t>
        </is>
      </c>
      <c r="D3799" t="n">
        <v>40</v>
      </c>
      <c r="E3799" t="n">
        <v>37</v>
      </c>
      <c r="F3799" t="n">
        <v>14.15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M3799" t="n">
        <v>32</v>
      </c>
      <c r="N3799" t="n">
        <v>95.48999999999999</v>
      </c>
      <c r="O3799" t="n">
        <v>28.37022132796781</v>
      </c>
    </row>
    <row r="3800" hidden="1">
      <c r="A3800" s="11" t="n">
        <v>46120</v>
      </c>
      <c r="B3800" t="inlineStr">
        <is>
          <t>Michelle G Santos</t>
        </is>
      </c>
      <c r="C3800" t="inlineStr">
        <is>
          <t>Estágio</t>
        </is>
      </c>
      <c r="D3800" t="n">
        <v>6</v>
      </c>
      <c r="E3800" t="n">
        <v>5</v>
      </c>
      <c r="F3800" t="n">
        <v>20.09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M3800" t="n">
        <v>2</v>
      </c>
      <c r="N3800" t="n">
        <v>100</v>
      </c>
      <c r="O3800" t="n">
        <v>23.77622377622378</v>
      </c>
    </row>
    <row r="3801" hidden="1">
      <c r="A3801" s="11" t="n">
        <v>46120</v>
      </c>
      <c r="B3801" t="inlineStr">
        <is>
          <t>Milena Sales</t>
        </is>
      </c>
      <c r="C3801" t="inlineStr">
        <is>
          <t>JR</t>
        </is>
      </c>
      <c r="D3801" t="n">
        <v>37</v>
      </c>
      <c r="E3801" t="n">
        <v>30</v>
      </c>
      <c r="F3801" t="n">
        <v>15.08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M3801" t="n">
        <v>23</v>
      </c>
      <c r="N3801" t="n">
        <v>96.15000000000001</v>
      </c>
      <c r="O3801" t="n">
        <v>24.04580152671756</v>
      </c>
    </row>
    <row r="3802" hidden="1">
      <c r="A3802" s="11" t="n">
        <v>46120</v>
      </c>
      <c r="B3802" t="inlineStr">
        <is>
          <t>Patrícia Karla de Sousa Araújo</t>
        </is>
      </c>
      <c r="C3802" t="inlineStr">
        <is>
          <t>Técnico II</t>
        </is>
      </c>
      <c r="D3802" t="n">
        <v>8</v>
      </c>
      <c r="E3802" t="n">
        <v>8</v>
      </c>
      <c r="F3802" t="n">
        <v>33.5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M3802" t="n">
        <v>8</v>
      </c>
      <c r="N3802" t="n">
        <v>99.02</v>
      </c>
      <c r="O3802" t="n">
        <v>34.7972972972973</v>
      </c>
    </row>
    <row r="3803" hidden="1">
      <c r="A3803" s="11" t="n">
        <v>46120</v>
      </c>
      <c r="B3803" t="inlineStr">
        <is>
          <t>Paulo Ricardo Santos</t>
        </is>
      </c>
      <c r="C3803" t="inlineStr">
        <is>
          <t>JR</t>
        </is>
      </c>
      <c r="D3803" t="n">
        <v>17</v>
      </c>
      <c r="E3803" t="n">
        <v>17</v>
      </c>
      <c r="F3803" t="n">
        <v>15.54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M3803" t="n">
        <v>13</v>
      </c>
      <c r="N3803" t="n">
        <v>98.84</v>
      </c>
      <c r="O3803" t="n">
        <v>31.86813186813187</v>
      </c>
    </row>
    <row r="3804" hidden="1">
      <c r="A3804" s="11" t="n">
        <v>46120</v>
      </c>
      <c r="B3804" t="inlineStr">
        <is>
          <t>Pedro Luiz Mota Sousa</t>
        </is>
      </c>
      <c r="C3804" t="inlineStr">
        <is>
          <t>JR</t>
        </is>
      </c>
      <c r="D3804" t="n">
        <v>19</v>
      </c>
      <c r="E3804" t="n">
        <v>18</v>
      </c>
      <c r="F3804" t="n">
        <v>19.02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M3804" t="n">
        <v>18</v>
      </c>
      <c r="N3804" t="n">
        <v>100</v>
      </c>
      <c r="O3804" t="n">
        <v>34.66666666666667</v>
      </c>
    </row>
    <row r="3805" hidden="1">
      <c r="A3805" s="11" t="n">
        <v>46120</v>
      </c>
      <c r="B3805" t="inlineStr">
        <is>
          <t>Quirino Diogo Leite Torres</t>
        </is>
      </c>
      <c r="C3805" t="inlineStr">
        <is>
          <t>Estágio</t>
        </is>
      </c>
      <c r="D3805" t="n">
        <v>6</v>
      </c>
      <c r="E3805" t="n">
        <v>6</v>
      </c>
      <c r="F3805" t="n">
        <v>30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M3805" t="n">
        <v>7</v>
      </c>
      <c r="N3805" t="n">
        <v>94.12</v>
      </c>
      <c r="O3805" t="n">
        <v>32.8</v>
      </c>
    </row>
    <row r="3806" hidden="1">
      <c r="A3806" s="11" t="n">
        <v>46120</v>
      </c>
      <c r="B3806" t="inlineStr">
        <is>
          <t>Raane Batista Matos</t>
        </is>
      </c>
      <c r="C3806" t="inlineStr">
        <is>
          <t>Técnico I</t>
        </is>
      </c>
      <c r="D3806" t="n">
        <v>30</v>
      </c>
      <c r="E3806" t="n">
        <v>29</v>
      </c>
      <c r="F3806" t="n">
        <v>10.56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M3806" t="n">
        <v>25</v>
      </c>
      <c r="N3806" t="n">
        <v>98.31999999999999</v>
      </c>
      <c r="O3806" t="n">
        <v>26.85851318944844</v>
      </c>
    </row>
    <row r="3807" hidden="1">
      <c r="A3807" s="11" t="n">
        <v>46120</v>
      </c>
      <c r="B3807" t="inlineStr">
        <is>
          <t>Rafael Gomes de Morais</t>
        </is>
      </c>
      <c r="C3807" t="inlineStr">
        <is>
          <t>Técnico III</t>
        </is>
      </c>
      <c r="D3807" t="n">
        <v>45</v>
      </c>
      <c r="E3807" t="n">
        <v>39</v>
      </c>
      <c r="F3807" t="n">
        <v>11.49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M3807" t="n">
        <v>30</v>
      </c>
      <c r="N3807" t="n">
        <v>100</v>
      </c>
      <c r="O3807" t="n">
        <v>31.13553113553114</v>
      </c>
    </row>
    <row r="3808" hidden="1">
      <c r="A3808" s="11" t="n">
        <v>46120</v>
      </c>
      <c r="B3808" t="inlineStr">
        <is>
          <t>Sara Maria Monteiro Lopes</t>
        </is>
      </c>
      <c r="C3808" t="inlineStr">
        <is>
          <t>Técnico I</t>
        </is>
      </c>
      <c r="D3808" t="n">
        <v>24</v>
      </c>
      <c r="E3808" t="n">
        <v>23</v>
      </c>
      <c r="F3808" t="n">
        <v>24.07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M3808" t="n">
        <v>16</v>
      </c>
      <c r="N3808" t="n">
        <v>100</v>
      </c>
      <c r="O3808" t="n">
        <v>26.36986301369863</v>
      </c>
    </row>
    <row r="3809" hidden="1">
      <c r="A3809" s="11" t="n">
        <v>46120</v>
      </c>
      <c r="B3809" t="inlineStr">
        <is>
          <t>Sarah Steffanie de Lima Borges</t>
        </is>
      </c>
      <c r="C3809" t="inlineStr">
        <is>
          <t>Técnico III</t>
        </is>
      </c>
      <c r="D3809" t="n">
        <v>26</v>
      </c>
      <c r="E3809" t="n">
        <v>25</v>
      </c>
      <c r="F3809" t="n">
        <v>18.42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M3809" t="n">
        <v>21</v>
      </c>
      <c r="N3809" t="n">
        <v>99.20999999999999</v>
      </c>
      <c r="O3809" t="n">
        <v>25.18891687657431</v>
      </c>
    </row>
    <row r="3810" hidden="1">
      <c r="A3810" s="11" t="n">
        <v>46121</v>
      </c>
      <c r="B3810" t="inlineStr">
        <is>
          <t>Alisson de Freitas Silva</t>
        </is>
      </c>
      <c r="C3810" t="inlineStr">
        <is>
          <t>Técnico II</t>
        </is>
      </c>
      <c r="D3810" t="n">
        <v>15</v>
      </c>
      <c r="E3810" t="n">
        <v>11</v>
      </c>
      <c r="F3810" t="n">
        <v>15.24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M3810" t="n">
        <v>11</v>
      </c>
      <c r="N3810" t="n">
        <v>100</v>
      </c>
      <c r="O3810" t="n">
        <v>32.76450511945392</v>
      </c>
    </row>
    <row r="3811" hidden="1">
      <c r="A3811" s="11" t="n">
        <v>46121</v>
      </c>
      <c r="B3811" t="inlineStr">
        <is>
          <t>Amanda Moura Ferreira</t>
        </is>
      </c>
      <c r="C3811" t="inlineStr">
        <is>
          <t>Técnico III</t>
        </is>
      </c>
      <c r="D3811" t="n">
        <v>0</v>
      </c>
      <c r="E3811" t="n">
        <v>0</v>
      </c>
      <c r="F3811" t="n">
        <v>0</v>
      </c>
      <c r="G3811" t="n">
        <v>0</v>
      </c>
      <c r="H3811" t="n">
        <v>0</v>
      </c>
      <c r="I3811" s="3" t="n">
        <v>0</v>
      </c>
      <c r="J3811" s="3" t="n">
        <v>0</v>
      </c>
      <c r="K3811" s="3" t="n">
        <v>0</v>
      </c>
      <c r="L3811" s="3">
        <f>IF(K3811&lt;-5,"CRÍTICO",IF(K3811&lt;0,"ATENÇÃO",IF(K3811&lt;=5,"OPORTUNO","MUITO BOM")))</f>
        <v/>
      </c>
      <c r="M3811" t="n">
        <v>15</v>
      </c>
      <c r="N3811" t="n">
        <v>98.66</v>
      </c>
      <c r="O3811" t="n">
        <v>35.41666666666667</v>
      </c>
    </row>
    <row r="3812" hidden="1">
      <c r="A3812" s="11" t="n">
        <v>46121</v>
      </c>
      <c r="B3812" t="inlineStr">
        <is>
          <t>Ana Karollyne Souza Faria</t>
        </is>
      </c>
      <c r="C3812" t="inlineStr">
        <is>
          <t>Técnico I</t>
        </is>
      </c>
      <c r="D3812" t="n">
        <v>24</v>
      </c>
      <c r="E3812" t="n">
        <v>20</v>
      </c>
      <c r="F3812" t="n">
        <v>17.11</v>
      </c>
      <c r="G3812" t="n">
        <v>0</v>
      </c>
      <c r="H3812" t="n">
        <v>0</v>
      </c>
      <c r="I3812" s="3">
        <f>E3812+G3812+H3812</f>
        <v/>
      </c>
      <c r="J3812" s="3">
        <f>ROUND(MIN(IF(C3812="Técnico III",35,IF(C3812="Técnico II",28,IF(C3812="Técnico I",23,IF(C3812="JR",20,IF(C3812="Estágio",10,0))))),IF(C3812="Técnico III",SUMIFS($D:$D,$A:$A,$A3812,$B:$B,"&lt;&gt;Patrícia Karla de Sousa Araújo",$B:$B,"&lt;&gt;Lorena Dias de Araujo",$B:$B,"&lt;&gt;Lucas Luiz Romero")*(35/1083),IF(C3812="Técnico II",SUMIFS($D:$D,$A:$A,$A3812,$B:$B,"&lt;&gt;Patrícia Karla de Sousa Araújo",$B:$B,"&lt;&gt;Lorena Dias de Araujo",$B:$B,"&lt;&gt;Lucas Luiz Romero")*(28/1083),IF(C3812="Técnico I",SUMIFS($D:$D,$A:$A,$A3812,$B:$B,"&lt;&gt;Patrícia Karla de Sousa Araújo",$B:$B,"&lt;&gt;Lorena Dias de Araujo",$B:$B,"&lt;&gt;Lucas Luiz Romero")*(23/1083),IF(C3812="JR",SUMIFS($D:$D,$A:$A,$A3812,$B:$B,"&lt;&gt;Patrícia Karla de Sousa Araújo",$B:$B,"&lt;&gt;Lorena Dias de Araujo",$B:$B,"&lt;&gt;Lucas Luiz Romero")*(20/1083),IF(C3812="Estágio",SUMIFS($D:$D,$A:$A,$A3812,$B:$B,"&lt;&gt;Patrícia Karla de Sousa Araújo",$B:$B,"&lt;&gt;Lorena Dias de Araujo",$B:$B,"&lt;&gt;Lucas Luiz Romero")*(10/1083),0)))))),0)</f>
        <v/>
      </c>
      <c r="K3812" s="3">
        <f>I3812-J3812</f>
        <v/>
      </c>
      <c r="L3812" s="3">
        <f>IF(K3812&lt;-5,"CRÍTICO",IF(K3812&lt;0,"ATENÇÃO",IF(K3812&lt;=5,"OPORTUNO","MUITO BOM")))</f>
        <v/>
      </c>
      <c r="M3812" t="n">
        <v>20</v>
      </c>
      <c r="N3812" t="n">
        <v>99.31999999999999</v>
      </c>
      <c r="O3812" t="n">
        <v>30.6483300589391</v>
      </c>
    </row>
    <row r="3813" hidden="1">
      <c r="A3813" s="11" t="n">
        <v>46121</v>
      </c>
      <c r="B3813" t="inlineStr">
        <is>
          <t>Ana Paula Da Luz Silva Aleixo</t>
        </is>
      </c>
      <c r="C3813" t="inlineStr">
        <is>
          <t>Técnico III</t>
        </is>
      </c>
      <c r="D3813" t="n">
        <v>23</v>
      </c>
      <c r="E3813" t="n">
        <v>21</v>
      </c>
      <c r="F3813" t="n">
        <v>11.42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M3813" t="n">
        <v>25</v>
      </c>
      <c r="N3813" t="n">
        <v>100</v>
      </c>
      <c r="O3813" t="n">
        <v>27.80373831775701</v>
      </c>
    </row>
    <row r="3814" hidden="1">
      <c r="A3814" s="11" t="n">
        <v>46121</v>
      </c>
      <c r="B3814" t="inlineStr">
        <is>
          <t>Anna Luiza Rezende Tavares</t>
        </is>
      </c>
      <c r="C3814" t="inlineStr">
        <is>
          <t>Estágio</t>
        </is>
      </c>
      <c r="D3814" t="n">
        <v>17</v>
      </c>
      <c r="E3814" t="n">
        <v>17</v>
      </c>
      <c r="F3814" t="n">
        <v>13.5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M3814" t="n">
        <v>17</v>
      </c>
      <c r="N3814" t="n">
        <v>96.73999999999999</v>
      </c>
      <c r="O3814" t="n">
        <v>28.67647058823529</v>
      </c>
    </row>
    <row r="3815" hidden="1">
      <c r="A3815" s="11" t="n">
        <v>46121</v>
      </c>
      <c r="B3815" t="inlineStr">
        <is>
          <t>Brenda de Menezes Silva</t>
        </is>
      </c>
      <c r="C3815" t="inlineStr">
        <is>
          <t>Técnico II</t>
        </is>
      </c>
      <c r="D3815" t="n">
        <v>40</v>
      </c>
      <c r="E3815" t="n">
        <v>34</v>
      </c>
      <c r="F3815" t="n">
        <v>15.01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M3815" t="n">
        <v>32</v>
      </c>
      <c r="N3815" t="n">
        <v>98.81999999999999</v>
      </c>
      <c r="O3815" t="n">
        <v>30.74141048824593</v>
      </c>
    </row>
    <row r="3816" hidden="1">
      <c r="A3816" s="11" t="n">
        <v>46121</v>
      </c>
      <c r="B3816" t="inlineStr">
        <is>
          <t>Carlos Mateus Cassimiro Nunes</t>
        </is>
      </c>
      <c r="C3816" t="inlineStr">
        <is>
          <t>Técnico II</t>
        </is>
      </c>
      <c r="D3816" t="n">
        <v>20</v>
      </c>
      <c r="E3816" t="n">
        <v>19</v>
      </c>
      <c r="F3816" t="n">
        <v>30.22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M3816" t="n">
        <v>19</v>
      </c>
      <c r="N3816" t="n">
        <v>98.2</v>
      </c>
      <c r="O3816" t="n">
        <v>27.17086834733893</v>
      </c>
    </row>
    <row r="3817" hidden="1">
      <c r="A3817" s="11" t="n">
        <v>46121</v>
      </c>
      <c r="B3817" t="inlineStr">
        <is>
          <t>Claudio de Sousa Velasco Filho</t>
        </is>
      </c>
      <c r="C3817" t="inlineStr">
        <is>
          <t>Estágio</t>
        </is>
      </c>
      <c r="D3817" t="n">
        <v>7</v>
      </c>
      <c r="E3817" t="n">
        <v>6</v>
      </c>
      <c r="F3817" t="n">
        <v>38.4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M3817" t="n">
        <v>6</v>
      </c>
      <c r="N3817" t="n">
        <v>100</v>
      </c>
      <c r="O3817" t="n">
        <v>23.13432835820895</v>
      </c>
    </row>
    <row r="3818" hidden="1">
      <c r="A3818" s="11" t="n">
        <v>46121</v>
      </c>
      <c r="B3818" t="inlineStr">
        <is>
          <t>Clessiane Pereira dos Santos</t>
        </is>
      </c>
      <c r="C3818" t="inlineStr">
        <is>
          <t>Técnico I</t>
        </is>
      </c>
      <c r="D3818" t="n">
        <v>22</v>
      </c>
      <c r="E3818" t="n">
        <v>22</v>
      </c>
      <c r="F3818" t="n">
        <v>21.57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M3818" t="n">
        <v>20</v>
      </c>
      <c r="N3818" t="n">
        <v>96.3</v>
      </c>
      <c r="O3818" t="n">
        <v>32.21957040572792</v>
      </c>
    </row>
    <row r="3819" hidden="1">
      <c r="A3819" s="11" t="n">
        <v>46121</v>
      </c>
      <c r="B3819" t="inlineStr">
        <is>
          <t>Cristiane Ramos da Silva Rocha</t>
        </is>
      </c>
      <c r="C3819" t="inlineStr">
        <is>
          <t>Técnico III</t>
        </is>
      </c>
      <c r="D3819" t="n">
        <v>20</v>
      </c>
      <c r="E3819" t="n">
        <v>17</v>
      </c>
      <c r="F3819" t="n">
        <v>12.38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M3819" t="n">
        <v>16</v>
      </c>
      <c r="N3819" t="n">
        <v>93.75</v>
      </c>
      <c r="O3819" t="n">
        <v>26.81992337164751</v>
      </c>
    </row>
    <row r="3820" hidden="1">
      <c r="A3820" s="11" t="n">
        <v>46121</v>
      </c>
      <c r="B3820" t="inlineStr">
        <is>
          <t>Damyllis Lorraine de Oliveira Gonçalves</t>
        </is>
      </c>
      <c r="C3820" t="inlineStr">
        <is>
          <t>Técnico II</t>
        </is>
      </c>
      <c r="D3820" t="n">
        <v>25</v>
      </c>
      <c r="E3820" t="n">
        <v>20</v>
      </c>
      <c r="F3820" t="n">
        <v>18.26</v>
      </c>
      <c r="G3820" t="n">
        <v>0</v>
      </c>
      <c r="H3820" t="n">
        <v>0</v>
      </c>
      <c r="I3820" s="3" t="n">
        <v>0</v>
      </c>
      <c r="J3820" s="3" t="n">
        <v>0</v>
      </c>
      <c r="K3820" s="3" t="n">
        <v>0</v>
      </c>
      <c r="L3820" s="3">
        <f>IF(K3820&lt;-5,"CRÍTICO",IF(K3820&lt;0,"ATENÇÃO",IF(K3820&lt;=5,"OPORTUNO","MUITO BOM")))</f>
        <v/>
      </c>
      <c r="M3820" t="n">
        <v>17</v>
      </c>
      <c r="N3820" t="n">
        <v>97.86</v>
      </c>
      <c r="O3820" t="n">
        <v>31.01851851851852</v>
      </c>
    </row>
    <row r="3821" hidden="1">
      <c r="A3821" s="11" t="n">
        <v>46121</v>
      </c>
      <c r="B3821" t="inlineStr">
        <is>
          <t>Daniel Gomes da Silva</t>
        </is>
      </c>
      <c r="C3821" t="inlineStr">
        <is>
          <t>Técnico I</t>
        </is>
      </c>
      <c r="D3821" t="n">
        <v>23</v>
      </c>
      <c r="E3821" t="n">
        <v>22</v>
      </c>
      <c r="F3821" t="n">
        <v>17.2</v>
      </c>
      <c r="G3821" t="n">
        <v>0</v>
      </c>
      <c r="H3821" t="n">
        <v>0</v>
      </c>
      <c r="I3821" s="3">
        <f>E3821+G3821+H3821</f>
        <v/>
      </c>
      <c r="J3821" s="3">
        <f>ROUND(MIN(IF(C3821="Técnico III",35,IF(C3821="Técnico II",28,IF(C3821="Técnico I",23,IF(C3821="JR",20,IF(C3821="Estágio",10,0))))),IF(C3821="Técnico III",SUMIFS($D:$D,$A:$A,$A3821,$B:$B,"&lt;&gt;Patrícia Karla de Sousa Araújo",$B:$B,"&lt;&gt;Lorena Dias de Araujo",$B:$B,"&lt;&gt;Lucas Luiz Romero")*(35/1083),IF(C3821="Técnico II",SUMIFS($D:$D,$A:$A,$A3821,$B:$B,"&lt;&gt;Patrícia Karla de Sousa Araújo",$B:$B,"&lt;&gt;Lorena Dias de Araujo",$B:$B,"&lt;&gt;Lucas Luiz Romero")*(28/1083),IF(C3821="Técnico I",SUMIFS($D:$D,$A:$A,$A3821,$B:$B,"&lt;&gt;Patrícia Karla de Sousa Araújo",$B:$B,"&lt;&gt;Lorena Dias de Araujo",$B:$B,"&lt;&gt;Lucas Luiz Romero")*(23/1083),IF(C3821="JR",SUMIFS($D:$D,$A:$A,$A3821,$B:$B,"&lt;&gt;Patrícia Karla de Sousa Araújo",$B:$B,"&lt;&gt;Lorena Dias de Araujo",$B:$B,"&lt;&gt;Lucas Luiz Romero")*(20/1083),IF(C3821="Estágio",SUMIFS($D:$D,$A:$A,$A3821,$B:$B,"&lt;&gt;Patrícia Karla de Sousa Araújo",$B:$B,"&lt;&gt;Lorena Dias de Araujo",$B:$B,"&lt;&gt;Lucas Luiz Romero")*(10/1083),0)))))),0)</f>
        <v/>
      </c>
      <c r="K3821" s="3">
        <f>I3821-J3821</f>
        <v/>
      </c>
      <c r="L3821" s="3">
        <f>IF(K3821&lt;-5,"CRÍTICO",IF(K3821&lt;0,"ATENÇÃO",IF(K3821&lt;=5,"OPORTUNO","MUITO BOM")))</f>
        <v/>
      </c>
      <c r="M3821" t="n">
        <v>15</v>
      </c>
      <c r="N3821" t="n">
        <v>100</v>
      </c>
      <c r="O3821" t="n">
        <v>36.59420289855073</v>
      </c>
    </row>
    <row r="3822" hidden="1">
      <c r="A3822" s="11" t="n">
        <v>46121</v>
      </c>
      <c r="B3822" t="inlineStr">
        <is>
          <t>Davylla Rodrigues Freitas Silva</t>
        </is>
      </c>
      <c r="C3822" t="inlineStr">
        <is>
          <t>Técnico III</t>
        </is>
      </c>
      <c r="D3822" t="n">
        <v>30</v>
      </c>
      <c r="E3822" t="n">
        <v>29</v>
      </c>
      <c r="F3822" t="n">
        <v>22.26</v>
      </c>
      <c r="G3822" t="n">
        <v>0</v>
      </c>
      <c r="H3822" t="n">
        <v>0</v>
      </c>
      <c r="I3822" s="3" t="n">
        <v>0</v>
      </c>
      <c r="J3822" s="3" t="n">
        <v>0</v>
      </c>
      <c r="K3822" s="3" t="n">
        <v>0</v>
      </c>
      <c r="L3822" s="3">
        <f>IF(K3822&lt;-5,"CRÍTICO",IF(K3822&lt;0,"ATENÇÃO",IF(K3822&lt;=5,"OPORTUNO","MUITO BOM")))</f>
        <v/>
      </c>
      <c r="M3822" t="n">
        <v>28</v>
      </c>
      <c r="N3822" t="n">
        <v>100</v>
      </c>
      <c r="O3822" t="n">
        <v>38.65384615384615</v>
      </c>
    </row>
    <row r="3823" hidden="1">
      <c r="A3823" s="11" t="n">
        <v>46121</v>
      </c>
      <c r="B3823" t="inlineStr">
        <is>
          <t>Emilly Caylane Costa</t>
        </is>
      </c>
      <c r="C3823" t="inlineStr">
        <is>
          <t>Estágio</t>
        </is>
      </c>
      <c r="D3823" t="n">
        <v>21</v>
      </c>
      <c r="E3823" t="n">
        <v>13</v>
      </c>
      <c r="F3823" t="n">
        <v>9.1</v>
      </c>
      <c r="G3823" t="n">
        <v>0</v>
      </c>
      <c r="H3823" t="n">
        <v>0</v>
      </c>
      <c r="I3823" s="3">
        <f>E3823+G3823+H3823</f>
        <v/>
      </c>
      <c r="J3823" s="3">
        <f>ROUND(MIN(IF(C3823="Técnico III",35,IF(C3823="Técnico II",28,IF(C3823="Técnico I",23,IF(C3823="JR",20,IF(C3823="Estágio",10,0))))),IF(C3823="Técnico III",SUMIFS($D:$D,$A:$A,$A3823,$B:$B,"&lt;&gt;Patrícia Karla de Sousa Araújo",$B:$B,"&lt;&gt;Lorena Dias de Araujo",$B:$B,"&lt;&gt;Lucas Luiz Romero")*(35/1083),IF(C3823="Técnico II",SUMIFS($D:$D,$A:$A,$A3823,$B:$B,"&lt;&gt;Patrícia Karla de Sousa Araújo",$B:$B,"&lt;&gt;Lorena Dias de Araujo",$B:$B,"&lt;&gt;Lucas Luiz Romero")*(28/1083),IF(C3823="Técnico I",SUMIFS($D:$D,$A:$A,$A3823,$B:$B,"&lt;&gt;Patrícia Karla de Sousa Araújo",$B:$B,"&lt;&gt;Lorena Dias de Araujo",$B:$B,"&lt;&gt;Lucas Luiz Romero")*(23/1083),IF(C3823="JR",SUMIFS($D:$D,$A:$A,$A3823,$B:$B,"&lt;&gt;Patrícia Karla de Sousa Araújo",$B:$B,"&lt;&gt;Lorena Dias de Araujo",$B:$B,"&lt;&gt;Lucas Luiz Romero")*(20/1083),IF(C3823="Estágio",SUMIFS($D:$D,$A:$A,$A3823,$B:$B,"&lt;&gt;Patrícia Karla de Sousa Araújo",$B:$B,"&lt;&gt;Lorena Dias de Araujo",$B:$B,"&lt;&gt;Lucas Luiz Romero")*(10/1083),0)))))),0)</f>
        <v/>
      </c>
      <c r="K3823" s="3">
        <f>I3823-J3823</f>
        <v/>
      </c>
      <c r="L3823" s="3">
        <f>IF(K3823&lt;-5,"CRÍTICO",IF(K3823&lt;0,"ATENÇÃO",IF(K3823&lt;=5,"OPORTUNO","MUITO BOM")))</f>
        <v/>
      </c>
      <c r="M3823" t="n">
        <v>5</v>
      </c>
      <c r="N3823" t="n">
        <v>100</v>
      </c>
      <c r="O3823" t="n">
        <v>27.36842105263158</v>
      </c>
    </row>
    <row r="3824" hidden="1">
      <c r="A3824" s="11" t="n">
        <v>46121</v>
      </c>
      <c r="B3824" t="inlineStr">
        <is>
          <t>Emilly Kamilly Medeiros Miranda</t>
        </is>
      </c>
      <c r="C3824" t="inlineStr">
        <is>
          <t>Técnico II</t>
        </is>
      </c>
      <c r="D3824" t="n">
        <v>23</v>
      </c>
      <c r="E3824" t="n">
        <v>22</v>
      </c>
      <c r="F3824" t="n">
        <v>18.38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M3824" t="n">
        <v>19</v>
      </c>
      <c r="N3824" t="n">
        <v>97.83</v>
      </c>
      <c r="O3824" t="n">
        <v>28.35164835164835</v>
      </c>
    </row>
    <row r="3825" hidden="1">
      <c r="A3825" s="11" t="n">
        <v>46121</v>
      </c>
      <c r="B3825" t="inlineStr">
        <is>
          <t>Francielson de Oliveira</t>
        </is>
      </c>
      <c r="C3825" t="inlineStr">
        <is>
          <t>Técnico III</t>
        </is>
      </c>
      <c r="D3825" t="n">
        <v>25</v>
      </c>
      <c r="E3825" t="n">
        <v>22</v>
      </c>
      <c r="F3825" t="n">
        <v>17.08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M3825" t="n">
        <v>20</v>
      </c>
      <c r="N3825" t="n">
        <v>99.26000000000001</v>
      </c>
      <c r="O3825" t="n">
        <v>29.76653696498055</v>
      </c>
    </row>
    <row r="3826" hidden="1">
      <c r="A3826" s="11" t="n">
        <v>46121</v>
      </c>
      <c r="B3826" t="inlineStr">
        <is>
          <t>Francilene Ferreira de Jesus</t>
        </is>
      </c>
      <c r="C3826" t="inlineStr">
        <is>
          <t>Técnico II</t>
        </is>
      </c>
      <c r="D3826" t="n">
        <v>12</v>
      </c>
      <c r="E3826" t="n">
        <v>12</v>
      </c>
      <c r="F3826" t="n">
        <v>20.25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M3826" t="n">
        <v>17</v>
      </c>
      <c r="N3826" t="n">
        <v>99.19</v>
      </c>
      <c r="O3826" t="n">
        <v>29.46236559139785</v>
      </c>
    </row>
    <row r="3827" hidden="1">
      <c r="A3827" s="11" t="n">
        <v>46167</v>
      </c>
      <c r="B3827" t="inlineStr">
        <is>
          <t>Isabella Borges de Oliveira</t>
        </is>
      </c>
      <c r="C3827" t="inlineStr">
        <is>
          <t>Técnico II</t>
        </is>
      </c>
      <c r="D3827" s="3" t="n">
        <v>27</v>
      </c>
      <c r="E3827" s="3" t="n">
        <v>23</v>
      </c>
      <c r="F3827" s="3" t="n">
        <v>15.42</v>
      </c>
      <c r="G3827" s="3" t="n">
        <v>0</v>
      </c>
      <c r="H3827" s="3" t="n">
        <v>0</v>
      </c>
      <c r="I3827" s="3" t="n">
        <v>0</v>
      </c>
      <c r="J3827" s="3" t="n">
        <v>0</v>
      </c>
      <c r="K3827" s="3" t="n">
        <v>0</v>
      </c>
      <c r="L3827" s="3">
        <f>IF(K3827&lt;-5,"CRÍTICO",IF(K3827&lt;0,"ATENÇÃO",IF(K3827&lt;=5,"OPORTUNO","MUITO BOM")))</f>
        <v/>
      </c>
      <c r="M3827" s="3" t="n">
        <v>23</v>
      </c>
      <c r="N3827" s="3" t="n">
        <v>98.98</v>
      </c>
      <c r="O3827" s="3" t="n">
        <v>19.35483870967742</v>
      </c>
    </row>
    <row r="3828" hidden="1">
      <c r="A3828" s="11" t="n">
        <v>46121</v>
      </c>
      <c r="B3828" t="inlineStr">
        <is>
          <t>Isabella Borges de Oliveira</t>
        </is>
      </c>
      <c r="C3828" t="inlineStr">
        <is>
          <t>Técnico II</t>
        </is>
      </c>
      <c r="D3828" t="n">
        <v>0</v>
      </c>
      <c r="E3828" t="n">
        <v>0</v>
      </c>
      <c r="F3828" t="n">
        <v>0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  <c r="M3828" t="n">
        <v>0</v>
      </c>
      <c r="N3828" t="n">
        <v>100</v>
      </c>
      <c r="O3828" t="n">
        <v>28.92156862745098</v>
      </c>
    </row>
    <row r="3829" hidden="1">
      <c r="A3829" s="11" t="n">
        <v>46121</v>
      </c>
      <c r="B3829" t="inlineStr">
        <is>
          <t>Janaina Lima dos Reis Urany</t>
        </is>
      </c>
      <c r="C3829" t="inlineStr">
        <is>
          <t>Técnico III</t>
        </is>
      </c>
      <c r="D3829" t="n">
        <v>36</v>
      </c>
      <c r="E3829" t="n">
        <v>32</v>
      </c>
      <c r="F3829" t="n">
        <v>15.2</v>
      </c>
      <c r="G3829" t="n">
        <v>0</v>
      </c>
      <c r="H3829" t="n">
        <v>0</v>
      </c>
      <c r="I3829" s="3">
        <f>E3829+G3829+H3829</f>
        <v/>
      </c>
      <c r="J3829" s="3">
        <f>ROUND(MIN(IF(C3829="Técnico III",35,IF(C3829="Técnico II",28,IF(C3829="Técnico I",23,IF(C3829="JR",20,IF(C3829="Estágio",10,0))))),IF(C3829="Técnico III",SUMIFS($D:$D,$A:$A,$A3829,$B:$B,"&lt;&gt;Patrícia Karla de Sousa Araújo",$B:$B,"&lt;&gt;Lorena Dias de Araujo",$B:$B,"&lt;&gt;Lucas Luiz Romero")*(35/1083),IF(C3829="Técnico II",SUMIFS($D:$D,$A:$A,$A3829,$B:$B,"&lt;&gt;Patrícia Karla de Sousa Araújo",$B:$B,"&lt;&gt;Lorena Dias de Araujo",$B:$B,"&lt;&gt;Lucas Luiz Romero")*(28/1083),IF(C3829="Técnico I",SUMIFS($D:$D,$A:$A,$A3829,$B:$B,"&lt;&gt;Patrícia Karla de Sousa Araújo",$B:$B,"&lt;&gt;Lorena Dias de Araujo",$B:$B,"&lt;&gt;Lucas Luiz Romero")*(23/1083),IF(C3829="JR",SUMIFS($D:$D,$A:$A,$A3829,$B:$B,"&lt;&gt;Patrícia Karla de Sousa Araújo",$B:$B,"&lt;&gt;Lorena Dias de Araujo",$B:$B,"&lt;&gt;Lucas Luiz Romero")*(20/1083),IF(C3829="Estágio",SUMIFS($D:$D,$A:$A,$A3829,$B:$B,"&lt;&gt;Patrícia Karla de Sousa Araújo",$B:$B,"&lt;&gt;Lorena Dias de Araujo",$B:$B,"&lt;&gt;Lucas Luiz Romero")*(10/1083),0)))))),0)</f>
        <v/>
      </c>
      <c r="K3829" s="3">
        <f>I3829-J3829</f>
        <v/>
      </c>
      <c r="L3829" s="3">
        <f>IF(K3829&lt;-5,"CRÍTICO",IF(K3829&lt;0,"ATENÇÃO",IF(K3829&lt;=5,"OPORTUNO","MUITO BOM")))</f>
        <v/>
      </c>
      <c r="M3829" t="n">
        <v>29</v>
      </c>
      <c r="N3829" t="n">
        <v>99.56999999999999</v>
      </c>
      <c r="O3829" t="n">
        <v>30.63583815028902</v>
      </c>
    </row>
    <row r="3830" hidden="1">
      <c r="A3830" s="11" t="n">
        <v>46121</v>
      </c>
      <c r="B3830" t="inlineStr">
        <is>
          <t>Jaqueline Evangelista da Silva Martins</t>
        </is>
      </c>
      <c r="C3830" t="inlineStr">
        <is>
          <t>Técnico III</t>
        </is>
      </c>
      <c r="D3830" t="n">
        <v>0</v>
      </c>
      <c r="E3830" t="n">
        <v>0</v>
      </c>
      <c r="F3830" t="n">
        <v>0</v>
      </c>
      <c r="G3830" t="n">
        <v>0</v>
      </c>
      <c r="H3830" t="n">
        <v>0</v>
      </c>
      <c r="I3830" s="3" t="n">
        <v>0</v>
      </c>
      <c r="J3830" s="3" t="n">
        <v>0</v>
      </c>
      <c r="K3830" s="3" t="n">
        <v>0</v>
      </c>
      <c r="L3830" s="3">
        <f>IF(K3830&lt;-5,"CRÍTICO",IF(K3830&lt;0,"ATENÇÃO",IF(K3830&lt;=5,"OPORTUNO","MUITO BOM")))</f>
        <v/>
      </c>
      <c r="M3830" t="n">
        <v>0</v>
      </c>
      <c r="N3830" t="n">
        <v>95.65000000000001</v>
      </c>
      <c r="O3830" t="n">
        <v>32.43243243243244</v>
      </c>
    </row>
    <row r="3831" hidden="1">
      <c r="A3831" s="11" t="n">
        <v>46121</v>
      </c>
      <c r="B3831" t="inlineStr">
        <is>
          <t>Jessica Faria da Silveira</t>
        </is>
      </c>
      <c r="C3831" t="inlineStr">
        <is>
          <t>Técnico II</t>
        </is>
      </c>
      <c r="D3831" t="n">
        <v>24</v>
      </c>
      <c r="E3831" t="n">
        <v>21</v>
      </c>
      <c r="F3831" t="n">
        <v>22.22</v>
      </c>
      <c r="G3831" t="n">
        <v>0</v>
      </c>
      <c r="H3831" t="n">
        <v>0</v>
      </c>
      <c r="I3831" s="3">
        <f>E3831+G3831+H3831</f>
        <v/>
      </c>
      <c r="J3831" s="3">
        <f>ROUND(MIN(IF(C3831="Técnico III",35,IF(C3831="Técnico II",28,IF(C3831="Técnico I",23,IF(C3831="JR",20,IF(C3831="Estágio",10,0))))),IF(C3831="Técnico III",SUMIFS($D:$D,$A:$A,$A3831,$B:$B,"&lt;&gt;Patrícia Karla de Sousa Araújo",$B:$B,"&lt;&gt;Lorena Dias de Araujo",$B:$B,"&lt;&gt;Lucas Luiz Romero")*(35/1083),IF(C3831="Técnico II",SUMIFS($D:$D,$A:$A,$A3831,$B:$B,"&lt;&gt;Patrícia Karla de Sousa Araújo",$B:$B,"&lt;&gt;Lorena Dias de Araujo",$B:$B,"&lt;&gt;Lucas Luiz Romero")*(28/1083),IF(C3831="Técnico I",SUMIFS($D:$D,$A:$A,$A3831,$B:$B,"&lt;&gt;Patrícia Karla de Sousa Araújo",$B:$B,"&lt;&gt;Lorena Dias de Araujo",$B:$B,"&lt;&gt;Lucas Luiz Romero")*(23/1083),IF(C3831="JR",SUMIFS($D:$D,$A:$A,$A3831,$B:$B,"&lt;&gt;Patrícia Karla de Sousa Araújo",$B:$B,"&lt;&gt;Lorena Dias de Araujo",$B:$B,"&lt;&gt;Lucas Luiz Romero")*(20/1083),IF(C3831="Estágio",SUMIFS($D:$D,$A:$A,$A3831,$B:$B,"&lt;&gt;Patrícia Karla de Sousa Araújo",$B:$B,"&lt;&gt;Lorena Dias de Araujo",$B:$B,"&lt;&gt;Lucas Luiz Romero")*(10/1083),0)))))),0)</f>
        <v/>
      </c>
      <c r="K3831" s="3">
        <f>I3831-J3831</f>
        <v/>
      </c>
      <c r="L3831" s="3">
        <f>IF(K3831&lt;-5,"CRÍTICO",IF(K3831&lt;0,"ATENÇÃO",IF(K3831&lt;=5,"OPORTUNO","MUITO BOM")))</f>
        <v/>
      </c>
      <c r="M3831" t="n">
        <v>19</v>
      </c>
      <c r="N3831" t="n">
        <v>98.81</v>
      </c>
      <c r="O3831" t="n">
        <v>26.25698324022346</v>
      </c>
    </row>
    <row r="3832" hidden="1">
      <c r="A3832" s="11" t="n">
        <v>46121</v>
      </c>
      <c r="B3832" t="inlineStr">
        <is>
          <t>Jéssica Fé Moura</t>
        </is>
      </c>
      <c r="C3832" t="inlineStr">
        <is>
          <t>Técnico III</t>
        </is>
      </c>
      <c r="D3832" t="n">
        <v>0</v>
      </c>
      <c r="E3832" t="n">
        <v>0</v>
      </c>
      <c r="F3832" t="n">
        <v>0</v>
      </c>
      <c r="G3832" t="n">
        <v>0</v>
      </c>
      <c r="H3832" t="n">
        <v>0</v>
      </c>
      <c r="I3832" s="3" t="n">
        <v>0</v>
      </c>
      <c r="J3832" s="3" t="n">
        <v>0</v>
      </c>
      <c r="K3832" s="3" t="n">
        <v>0</v>
      </c>
      <c r="L3832" s="3">
        <f>IF(K3832&lt;-5,"CRÍTICO",IF(K3832&lt;0,"ATENÇÃO",IF(K3832&lt;=5,"OPORTUNO","MUITO BOM")))</f>
        <v/>
      </c>
      <c r="M3832" t="n">
        <v>0</v>
      </c>
      <c r="N3832" t="n">
        <v>0</v>
      </c>
      <c r="O3832" t="n">
        <v>0</v>
      </c>
    </row>
    <row r="3833" hidden="1">
      <c r="A3833" s="11" t="n">
        <v>46121</v>
      </c>
      <c r="B3833" t="inlineStr">
        <is>
          <t>Karina Gonçalves Martins</t>
        </is>
      </c>
      <c r="C3833" t="inlineStr">
        <is>
          <t>JR</t>
        </is>
      </c>
      <c r="D3833" t="n">
        <v>28</v>
      </c>
      <c r="E3833" t="n">
        <v>28</v>
      </c>
      <c r="F3833" t="n">
        <v>17.24</v>
      </c>
      <c r="G3833" t="n">
        <v>0</v>
      </c>
      <c r="H3833" t="n">
        <v>0</v>
      </c>
      <c r="I3833" s="3">
        <f>E3833+G3833+H3833</f>
        <v/>
      </c>
      <c r="J3833" s="3">
        <f>ROUND(MIN(IF(C3833="Técnico III",35,IF(C3833="Técnico II",28,IF(C3833="Técnico I",23,IF(C3833="JR",20,IF(C3833="Estágio",10,0))))),IF(C3833="Técnico III",SUMIFS($D:$D,$A:$A,$A3833,$B:$B,"&lt;&gt;Patrícia Karla de Sousa Araújo",$B:$B,"&lt;&gt;Lorena Dias de Araujo",$B:$B,"&lt;&gt;Lucas Luiz Romero")*(35/1083),IF(C3833="Técnico II",SUMIFS($D:$D,$A:$A,$A3833,$B:$B,"&lt;&gt;Patrícia Karla de Sousa Araújo",$B:$B,"&lt;&gt;Lorena Dias de Araujo",$B:$B,"&lt;&gt;Lucas Luiz Romero")*(28/1083),IF(C3833="Técnico I",SUMIFS($D:$D,$A:$A,$A3833,$B:$B,"&lt;&gt;Patrícia Karla de Sousa Araújo",$B:$B,"&lt;&gt;Lorena Dias de Araujo",$B:$B,"&lt;&gt;Lucas Luiz Romero")*(23/1083),IF(C3833="JR",SUMIFS($D:$D,$A:$A,$A3833,$B:$B,"&lt;&gt;Patrícia Karla de Sousa Araújo",$B:$B,"&lt;&gt;Lorena Dias de Araujo",$B:$B,"&lt;&gt;Lucas Luiz Romero")*(20/1083),IF(C3833="Estágio",SUMIFS($D:$D,$A:$A,$A3833,$B:$B,"&lt;&gt;Patrícia Karla de Sousa Araújo",$B:$B,"&lt;&gt;Lorena Dias de Araujo",$B:$B,"&lt;&gt;Lucas Luiz Romero")*(10/1083),0)))))),0)</f>
        <v/>
      </c>
      <c r="K3833" s="3">
        <f>I3833-J3833</f>
        <v/>
      </c>
      <c r="L3833" s="3">
        <f>IF(K3833&lt;-5,"CRÍTICO",IF(K3833&lt;0,"ATENÇÃO",IF(K3833&lt;=5,"OPORTUNO","MUITO BOM")))</f>
        <v/>
      </c>
      <c r="M3833" t="n">
        <v>24</v>
      </c>
      <c r="N3833" t="n">
        <v>97.17</v>
      </c>
      <c r="O3833" t="n">
        <v>28.81844380403458</v>
      </c>
    </row>
    <row r="3834" hidden="1">
      <c r="A3834" s="11" t="n">
        <v>46121</v>
      </c>
      <c r="B3834" t="inlineStr">
        <is>
          <t>Kerollen Cristielly de Jesus Siqueira</t>
        </is>
      </c>
      <c r="C3834" t="inlineStr">
        <is>
          <t>Técnico III</t>
        </is>
      </c>
      <c r="D3834" t="n">
        <v>16</v>
      </c>
      <c r="E3834" t="n">
        <v>15</v>
      </c>
      <c r="F3834" t="n">
        <v>23.53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M3834" t="n">
        <v>16</v>
      </c>
      <c r="N3834" t="n">
        <v>96.81</v>
      </c>
      <c r="O3834" t="n">
        <v>48.01864801864802</v>
      </c>
    </row>
    <row r="3835" hidden="1">
      <c r="A3835" s="11" t="n">
        <v>46121</v>
      </c>
      <c r="B3835" t="inlineStr">
        <is>
          <t>Leandro de Souza Silva</t>
        </is>
      </c>
      <c r="C3835" t="inlineStr">
        <is>
          <t>JR</t>
        </is>
      </c>
      <c r="D3835" t="n">
        <v>16</v>
      </c>
      <c r="E3835" t="n">
        <v>15</v>
      </c>
      <c r="F3835" t="n">
        <v>30.05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M3835" t="n">
        <v>11</v>
      </c>
      <c r="N3835" t="n">
        <v>98.15000000000001</v>
      </c>
      <c r="O3835" t="n">
        <v>27.1551724137931</v>
      </c>
    </row>
    <row r="3836" hidden="1">
      <c r="A3836" s="11" t="n">
        <v>46121</v>
      </c>
      <c r="B3836" t="inlineStr">
        <is>
          <t>Leandro Oliveira de Sousa</t>
        </is>
      </c>
      <c r="C3836" t="inlineStr">
        <is>
          <t>Técnico III</t>
        </is>
      </c>
      <c r="D3836" t="n">
        <v>12</v>
      </c>
      <c r="E3836" t="n">
        <v>12</v>
      </c>
      <c r="F3836" t="n">
        <v>17.27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M3836" t="n">
        <v>8</v>
      </c>
      <c r="N3836" t="n">
        <v>99.15000000000001</v>
      </c>
      <c r="O3836" t="n">
        <v>27.58620689655172</v>
      </c>
    </row>
    <row r="3837" hidden="1">
      <c r="A3837" s="11" t="n">
        <v>46121</v>
      </c>
      <c r="B3837" t="inlineStr">
        <is>
          <t>Lizandra Gomes Duarte</t>
        </is>
      </c>
      <c r="C3837" t="inlineStr">
        <is>
          <t>Técnico II</t>
        </is>
      </c>
      <c r="D3837" t="n">
        <v>21</v>
      </c>
      <c r="E3837" t="n">
        <v>18</v>
      </c>
      <c r="F3837" t="n">
        <v>22.11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M3837" t="n">
        <v>28</v>
      </c>
      <c r="N3837" t="n">
        <v>99.17</v>
      </c>
      <c r="O3837" t="n">
        <v>29.75206611570248</v>
      </c>
    </row>
    <row r="3838" hidden="1">
      <c r="A3838" s="11" t="n">
        <v>46121</v>
      </c>
      <c r="B3838" t="inlineStr">
        <is>
          <t>Lorena Dias de Araujo</t>
        </is>
      </c>
      <c r="C3838" t="inlineStr">
        <is>
          <t>Técnico II</t>
        </is>
      </c>
      <c r="D3838" t="n">
        <v>22</v>
      </c>
      <c r="E3838" t="n">
        <v>21</v>
      </c>
      <c r="F3838" t="n">
        <v>25.13</v>
      </c>
      <c r="G3838" t="n">
        <v>0</v>
      </c>
      <c r="H3838" t="n">
        <v>0</v>
      </c>
      <c r="I3838" s="3" t="n">
        <v>0</v>
      </c>
      <c r="J3838" s="3" t="n">
        <v>0</v>
      </c>
      <c r="K3838" s="3" t="n">
        <v>0</v>
      </c>
      <c r="L3838" s="3">
        <f>IF(K3838&lt;-5,"CRÍTICO",IF(K3838&lt;0,"ATENÇÃO",IF(K3838&lt;=5,"OPORTUNO","MUITO BOM")))</f>
        <v/>
      </c>
      <c r="M3838" t="n">
        <v>16</v>
      </c>
      <c r="N3838" t="n">
        <v>98.73</v>
      </c>
      <c r="O3838" t="n">
        <v>28.96174863387978</v>
      </c>
    </row>
    <row r="3839" hidden="1">
      <c r="A3839" s="11" t="n">
        <v>46121</v>
      </c>
      <c r="B3839" t="inlineStr">
        <is>
          <t>Lucas Luiz Romero</t>
        </is>
      </c>
      <c r="C3839" t="inlineStr">
        <is>
          <t>Técnico III</t>
        </is>
      </c>
      <c r="D3839" t="n">
        <v>37</v>
      </c>
      <c r="E3839" t="n">
        <v>30</v>
      </c>
      <c r="F3839" t="n">
        <v>15.56</v>
      </c>
      <c r="G3839" t="n">
        <v>0</v>
      </c>
      <c r="H3839" t="n">
        <v>0</v>
      </c>
      <c r="I3839" s="3">
        <f>E3839+G3839+H3839</f>
        <v/>
      </c>
      <c r="J3839" s="3">
        <f>ROUND(MIN(IF(C3839="Técnico III",35,IF(C3839="Técnico II",28,IF(C3839="Técnico I",23,IF(C3839="JR",20,IF(C3839="Estágio",10,0))))),IF(C3839="Técnico III",SUMIFS($D:$D,$A:$A,$A3839,$B:$B,"&lt;&gt;Patrícia Karla de Sousa Araújo",$B:$B,"&lt;&gt;Lorena Dias de Araujo",$B:$B,"&lt;&gt;Lucas Luiz Romero")*(35/1083),IF(C3839="Técnico II",SUMIFS($D:$D,$A:$A,$A3839,$B:$B,"&lt;&gt;Patrícia Karla de Sousa Araújo",$B:$B,"&lt;&gt;Lorena Dias de Araujo",$B:$B,"&lt;&gt;Lucas Luiz Romero")*(28/1083),IF(C3839="Técnico I",SUMIFS($D:$D,$A:$A,$A3839,$B:$B,"&lt;&gt;Patrícia Karla de Sousa Araújo",$B:$B,"&lt;&gt;Lorena Dias de Araujo",$B:$B,"&lt;&gt;Lucas Luiz Romero")*(23/1083),IF(C3839="JR",SUMIFS($D:$D,$A:$A,$A3839,$B:$B,"&lt;&gt;Patrícia Karla de Sousa Araújo",$B:$B,"&lt;&gt;Lorena Dias de Araujo",$B:$B,"&lt;&gt;Lucas Luiz Romero")*(20/1083),IF(C3839="Estágio",SUMIFS($D:$D,$A:$A,$A3839,$B:$B,"&lt;&gt;Patrícia Karla de Sousa Araújo",$B:$B,"&lt;&gt;Lorena Dias de Araujo",$B:$B,"&lt;&gt;Lucas Luiz Romero")*(10/1083),0)))))),0)</f>
        <v/>
      </c>
      <c r="K3839" s="3">
        <f>I3839-J3839</f>
        <v/>
      </c>
      <c r="L3839" s="3">
        <f>IF(K3839&lt;-5,"CRÍTICO",IF(K3839&lt;0,"ATENÇÃO",IF(K3839&lt;=5,"OPORTUNO","MUITO BOM")))</f>
        <v/>
      </c>
      <c r="M3839" t="n">
        <v>17</v>
      </c>
      <c r="N3839" t="n">
        <v>88.68000000000001</v>
      </c>
      <c r="O3839" t="n">
        <v>22.03389830508474</v>
      </c>
    </row>
    <row r="3840" hidden="1">
      <c r="A3840" s="11" t="n">
        <v>46121</v>
      </c>
      <c r="B3840" t="inlineStr">
        <is>
          <t>Luiz Fernando de Carvalho Junior</t>
        </is>
      </c>
      <c r="C3840" t="inlineStr">
        <is>
          <t>Técnico I</t>
        </is>
      </c>
      <c r="D3840" t="n">
        <v>27</v>
      </c>
      <c r="E3840" t="n">
        <v>23</v>
      </c>
      <c r="F3840" t="n">
        <v>14.04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M3840" t="n">
        <v>23</v>
      </c>
      <c r="N3840" t="n">
        <v>97.37</v>
      </c>
      <c r="O3840" t="n">
        <v>25.76530612244898</v>
      </c>
    </row>
    <row r="3841" hidden="1">
      <c r="A3841" s="11" t="n">
        <v>46121</v>
      </c>
      <c r="B3841" t="inlineStr">
        <is>
          <t>Maria Eduarda Sousa Costa</t>
        </is>
      </c>
      <c r="C3841" t="inlineStr">
        <is>
          <t>Estágio</t>
        </is>
      </c>
      <c r="D3841" t="n">
        <v>9</v>
      </c>
      <c r="E3841" t="n">
        <v>9</v>
      </c>
      <c r="F3841" t="n">
        <v>43.54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M3841" t="n">
        <v>6</v>
      </c>
      <c r="N3841" t="n">
        <v>100</v>
      </c>
      <c r="O3841" t="n">
        <v>25</v>
      </c>
    </row>
    <row r="3842" hidden="1">
      <c r="A3842" s="11" t="n">
        <v>46121</v>
      </c>
      <c r="B3842" t="inlineStr">
        <is>
          <t>Matheus Farias De Souza</t>
        </is>
      </c>
      <c r="C3842" t="inlineStr">
        <is>
          <t>Técnico III</t>
        </is>
      </c>
      <c r="D3842" t="n">
        <v>27</v>
      </c>
      <c r="E3842" t="n">
        <v>27</v>
      </c>
      <c r="F3842" t="n">
        <v>17.13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M3842" t="n">
        <v>28</v>
      </c>
      <c r="N3842" t="n">
        <v>100</v>
      </c>
      <c r="O3842" t="n">
        <v>23.9870340356564</v>
      </c>
    </row>
    <row r="3843" hidden="1">
      <c r="A3843" s="11" t="n">
        <v>46121</v>
      </c>
      <c r="B3843" t="inlineStr">
        <is>
          <t>Maysa Victoria Dias Moura</t>
        </is>
      </c>
      <c r="C3843" t="inlineStr">
        <is>
          <t>Técnico III</t>
        </is>
      </c>
      <c r="D3843" t="n">
        <v>30</v>
      </c>
      <c r="E3843" t="n">
        <v>30</v>
      </c>
      <c r="F3843" t="n">
        <v>19.03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M3843" t="n">
        <v>27</v>
      </c>
      <c r="N3843" t="n">
        <v>95.48999999999999</v>
      </c>
      <c r="O3843" t="n">
        <v>28.37022132796781</v>
      </c>
    </row>
    <row r="3844" hidden="1">
      <c r="A3844" s="11" t="n">
        <v>46121</v>
      </c>
      <c r="B3844" t="inlineStr">
        <is>
          <t>Michelle G Santos</t>
        </is>
      </c>
      <c r="C3844" t="inlineStr">
        <is>
          <t>Estágio</t>
        </is>
      </c>
      <c r="D3844" t="n">
        <v>13</v>
      </c>
      <c r="E3844" t="n">
        <v>12</v>
      </c>
      <c r="F3844" t="n">
        <v>24.15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M3844" t="n">
        <v>8</v>
      </c>
      <c r="N3844" t="n">
        <v>100</v>
      </c>
      <c r="O3844" t="n">
        <v>23.77622377622378</v>
      </c>
    </row>
    <row r="3845" hidden="1">
      <c r="A3845" s="11" t="n">
        <v>46121</v>
      </c>
      <c r="B3845" t="inlineStr">
        <is>
          <t>Milena Sales</t>
        </is>
      </c>
      <c r="C3845" t="inlineStr">
        <is>
          <t>JR</t>
        </is>
      </c>
      <c r="D3845" t="n">
        <v>17</v>
      </c>
      <c r="E3845" t="n">
        <v>15</v>
      </c>
      <c r="F3845" t="n">
        <v>22.32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M3845" t="n">
        <v>12</v>
      </c>
      <c r="N3845" t="n">
        <v>96.15000000000001</v>
      </c>
      <c r="O3845" t="n">
        <v>24.04580152671756</v>
      </c>
    </row>
    <row r="3846" hidden="1">
      <c r="A3846" s="11" t="n">
        <v>46121</v>
      </c>
      <c r="B3846" t="inlineStr">
        <is>
          <t>Patrícia Karla de Sousa Araújo</t>
        </is>
      </c>
      <c r="C3846" t="inlineStr">
        <is>
          <t>Técnico II</t>
        </is>
      </c>
      <c r="D3846" t="n">
        <v>25</v>
      </c>
      <c r="E3846" t="n">
        <v>25</v>
      </c>
      <c r="F3846" t="n">
        <v>19.15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M3846" t="n">
        <v>22</v>
      </c>
      <c r="N3846" t="n">
        <v>99.02</v>
      </c>
      <c r="O3846" t="n">
        <v>34.7972972972973</v>
      </c>
    </row>
    <row r="3847" hidden="1">
      <c r="A3847" s="11" t="n">
        <v>46121</v>
      </c>
      <c r="B3847" t="inlineStr">
        <is>
          <t>Paulo Ricardo Santos</t>
        </is>
      </c>
      <c r="C3847" t="inlineStr">
        <is>
          <t>JR</t>
        </is>
      </c>
      <c r="D3847" t="n">
        <v>19</v>
      </c>
      <c r="E3847" t="n">
        <v>18</v>
      </c>
      <c r="F3847" t="n">
        <v>18.41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M3847" t="n">
        <v>12</v>
      </c>
      <c r="N3847" t="n">
        <v>98.84</v>
      </c>
      <c r="O3847" t="n">
        <v>31.86813186813187</v>
      </c>
    </row>
    <row r="3848" hidden="1">
      <c r="A3848" s="11" t="n">
        <v>46121</v>
      </c>
      <c r="B3848" t="inlineStr">
        <is>
          <t>Pedro Luiz Mota Sousa</t>
        </is>
      </c>
      <c r="C3848" t="inlineStr">
        <is>
          <t>JR</t>
        </is>
      </c>
      <c r="D3848" t="n">
        <v>21</v>
      </c>
      <c r="E3848" t="n">
        <v>21</v>
      </c>
      <c r="F3848" t="n">
        <v>18.48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M3848" t="n">
        <v>18</v>
      </c>
      <c r="N3848" t="n">
        <v>100</v>
      </c>
      <c r="O3848" t="n">
        <v>34.66666666666667</v>
      </c>
    </row>
    <row r="3849" hidden="1">
      <c r="A3849" s="11" t="n">
        <v>46121</v>
      </c>
      <c r="B3849" t="inlineStr">
        <is>
          <t>Quirino Diogo Leite Torres</t>
        </is>
      </c>
      <c r="C3849" t="inlineStr">
        <is>
          <t>Estágio</t>
        </is>
      </c>
      <c r="D3849" t="n">
        <v>6</v>
      </c>
      <c r="E3849" t="n">
        <v>6</v>
      </c>
      <c r="F3849" t="n">
        <v>27.12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M3849" t="n">
        <v>4</v>
      </c>
      <c r="N3849" t="n">
        <v>94.12</v>
      </c>
      <c r="O3849" t="n">
        <v>32.8</v>
      </c>
    </row>
    <row r="3850" hidden="1">
      <c r="A3850" s="11" t="n">
        <v>46121</v>
      </c>
      <c r="B3850" t="inlineStr">
        <is>
          <t>Raane Batista Matos</t>
        </is>
      </c>
      <c r="C3850" t="inlineStr">
        <is>
          <t>Técnico I</t>
        </is>
      </c>
      <c r="D3850" t="n">
        <v>33</v>
      </c>
      <c r="E3850" t="n">
        <v>31</v>
      </c>
      <c r="F3850" t="n">
        <v>12.37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M3850" t="n">
        <v>24</v>
      </c>
      <c r="N3850" t="n">
        <v>98.31999999999999</v>
      </c>
      <c r="O3850" t="n">
        <v>26.85851318944844</v>
      </c>
    </row>
    <row r="3851" hidden="1">
      <c r="A3851" s="11" t="n">
        <v>46121</v>
      </c>
      <c r="B3851" t="inlineStr">
        <is>
          <t>Rafael Gomes de Morais</t>
        </is>
      </c>
      <c r="C3851" t="inlineStr">
        <is>
          <t>Técnico III</t>
        </is>
      </c>
      <c r="D3851" t="n">
        <v>35</v>
      </c>
      <c r="E3851" t="n">
        <v>30</v>
      </c>
      <c r="F3851" t="n">
        <v>12.16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M3851" t="n">
        <v>30</v>
      </c>
      <c r="N3851" t="n">
        <v>100</v>
      </c>
      <c r="O3851" t="n">
        <v>31.13553113553114</v>
      </c>
    </row>
    <row r="3852" hidden="1">
      <c r="A3852" s="11" t="n">
        <v>46121</v>
      </c>
      <c r="B3852" t="inlineStr">
        <is>
          <t>Sara Maria Monteiro Lopes</t>
        </is>
      </c>
      <c r="C3852" t="inlineStr">
        <is>
          <t>Técnico I</t>
        </is>
      </c>
      <c r="D3852" t="n">
        <v>15</v>
      </c>
      <c r="E3852" t="n">
        <v>15</v>
      </c>
      <c r="F3852" t="n">
        <v>29.1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M3852" t="n">
        <v>17</v>
      </c>
      <c r="N3852" t="n">
        <v>100</v>
      </c>
      <c r="O3852" t="n">
        <v>26.36986301369863</v>
      </c>
    </row>
    <row r="3853" hidden="1">
      <c r="A3853" s="11" t="n">
        <v>46121</v>
      </c>
      <c r="B3853" t="inlineStr">
        <is>
          <t>Sarah Steffanie de Lima Borges</t>
        </is>
      </c>
      <c r="C3853" t="inlineStr">
        <is>
          <t>Técnico III</t>
        </is>
      </c>
      <c r="D3853" t="n">
        <v>31</v>
      </c>
      <c r="E3853" t="n">
        <v>30</v>
      </c>
      <c r="F3853" t="n">
        <v>18.28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M3853" t="n">
        <v>23</v>
      </c>
      <c r="N3853" t="n">
        <v>99.20999999999999</v>
      </c>
      <c r="O3853" t="n">
        <v>25.18891687657431</v>
      </c>
    </row>
    <row r="3854" hidden="1">
      <c r="A3854" s="11" t="n">
        <v>46122</v>
      </c>
      <c r="B3854" t="inlineStr">
        <is>
          <t>Alisson de Freitas Silva</t>
        </is>
      </c>
      <c r="C3854" t="inlineStr">
        <is>
          <t>Técnico II</t>
        </is>
      </c>
      <c r="D3854" t="n">
        <v>12</v>
      </c>
      <c r="E3854" t="n">
        <v>8</v>
      </c>
      <c r="F3854" t="n">
        <v>15.43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M3854" t="n">
        <v>10</v>
      </c>
      <c r="N3854" t="n">
        <v>100</v>
      </c>
      <c r="O3854" t="n">
        <v>32.76450511945392</v>
      </c>
    </row>
    <row r="3855" hidden="1">
      <c r="A3855" s="11" t="n">
        <v>46122</v>
      </c>
      <c r="B3855" t="inlineStr">
        <is>
          <t>Amanda Moura Ferreira</t>
        </is>
      </c>
      <c r="C3855" t="inlineStr">
        <is>
          <t>Técnico III</t>
        </is>
      </c>
      <c r="D3855" t="n">
        <v>0</v>
      </c>
      <c r="E3855" t="n">
        <v>0</v>
      </c>
      <c r="F3855" t="n">
        <v>0</v>
      </c>
      <c r="G3855" t="n">
        <v>0</v>
      </c>
      <c r="H3855" t="n">
        <v>0</v>
      </c>
      <c r="I3855" s="3" t="n">
        <v>0</v>
      </c>
      <c r="J3855" s="3" t="n">
        <v>0</v>
      </c>
      <c r="K3855" s="3" t="n">
        <v>0</v>
      </c>
      <c r="L3855" s="3">
        <f>IF(K3855&lt;-5,"CRÍTICO",IF(K3855&lt;0,"ATENÇÃO",IF(K3855&lt;=5,"OPORTUNO","MUITO BOM")))</f>
        <v/>
      </c>
      <c r="M3855" t="n">
        <v>14</v>
      </c>
      <c r="N3855" t="n">
        <v>98.66</v>
      </c>
      <c r="O3855" t="n">
        <v>35.41666666666667</v>
      </c>
    </row>
    <row r="3856" hidden="1">
      <c r="A3856" s="11" t="n">
        <v>46122</v>
      </c>
      <c r="B3856" t="inlineStr">
        <is>
          <t>Ana Karollyne Souza Faria</t>
        </is>
      </c>
      <c r="C3856" t="inlineStr">
        <is>
          <t>Técnico I</t>
        </is>
      </c>
      <c r="D3856" t="n">
        <v>34</v>
      </c>
      <c r="E3856" t="n">
        <v>34</v>
      </c>
      <c r="F3856" t="n">
        <v>18.24</v>
      </c>
      <c r="G3856" t="n">
        <v>0</v>
      </c>
      <c r="H3856" t="n">
        <v>0</v>
      </c>
      <c r="I3856" s="3">
        <f>E3856+G3856+H3856</f>
        <v/>
      </c>
      <c r="J3856" s="3">
        <f>ROUND(MIN(IF(C3856="Técnico III",35,IF(C3856="Técnico II",28,IF(C3856="Técnico I",23,IF(C3856="JR",20,IF(C3856="Estágio",10,0))))),IF(C3856="Técnico III",SUMIFS($D:$D,$A:$A,$A3856,$B:$B,"&lt;&gt;Patrícia Karla de Sousa Araújo",$B:$B,"&lt;&gt;Lorena Dias de Araujo",$B:$B,"&lt;&gt;Lucas Luiz Romero")*(35/1083),IF(C3856="Técnico II",SUMIFS($D:$D,$A:$A,$A3856,$B:$B,"&lt;&gt;Patrícia Karla de Sousa Araújo",$B:$B,"&lt;&gt;Lorena Dias de Araujo",$B:$B,"&lt;&gt;Lucas Luiz Romero")*(28/1083),IF(C3856="Técnico I",SUMIFS($D:$D,$A:$A,$A3856,$B:$B,"&lt;&gt;Patrícia Karla de Sousa Araújo",$B:$B,"&lt;&gt;Lorena Dias de Araujo",$B:$B,"&lt;&gt;Lucas Luiz Romero")*(23/1083),IF(C3856="JR",SUMIFS($D:$D,$A:$A,$A3856,$B:$B,"&lt;&gt;Patrícia Karla de Sousa Araújo",$B:$B,"&lt;&gt;Lorena Dias de Araujo",$B:$B,"&lt;&gt;Lucas Luiz Romero")*(20/1083),IF(C3856="Estágio",SUMIFS($D:$D,$A:$A,$A3856,$B:$B,"&lt;&gt;Patrícia Karla de Sousa Araújo",$B:$B,"&lt;&gt;Lorena Dias de Araujo",$B:$B,"&lt;&gt;Lucas Luiz Romero")*(10/1083),0)))))),0)</f>
        <v/>
      </c>
      <c r="K3856" s="3">
        <f>I3856-J3856</f>
        <v/>
      </c>
      <c r="L3856" s="3">
        <f>IF(K3856&lt;-5,"CRÍTICO",IF(K3856&lt;0,"ATENÇÃO",IF(K3856&lt;=5,"OPORTUNO","MUITO BOM")))</f>
        <v/>
      </c>
      <c r="M3856" t="n">
        <v>32</v>
      </c>
      <c r="N3856" t="n">
        <v>99.31999999999999</v>
      </c>
      <c r="O3856" t="n">
        <v>30.6483300589391</v>
      </c>
    </row>
    <row r="3857" hidden="1">
      <c r="A3857" s="11" t="n">
        <v>46122</v>
      </c>
      <c r="B3857" t="inlineStr">
        <is>
          <t>Ana Paula Da Luz Silva Aleixo</t>
        </is>
      </c>
      <c r="C3857" t="inlineStr">
        <is>
          <t>Técnico III</t>
        </is>
      </c>
      <c r="D3857" t="n">
        <v>35</v>
      </c>
      <c r="E3857" t="n">
        <v>31</v>
      </c>
      <c r="F3857" t="n">
        <v>14.08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M3857" t="n">
        <v>30</v>
      </c>
      <c r="N3857" t="n">
        <v>100</v>
      </c>
      <c r="O3857" t="n">
        <v>27.80373831775701</v>
      </c>
    </row>
    <row r="3858" hidden="1">
      <c r="A3858" s="11" t="n">
        <v>46122</v>
      </c>
      <c r="B3858" t="inlineStr">
        <is>
          <t>Anna Luiza Rezende Tavares</t>
        </is>
      </c>
      <c r="C3858" t="inlineStr">
        <is>
          <t>Estágio</t>
        </is>
      </c>
      <c r="D3858" t="n">
        <v>14</v>
      </c>
      <c r="E3858" t="n">
        <v>14</v>
      </c>
      <c r="F3858" t="n">
        <v>18.22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M3858" t="n">
        <v>12</v>
      </c>
      <c r="N3858" t="n">
        <v>96.73999999999999</v>
      </c>
      <c r="O3858" t="n">
        <v>28.67647058823529</v>
      </c>
    </row>
    <row r="3859" hidden="1">
      <c r="A3859" s="11" t="n">
        <v>46122</v>
      </c>
      <c r="B3859" t="inlineStr">
        <is>
          <t>Brenda de Menezes Silva</t>
        </is>
      </c>
      <c r="C3859" t="inlineStr">
        <is>
          <t>Técnico II</t>
        </is>
      </c>
      <c r="D3859" t="n">
        <v>33</v>
      </c>
      <c r="E3859" t="n">
        <v>32</v>
      </c>
      <c r="F3859" t="n">
        <v>15.01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M3859" t="n">
        <v>30</v>
      </c>
      <c r="N3859" t="n">
        <v>98.81999999999999</v>
      </c>
      <c r="O3859" t="n">
        <v>30.74141048824593</v>
      </c>
    </row>
    <row r="3860" hidden="1">
      <c r="A3860" s="11" t="n">
        <v>46122</v>
      </c>
      <c r="B3860" t="inlineStr">
        <is>
          <t>Carlos Mateus Cassimiro Nunes</t>
        </is>
      </c>
      <c r="C3860" t="inlineStr">
        <is>
          <t>Técnico II</t>
        </is>
      </c>
      <c r="D3860" t="n">
        <v>22</v>
      </c>
      <c r="E3860" t="n">
        <v>21</v>
      </c>
      <c r="F3860" t="n">
        <v>22.23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M3860" t="n">
        <v>18</v>
      </c>
      <c r="N3860" t="n">
        <v>98.2</v>
      </c>
      <c r="O3860" t="n">
        <v>27.17086834733893</v>
      </c>
    </row>
    <row r="3861" hidden="1">
      <c r="A3861" s="11" t="n">
        <v>46122</v>
      </c>
      <c r="B3861" t="inlineStr">
        <is>
          <t>Claudio de Sousa Velasco Filho</t>
        </is>
      </c>
      <c r="C3861" t="inlineStr">
        <is>
          <t>Estágio</t>
        </is>
      </c>
      <c r="D3861" t="n">
        <v>6</v>
      </c>
      <c r="E3861" t="n">
        <v>6</v>
      </c>
      <c r="F3861" t="n">
        <v>23.44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M3861" t="n">
        <v>5</v>
      </c>
      <c r="N3861" t="n">
        <v>100</v>
      </c>
      <c r="O3861" t="n">
        <v>23.13432835820895</v>
      </c>
    </row>
    <row r="3862" hidden="1">
      <c r="A3862" s="11" t="n">
        <v>46122</v>
      </c>
      <c r="B3862" t="inlineStr">
        <is>
          <t>Clessiane Pereira dos Santos</t>
        </is>
      </c>
      <c r="C3862" t="inlineStr">
        <is>
          <t>Técnico I</t>
        </is>
      </c>
      <c r="D3862" t="n">
        <v>30</v>
      </c>
      <c r="E3862" t="n">
        <v>30</v>
      </c>
      <c r="F3862" t="n">
        <v>22.19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M3862" t="n">
        <v>29</v>
      </c>
      <c r="N3862" t="n">
        <v>96.3</v>
      </c>
      <c r="O3862" t="n">
        <v>32.21957040572792</v>
      </c>
    </row>
    <row r="3863" hidden="1">
      <c r="A3863" s="11" t="n">
        <v>46122</v>
      </c>
      <c r="B3863" t="inlineStr">
        <is>
          <t>Cristiane Ramos da Silva Rocha</t>
        </is>
      </c>
      <c r="C3863" t="inlineStr">
        <is>
          <t>Técnico III</t>
        </is>
      </c>
      <c r="D3863" t="n">
        <v>23</v>
      </c>
      <c r="E3863" t="n">
        <v>21</v>
      </c>
      <c r="F3863" t="n">
        <v>13.32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M3863" t="n">
        <v>20</v>
      </c>
      <c r="N3863" t="n">
        <v>93.75</v>
      </c>
      <c r="O3863" t="n">
        <v>26.81992337164751</v>
      </c>
    </row>
    <row r="3864" hidden="1">
      <c r="A3864" s="11" t="n">
        <v>46122</v>
      </c>
      <c r="B3864" t="inlineStr">
        <is>
          <t>Damyllis Lorraine de Oliveira Gonçalves</t>
        </is>
      </c>
      <c r="C3864" t="inlineStr">
        <is>
          <t>Técnico II</t>
        </is>
      </c>
      <c r="D3864" t="n">
        <v>31</v>
      </c>
      <c r="E3864" t="n">
        <v>27</v>
      </c>
      <c r="F3864" t="n">
        <v>16.5</v>
      </c>
      <c r="G3864" t="n">
        <v>0</v>
      </c>
      <c r="H3864" t="n">
        <v>0</v>
      </c>
      <c r="I3864" s="3" t="n">
        <v>0</v>
      </c>
      <c r="J3864" s="3" t="n">
        <v>0</v>
      </c>
      <c r="K3864" s="3" t="n">
        <v>0</v>
      </c>
      <c r="L3864" s="3">
        <f>IF(K3864&lt;-5,"CRÍTICO",IF(K3864&lt;0,"ATENÇÃO",IF(K3864&lt;=5,"OPORTUNO","MUITO BOM")))</f>
        <v/>
      </c>
      <c r="M3864" t="n">
        <v>28</v>
      </c>
      <c r="N3864" t="n">
        <v>97.86</v>
      </c>
      <c r="O3864" t="n">
        <v>31.01851851851852</v>
      </c>
    </row>
    <row r="3865" hidden="1">
      <c r="A3865" s="11" t="n">
        <v>46122</v>
      </c>
      <c r="B3865" t="inlineStr">
        <is>
          <t>Daniel Gomes da Silva</t>
        </is>
      </c>
      <c r="C3865" t="inlineStr">
        <is>
          <t>Técnico I</t>
        </is>
      </c>
      <c r="D3865" t="n">
        <v>18</v>
      </c>
      <c r="E3865" t="n">
        <v>18</v>
      </c>
      <c r="F3865" t="n">
        <v>17.09</v>
      </c>
      <c r="G3865" t="n">
        <v>0</v>
      </c>
      <c r="H3865" t="n">
        <v>0</v>
      </c>
      <c r="I3865" s="3">
        <f>E3865+G3865+H3865</f>
        <v/>
      </c>
      <c r="J3865" s="3">
        <f>ROUND(MIN(IF(C3865="Técnico III",35,IF(C3865="Técnico II",28,IF(C3865="Técnico I",23,IF(C3865="JR",20,IF(C3865="Estágio",10,0))))),IF(C3865="Técnico III",SUMIFS($D:$D,$A:$A,$A3865,$B:$B,"&lt;&gt;Patrícia Karla de Sousa Araújo",$B:$B,"&lt;&gt;Lorena Dias de Araujo",$B:$B,"&lt;&gt;Lucas Luiz Romero")*(35/1083),IF(C3865="Técnico II",SUMIFS($D:$D,$A:$A,$A3865,$B:$B,"&lt;&gt;Patrícia Karla de Sousa Araújo",$B:$B,"&lt;&gt;Lorena Dias de Araujo",$B:$B,"&lt;&gt;Lucas Luiz Romero")*(28/1083),IF(C3865="Técnico I",SUMIFS($D:$D,$A:$A,$A3865,$B:$B,"&lt;&gt;Patrícia Karla de Sousa Araújo",$B:$B,"&lt;&gt;Lorena Dias de Araujo",$B:$B,"&lt;&gt;Lucas Luiz Romero")*(23/1083),IF(C3865="JR",SUMIFS($D:$D,$A:$A,$A3865,$B:$B,"&lt;&gt;Patrícia Karla de Sousa Araújo",$B:$B,"&lt;&gt;Lorena Dias de Araujo",$B:$B,"&lt;&gt;Lucas Luiz Romero")*(20/1083),IF(C3865="Estágio",SUMIFS($D:$D,$A:$A,$A3865,$B:$B,"&lt;&gt;Patrícia Karla de Sousa Araújo",$B:$B,"&lt;&gt;Lorena Dias de Araujo",$B:$B,"&lt;&gt;Lucas Luiz Romero")*(10/1083),0)))))),0)</f>
        <v/>
      </c>
      <c r="K3865" s="3">
        <f>I3865-J3865</f>
        <v/>
      </c>
      <c r="L3865" s="3">
        <f>IF(K3865&lt;-5,"CRÍTICO",IF(K3865&lt;0,"ATENÇÃO",IF(K3865&lt;=5,"OPORTUNO","MUITO BOM")))</f>
        <v/>
      </c>
      <c r="M3865" t="n">
        <v>13</v>
      </c>
      <c r="N3865" t="n">
        <v>100</v>
      </c>
      <c r="O3865" t="n">
        <v>36.59420289855073</v>
      </c>
    </row>
    <row r="3866" hidden="1">
      <c r="A3866" s="11" t="n">
        <v>46122</v>
      </c>
      <c r="B3866" t="inlineStr">
        <is>
          <t>Davylla Rodrigues Freitas Silva</t>
        </is>
      </c>
      <c r="C3866" t="inlineStr">
        <is>
          <t>Técnico III</t>
        </is>
      </c>
      <c r="D3866" t="n">
        <v>26</v>
      </c>
      <c r="E3866" t="n">
        <v>26</v>
      </c>
      <c r="F3866" t="n">
        <v>21.59</v>
      </c>
      <c r="G3866" t="n">
        <v>0</v>
      </c>
      <c r="H3866" t="n">
        <v>0</v>
      </c>
      <c r="I3866" s="3" t="n">
        <v>0</v>
      </c>
      <c r="J3866" s="3" t="n">
        <v>0</v>
      </c>
      <c r="K3866" s="3" t="n">
        <v>0</v>
      </c>
      <c r="L3866" s="3">
        <f>IF(K3866&lt;-5,"CRÍTICO",IF(K3866&lt;0,"ATENÇÃO",IF(K3866&lt;=5,"OPORTUNO","MUITO BOM")))</f>
        <v/>
      </c>
      <c r="M3866" t="n">
        <v>27</v>
      </c>
      <c r="N3866" t="n">
        <v>100</v>
      </c>
      <c r="O3866" t="n">
        <v>38.65384615384615</v>
      </c>
    </row>
    <row r="3867" hidden="1">
      <c r="A3867" s="11" t="n">
        <v>46122</v>
      </c>
      <c r="B3867" t="inlineStr">
        <is>
          <t>Emilly Caylane Costa</t>
        </is>
      </c>
      <c r="C3867" t="inlineStr">
        <is>
          <t>Estágio</t>
        </is>
      </c>
      <c r="D3867" t="n">
        <v>4</v>
      </c>
      <c r="E3867" t="n">
        <v>4</v>
      </c>
      <c r="F3867" t="n">
        <v>60.55</v>
      </c>
      <c r="G3867" t="n">
        <v>0</v>
      </c>
      <c r="H3867" t="n">
        <v>0</v>
      </c>
      <c r="I3867" s="3">
        <f>E3867+G3867+H3867</f>
        <v/>
      </c>
      <c r="J3867" s="3">
        <f>ROUND(MIN(IF(C3867="Técnico III",35,IF(C3867="Técnico II",28,IF(C3867="Técnico I",23,IF(C3867="JR",20,IF(C3867="Estágio",10,0))))),IF(C3867="Técnico III",SUMIFS($D:$D,$A:$A,$A3867,$B:$B,"&lt;&gt;Patrícia Karla de Sousa Araújo",$B:$B,"&lt;&gt;Lorena Dias de Araujo",$B:$B,"&lt;&gt;Lucas Luiz Romero")*(35/1083),IF(C3867="Técnico II",SUMIFS($D:$D,$A:$A,$A3867,$B:$B,"&lt;&gt;Patrícia Karla de Sousa Araújo",$B:$B,"&lt;&gt;Lorena Dias de Araujo",$B:$B,"&lt;&gt;Lucas Luiz Romero")*(28/1083),IF(C3867="Técnico I",SUMIFS($D:$D,$A:$A,$A3867,$B:$B,"&lt;&gt;Patrícia Karla de Sousa Araújo",$B:$B,"&lt;&gt;Lorena Dias de Araujo",$B:$B,"&lt;&gt;Lucas Luiz Romero")*(23/1083),IF(C3867="JR",SUMIFS($D:$D,$A:$A,$A3867,$B:$B,"&lt;&gt;Patrícia Karla de Sousa Araújo",$B:$B,"&lt;&gt;Lorena Dias de Araujo",$B:$B,"&lt;&gt;Lucas Luiz Romero")*(20/1083),IF(C3867="Estágio",SUMIFS($D:$D,$A:$A,$A3867,$B:$B,"&lt;&gt;Patrícia Karla de Sousa Araújo",$B:$B,"&lt;&gt;Lorena Dias de Araujo",$B:$B,"&lt;&gt;Lucas Luiz Romero")*(10/1083),0)))))),0)</f>
        <v/>
      </c>
      <c r="K3867" s="3">
        <f>I3867-J3867</f>
        <v/>
      </c>
      <c r="L3867" s="3">
        <f>IF(K3867&lt;-5,"CRÍTICO",IF(K3867&lt;0,"ATENÇÃO",IF(K3867&lt;=5,"OPORTUNO","MUITO BOM")))</f>
        <v/>
      </c>
      <c r="M3867" t="n">
        <v>3</v>
      </c>
      <c r="N3867" t="n">
        <v>100</v>
      </c>
      <c r="O3867" t="n">
        <v>27.36842105263158</v>
      </c>
    </row>
    <row r="3868" hidden="1">
      <c r="A3868" s="11" t="n">
        <v>46122</v>
      </c>
      <c r="B3868" t="inlineStr">
        <is>
          <t>Emilly Kamilly Medeiros Miranda</t>
        </is>
      </c>
      <c r="C3868" t="inlineStr">
        <is>
          <t>Técnico II</t>
        </is>
      </c>
      <c r="D3868" t="n">
        <v>24</v>
      </c>
      <c r="E3868" t="n">
        <v>23</v>
      </c>
      <c r="F3868" t="n">
        <v>20.32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M3868" t="n">
        <v>22</v>
      </c>
      <c r="N3868" t="n">
        <v>97.83</v>
      </c>
      <c r="O3868" t="n">
        <v>28.35164835164835</v>
      </c>
    </row>
    <row r="3869" hidden="1">
      <c r="A3869" s="11" t="n">
        <v>46122</v>
      </c>
      <c r="B3869" t="inlineStr">
        <is>
          <t>Francielson de Oliveira</t>
        </is>
      </c>
      <c r="C3869" t="inlineStr">
        <is>
          <t>Técnico III</t>
        </is>
      </c>
      <c r="D3869" t="n">
        <v>32</v>
      </c>
      <c r="E3869" t="n">
        <v>31</v>
      </c>
      <c r="F3869" t="n">
        <v>11.47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M3869" t="n">
        <v>32</v>
      </c>
      <c r="N3869" t="n">
        <v>99.26000000000001</v>
      </c>
      <c r="O3869" t="n">
        <v>29.76653696498055</v>
      </c>
    </row>
    <row r="3870" hidden="1">
      <c r="A3870" s="11" t="n">
        <v>46122</v>
      </c>
      <c r="B3870" t="inlineStr">
        <is>
          <t>Francilene Ferreira de Jesus</t>
        </is>
      </c>
      <c r="C3870" t="inlineStr">
        <is>
          <t>Técnico II</t>
        </is>
      </c>
      <c r="D3870" t="n">
        <v>21</v>
      </c>
      <c r="E3870" t="n">
        <v>21</v>
      </c>
      <c r="F3870" t="n">
        <v>28.27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M3870" t="n">
        <v>14</v>
      </c>
      <c r="N3870" t="n">
        <v>99.19</v>
      </c>
      <c r="O3870" t="n">
        <v>29.46236559139785</v>
      </c>
    </row>
    <row r="3871" hidden="1">
      <c r="A3871" s="11" t="n">
        <v>46167</v>
      </c>
      <c r="B3871" t="inlineStr">
        <is>
          <t>Jessica Faria da Silveira</t>
        </is>
      </c>
      <c r="C3871" t="inlineStr">
        <is>
          <t>Técnico II</t>
        </is>
      </c>
      <c r="D3871" s="3" t="n">
        <v>21</v>
      </c>
      <c r="E3871" s="3" t="n">
        <v>17</v>
      </c>
      <c r="F3871" s="3" t="n">
        <v>17.19</v>
      </c>
      <c r="G3871" s="3" t="n">
        <v>0</v>
      </c>
      <c r="H3871" s="3" t="n">
        <v>0</v>
      </c>
      <c r="I3871" s="3" t="n">
        <v>0</v>
      </c>
      <c r="J3871" s="3" t="n">
        <v>0</v>
      </c>
      <c r="K3871" s="3" t="n">
        <v>0</v>
      </c>
      <c r="L3871" s="3">
        <f>IF(K3871&lt;-5,"CRÍTICO",IF(K3871&lt;0,"ATENÇÃO",IF(K3871&lt;=5,"OPORTUNO","MUITO BOM")))</f>
        <v/>
      </c>
      <c r="M3871" s="3" t="n">
        <v>17</v>
      </c>
      <c r="N3871" s="3" t="n">
        <v>98.94</v>
      </c>
      <c r="O3871" s="3" t="n">
        <v>21.2707182320442</v>
      </c>
    </row>
    <row r="3872" hidden="1">
      <c r="A3872" s="11" t="n">
        <v>46122</v>
      </c>
      <c r="B3872" t="inlineStr">
        <is>
          <t>Isabella Borges de Oliveira</t>
        </is>
      </c>
      <c r="C3872" t="inlineStr">
        <is>
          <t>Técnico II</t>
        </is>
      </c>
      <c r="D3872" t="n">
        <v>0</v>
      </c>
      <c r="E3872" t="n">
        <v>0</v>
      </c>
      <c r="F3872" t="n">
        <v>0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  <c r="M3872" t="n">
        <v>1</v>
      </c>
      <c r="N3872" t="n">
        <v>100</v>
      </c>
      <c r="O3872" t="n">
        <v>28.92156862745098</v>
      </c>
    </row>
    <row r="3873" hidden="1">
      <c r="A3873" s="11" t="n">
        <v>46122</v>
      </c>
      <c r="B3873" t="inlineStr">
        <is>
          <t>Janaina Lima dos Reis Urany</t>
        </is>
      </c>
      <c r="C3873" t="inlineStr">
        <is>
          <t>Técnico III</t>
        </is>
      </c>
      <c r="D3873" t="n">
        <v>33</v>
      </c>
      <c r="E3873" t="n">
        <v>32</v>
      </c>
      <c r="F3873" t="n">
        <v>15.4</v>
      </c>
      <c r="G3873" t="n">
        <v>0</v>
      </c>
      <c r="H3873" t="n">
        <v>0</v>
      </c>
      <c r="I3873" s="3">
        <f>E3873+G3873+H3873</f>
        <v/>
      </c>
      <c r="J3873" s="3">
        <f>ROUND(MIN(IF(C3873="Técnico III",35,IF(C3873="Técnico II",28,IF(C3873="Técnico I",23,IF(C3873="JR",20,IF(C3873="Estágio",10,0))))),IF(C3873="Técnico III",SUMIFS($D:$D,$A:$A,$A3873,$B:$B,"&lt;&gt;Patrícia Karla de Sousa Araújo",$B:$B,"&lt;&gt;Lorena Dias de Araujo",$B:$B,"&lt;&gt;Lucas Luiz Romero")*(35/1083),IF(C3873="Técnico II",SUMIFS($D:$D,$A:$A,$A3873,$B:$B,"&lt;&gt;Patrícia Karla de Sousa Araújo",$B:$B,"&lt;&gt;Lorena Dias de Araujo",$B:$B,"&lt;&gt;Lucas Luiz Romero")*(28/1083),IF(C3873="Técnico I",SUMIFS($D:$D,$A:$A,$A3873,$B:$B,"&lt;&gt;Patrícia Karla de Sousa Araújo",$B:$B,"&lt;&gt;Lorena Dias de Araujo",$B:$B,"&lt;&gt;Lucas Luiz Romero")*(23/1083),IF(C3873="JR",SUMIFS($D:$D,$A:$A,$A3873,$B:$B,"&lt;&gt;Patrícia Karla de Sousa Araújo",$B:$B,"&lt;&gt;Lorena Dias de Araujo",$B:$B,"&lt;&gt;Lucas Luiz Romero")*(20/1083),IF(C3873="Estágio",SUMIFS($D:$D,$A:$A,$A3873,$B:$B,"&lt;&gt;Patrícia Karla de Sousa Araújo",$B:$B,"&lt;&gt;Lorena Dias de Araujo",$B:$B,"&lt;&gt;Lucas Luiz Romero")*(10/1083),0)))))),0)</f>
        <v/>
      </c>
      <c r="K3873" s="3">
        <f>I3873-J3873</f>
        <v/>
      </c>
      <c r="L3873" s="3">
        <f>IF(K3873&lt;-5,"CRÍTICO",IF(K3873&lt;0,"ATENÇÃO",IF(K3873&lt;=5,"OPORTUNO","MUITO BOM")))</f>
        <v/>
      </c>
      <c r="M3873" t="n">
        <v>31</v>
      </c>
      <c r="N3873" t="n">
        <v>99.56999999999999</v>
      </c>
      <c r="O3873" t="n">
        <v>30.63583815028902</v>
      </c>
    </row>
    <row r="3874" hidden="1">
      <c r="A3874" s="11" t="n">
        <v>46122</v>
      </c>
      <c r="B3874" t="inlineStr">
        <is>
          <t>Jaqueline Evangelista da Silva Martins</t>
        </is>
      </c>
      <c r="C3874" t="inlineStr">
        <is>
          <t>Técnico III</t>
        </is>
      </c>
      <c r="D3874" t="n">
        <v>0</v>
      </c>
      <c r="E3874" t="n">
        <v>0</v>
      </c>
      <c r="F3874" t="n">
        <v>0</v>
      </c>
      <c r="G3874" t="n">
        <v>0</v>
      </c>
      <c r="H3874" t="n">
        <v>0</v>
      </c>
      <c r="I3874" s="3" t="n">
        <v>0</v>
      </c>
      <c r="J3874" s="3" t="n">
        <v>0</v>
      </c>
      <c r="K3874" s="3" t="n">
        <v>0</v>
      </c>
      <c r="L3874" s="3">
        <f>IF(K3874&lt;-5,"CRÍTICO",IF(K3874&lt;0,"ATENÇÃO",IF(K3874&lt;=5,"OPORTUNO","MUITO BOM")))</f>
        <v/>
      </c>
      <c r="M3874" t="n">
        <v>0</v>
      </c>
      <c r="N3874" t="n">
        <v>95.65000000000001</v>
      </c>
      <c r="O3874" t="n">
        <v>32.43243243243244</v>
      </c>
    </row>
    <row r="3875" hidden="1">
      <c r="A3875" s="11" t="n">
        <v>46122</v>
      </c>
      <c r="B3875" t="inlineStr">
        <is>
          <t>Jessica Faria da Silveira</t>
        </is>
      </c>
      <c r="C3875" t="inlineStr">
        <is>
          <t>Técnico II</t>
        </is>
      </c>
      <c r="D3875" t="n">
        <v>20</v>
      </c>
      <c r="E3875" t="n">
        <v>17</v>
      </c>
      <c r="F3875" t="n">
        <v>20</v>
      </c>
      <c r="G3875" t="n">
        <v>0</v>
      </c>
      <c r="H3875" t="n">
        <v>0</v>
      </c>
      <c r="I3875" s="3">
        <f>E3875+G3875+H3875</f>
        <v/>
      </c>
      <c r="J3875" s="3">
        <f>ROUND(MIN(IF(C3875="Técnico III",35,IF(C3875="Técnico II",28,IF(C3875="Técnico I",23,IF(C3875="JR",20,IF(C3875="Estágio",10,0))))),IF(C3875="Técnico III",SUMIFS($D:$D,$A:$A,$A3875,$B:$B,"&lt;&gt;Patrícia Karla de Sousa Araújo",$B:$B,"&lt;&gt;Lorena Dias de Araujo",$B:$B,"&lt;&gt;Lucas Luiz Romero")*(35/1083),IF(C3875="Técnico II",SUMIFS($D:$D,$A:$A,$A3875,$B:$B,"&lt;&gt;Patrícia Karla de Sousa Araújo",$B:$B,"&lt;&gt;Lorena Dias de Araujo",$B:$B,"&lt;&gt;Lucas Luiz Romero")*(28/1083),IF(C3875="Técnico I",SUMIFS($D:$D,$A:$A,$A3875,$B:$B,"&lt;&gt;Patrícia Karla de Sousa Araújo",$B:$B,"&lt;&gt;Lorena Dias de Araujo",$B:$B,"&lt;&gt;Lucas Luiz Romero")*(23/1083),IF(C3875="JR",SUMIFS($D:$D,$A:$A,$A3875,$B:$B,"&lt;&gt;Patrícia Karla de Sousa Araújo",$B:$B,"&lt;&gt;Lorena Dias de Araujo",$B:$B,"&lt;&gt;Lucas Luiz Romero")*(20/1083),IF(C3875="Estágio",SUMIFS($D:$D,$A:$A,$A3875,$B:$B,"&lt;&gt;Patrícia Karla de Sousa Araújo",$B:$B,"&lt;&gt;Lorena Dias de Araujo",$B:$B,"&lt;&gt;Lucas Luiz Romero")*(10/1083),0)))))),0)</f>
        <v/>
      </c>
      <c r="K3875" s="3">
        <f>I3875-J3875</f>
        <v/>
      </c>
      <c r="L3875" s="3">
        <f>IF(K3875&lt;-5,"CRÍTICO",IF(K3875&lt;0,"ATENÇÃO",IF(K3875&lt;=5,"OPORTUNO","MUITO BOM")))</f>
        <v/>
      </c>
      <c r="M3875" t="n">
        <v>16</v>
      </c>
      <c r="N3875" t="n">
        <v>98.81</v>
      </c>
      <c r="O3875" t="n">
        <v>26.25698324022346</v>
      </c>
    </row>
    <row r="3876" hidden="1">
      <c r="A3876" s="11" t="n">
        <v>46122</v>
      </c>
      <c r="B3876" t="inlineStr">
        <is>
          <t>Jéssica Fé Moura</t>
        </is>
      </c>
      <c r="C3876" t="inlineStr">
        <is>
          <t>Técnico III</t>
        </is>
      </c>
      <c r="D3876" t="n">
        <v>0</v>
      </c>
      <c r="E3876" t="n">
        <v>0</v>
      </c>
      <c r="F3876" t="n">
        <v>0</v>
      </c>
      <c r="G3876" t="n">
        <v>0</v>
      </c>
      <c r="H3876" t="n">
        <v>0</v>
      </c>
      <c r="I3876" s="3" t="n">
        <v>0</v>
      </c>
      <c r="J3876" s="3" t="n">
        <v>0</v>
      </c>
      <c r="K3876" s="3" t="n">
        <v>0</v>
      </c>
      <c r="L3876" s="3">
        <f>IF(K3876&lt;-5,"CRÍTICO",IF(K3876&lt;0,"ATENÇÃO",IF(K3876&lt;=5,"OPORTUNO","MUITO BOM")))</f>
        <v/>
      </c>
      <c r="M3876" t="n">
        <v>0</v>
      </c>
      <c r="N3876" t="n">
        <v>0</v>
      </c>
      <c r="O3876" t="n">
        <v>0</v>
      </c>
    </row>
    <row r="3877" hidden="1">
      <c r="A3877" s="11" t="n">
        <v>46122</v>
      </c>
      <c r="B3877" t="inlineStr">
        <is>
          <t>Karina Gonçalves Martins</t>
        </is>
      </c>
      <c r="C3877" t="inlineStr">
        <is>
          <t>JR</t>
        </is>
      </c>
      <c r="D3877" t="n">
        <v>17</v>
      </c>
      <c r="E3877" t="n">
        <v>16</v>
      </c>
      <c r="F3877" t="n">
        <v>22.3</v>
      </c>
      <c r="G3877" t="n">
        <v>0</v>
      </c>
      <c r="H3877" t="n">
        <v>0</v>
      </c>
      <c r="I3877" s="3">
        <f>E3877+G3877+H3877</f>
        <v/>
      </c>
      <c r="J3877" s="3">
        <f>ROUND(MIN(IF(C3877="Técnico III",35,IF(C3877="Técnico II",28,IF(C3877="Técnico I",23,IF(C3877="JR",20,IF(C3877="Estágio",10,0))))),IF(C3877="Técnico III",SUMIFS($D:$D,$A:$A,$A3877,$B:$B,"&lt;&gt;Patrícia Karla de Sousa Araújo",$B:$B,"&lt;&gt;Lorena Dias de Araujo",$B:$B,"&lt;&gt;Lucas Luiz Romero")*(35/1083),IF(C3877="Técnico II",SUMIFS($D:$D,$A:$A,$A3877,$B:$B,"&lt;&gt;Patrícia Karla de Sousa Araújo",$B:$B,"&lt;&gt;Lorena Dias de Araujo",$B:$B,"&lt;&gt;Lucas Luiz Romero")*(28/1083),IF(C3877="Técnico I",SUMIFS($D:$D,$A:$A,$A3877,$B:$B,"&lt;&gt;Patrícia Karla de Sousa Araújo",$B:$B,"&lt;&gt;Lorena Dias de Araujo",$B:$B,"&lt;&gt;Lucas Luiz Romero")*(23/1083),IF(C3877="JR",SUMIFS($D:$D,$A:$A,$A3877,$B:$B,"&lt;&gt;Patrícia Karla de Sousa Araújo",$B:$B,"&lt;&gt;Lorena Dias de Araujo",$B:$B,"&lt;&gt;Lucas Luiz Romero")*(20/1083),IF(C3877="Estágio",SUMIFS($D:$D,$A:$A,$A3877,$B:$B,"&lt;&gt;Patrícia Karla de Sousa Araújo",$B:$B,"&lt;&gt;Lorena Dias de Araujo",$B:$B,"&lt;&gt;Lucas Luiz Romero")*(10/1083),0)))))),0)</f>
        <v/>
      </c>
      <c r="K3877" s="3">
        <f>I3877-J3877</f>
        <v/>
      </c>
      <c r="L3877" s="3">
        <f>IF(K3877&lt;-5,"CRÍTICO",IF(K3877&lt;0,"ATENÇÃO",IF(K3877&lt;=5,"OPORTUNO","MUITO BOM")))</f>
        <v/>
      </c>
      <c r="M3877" t="n">
        <v>15</v>
      </c>
      <c r="N3877" t="n">
        <v>97.17</v>
      </c>
      <c r="O3877" t="n">
        <v>28.81844380403458</v>
      </c>
    </row>
    <row r="3878" hidden="1">
      <c r="A3878" s="11" t="n">
        <v>46122</v>
      </c>
      <c r="B3878" t="inlineStr">
        <is>
          <t>Kerollen Cristielly de Jesus Siqueira</t>
        </is>
      </c>
      <c r="C3878" t="inlineStr">
        <is>
          <t>Técnico III</t>
        </is>
      </c>
      <c r="D3878" t="n">
        <v>16</v>
      </c>
      <c r="E3878" t="n">
        <v>15</v>
      </c>
      <c r="F3878" t="n">
        <v>21.46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M3878" t="n">
        <v>14</v>
      </c>
      <c r="N3878" t="n">
        <v>96.81</v>
      </c>
      <c r="O3878" t="n">
        <v>48.01864801864802</v>
      </c>
    </row>
    <row r="3879" hidden="1">
      <c r="A3879" s="11" t="n">
        <v>46122</v>
      </c>
      <c r="B3879" t="inlineStr">
        <is>
          <t>Leandro de Souza Silva</t>
        </is>
      </c>
      <c r="C3879" t="inlineStr">
        <is>
          <t>JR</t>
        </is>
      </c>
      <c r="D3879" t="n">
        <v>12</v>
      </c>
      <c r="E3879" t="n">
        <v>11</v>
      </c>
      <c r="F3879" t="n">
        <v>26.5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M3879" t="n">
        <v>8</v>
      </c>
      <c r="N3879" t="n">
        <v>98.15000000000001</v>
      </c>
      <c r="O3879" t="n">
        <v>27.1551724137931</v>
      </c>
    </row>
    <row r="3880" hidden="1">
      <c r="A3880" s="11" t="n">
        <v>46122</v>
      </c>
      <c r="B3880" t="inlineStr">
        <is>
          <t>Leandro Oliveira de Sousa</t>
        </is>
      </c>
      <c r="C3880" t="inlineStr">
        <is>
          <t>Técnico III</t>
        </is>
      </c>
      <c r="D3880" t="n">
        <v>27</v>
      </c>
      <c r="E3880" t="n">
        <v>26</v>
      </c>
      <c r="F3880" t="n">
        <v>14.11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M3880" t="n">
        <v>26</v>
      </c>
      <c r="N3880" t="n">
        <v>99.15000000000001</v>
      </c>
      <c r="O3880" t="n">
        <v>27.58620689655172</v>
      </c>
    </row>
    <row r="3881" hidden="1">
      <c r="A3881" s="11" t="n">
        <v>46122</v>
      </c>
      <c r="B3881" t="inlineStr">
        <is>
          <t>Lizandra Gomes Duarte</t>
        </is>
      </c>
      <c r="C3881" t="inlineStr">
        <is>
          <t>Técnico II</t>
        </is>
      </c>
      <c r="D3881" t="n">
        <v>24</v>
      </c>
      <c r="E3881" t="n">
        <v>19</v>
      </c>
      <c r="F3881" t="n">
        <v>17.28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M3881" t="n">
        <v>16</v>
      </c>
      <c r="N3881" t="n">
        <v>99.17</v>
      </c>
      <c r="O3881" t="n">
        <v>29.75206611570248</v>
      </c>
    </row>
    <row r="3882" hidden="1">
      <c r="A3882" s="11" t="n">
        <v>46122</v>
      </c>
      <c r="B3882" t="inlineStr">
        <is>
          <t>Lorena Dias de Araujo</t>
        </is>
      </c>
      <c r="C3882" t="inlineStr">
        <is>
          <t>Técnico II</t>
        </is>
      </c>
      <c r="D3882" t="n">
        <v>11</v>
      </c>
      <c r="E3882" t="n">
        <v>10</v>
      </c>
      <c r="F3882" t="n">
        <v>22.28</v>
      </c>
      <c r="G3882" t="n">
        <v>0</v>
      </c>
      <c r="H3882" t="n">
        <v>0</v>
      </c>
      <c r="I3882" s="3" t="n">
        <v>0</v>
      </c>
      <c r="J3882" s="3" t="n">
        <v>0</v>
      </c>
      <c r="K3882" s="3" t="n">
        <v>0</v>
      </c>
      <c r="L3882" s="3">
        <f>IF(K3882&lt;-5,"CRÍTICO",IF(K3882&lt;0,"ATENÇÃO",IF(K3882&lt;=5,"OPORTUNO","MUITO BOM")))</f>
        <v/>
      </c>
      <c r="M3882" t="n">
        <v>8</v>
      </c>
      <c r="N3882" t="n">
        <v>98.73</v>
      </c>
      <c r="O3882" t="n">
        <v>28.96174863387978</v>
      </c>
    </row>
    <row r="3883" hidden="1">
      <c r="A3883" s="11" t="n">
        <v>46122</v>
      </c>
      <c r="B3883" t="inlineStr">
        <is>
          <t>Lucas Luiz Romero</t>
        </is>
      </c>
      <c r="C3883" t="inlineStr">
        <is>
          <t>Técnico III</t>
        </is>
      </c>
      <c r="D3883" t="n">
        <v>40</v>
      </c>
      <c r="E3883" t="n">
        <v>37</v>
      </c>
      <c r="F3883" t="n">
        <v>12.14</v>
      </c>
      <c r="G3883" t="n">
        <v>0</v>
      </c>
      <c r="H3883" t="n">
        <v>0</v>
      </c>
      <c r="I3883" s="3">
        <f>E3883+G3883+H3883</f>
        <v/>
      </c>
      <c r="J3883" s="3">
        <f>ROUND(MIN(IF(C3883="Técnico III",35,IF(C3883="Técnico II",28,IF(C3883="Técnico I",23,IF(C3883="JR",20,IF(C3883="Estágio",10,0))))),IF(C3883="Técnico III",SUMIFS($D:$D,$A:$A,$A3883,$B:$B,"&lt;&gt;Patrícia Karla de Sousa Araújo",$B:$B,"&lt;&gt;Lorena Dias de Araujo",$B:$B,"&lt;&gt;Lucas Luiz Romero")*(35/1083),IF(C3883="Técnico II",SUMIFS($D:$D,$A:$A,$A3883,$B:$B,"&lt;&gt;Patrícia Karla de Sousa Araújo",$B:$B,"&lt;&gt;Lorena Dias de Araujo",$B:$B,"&lt;&gt;Lucas Luiz Romero")*(28/1083),IF(C3883="Técnico I",SUMIFS($D:$D,$A:$A,$A3883,$B:$B,"&lt;&gt;Patrícia Karla de Sousa Araújo",$B:$B,"&lt;&gt;Lorena Dias de Araujo",$B:$B,"&lt;&gt;Lucas Luiz Romero")*(23/1083),IF(C3883="JR",SUMIFS($D:$D,$A:$A,$A3883,$B:$B,"&lt;&gt;Patrícia Karla de Sousa Araújo",$B:$B,"&lt;&gt;Lorena Dias de Araujo",$B:$B,"&lt;&gt;Lucas Luiz Romero")*(20/1083),IF(C3883="Estágio",SUMIFS($D:$D,$A:$A,$A3883,$B:$B,"&lt;&gt;Patrícia Karla de Sousa Araújo",$B:$B,"&lt;&gt;Lorena Dias de Araujo",$B:$B,"&lt;&gt;Lucas Luiz Romero")*(10/1083),0)))))),0)</f>
        <v/>
      </c>
      <c r="K3883" s="3">
        <f>I3883-J3883</f>
        <v/>
      </c>
      <c r="L3883" s="3">
        <f>IF(K3883&lt;-5,"CRÍTICO",IF(K3883&lt;0,"ATENÇÃO",IF(K3883&lt;=5,"OPORTUNO","MUITO BOM")))</f>
        <v/>
      </c>
      <c r="M3883" t="n">
        <v>28</v>
      </c>
      <c r="N3883" t="n">
        <v>88.68000000000001</v>
      </c>
      <c r="O3883" t="n">
        <v>22.03389830508474</v>
      </c>
    </row>
    <row r="3884" hidden="1">
      <c r="A3884" s="11" t="n">
        <v>46122</v>
      </c>
      <c r="B3884" t="inlineStr">
        <is>
          <t>Luiz Fernando de Carvalho Junior</t>
        </is>
      </c>
      <c r="C3884" t="inlineStr">
        <is>
          <t>Técnico I</t>
        </is>
      </c>
      <c r="D3884" t="n">
        <v>19</v>
      </c>
      <c r="E3884" t="n">
        <v>18</v>
      </c>
      <c r="F3884" t="n">
        <v>20.5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M3884" t="n">
        <v>21</v>
      </c>
      <c r="N3884" t="n">
        <v>97.37</v>
      </c>
      <c r="O3884" t="n">
        <v>25.76530612244898</v>
      </c>
    </row>
    <row r="3885" hidden="1">
      <c r="A3885" s="11" t="n">
        <v>46122</v>
      </c>
      <c r="B3885" t="inlineStr">
        <is>
          <t>Maria Eduarda Sousa Costa</t>
        </is>
      </c>
      <c r="C3885" t="inlineStr">
        <is>
          <t>Estágio</t>
        </is>
      </c>
      <c r="D3885" t="n">
        <v>18</v>
      </c>
      <c r="E3885" t="n">
        <v>18</v>
      </c>
      <c r="F3885" t="n">
        <v>25.36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M3885" t="n">
        <v>15</v>
      </c>
      <c r="N3885" t="n">
        <v>100</v>
      </c>
      <c r="O3885" t="n">
        <v>25</v>
      </c>
    </row>
    <row r="3886" hidden="1">
      <c r="A3886" s="11" t="n">
        <v>46122</v>
      </c>
      <c r="B3886" t="inlineStr">
        <is>
          <t>Matheus Farias De Souza</t>
        </is>
      </c>
      <c r="C3886" t="inlineStr">
        <is>
          <t>Técnico III</t>
        </is>
      </c>
      <c r="D3886" t="n">
        <v>13</v>
      </c>
      <c r="E3886" t="n">
        <v>11</v>
      </c>
      <c r="F3886" t="n">
        <v>18.43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M3886" t="n">
        <v>19</v>
      </c>
      <c r="N3886" t="n">
        <v>100</v>
      </c>
      <c r="O3886" t="n">
        <v>23.9870340356564</v>
      </c>
    </row>
    <row r="3887" hidden="1">
      <c r="A3887" s="11" t="n">
        <v>46122</v>
      </c>
      <c r="B3887" t="inlineStr">
        <is>
          <t>Maysa Victoria Dias Moura</t>
        </is>
      </c>
      <c r="C3887" t="inlineStr">
        <is>
          <t>Técnico III</t>
        </is>
      </c>
      <c r="D3887" t="n">
        <v>26</v>
      </c>
      <c r="E3887" t="n">
        <v>23</v>
      </c>
      <c r="F3887" t="n">
        <v>16.52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M3887" t="n">
        <v>22</v>
      </c>
      <c r="N3887" t="n">
        <v>95.48999999999999</v>
      </c>
      <c r="O3887" t="n">
        <v>28.37022132796781</v>
      </c>
    </row>
    <row r="3888" hidden="1">
      <c r="A3888" s="11" t="n">
        <v>46122</v>
      </c>
      <c r="B3888" t="inlineStr">
        <is>
          <t>Michelle G Santos</t>
        </is>
      </c>
      <c r="C3888" t="inlineStr">
        <is>
          <t>Estágio</t>
        </is>
      </c>
      <c r="D3888" t="n">
        <v>16</v>
      </c>
      <c r="E3888" t="n">
        <v>16</v>
      </c>
      <c r="F3888" t="n">
        <v>23.2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M3888" t="n">
        <v>10</v>
      </c>
      <c r="N3888" t="n">
        <v>100</v>
      </c>
      <c r="O3888" t="n">
        <v>23.77622377622378</v>
      </c>
    </row>
    <row r="3889" hidden="1">
      <c r="A3889" s="11" t="n">
        <v>46122</v>
      </c>
      <c r="B3889" t="inlineStr">
        <is>
          <t>Milena Sales</t>
        </is>
      </c>
      <c r="C3889" t="inlineStr">
        <is>
          <t>JR</t>
        </is>
      </c>
      <c r="D3889" t="n">
        <v>36</v>
      </c>
      <c r="E3889" t="n">
        <v>31</v>
      </c>
      <c r="F3889" t="n">
        <v>15.02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M3889" t="n">
        <v>20</v>
      </c>
      <c r="N3889" t="n">
        <v>96.15000000000001</v>
      </c>
      <c r="O3889" t="n">
        <v>24.04580152671756</v>
      </c>
    </row>
    <row r="3890" hidden="1">
      <c r="A3890" s="11" t="n">
        <v>46122</v>
      </c>
      <c r="B3890" t="inlineStr">
        <is>
          <t>Patrícia Karla de Sousa Araújo</t>
        </is>
      </c>
      <c r="C3890" t="inlineStr">
        <is>
          <t>Técnico II</t>
        </is>
      </c>
      <c r="D3890" t="n">
        <v>19</v>
      </c>
      <c r="E3890" t="n">
        <v>18</v>
      </c>
      <c r="F3890" t="n">
        <v>28.28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M3890" t="n">
        <v>16</v>
      </c>
      <c r="N3890" t="n">
        <v>99.02</v>
      </c>
      <c r="O3890" t="n">
        <v>34.7972972972973</v>
      </c>
    </row>
    <row r="3891" hidden="1">
      <c r="A3891" s="11" t="n">
        <v>46122</v>
      </c>
      <c r="B3891" t="inlineStr">
        <is>
          <t>Paulo Ricardo Santos</t>
        </is>
      </c>
      <c r="C3891" t="inlineStr">
        <is>
          <t>JR</t>
        </is>
      </c>
      <c r="D3891" t="n">
        <v>15</v>
      </c>
      <c r="E3891" t="n">
        <v>12</v>
      </c>
      <c r="F3891" t="n">
        <v>20.53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M3891" t="n">
        <v>11</v>
      </c>
      <c r="N3891" t="n">
        <v>98.84</v>
      </c>
      <c r="O3891" t="n">
        <v>31.86813186813187</v>
      </c>
    </row>
    <row r="3892" hidden="1">
      <c r="A3892" s="11" t="n">
        <v>46122</v>
      </c>
      <c r="B3892" t="inlineStr">
        <is>
          <t>Pedro Luiz Mota Sousa</t>
        </is>
      </c>
      <c r="C3892" t="inlineStr">
        <is>
          <t>JR</t>
        </is>
      </c>
      <c r="D3892" t="n">
        <v>21</v>
      </c>
      <c r="E3892" t="n">
        <v>20</v>
      </c>
      <c r="F3892" t="n">
        <v>14.01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M3892" t="n">
        <v>18</v>
      </c>
      <c r="N3892" t="n">
        <v>100</v>
      </c>
      <c r="O3892" t="n">
        <v>34.66666666666667</v>
      </c>
    </row>
    <row r="3893" hidden="1">
      <c r="A3893" s="11" t="n">
        <v>46122</v>
      </c>
      <c r="B3893" t="inlineStr">
        <is>
          <t>Quirino Diogo Leite Torres</t>
        </is>
      </c>
      <c r="C3893" t="inlineStr">
        <is>
          <t>Estágio</t>
        </is>
      </c>
      <c r="D3893" t="n">
        <v>9</v>
      </c>
      <c r="E3893" t="n">
        <v>7</v>
      </c>
      <c r="F3893" t="n">
        <v>24.15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M3893" t="n">
        <v>6</v>
      </c>
      <c r="N3893" t="n">
        <v>94.12</v>
      </c>
      <c r="O3893" t="n">
        <v>32.8</v>
      </c>
    </row>
    <row r="3894" hidden="1">
      <c r="A3894" s="11" t="n">
        <v>46122</v>
      </c>
      <c r="B3894" t="inlineStr">
        <is>
          <t>Raane Batista Matos</t>
        </is>
      </c>
      <c r="C3894" t="inlineStr">
        <is>
          <t>Técnico I</t>
        </is>
      </c>
      <c r="D3894" t="n">
        <v>27</v>
      </c>
      <c r="E3894" t="n">
        <v>25</v>
      </c>
      <c r="F3894" t="n">
        <v>10.57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M3894" t="n">
        <v>19</v>
      </c>
      <c r="N3894" t="n">
        <v>98.31999999999999</v>
      </c>
      <c r="O3894" t="n">
        <v>26.85851318944844</v>
      </c>
    </row>
    <row r="3895" hidden="1">
      <c r="A3895" s="11" t="n">
        <v>46122</v>
      </c>
      <c r="B3895" t="inlineStr">
        <is>
          <t>Rafael Gomes de Morais</t>
        </is>
      </c>
      <c r="C3895" t="inlineStr">
        <is>
          <t>Técnico III</t>
        </is>
      </c>
      <c r="D3895" t="n">
        <v>37</v>
      </c>
      <c r="E3895" t="n">
        <v>34</v>
      </c>
      <c r="F3895" t="n">
        <v>13.45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M3895" t="n">
        <v>32</v>
      </c>
      <c r="N3895" t="n">
        <v>100</v>
      </c>
      <c r="O3895" t="n">
        <v>31.13553113553114</v>
      </c>
    </row>
    <row r="3896" hidden="1">
      <c r="A3896" s="11" t="n">
        <v>46122</v>
      </c>
      <c r="B3896" t="inlineStr">
        <is>
          <t>Sara Maria Monteiro Lopes</t>
        </is>
      </c>
      <c r="C3896" t="inlineStr">
        <is>
          <t>Técnico I</t>
        </is>
      </c>
      <c r="D3896" t="n">
        <v>14</v>
      </c>
      <c r="E3896" t="n">
        <v>13</v>
      </c>
      <c r="F3896" t="n">
        <v>38.41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M3896" t="n">
        <v>12</v>
      </c>
      <c r="N3896" t="n">
        <v>100</v>
      </c>
      <c r="O3896" t="n">
        <v>26.36986301369863</v>
      </c>
    </row>
    <row r="3897" hidden="1">
      <c r="A3897" s="11" t="n">
        <v>46122</v>
      </c>
      <c r="B3897" t="inlineStr">
        <is>
          <t>Sarah Steffanie de Lima Borges</t>
        </is>
      </c>
      <c r="C3897" t="inlineStr">
        <is>
          <t>Técnico III</t>
        </is>
      </c>
      <c r="D3897" t="n">
        <v>13</v>
      </c>
      <c r="E3897" t="n">
        <v>11</v>
      </c>
      <c r="F3897" t="n">
        <v>12.26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M3897" t="n">
        <v>11</v>
      </c>
      <c r="N3897" t="n">
        <v>99.20999999999999</v>
      </c>
      <c r="O3897" t="n">
        <v>25.18891687657431</v>
      </c>
    </row>
    <row r="3898" hidden="1">
      <c r="A3898" s="11" t="n">
        <v>46125</v>
      </c>
      <c r="B3898" t="inlineStr">
        <is>
          <t>Alisson de Freitas Silva</t>
        </is>
      </c>
      <c r="C3898" t="inlineStr">
        <is>
          <t>Técnico II</t>
        </is>
      </c>
      <c r="D3898" t="n">
        <v>26</v>
      </c>
      <c r="E3898" t="n">
        <v>15</v>
      </c>
      <c r="F3898" t="n">
        <v>13.33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M3898" t="n">
        <v>9</v>
      </c>
      <c r="N3898" t="n">
        <v>100</v>
      </c>
      <c r="O3898" t="n">
        <v>32.76450511945392</v>
      </c>
    </row>
    <row r="3899" hidden="1">
      <c r="A3899" s="11" t="n">
        <v>46125</v>
      </c>
      <c r="B3899" t="inlineStr">
        <is>
          <t>Amanda Moura Ferreira</t>
        </is>
      </c>
      <c r="C3899" t="inlineStr">
        <is>
          <t>Técnico III</t>
        </is>
      </c>
      <c r="D3899" t="n">
        <v>0</v>
      </c>
      <c r="E3899" t="n">
        <v>0</v>
      </c>
      <c r="F3899" t="n">
        <v>0</v>
      </c>
      <c r="G3899" t="n">
        <v>0</v>
      </c>
      <c r="H3899" t="n">
        <v>0</v>
      </c>
      <c r="I3899" s="3" t="n">
        <v>0</v>
      </c>
      <c r="J3899" s="3" t="n">
        <v>0</v>
      </c>
      <c r="K3899" s="3" t="n">
        <v>0</v>
      </c>
      <c r="L3899" s="3">
        <f>IF(K3899&lt;-5,"CRÍTICO",IF(K3899&lt;0,"ATENÇÃO",IF(K3899&lt;=5,"OPORTUNO","MUITO BOM")))</f>
        <v/>
      </c>
      <c r="M3899" t="n">
        <v>19</v>
      </c>
      <c r="N3899" t="n">
        <v>98.66</v>
      </c>
      <c r="O3899" t="n">
        <v>35.41666666666667</v>
      </c>
    </row>
    <row r="3900" hidden="1">
      <c r="A3900" s="11" t="n">
        <v>46125</v>
      </c>
      <c r="B3900" t="inlineStr">
        <is>
          <t>Ana Karollyne Souza Faria</t>
        </is>
      </c>
      <c r="C3900" t="inlineStr">
        <is>
          <t>Técnico I</t>
        </is>
      </c>
      <c r="D3900" t="n">
        <v>30</v>
      </c>
      <c r="E3900" t="n">
        <v>29</v>
      </c>
      <c r="F3900" t="n">
        <v>23.23</v>
      </c>
      <c r="G3900" t="n">
        <v>0</v>
      </c>
      <c r="H3900" t="n">
        <v>0</v>
      </c>
      <c r="I3900" s="3">
        <f>E3900+G3900+H3900</f>
        <v/>
      </c>
      <c r="J3900" s="3">
        <f>ROUND(MIN(IF(C3900="Técnico III",35,IF(C3900="Técnico II",28,IF(C3900="Técnico I",23,IF(C3900="JR",20,IF(C3900="Estágio",10,0))))),IF(C3900="Técnico III",SUMIFS($D:$D,$A:$A,$A3900,$B:$B,"&lt;&gt;Patrícia Karla de Sousa Araújo",$B:$B,"&lt;&gt;Lorena Dias de Araujo",$B:$B,"&lt;&gt;Lucas Luiz Romero")*(35/1083),IF(C3900="Técnico II",SUMIFS($D:$D,$A:$A,$A3900,$B:$B,"&lt;&gt;Patrícia Karla de Sousa Araújo",$B:$B,"&lt;&gt;Lorena Dias de Araujo",$B:$B,"&lt;&gt;Lucas Luiz Romero")*(28/1083),IF(C3900="Técnico I",SUMIFS($D:$D,$A:$A,$A3900,$B:$B,"&lt;&gt;Patrícia Karla de Sousa Araújo",$B:$B,"&lt;&gt;Lorena Dias de Araujo",$B:$B,"&lt;&gt;Lucas Luiz Romero")*(23/1083),IF(C3900="JR",SUMIFS($D:$D,$A:$A,$A3900,$B:$B,"&lt;&gt;Patrícia Karla de Sousa Araújo",$B:$B,"&lt;&gt;Lorena Dias de Araujo",$B:$B,"&lt;&gt;Lucas Luiz Romero")*(20/1083),IF(C3900="Estágio",SUMIFS($D:$D,$A:$A,$A3900,$B:$B,"&lt;&gt;Patrícia Karla de Sousa Araújo",$B:$B,"&lt;&gt;Lorena Dias de Araujo",$B:$B,"&lt;&gt;Lucas Luiz Romero")*(10/1083),0)))))),0)</f>
        <v/>
      </c>
      <c r="K3900" s="3">
        <f>I3900-J3900</f>
        <v/>
      </c>
      <c r="L3900" s="3">
        <f>IF(K3900&lt;-5,"CRÍTICO",IF(K3900&lt;0,"ATENÇÃO",IF(K3900&lt;=5,"OPORTUNO","MUITO BOM")))</f>
        <v/>
      </c>
      <c r="M3900" t="n">
        <v>20</v>
      </c>
      <c r="N3900" t="n">
        <v>99.31999999999999</v>
      </c>
      <c r="O3900" t="n">
        <v>30.6483300589391</v>
      </c>
    </row>
    <row r="3901" hidden="1">
      <c r="A3901" s="11" t="n">
        <v>46125</v>
      </c>
      <c r="B3901" t="inlineStr">
        <is>
          <t>Ana Paula Da Luz Silva Aleixo</t>
        </is>
      </c>
      <c r="C3901" t="inlineStr">
        <is>
          <t>Técnico III</t>
        </is>
      </c>
      <c r="D3901" t="n">
        <v>13</v>
      </c>
      <c r="E3901" t="n">
        <v>13</v>
      </c>
      <c r="F3901" t="n">
        <v>12.23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M3901" t="n">
        <v>14</v>
      </c>
      <c r="N3901" t="n">
        <v>100</v>
      </c>
      <c r="O3901" t="n">
        <v>27.80373831775701</v>
      </c>
    </row>
    <row r="3902" hidden="1">
      <c r="A3902" s="11" t="n">
        <v>46125</v>
      </c>
      <c r="B3902" t="inlineStr">
        <is>
          <t>Anna Luiza Rezende Tavares</t>
        </is>
      </c>
      <c r="C3902" t="inlineStr">
        <is>
          <t>Estágio</t>
        </is>
      </c>
      <c r="D3902" t="n">
        <v>27</v>
      </c>
      <c r="E3902" t="n">
        <v>25</v>
      </c>
      <c r="F3902" t="n">
        <v>17.12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M3902" t="n">
        <v>22</v>
      </c>
      <c r="N3902" t="n">
        <v>96.73999999999999</v>
      </c>
      <c r="O3902" t="n">
        <v>28.67647058823529</v>
      </c>
    </row>
    <row r="3903" hidden="1">
      <c r="A3903" s="11" t="n">
        <v>46125</v>
      </c>
      <c r="B3903" t="inlineStr">
        <is>
          <t>Brenda de Menezes Silva</t>
        </is>
      </c>
      <c r="C3903" t="inlineStr">
        <is>
          <t>Técnico II</t>
        </is>
      </c>
      <c r="D3903" t="n">
        <v>28</v>
      </c>
      <c r="E3903" t="n">
        <v>27</v>
      </c>
      <c r="F3903" t="n">
        <v>20.17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M3903" t="n">
        <v>23</v>
      </c>
      <c r="N3903" t="n">
        <v>98.81999999999999</v>
      </c>
      <c r="O3903" t="n">
        <v>30.74141048824593</v>
      </c>
    </row>
    <row r="3904" hidden="1">
      <c r="A3904" s="11" t="n">
        <v>46125</v>
      </c>
      <c r="B3904" t="inlineStr">
        <is>
          <t>Carlos Mateus Cassimiro Nunes</t>
        </is>
      </c>
      <c r="C3904" t="inlineStr">
        <is>
          <t>Técnico II</t>
        </is>
      </c>
      <c r="D3904" t="n">
        <v>14</v>
      </c>
      <c r="E3904" t="n">
        <v>14</v>
      </c>
      <c r="F3904" t="n">
        <v>24.19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M3904" t="n">
        <v>11</v>
      </c>
      <c r="N3904" t="n">
        <v>98.2</v>
      </c>
      <c r="O3904" t="n">
        <v>27.17086834733893</v>
      </c>
    </row>
    <row r="3905" hidden="1">
      <c r="A3905" s="11" t="n">
        <v>46125</v>
      </c>
      <c r="B3905" t="inlineStr">
        <is>
          <t>Claudio de Sousa Velasco Filho</t>
        </is>
      </c>
      <c r="C3905" t="inlineStr">
        <is>
          <t>Estágio</t>
        </is>
      </c>
      <c r="D3905" t="n">
        <v>12</v>
      </c>
      <c r="E3905" t="n">
        <v>10</v>
      </c>
      <c r="F3905" t="n">
        <v>18.34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M3905" t="n">
        <v>8</v>
      </c>
      <c r="N3905" t="n">
        <v>100</v>
      </c>
      <c r="O3905" t="n">
        <v>23.13432835820895</v>
      </c>
    </row>
    <row r="3906" hidden="1">
      <c r="A3906" s="11" t="n">
        <v>46125</v>
      </c>
      <c r="B3906" t="inlineStr">
        <is>
          <t>Clessiane Pereira dos Santos</t>
        </is>
      </c>
      <c r="C3906" t="inlineStr">
        <is>
          <t>Técnico I</t>
        </is>
      </c>
      <c r="D3906" t="n">
        <v>28</v>
      </c>
      <c r="E3906" t="n">
        <v>28</v>
      </c>
      <c r="F3906" t="n">
        <v>18.3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M3906" t="n">
        <v>24</v>
      </c>
      <c r="N3906" t="n">
        <v>96.3</v>
      </c>
      <c r="O3906" t="n">
        <v>32.21957040572792</v>
      </c>
    </row>
    <row r="3907" hidden="1">
      <c r="A3907" s="11" t="n">
        <v>46125</v>
      </c>
      <c r="B3907" t="inlineStr">
        <is>
          <t>Cristiane Ramos da Silva Rocha</t>
        </is>
      </c>
      <c r="C3907" t="inlineStr">
        <is>
          <t>Técnico III</t>
        </is>
      </c>
      <c r="D3907" t="n">
        <v>30</v>
      </c>
      <c r="E3907" t="n">
        <v>28</v>
      </c>
      <c r="F3907" t="n">
        <v>13.2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M3907" t="n">
        <v>29</v>
      </c>
      <c r="N3907" t="n">
        <v>93.75</v>
      </c>
      <c r="O3907" t="n">
        <v>26.81992337164751</v>
      </c>
    </row>
    <row r="3908" hidden="1">
      <c r="A3908" s="11" t="n">
        <v>46125</v>
      </c>
      <c r="B3908" t="inlineStr">
        <is>
          <t>Damyllis Lorraine de Oliveira Gonçalves</t>
        </is>
      </c>
      <c r="C3908" t="inlineStr">
        <is>
          <t>Técnico II</t>
        </is>
      </c>
      <c r="D3908" t="n">
        <v>22</v>
      </c>
      <c r="E3908" t="n">
        <v>15</v>
      </c>
      <c r="F3908" t="n">
        <v>15.01</v>
      </c>
      <c r="G3908" t="n">
        <v>0</v>
      </c>
      <c r="H3908" t="n">
        <v>0</v>
      </c>
      <c r="I3908" s="3" t="n">
        <v>0</v>
      </c>
      <c r="J3908" s="3" t="n">
        <v>0</v>
      </c>
      <c r="K3908" s="3" t="n">
        <v>0</v>
      </c>
      <c r="L3908" s="3">
        <f>IF(K3908&lt;-5,"CRÍTICO",IF(K3908&lt;0,"ATENÇÃO",IF(K3908&lt;=5,"OPORTUNO","MUITO BOM")))</f>
        <v/>
      </c>
      <c r="M3908" t="n">
        <v>17</v>
      </c>
      <c r="N3908" t="n">
        <v>97.86</v>
      </c>
      <c r="O3908" t="n">
        <v>31.01851851851852</v>
      </c>
    </row>
    <row r="3909" hidden="1">
      <c r="A3909" s="11" t="n">
        <v>46125</v>
      </c>
      <c r="B3909" t="inlineStr">
        <is>
          <t>Daniel Gomes da Silva</t>
        </is>
      </c>
      <c r="C3909" t="inlineStr">
        <is>
          <t>Técnico I</t>
        </is>
      </c>
      <c r="D3909" t="n">
        <v>7</v>
      </c>
      <c r="E3909" t="n">
        <v>7</v>
      </c>
      <c r="F3909" t="n">
        <v>15.2</v>
      </c>
      <c r="G3909" t="n">
        <v>0</v>
      </c>
      <c r="H3909" t="n">
        <v>0</v>
      </c>
      <c r="I3909" s="3">
        <f>E3909+G3909+H3909</f>
        <v/>
      </c>
      <c r="J3909" s="3">
        <f>ROUND(MIN(IF(C3909="Técnico III",35,IF(C3909="Técnico II",28,IF(C3909="Técnico I",23,IF(C3909="JR",20,IF(C3909="Estágio",10,0))))),IF(C3909="Técnico III",SUMIFS($D:$D,$A:$A,$A3909,$B:$B,"&lt;&gt;Patrícia Karla de Sousa Araújo",$B:$B,"&lt;&gt;Lorena Dias de Araujo",$B:$B,"&lt;&gt;Lucas Luiz Romero")*(35/1083),IF(C3909="Técnico II",SUMIFS($D:$D,$A:$A,$A3909,$B:$B,"&lt;&gt;Patrícia Karla de Sousa Araújo",$B:$B,"&lt;&gt;Lorena Dias de Araujo",$B:$B,"&lt;&gt;Lucas Luiz Romero")*(28/1083),IF(C3909="Técnico I",SUMIFS($D:$D,$A:$A,$A3909,$B:$B,"&lt;&gt;Patrícia Karla de Sousa Araújo",$B:$B,"&lt;&gt;Lorena Dias de Araujo",$B:$B,"&lt;&gt;Lucas Luiz Romero")*(23/1083),IF(C3909="JR",SUMIFS($D:$D,$A:$A,$A3909,$B:$B,"&lt;&gt;Patrícia Karla de Sousa Araújo",$B:$B,"&lt;&gt;Lorena Dias de Araujo",$B:$B,"&lt;&gt;Lucas Luiz Romero")*(20/1083),IF(C3909="Estágio",SUMIFS($D:$D,$A:$A,$A3909,$B:$B,"&lt;&gt;Patrícia Karla de Sousa Araújo",$B:$B,"&lt;&gt;Lorena Dias de Araujo",$B:$B,"&lt;&gt;Lucas Luiz Romero")*(10/1083),0)))))),0)</f>
        <v/>
      </c>
      <c r="K3909" s="3">
        <f>I3909-J3909</f>
        <v/>
      </c>
      <c r="L3909" s="3">
        <f>IF(K3909&lt;-5,"CRÍTICO",IF(K3909&lt;0,"ATENÇÃO",IF(K3909&lt;=5,"OPORTUNO","MUITO BOM")))</f>
        <v/>
      </c>
      <c r="M3909" t="n">
        <v>9</v>
      </c>
      <c r="N3909" t="n">
        <v>100</v>
      </c>
      <c r="O3909" t="n">
        <v>36.59420289855073</v>
      </c>
    </row>
    <row r="3910" hidden="1">
      <c r="A3910" s="11" t="n">
        <v>46125</v>
      </c>
      <c r="B3910" t="inlineStr">
        <is>
          <t>Davylla Rodrigues Freitas Silva</t>
        </is>
      </c>
      <c r="C3910" t="inlineStr">
        <is>
          <t>Técnico III</t>
        </is>
      </c>
      <c r="D3910" t="n">
        <v>25</v>
      </c>
      <c r="E3910" t="n">
        <v>23</v>
      </c>
      <c r="F3910" t="n">
        <v>20.4</v>
      </c>
      <c r="G3910" t="n">
        <v>0</v>
      </c>
      <c r="H3910" t="n">
        <v>0</v>
      </c>
      <c r="I3910" s="3" t="n">
        <v>0</v>
      </c>
      <c r="J3910" s="3" t="n">
        <v>0</v>
      </c>
      <c r="K3910" s="3" t="n">
        <v>0</v>
      </c>
      <c r="L3910" s="3">
        <f>IF(K3910&lt;-5,"CRÍTICO",IF(K3910&lt;0,"ATENÇÃO",IF(K3910&lt;=5,"OPORTUNO","MUITO BOM")))</f>
        <v/>
      </c>
      <c r="M3910" t="n">
        <v>24</v>
      </c>
      <c r="N3910" t="n">
        <v>100</v>
      </c>
      <c r="O3910" t="n">
        <v>38.65384615384615</v>
      </c>
    </row>
    <row r="3911" hidden="1">
      <c r="A3911" s="11" t="n">
        <v>46125</v>
      </c>
      <c r="B3911" t="inlineStr">
        <is>
          <t>Emilly Caylane Costa</t>
        </is>
      </c>
      <c r="C3911" t="inlineStr">
        <is>
          <t>Estágio</t>
        </is>
      </c>
      <c r="D3911" t="n">
        <v>5</v>
      </c>
      <c r="E3911" t="n">
        <v>4</v>
      </c>
      <c r="F3911" t="n">
        <v>35.18</v>
      </c>
      <c r="G3911" t="n">
        <v>0</v>
      </c>
      <c r="H3911" t="n">
        <v>0</v>
      </c>
      <c r="I3911" s="3">
        <f>E3911+G3911+H3911</f>
        <v/>
      </c>
      <c r="J3911" s="3">
        <f>ROUND(MIN(IF(C3911="Técnico III",35,IF(C3911="Técnico II",28,IF(C3911="Técnico I",23,IF(C3911="JR",20,IF(C3911="Estágio",10,0))))),IF(C3911="Técnico III",SUMIFS($D:$D,$A:$A,$A3911,$B:$B,"&lt;&gt;Patrícia Karla de Sousa Araújo",$B:$B,"&lt;&gt;Lorena Dias de Araujo",$B:$B,"&lt;&gt;Lucas Luiz Romero")*(35/1083),IF(C3911="Técnico II",SUMIFS($D:$D,$A:$A,$A3911,$B:$B,"&lt;&gt;Patrícia Karla de Sousa Araújo",$B:$B,"&lt;&gt;Lorena Dias de Araujo",$B:$B,"&lt;&gt;Lucas Luiz Romero")*(28/1083),IF(C3911="Técnico I",SUMIFS($D:$D,$A:$A,$A3911,$B:$B,"&lt;&gt;Patrícia Karla de Sousa Araújo",$B:$B,"&lt;&gt;Lorena Dias de Araujo",$B:$B,"&lt;&gt;Lucas Luiz Romero")*(23/1083),IF(C3911="JR",SUMIFS($D:$D,$A:$A,$A3911,$B:$B,"&lt;&gt;Patrícia Karla de Sousa Araújo",$B:$B,"&lt;&gt;Lorena Dias de Araujo",$B:$B,"&lt;&gt;Lucas Luiz Romero")*(20/1083),IF(C3911="Estágio",SUMIFS($D:$D,$A:$A,$A3911,$B:$B,"&lt;&gt;Patrícia Karla de Sousa Araújo",$B:$B,"&lt;&gt;Lorena Dias de Araujo",$B:$B,"&lt;&gt;Lucas Luiz Romero")*(10/1083),0)))))),0)</f>
        <v/>
      </c>
      <c r="K3911" s="3">
        <f>I3911-J3911</f>
        <v/>
      </c>
      <c r="L3911" s="3">
        <f>IF(K3911&lt;-5,"CRÍTICO",IF(K3911&lt;0,"ATENÇÃO",IF(K3911&lt;=5,"OPORTUNO","MUITO BOM")))</f>
        <v/>
      </c>
      <c r="M3911" t="n">
        <v>3</v>
      </c>
      <c r="N3911" t="n">
        <v>100</v>
      </c>
      <c r="O3911" t="n">
        <v>27.36842105263158</v>
      </c>
    </row>
    <row r="3912" hidden="1">
      <c r="A3912" s="11" t="n">
        <v>46125</v>
      </c>
      <c r="B3912" t="inlineStr">
        <is>
          <t>Emilly Kamilly Medeiros Miranda</t>
        </is>
      </c>
      <c r="C3912" t="inlineStr">
        <is>
          <t>Técnico II</t>
        </is>
      </c>
      <c r="D3912" t="n">
        <v>27</v>
      </c>
      <c r="E3912" t="n">
        <v>26</v>
      </c>
      <c r="F3912" t="n">
        <v>15.35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M3912" t="n">
        <v>23</v>
      </c>
      <c r="N3912" t="n">
        <v>97.83</v>
      </c>
      <c r="O3912" t="n">
        <v>28.35164835164835</v>
      </c>
    </row>
    <row r="3913" hidden="1">
      <c r="A3913" s="11" t="n">
        <v>46125</v>
      </c>
      <c r="B3913" t="inlineStr">
        <is>
          <t>Francielson de Oliveira</t>
        </is>
      </c>
      <c r="C3913" t="inlineStr">
        <is>
          <t>Técnico III</t>
        </is>
      </c>
      <c r="D3913" t="n">
        <v>28</v>
      </c>
      <c r="E3913" t="n">
        <v>28</v>
      </c>
      <c r="F3913" t="n">
        <v>14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M3913" t="n">
        <v>29</v>
      </c>
      <c r="N3913" t="n">
        <v>99.26000000000001</v>
      </c>
      <c r="O3913" t="n">
        <v>29.76653696498055</v>
      </c>
    </row>
    <row r="3914" hidden="1">
      <c r="A3914" s="11" t="n">
        <v>46125</v>
      </c>
      <c r="B3914" t="inlineStr">
        <is>
          <t>Francilene Ferreira de Jesus</t>
        </is>
      </c>
      <c r="C3914" t="inlineStr">
        <is>
          <t>Técnico II</t>
        </is>
      </c>
      <c r="D3914" t="n">
        <v>21</v>
      </c>
      <c r="E3914" t="n">
        <v>18</v>
      </c>
      <c r="F3914" t="n">
        <v>15.43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M3914" t="n">
        <v>15</v>
      </c>
      <c r="N3914" t="n">
        <v>99.19</v>
      </c>
      <c r="O3914" t="n">
        <v>29.46236559139785</v>
      </c>
    </row>
    <row r="3915" hidden="1">
      <c r="A3915" s="11" t="n">
        <v>46167</v>
      </c>
      <c r="B3915" t="inlineStr">
        <is>
          <t>Lizandra Gomes Duarte</t>
        </is>
      </c>
      <c r="C3915" t="inlineStr">
        <is>
          <t>Técnico II</t>
        </is>
      </c>
      <c r="D3915" s="3" t="n">
        <v>24</v>
      </c>
      <c r="E3915" s="3" t="n">
        <v>24</v>
      </c>
      <c r="F3915" s="3" t="n">
        <v>20.36</v>
      </c>
      <c r="G3915" s="3" t="n">
        <v>0</v>
      </c>
      <c r="H3915" s="3" t="n">
        <v>0</v>
      </c>
      <c r="I3915" s="3" t="n">
        <v>0</v>
      </c>
      <c r="J3915" s="3" t="n">
        <v>0</v>
      </c>
      <c r="K3915" s="3" t="n">
        <v>0</v>
      </c>
      <c r="L3915" s="3">
        <f>IF(K3915&lt;-5,"CRÍTICO",IF(K3915&lt;0,"ATENÇÃO",IF(K3915&lt;=5,"OPORTUNO","MUITO BOM")))</f>
        <v/>
      </c>
      <c r="M3915" s="3" t="n">
        <v>18</v>
      </c>
      <c r="N3915" s="3" t="n">
        <v>99</v>
      </c>
      <c r="O3915" s="3" t="n">
        <v>22.01086956521739</v>
      </c>
    </row>
    <row r="3916" hidden="1">
      <c r="A3916" s="11" t="n">
        <v>46125</v>
      </c>
      <c r="B3916" t="inlineStr">
        <is>
          <t>Isabella Borges de Oliveira</t>
        </is>
      </c>
      <c r="C3916" t="inlineStr">
        <is>
          <t>Técnico II</t>
        </is>
      </c>
      <c r="D3916" t="n">
        <v>0</v>
      </c>
      <c r="E3916" t="n">
        <v>0</v>
      </c>
      <c r="F3916" t="n">
        <v>0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  <c r="M3916" t="n">
        <v>0</v>
      </c>
      <c r="N3916" t="n">
        <v>100</v>
      </c>
      <c r="O3916" t="n">
        <v>28.92156862745098</v>
      </c>
    </row>
    <row r="3917" hidden="1">
      <c r="A3917" s="11" t="n">
        <v>46125</v>
      </c>
      <c r="B3917" t="inlineStr">
        <is>
          <t>Janaina Lima dos Reis Urany</t>
        </is>
      </c>
      <c r="C3917" t="inlineStr">
        <is>
          <t>Técnico III</t>
        </is>
      </c>
      <c r="D3917" t="n">
        <v>39</v>
      </c>
      <c r="E3917" t="n">
        <v>35</v>
      </c>
      <c r="F3917" t="n">
        <v>12.12</v>
      </c>
      <c r="G3917" t="n">
        <v>0</v>
      </c>
      <c r="H3917" t="n">
        <v>0</v>
      </c>
      <c r="I3917" s="3">
        <f>E3917+G3917+H3917</f>
        <v/>
      </c>
      <c r="J3917" s="3">
        <f>ROUND(MIN(IF(C3917="Técnico III",35,IF(C3917="Técnico II",28,IF(C3917="Técnico I",23,IF(C3917="JR",20,IF(C3917="Estágio",10,0))))),IF(C3917="Técnico III",SUMIFS($D:$D,$A:$A,$A3917,$B:$B,"&lt;&gt;Patrícia Karla de Sousa Araújo",$B:$B,"&lt;&gt;Lorena Dias de Araujo",$B:$B,"&lt;&gt;Lucas Luiz Romero")*(35/1083),IF(C3917="Técnico II",SUMIFS($D:$D,$A:$A,$A3917,$B:$B,"&lt;&gt;Patrícia Karla de Sousa Araújo",$B:$B,"&lt;&gt;Lorena Dias de Araujo",$B:$B,"&lt;&gt;Lucas Luiz Romero")*(28/1083),IF(C3917="Técnico I",SUMIFS($D:$D,$A:$A,$A3917,$B:$B,"&lt;&gt;Patrícia Karla de Sousa Araújo",$B:$B,"&lt;&gt;Lorena Dias de Araujo",$B:$B,"&lt;&gt;Lucas Luiz Romero")*(23/1083),IF(C3917="JR",SUMIFS($D:$D,$A:$A,$A3917,$B:$B,"&lt;&gt;Patrícia Karla de Sousa Araújo",$B:$B,"&lt;&gt;Lorena Dias de Araujo",$B:$B,"&lt;&gt;Lucas Luiz Romero")*(20/1083),IF(C3917="Estágio",SUMIFS($D:$D,$A:$A,$A3917,$B:$B,"&lt;&gt;Patrícia Karla de Sousa Araújo",$B:$B,"&lt;&gt;Lorena Dias de Araujo",$B:$B,"&lt;&gt;Lucas Luiz Romero")*(10/1083),0)))))),0)</f>
        <v/>
      </c>
      <c r="K3917" s="3">
        <f>I3917-J3917</f>
        <v/>
      </c>
      <c r="L3917" s="3">
        <f>IF(K3917&lt;-5,"CRÍTICO",IF(K3917&lt;0,"ATENÇÃO",IF(K3917&lt;=5,"OPORTUNO","MUITO BOM")))</f>
        <v/>
      </c>
      <c r="M3917" t="n">
        <v>37</v>
      </c>
      <c r="N3917" t="n">
        <v>99.56999999999999</v>
      </c>
      <c r="O3917" t="n">
        <v>30.63583815028902</v>
      </c>
    </row>
    <row r="3918" hidden="1">
      <c r="A3918" s="11" t="n">
        <v>46125</v>
      </c>
      <c r="B3918" t="inlineStr">
        <is>
          <t>Jaqueline Evangelista da Silva Martins</t>
        </is>
      </c>
      <c r="C3918" t="inlineStr">
        <is>
          <t>Técnico III</t>
        </is>
      </c>
      <c r="D3918" t="n">
        <v>0</v>
      </c>
      <c r="E3918" t="n">
        <v>0</v>
      </c>
      <c r="F3918" t="n">
        <v>0</v>
      </c>
      <c r="G3918" t="n">
        <v>0</v>
      </c>
      <c r="H3918" t="n">
        <v>0</v>
      </c>
      <c r="I3918" s="3" t="n">
        <v>0</v>
      </c>
      <c r="J3918" s="3" t="n">
        <v>0</v>
      </c>
      <c r="K3918" s="3" t="n">
        <v>0</v>
      </c>
      <c r="L3918" s="3">
        <f>IF(K3918&lt;-5,"CRÍTICO",IF(K3918&lt;0,"ATENÇÃO",IF(K3918&lt;=5,"OPORTUNO","MUITO BOM")))</f>
        <v/>
      </c>
      <c r="M3918" t="n">
        <v>0</v>
      </c>
      <c r="N3918" t="n">
        <v>95.65000000000001</v>
      </c>
      <c r="O3918" t="n">
        <v>32.43243243243244</v>
      </c>
    </row>
    <row r="3919" hidden="1">
      <c r="A3919" s="11" t="n">
        <v>46125</v>
      </c>
      <c r="B3919" t="inlineStr">
        <is>
          <t>Jessica Faria da Silveira</t>
        </is>
      </c>
      <c r="C3919" t="inlineStr">
        <is>
          <t>Técnico II</t>
        </is>
      </c>
      <c r="D3919" t="n">
        <v>24</v>
      </c>
      <c r="E3919" t="n">
        <v>22</v>
      </c>
      <c r="F3919" t="n">
        <v>19.13</v>
      </c>
      <c r="G3919" t="n">
        <v>0</v>
      </c>
      <c r="H3919" t="n">
        <v>0</v>
      </c>
      <c r="I3919" s="3">
        <f>E3919+G3919+H3919</f>
        <v/>
      </c>
      <c r="J3919" s="3">
        <f>ROUND(MIN(IF(C3919="Técnico III",35,IF(C3919="Técnico II",28,IF(C3919="Técnico I",23,IF(C3919="JR",20,IF(C3919="Estágio",10,0))))),IF(C3919="Técnico III",SUMIFS($D:$D,$A:$A,$A3919,$B:$B,"&lt;&gt;Patrícia Karla de Sousa Araújo",$B:$B,"&lt;&gt;Lorena Dias de Araujo",$B:$B,"&lt;&gt;Lucas Luiz Romero")*(35/1083),IF(C3919="Técnico II",SUMIFS($D:$D,$A:$A,$A3919,$B:$B,"&lt;&gt;Patrícia Karla de Sousa Araújo",$B:$B,"&lt;&gt;Lorena Dias de Araujo",$B:$B,"&lt;&gt;Lucas Luiz Romero")*(28/1083),IF(C3919="Técnico I",SUMIFS($D:$D,$A:$A,$A3919,$B:$B,"&lt;&gt;Patrícia Karla de Sousa Araújo",$B:$B,"&lt;&gt;Lorena Dias de Araujo",$B:$B,"&lt;&gt;Lucas Luiz Romero")*(23/1083),IF(C3919="JR",SUMIFS($D:$D,$A:$A,$A3919,$B:$B,"&lt;&gt;Patrícia Karla de Sousa Araújo",$B:$B,"&lt;&gt;Lorena Dias de Araujo",$B:$B,"&lt;&gt;Lucas Luiz Romero")*(20/1083),IF(C3919="Estágio",SUMIFS($D:$D,$A:$A,$A3919,$B:$B,"&lt;&gt;Patrícia Karla de Sousa Araújo",$B:$B,"&lt;&gt;Lorena Dias de Araujo",$B:$B,"&lt;&gt;Lucas Luiz Romero")*(10/1083),0)))))),0)</f>
        <v/>
      </c>
      <c r="K3919" s="3">
        <f>I3919-J3919</f>
        <v/>
      </c>
      <c r="L3919" s="3">
        <f>IF(K3919&lt;-5,"CRÍTICO",IF(K3919&lt;0,"ATENÇÃO",IF(K3919&lt;=5,"OPORTUNO","MUITO BOM")))</f>
        <v/>
      </c>
      <c r="M3919" t="n">
        <v>18</v>
      </c>
      <c r="N3919" t="n">
        <v>98.81</v>
      </c>
      <c r="O3919" t="n">
        <v>26.25698324022346</v>
      </c>
    </row>
    <row r="3920" hidden="1">
      <c r="A3920" s="11" t="n">
        <v>46125</v>
      </c>
      <c r="B3920" t="inlineStr">
        <is>
          <t>Jéssica Fé Moura</t>
        </is>
      </c>
      <c r="C3920" t="inlineStr">
        <is>
          <t>Técnico III</t>
        </is>
      </c>
      <c r="D3920" t="n">
        <v>0</v>
      </c>
      <c r="E3920" t="n">
        <v>0</v>
      </c>
      <c r="F3920" t="n">
        <v>0</v>
      </c>
      <c r="G3920" t="n">
        <v>0</v>
      </c>
      <c r="H3920" t="n">
        <v>0</v>
      </c>
      <c r="I3920" s="3" t="n">
        <v>0</v>
      </c>
      <c r="J3920" s="3" t="n">
        <v>0</v>
      </c>
      <c r="K3920" s="3" t="n">
        <v>0</v>
      </c>
      <c r="L3920" s="3">
        <f>IF(K3920&lt;-5,"CRÍTICO",IF(K3920&lt;0,"ATENÇÃO",IF(K3920&lt;=5,"OPORTUNO","MUITO BOM")))</f>
        <v/>
      </c>
      <c r="M3920" t="n">
        <v>0</v>
      </c>
      <c r="N3920" t="n">
        <v>0</v>
      </c>
      <c r="O3920" t="n">
        <v>0</v>
      </c>
    </row>
    <row r="3921" hidden="1">
      <c r="A3921" s="11" t="n">
        <v>46125</v>
      </c>
      <c r="B3921" t="inlineStr">
        <is>
          <t>Karina Gonçalves Martins</t>
        </is>
      </c>
      <c r="C3921" t="inlineStr">
        <is>
          <t>JR</t>
        </is>
      </c>
      <c r="D3921" t="n">
        <v>22</v>
      </c>
      <c r="E3921" t="n">
        <v>21</v>
      </c>
      <c r="F3921" t="n">
        <v>19.02</v>
      </c>
      <c r="G3921" t="n">
        <v>0</v>
      </c>
      <c r="H3921" t="n">
        <v>0</v>
      </c>
      <c r="I3921" s="3">
        <f>E3921+G3921+H3921</f>
        <v/>
      </c>
      <c r="J3921" s="3">
        <f>ROUND(MIN(IF(C3921="Técnico III",35,IF(C3921="Técnico II",28,IF(C3921="Técnico I",23,IF(C3921="JR",20,IF(C3921="Estágio",10,0))))),IF(C3921="Técnico III",SUMIFS($D:$D,$A:$A,$A3921,$B:$B,"&lt;&gt;Patrícia Karla de Sousa Araújo",$B:$B,"&lt;&gt;Lorena Dias de Araujo",$B:$B,"&lt;&gt;Lucas Luiz Romero")*(35/1083),IF(C3921="Técnico II",SUMIFS($D:$D,$A:$A,$A3921,$B:$B,"&lt;&gt;Patrícia Karla de Sousa Araújo",$B:$B,"&lt;&gt;Lorena Dias de Araujo",$B:$B,"&lt;&gt;Lucas Luiz Romero")*(28/1083),IF(C3921="Técnico I",SUMIFS($D:$D,$A:$A,$A3921,$B:$B,"&lt;&gt;Patrícia Karla de Sousa Araújo",$B:$B,"&lt;&gt;Lorena Dias de Araujo",$B:$B,"&lt;&gt;Lucas Luiz Romero")*(23/1083),IF(C3921="JR",SUMIFS($D:$D,$A:$A,$A3921,$B:$B,"&lt;&gt;Patrícia Karla de Sousa Araújo",$B:$B,"&lt;&gt;Lorena Dias de Araujo",$B:$B,"&lt;&gt;Lucas Luiz Romero")*(20/1083),IF(C3921="Estágio",SUMIFS($D:$D,$A:$A,$A3921,$B:$B,"&lt;&gt;Patrícia Karla de Sousa Araújo",$B:$B,"&lt;&gt;Lorena Dias de Araujo",$B:$B,"&lt;&gt;Lucas Luiz Romero")*(10/1083),0)))))),0)</f>
        <v/>
      </c>
      <c r="K3921" s="3">
        <f>I3921-J3921</f>
        <v/>
      </c>
      <c r="L3921" s="3">
        <f>IF(K3921&lt;-5,"CRÍTICO",IF(K3921&lt;0,"ATENÇÃO",IF(K3921&lt;=5,"OPORTUNO","MUITO BOM")))</f>
        <v/>
      </c>
      <c r="M3921" t="n">
        <v>24</v>
      </c>
      <c r="N3921" t="n">
        <v>97.17</v>
      </c>
      <c r="O3921" t="n">
        <v>28.81844380403458</v>
      </c>
    </row>
    <row r="3922" hidden="1">
      <c r="A3922" s="11" t="n">
        <v>46125</v>
      </c>
      <c r="B3922" t="inlineStr">
        <is>
          <t>Kerollen Cristielly de Jesus Siqueira</t>
        </is>
      </c>
      <c r="C3922" t="inlineStr">
        <is>
          <t>Técnico III</t>
        </is>
      </c>
      <c r="D3922" t="n">
        <v>15</v>
      </c>
      <c r="E3922" t="n">
        <v>15</v>
      </c>
      <c r="F3922" t="n">
        <v>25.06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M3922" t="n">
        <v>18</v>
      </c>
      <c r="N3922" t="n">
        <v>96.81</v>
      </c>
      <c r="O3922" t="n">
        <v>48.01864801864802</v>
      </c>
    </row>
    <row r="3923" hidden="1">
      <c r="A3923" s="11" t="n">
        <v>46125</v>
      </c>
      <c r="B3923" t="inlineStr">
        <is>
          <t>Leandro de Souza Silva</t>
        </is>
      </c>
      <c r="C3923" t="inlineStr">
        <is>
          <t>JR</t>
        </is>
      </c>
      <c r="D3923" t="n">
        <v>19</v>
      </c>
      <c r="E3923" t="n">
        <v>17</v>
      </c>
      <c r="F3923" t="n">
        <v>20.57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M3923" t="n">
        <v>14</v>
      </c>
      <c r="N3923" t="n">
        <v>98.15000000000001</v>
      </c>
      <c r="O3923" t="n">
        <v>27.1551724137931</v>
      </c>
    </row>
    <row r="3924" hidden="1">
      <c r="A3924" s="11" t="n">
        <v>46125</v>
      </c>
      <c r="B3924" t="inlineStr">
        <is>
          <t>Leandro Oliveira de Sousa</t>
        </is>
      </c>
      <c r="C3924" t="inlineStr">
        <is>
          <t>Técnico III</t>
        </is>
      </c>
      <c r="D3924" t="n">
        <v>22</v>
      </c>
      <c r="E3924" t="n">
        <v>21</v>
      </c>
      <c r="F3924" t="n">
        <v>25.24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M3924" t="n">
        <v>17</v>
      </c>
      <c r="N3924" t="n">
        <v>99.15000000000001</v>
      </c>
      <c r="O3924" t="n">
        <v>27.58620689655172</v>
      </c>
    </row>
    <row r="3925" hidden="1">
      <c r="A3925" s="11" t="n">
        <v>46125</v>
      </c>
      <c r="B3925" t="inlineStr">
        <is>
          <t>Lizandra Gomes Duarte</t>
        </is>
      </c>
      <c r="C3925" t="inlineStr">
        <is>
          <t>Técnico II</t>
        </is>
      </c>
      <c r="D3925" t="n">
        <v>28</v>
      </c>
      <c r="E3925" t="n">
        <v>22</v>
      </c>
      <c r="F3925" t="n">
        <v>20.38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M3925" t="n">
        <v>17</v>
      </c>
      <c r="N3925" t="n">
        <v>99.17</v>
      </c>
      <c r="O3925" t="n">
        <v>29.75206611570248</v>
      </c>
    </row>
    <row r="3926" hidden="1">
      <c r="A3926" s="11" t="n">
        <v>46125</v>
      </c>
      <c r="B3926" t="inlineStr">
        <is>
          <t>Lorena Dias de Araujo</t>
        </is>
      </c>
      <c r="C3926" t="inlineStr">
        <is>
          <t>Técnico II</t>
        </is>
      </c>
      <c r="D3926" t="n">
        <v>0</v>
      </c>
      <c r="E3926" t="n">
        <v>0</v>
      </c>
      <c r="F3926" t="n">
        <v>0</v>
      </c>
      <c r="G3926" t="n">
        <v>0</v>
      </c>
      <c r="H3926" t="n">
        <v>0</v>
      </c>
      <c r="I3926" s="3" t="n">
        <v>0</v>
      </c>
      <c r="J3926" s="3" t="n">
        <v>0</v>
      </c>
      <c r="K3926" s="3" t="n">
        <v>0</v>
      </c>
      <c r="L3926" s="3">
        <f>IF(K3926&lt;-5,"CRÍTICO",IF(K3926&lt;0,"ATENÇÃO",IF(K3926&lt;=5,"OPORTUNO","MUITO BOM")))</f>
        <v/>
      </c>
      <c r="M3926" t="n">
        <v>0</v>
      </c>
      <c r="N3926" t="n">
        <v>98.73</v>
      </c>
      <c r="O3926" t="n">
        <v>28.96174863387978</v>
      </c>
    </row>
    <row r="3927" hidden="1">
      <c r="A3927" s="11" t="n">
        <v>46125</v>
      </c>
      <c r="B3927" t="inlineStr">
        <is>
          <t>Lucas Luiz Romero</t>
        </is>
      </c>
      <c r="C3927" t="inlineStr">
        <is>
          <t>Técnico III</t>
        </is>
      </c>
      <c r="D3927" t="n">
        <v>44</v>
      </c>
      <c r="E3927" t="n">
        <v>31</v>
      </c>
      <c r="F3927" t="n">
        <v>10.22</v>
      </c>
      <c r="G3927" t="n">
        <v>0</v>
      </c>
      <c r="H3927" t="n">
        <v>0</v>
      </c>
      <c r="I3927" s="3">
        <f>E3927+G3927+H3927</f>
        <v/>
      </c>
      <c r="J3927" s="3">
        <f>ROUND(MIN(IF(C3927="Técnico III",35,IF(C3927="Técnico II",28,IF(C3927="Técnico I",23,IF(C3927="JR",20,IF(C3927="Estágio",10,0))))),IF(C3927="Técnico III",SUMIFS($D:$D,$A:$A,$A3927,$B:$B,"&lt;&gt;Patrícia Karla de Sousa Araújo",$B:$B,"&lt;&gt;Lorena Dias de Araujo",$B:$B,"&lt;&gt;Lucas Luiz Romero")*(35/1083),IF(C3927="Técnico II",SUMIFS($D:$D,$A:$A,$A3927,$B:$B,"&lt;&gt;Patrícia Karla de Sousa Araújo",$B:$B,"&lt;&gt;Lorena Dias de Araujo",$B:$B,"&lt;&gt;Lucas Luiz Romero")*(28/1083),IF(C3927="Técnico I",SUMIFS($D:$D,$A:$A,$A3927,$B:$B,"&lt;&gt;Patrícia Karla de Sousa Araújo",$B:$B,"&lt;&gt;Lorena Dias de Araujo",$B:$B,"&lt;&gt;Lucas Luiz Romero")*(23/1083),IF(C3927="JR",SUMIFS($D:$D,$A:$A,$A3927,$B:$B,"&lt;&gt;Patrícia Karla de Sousa Araújo",$B:$B,"&lt;&gt;Lorena Dias de Araujo",$B:$B,"&lt;&gt;Lucas Luiz Romero")*(20/1083),IF(C3927="Estágio",SUMIFS($D:$D,$A:$A,$A3927,$B:$B,"&lt;&gt;Patrícia Karla de Sousa Araújo",$B:$B,"&lt;&gt;Lorena Dias de Araujo",$B:$B,"&lt;&gt;Lucas Luiz Romero")*(10/1083),0)))))),0)</f>
        <v/>
      </c>
      <c r="K3927" s="3">
        <f>I3927-J3927</f>
        <v/>
      </c>
      <c r="L3927" s="3">
        <f>IF(K3927&lt;-5,"CRÍTICO",IF(K3927&lt;0,"ATENÇÃO",IF(K3927&lt;=5,"OPORTUNO","MUITO BOM")))</f>
        <v/>
      </c>
      <c r="M3927" t="n">
        <v>25</v>
      </c>
      <c r="N3927" t="n">
        <v>88.68000000000001</v>
      </c>
      <c r="O3927" t="n">
        <v>22.03389830508474</v>
      </c>
    </row>
    <row r="3928" hidden="1">
      <c r="A3928" s="11" t="n">
        <v>46125</v>
      </c>
      <c r="B3928" t="inlineStr">
        <is>
          <t>Luiz Fernando de Carvalho Junior</t>
        </is>
      </c>
      <c r="C3928" t="inlineStr">
        <is>
          <t>Técnico I</t>
        </is>
      </c>
      <c r="D3928" t="n">
        <v>26</v>
      </c>
      <c r="E3928" t="n">
        <v>25</v>
      </c>
      <c r="F3928" t="n">
        <v>15.12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M3928" t="n">
        <v>24</v>
      </c>
      <c r="N3928" t="n">
        <v>97.37</v>
      </c>
      <c r="O3928" t="n">
        <v>25.76530612244898</v>
      </c>
    </row>
    <row r="3929" hidden="1">
      <c r="A3929" s="11" t="n">
        <v>46125</v>
      </c>
      <c r="B3929" t="inlineStr">
        <is>
          <t>Maria Eduarda Sousa Costa</t>
        </is>
      </c>
      <c r="C3929" t="inlineStr">
        <is>
          <t>Estágio</t>
        </is>
      </c>
      <c r="D3929" t="n">
        <v>0</v>
      </c>
      <c r="E3929" t="n">
        <v>0</v>
      </c>
      <c r="F3929" t="n">
        <v>0</v>
      </c>
      <c r="G3929" t="n">
        <v>0</v>
      </c>
      <c r="H3929" t="n">
        <v>0</v>
      </c>
      <c r="I3929" s="3" t="n">
        <v>0</v>
      </c>
      <c r="J3929" s="3" t="n">
        <v>0</v>
      </c>
      <c r="K3929" s="3" t="n">
        <v>0</v>
      </c>
      <c r="L3929" s="3">
        <f>IF(K3929&lt;-5,"CRÍTICO",IF(K3929&lt;0,"ATENÇÃO",IF(K3929&lt;=5,"OPORTUNO","MUITO BOM")))</f>
        <v/>
      </c>
      <c r="M3929" t="n">
        <v>0</v>
      </c>
      <c r="N3929" t="n">
        <v>100</v>
      </c>
      <c r="O3929" t="n">
        <v>25</v>
      </c>
    </row>
    <row r="3930" hidden="1">
      <c r="A3930" s="11" t="n">
        <v>46125</v>
      </c>
      <c r="B3930" t="inlineStr">
        <is>
          <t>Matheus Farias De Souza</t>
        </is>
      </c>
      <c r="C3930" t="inlineStr">
        <is>
          <t>Técnico III</t>
        </is>
      </c>
      <c r="D3930" t="n">
        <v>23</v>
      </c>
      <c r="E3930" t="n">
        <v>21</v>
      </c>
      <c r="F3930" t="n">
        <v>18.44</v>
      </c>
      <c r="G3930" t="n">
        <v>0</v>
      </c>
      <c r="H3930" t="n">
        <v>0</v>
      </c>
      <c r="I3930" s="3">
        <f>E3930+G3930+H3930</f>
        <v/>
      </c>
      <c r="J3930" s="3">
        <f>ROUND(MIN(IF(C3930="Técnico III",35,IF(C3930="Técnico II",28,IF(C3930="Técnico I",23,IF(C3930="JR",20,IF(C3930="Estágio",10,0))))),IF(C3930="Técnico III",SUMIFS($D:$D,$A:$A,$A3930,$B:$B,"&lt;&gt;Patrícia Karla de Sousa Araújo",$B:$B,"&lt;&gt;Lorena Dias de Araujo",$B:$B,"&lt;&gt;Lucas Luiz Romero")*(35/1083),IF(C3930="Técnico II",SUMIFS($D:$D,$A:$A,$A3930,$B:$B,"&lt;&gt;Patrícia Karla de Sousa Araújo",$B:$B,"&lt;&gt;Lorena Dias de Araujo",$B:$B,"&lt;&gt;Lucas Luiz Romero")*(28/1083),IF(C3930="Técnico I",SUMIFS($D:$D,$A:$A,$A3930,$B:$B,"&lt;&gt;Patrícia Karla de Sousa Araújo",$B:$B,"&lt;&gt;Lorena Dias de Araujo",$B:$B,"&lt;&gt;Lucas Luiz Romero")*(23/1083),IF(C3930="JR",SUMIFS($D:$D,$A:$A,$A3930,$B:$B,"&lt;&gt;Patrícia Karla de Sousa Araújo",$B:$B,"&lt;&gt;Lorena Dias de Araujo",$B:$B,"&lt;&gt;Lucas Luiz Romero")*(20/1083),IF(C3930="Estágio",SUMIFS($D:$D,$A:$A,$A3930,$B:$B,"&lt;&gt;Patrícia Karla de Sousa Araújo",$B:$B,"&lt;&gt;Lorena Dias de Araujo",$B:$B,"&lt;&gt;Lucas Luiz Romero")*(10/1083),0)))))),0)</f>
        <v/>
      </c>
      <c r="K3930" s="3">
        <f>I3930-J3930</f>
        <v/>
      </c>
      <c r="L3930" s="3">
        <f>IF(K3930&lt;-5,"CRÍTICO",IF(K3930&lt;0,"ATENÇÃO",IF(K3930&lt;=5,"OPORTUNO","MUITO BOM")))</f>
        <v/>
      </c>
      <c r="M3930" t="n">
        <v>19</v>
      </c>
      <c r="N3930" t="n">
        <v>100</v>
      </c>
      <c r="O3930" t="n">
        <v>23.9870340356564</v>
      </c>
    </row>
    <row r="3931" hidden="1">
      <c r="A3931" s="11" t="n">
        <v>46125</v>
      </c>
      <c r="B3931" t="inlineStr">
        <is>
          <t>Maysa Victoria Dias Moura</t>
        </is>
      </c>
      <c r="C3931" t="inlineStr">
        <is>
          <t>Técnico III</t>
        </is>
      </c>
      <c r="D3931" t="n">
        <v>34</v>
      </c>
      <c r="E3931" t="n">
        <v>29</v>
      </c>
      <c r="F3931" t="n">
        <v>11.43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M3931" t="n">
        <v>29</v>
      </c>
      <c r="N3931" t="n">
        <v>95.48999999999999</v>
      </c>
      <c r="O3931" t="n">
        <v>28.37022132796781</v>
      </c>
    </row>
    <row r="3932" hidden="1">
      <c r="A3932" s="11" t="n">
        <v>46125</v>
      </c>
      <c r="B3932" t="inlineStr">
        <is>
          <t>Michelle G Santos</t>
        </is>
      </c>
      <c r="C3932" t="inlineStr">
        <is>
          <t>Estágio</t>
        </is>
      </c>
      <c r="D3932" t="n">
        <v>13</v>
      </c>
      <c r="E3932" t="n">
        <v>13</v>
      </c>
      <c r="F3932" t="n">
        <v>28.58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M3932" t="n">
        <v>7</v>
      </c>
      <c r="N3932" t="n">
        <v>100</v>
      </c>
      <c r="O3932" t="n">
        <v>23.77622377622378</v>
      </c>
    </row>
    <row r="3933" hidden="1">
      <c r="A3933" s="11" t="n">
        <v>46125</v>
      </c>
      <c r="B3933" t="inlineStr">
        <is>
          <t>Milena Sales</t>
        </is>
      </c>
      <c r="C3933" t="inlineStr">
        <is>
          <t>JR</t>
        </is>
      </c>
      <c r="D3933" t="n">
        <v>25</v>
      </c>
      <c r="E3933" t="n">
        <v>22</v>
      </c>
      <c r="F3933" t="n">
        <v>22.22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M3933" t="n">
        <v>17</v>
      </c>
      <c r="N3933" t="n">
        <v>96.15000000000001</v>
      </c>
      <c r="O3933" t="n">
        <v>24.04580152671756</v>
      </c>
    </row>
    <row r="3934" hidden="1">
      <c r="A3934" s="11" t="n">
        <v>46125</v>
      </c>
      <c r="B3934" t="inlineStr">
        <is>
          <t>Patrícia Karla de Sousa Araújo</t>
        </is>
      </c>
      <c r="C3934" t="inlineStr">
        <is>
          <t>Técnico II</t>
        </is>
      </c>
      <c r="D3934" t="n">
        <v>20</v>
      </c>
      <c r="E3934" t="n">
        <v>19</v>
      </c>
      <c r="F3934" t="n">
        <v>15.27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M3934" t="n">
        <v>20</v>
      </c>
      <c r="N3934" t="n">
        <v>99.02</v>
      </c>
      <c r="O3934" t="n">
        <v>34.7972972972973</v>
      </c>
    </row>
    <row r="3935" hidden="1">
      <c r="A3935" s="11" t="n">
        <v>46125</v>
      </c>
      <c r="B3935" t="inlineStr">
        <is>
          <t>Paulo Ricardo Santos</t>
        </is>
      </c>
      <c r="C3935" t="inlineStr">
        <is>
          <t>JR</t>
        </is>
      </c>
      <c r="D3935" t="n">
        <v>18</v>
      </c>
      <c r="E3935" t="n">
        <v>17</v>
      </c>
      <c r="F3935" t="n">
        <v>17.03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M3935" t="n">
        <v>13</v>
      </c>
      <c r="N3935" t="n">
        <v>98.84</v>
      </c>
      <c r="O3935" t="n">
        <v>31.86813186813187</v>
      </c>
    </row>
    <row r="3936" hidden="1">
      <c r="A3936" s="11" t="n">
        <v>46125</v>
      </c>
      <c r="B3936" t="inlineStr">
        <is>
          <t>Pedro Luiz Mota Sousa</t>
        </is>
      </c>
      <c r="C3936" t="inlineStr">
        <is>
          <t>JR</t>
        </is>
      </c>
      <c r="D3936" t="n">
        <v>23</v>
      </c>
      <c r="E3936" t="n">
        <v>22</v>
      </c>
      <c r="F3936" t="n">
        <v>15.45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M3936" t="n">
        <v>18</v>
      </c>
      <c r="N3936" t="n">
        <v>100</v>
      </c>
      <c r="O3936" t="n">
        <v>34.66666666666667</v>
      </c>
    </row>
    <row r="3937" hidden="1">
      <c r="A3937" s="11" t="n">
        <v>46125</v>
      </c>
      <c r="B3937" t="inlineStr">
        <is>
          <t>Quirino Diogo Leite Torres</t>
        </is>
      </c>
      <c r="C3937" t="inlineStr">
        <is>
          <t>Estágio</t>
        </is>
      </c>
      <c r="D3937" t="n">
        <v>3</v>
      </c>
      <c r="E3937" t="n">
        <v>3</v>
      </c>
      <c r="F3937" t="n">
        <v>50.24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M3937" t="n">
        <v>3</v>
      </c>
      <c r="N3937" t="n">
        <v>94.12</v>
      </c>
      <c r="O3937" t="n">
        <v>32.8</v>
      </c>
    </row>
    <row r="3938" hidden="1">
      <c r="A3938" s="11" t="n">
        <v>46125</v>
      </c>
      <c r="B3938" t="inlineStr">
        <is>
          <t>Raane Batista Matos</t>
        </is>
      </c>
      <c r="C3938" t="inlineStr">
        <is>
          <t>Técnico I</t>
        </is>
      </c>
      <c r="D3938" t="n">
        <v>22</v>
      </c>
      <c r="E3938" t="n">
        <v>20</v>
      </c>
      <c r="F3938" t="n">
        <v>12.14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M3938" t="n">
        <v>18</v>
      </c>
      <c r="N3938" t="n">
        <v>98.31999999999999</v>
      </c>
      <c r="O3938" t="n">
        <v>26.85851318944844</v>
      </c>
    </row>
    <row r="3939" hidden="1">
      <c r="A3939" s="11" t="n">
        <v>46125</v>
      </c>
      <c r="B3939" t="inlineStr">
        <is>
          <t>Rafael Gomes de Morais</t>
        </is>
      </c>
      <c r="C3939" t="inlineStr">
        <is>
          <t>Técnico III</t>
        </is>
      </c>
      <c r="D3939" t="n">
        <v>28</v>
      </c>
      <c r="E3939" t="n">
        <v>25</v>
      </c>
      <c r="F3939" t="n">
        <v>17.16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M3939" t="n">
        <v>16</v>
      </c>
      <c r="N3939" t="n">
        <v>100</v>
      </c>
      <c r="O3939" t="n">
        <v>31.13553113553114</v>
      </c>
    </row>
    <row r="3940" hidden="1">
      <c r="A3940" s="11" t="n">
        <v>46125</v>
      </c>
      <c r="B3940" t="inlineStr">
        <is>
          <t>Sara Maria Monteiro Lopes</t>
        </is>
      </c>
      <c r="C3940" t="inlineStr">
        <is>
          <t>Técnico I</t>
        </is>
      </c>
      <c r="D3940" t="n">
        <v>13</v>
      </c>
      <c r="E3940" t="n">
        <v>13</v>
      </c>
      <c r="F3940" t="n">
        <v>38.44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M3940" t="n">
        <v>12</v>
      </c>
      <c r="N3940" t="n">
        <v>100</v>
      </c>
      <c r="O3940" t="n">
        <v>26.36986301369863</v>
      </c>
    </row>
    <row r="3941" hidden="1">
      <c r="A3941" s="11" t="n">
        <v>46125</v>
      </c>
      <c r="B3941" t="inlineStr">
        <is>
          <t>Sarah Steffanie de Lima Borges</t>
        </is>
      </c>
      <c r="C3941" t="inlineStr">
        <is>
          <t>Técnico III</t>
        </is>
      </c>
      <c r="D3941" t="n">
        <v>20</v>
      </c>
      <c r="E3941" t="n">
        <v>20</v>
      </c>
      <c r="F3941" t="n">
        <v>23.5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M3941" t="n">
        <v>18</v>
      </c>
      <c r="N3941" t="n">
        <v>99.20999999999999</v>
      </c>
      <c r="O3941" t="n">
        <v>25.18891687657431</v>
      </c>
    </row>
    <row r="3942" hidden="1">
      <c r="A3942" s="11" t="n">
        <v>46126</v>
      </c>
      <c r="B3942" t="inlineStr">
        <is>
          <t>Alisson de Freitas Silva</t>
        </is>
      </c>
      <c r="C3942" t="inlineStr">
        <is>
          <t>Técnico II</t>
        </is>
      </c>
      <c r="D3942" t="n">
        <v>17</v>
      </c>
      <c r="E3942" t="n">
        <v>12</v>
      </c>
      <c r="F3942" t="n">
        <v>14.1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M3942" t="n">
        <v>8</v>
      </c>
      <c r="N3942" t="n">
        <v>100</v>
      </c>
      <c r="O3942" t="n">
        <v>32.76450511945392</v>
      </c>
    </row>
    <row r="3943" hidden="1">
      <c r="A3943" s="11" t="n">
        <v>46126</v>
      </c>
      <c r="B3943" t="inlineStr">
        <is>
          <t>Amanda Moura Ferreira</t>
        </is>
      </c>
      <c r="C3943" t="inlineStr">
        <is>
          <t>Técnico III</t>
        </is>
      </c>
      <c r="D3943" t="n">
        <v>0</v>
      </c>
      <c r="E3943" t="n">
        <v>0</v>
      </c>
      <c r="F3943" t="n">
        <v>0</v>
      </c>
      <c r="G3943" t="n">
        <v>0</v>
      </c>
      <c r="H3943" t="n">
        <v>0</v>
      </c>
      <c r="I3943" s="3" t="n">
        <v>0</v>
      </c>
      <c r="J3943" s="3" t="n">
        <v>0</v>
      </c>
      <c r="K3943" s="3" t="n">
        <v>0</v>
      </c>
      <c r="L3943" s="3">
        <f>IF(K3943&lt;-5,"CRÍTICO",IF(K3943&lt;0,"ATENÇÃO",IF(K3943&lt;=5,"OPORTUNO","MUITO BOM")))</f>
        <v/>
      </c>
      <c r="M3943" t="n">
        <v>19</v>
      </c>
      <c r="N3943" t="n">
        <v>98.66</v>
      </c>
      <c r="O3943" t="n">
        <v>35.41666666666667</v>
      </c>
    </row>
    <row r="3944" hidden="1">
      <c r="A3944" s="11" t="n">
        <v>46126</v>
      </c>
      <c r="B3944" t="inlineStr">
        <is>
          <t>Ana Karollyne Souza Faria</t>
        </is>
      </c>
      <c r="C3944" t="inlineStr">
        <is>
          <t>Técnico I</t>
        </is>
      </c>
      <c r="D3944" t="n">
        <v>18</v>
      </c>
      <c r="E3944" t="n">
        <v>15</v>
      </c>
      <c r="F3944" t="n">
        <v>20.59</v>
      </c>
      <c r="G3944" t="n">
        <v>0</v>
      </c>
      <c r="H3944" t="n">
        <v>0</v>
      </c>
      <c r="I3944" s="3">
        <f>E3944+G3944+H3944</f>
        <v/>
      </c>
      <c r="J3944" s="3">
        <f>ROUND(MIN(IF(C3944="Técnico III",35,IF(C3944="Técnico II",28,IF(C3944="Técnico I",23,IF(C3944="JR",20,IF(C3944="Estágio",10,0))))),IF(C3944="Técnico III",SUMIFS($D:$D,$A:$A,$A3944,$B:$B,"&lt;&gt;Patrícia Karla de Sousa Araújo",$B:$B,"&lt;&gt;Lorena Dias de Araujo",$B:$B,"&lt;&gt;Lucas Luiz Romero")*(35/1083),IF(C3944="Técnico II",SUMIFS($D:$D,$A:$A,$A3944,$B:$B,"&lt;&gt;Patrícia Karla de Sousa Araújo",$B:$B,"&lt;&gt;Lorena Dias de Araujo",$B:$B,"&lt;&gt;Lucas Luiz Romero")*(28/1083),IF(C3944="Técnico I",SUMIFS($D:$D,$A:$A,$A3944,$B:$B,"&lt;&gt;Patrícia Karla de Sousa Araújo",$B:$B,"&lt;&gt;Lorena Dias de Araujo",$B:$B,"&lt;&gt;Lucas Luiz Romero")*(23/1083),IF(C3944="JR",SUMIFS($D:$D,$A:$A,$A3944,$B:$B,"&lt;&gt;Patrícia Karla de Sousa Araújo",$B:$B,"&lt;&gt;Lorena Dias de Araujo",$B:$B,"&lt;&gt;Lucas Luiz Romero")*(20/1083),IF(C3944="Estágio",SUMIFS($D:$D,$A:$A,$A3944,$B:$B,"&lt;&gt;Patrícia Karla de Sousa Araújo",$B:$B,"&lt;&gt;Lorena Dias de Araujo",$B:$B,"&lt;&gt;Lucas Luiz Romero")*(10/1083),0)))))),0)</f>
        <v/>
      </c>
      <c r="K3944" s="3">
        <f>I3944-J3944</f>
        <v/>
      </c>
      <c r="L3944" s="3">
        <f>IF(K3944&lt;-5,"CRÍTICO",IF(K3944&lt;0,"ATENÇÃO",IF(K3944&lt;=5,"OPORTUNO","MUITO BOM")))</f>
        <v/>
      </c>
      <c r="M3944" t="n">
        <v>19</v>
      </c>
      <c r="N3944" t="n">
        <v>99.31999999999999</v>
      </c>
      <c r="O3944" t="n">
        <v>30.6483300589391</v>
      </c>
    </row>
    <row r="3945" hidden="1">
      <c r="A3945" s="11" t="n">
        <v>46126</v>
      </c>
      <c r="B3945" t="inlineStr">
        <is>
          <t>Ana Paula Da Luz Silva Aleixo</t>
        </is>
      </c>
      <c r="C3945" t="inlineStr">
        <is>
          <t>Técnico III</t>
        </is>
      </c>
      <c r="D3945" t="n">
        <v>36</v>
      </c>
      <c r="E3945" t="n">
        <v>34</v>
      </c>
      <c r="F3945" t="n">
        <v>17.19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M3945" t="n">
        <v>30</v>
      </c>
      <c r="N3945" t="n">
        <v>100</v>
      </c>
      <c r="O3945" t="n">
        <v>27.80373831775701</v>
      </c>
    </row>
    <row r="3946" hidden="1">
      <c r="A3946" s="11" t="n">
        <v>46126</v>
      </c>
      <c r="B3946" t="inlineStr">
        <is>
          <t>Anna Luiza Rezende Tavares</t>
        </is>
      </c>
      <c r="C3946" t="inlineStr">
        <is>
          <t>Estágio</t>
        </is>
      </c>
      <c r="D3946" t="n">
        <v>34</v>
      </c>
      <c r="E3946" t="n">
        <v>32</v>
      </c>
      <c r="F3946" t="n">
        <v>17.26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M3946" t="n">
        <v>30</v>
      </c>
      <c r="N3946" t="n">
        <v>96.73999999999999</v>
      </c>
      <c r="O3946" t="n">
        <v>28.67647058823529</v>
      </c>
    </row>
    <row r="3947" hidden="1">
      <c r="A3947" s="11" t="n">
        <v>46126</v>
      </c>
      <c r="B3947" t="inlineStr">
        <is>
          <t>Brenda de Menezes Silva</t>
        </is>
      </c>
      <c r="C3947" t="inlineStr">
        <is>
          <t>Técnico II</t>
        </is>
      </c>
      <c r="D3947" t="n">
        <v>31</v>
      </c>
      <c r="E3947" t="n">
        <v>31</v>
      </c>
      <c r="F3947" t="n">
        <v>13.59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M3947" t="n">
        <v>35</v>
      </c>
      <c r="N3947" t="n">
        <v>98.81999999999999</v>
      </c>
      <c r="O3947" t="n">
        <v>30.74141048824593</v>
      </c>
    </row>
    <row r="3948" hidden="1">
      <c r="A3948" s="11" t="n">
        <v>46126</v>
      </c>
      <c r="B3948" t="inlineStr">
        <is>
          <t>Carlos Mateus Cassimiro Nunes</t>
        </is>
      </c>
      <c r="C3948" t="inlineStr">
        <is>
          <t>Técnico II</t>
        </is>
      </c>
      <c r="D3948" t="n">
        <v>17</v>
      </c>
      <c r="E3948" t="n">
        <v>16</v>
      </c>
      <c r="F3948" t="n">
        <v>30.14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M3948" t="n">
        <v>17</v>
      </c>
      <c r="N3948" t="n">
        <v>98.2</v>
      </c>
      <c r="O3948" t="n">
        <v>27.17086834733893</v>
      </c>
    </row>
    <row r="3949" hidden="1">
      <c r="A3949" s="11" t="n">
        <v>46126</v>
      </c>
      <c r="B3949" t="inlineStr">
        <is>
          <t>Claudio de Sousa Velasco Filho</t>
        </is>
      </c>
      <c r="C3949" t="inlineStr">
        <is>
          <t>Estágio</t>
        </is>
      </c>
      <c r="D3949" t="n">
        <v>9</v>
      </c>
      <c r="E3949" t="n">
        <v>6</v>
      </c>
      <c r="F3949" t="n">
        <v>30.39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M3949" t="n">
        <v>5</v>
      </c>
      <c r="N3949" t="n">
        <v>100</v>
      </c>
      <c r="O3949" t="n">
        <v>23.13432835820895</v>
      </c>
    </row>
    <row r="3950" hidden="1">
      <c r="A3950" s="11" t="n">
        <v>46126</v>
      </c>
      <c r="B3950" t="inlineStr">
        <is>
          <t>Clessiane Pereira dos Santos</t>
        </is>
      </c>
      <c r="C3950" t="inlineStr">
        <is>
          <t>Técnico I</t>
        </is>
      </c>
      <c r="D3950" t="n">
        <v>26</v>
      </c>
      <c r="E3950" t="n">
        <v>25</v>
      </c>
      <c r="F3950" t="n">
        <v>18.5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M3950" t="n">
        <v>23</v>
      </c>
      <c r="N3950" t="n">
        <v>96.3</v>
      </c>
      <c r="O3950" t="n">
        <v>32.21957040572792</v>
      </c>
    </row>
    <row r="3951" hidden="1">
      <c r="A3951" s="11" t="n">
        <v>46126</v>
      </c>
      <c r="B3951" t="inlineStr">
        <is>
          <t>Cristiane Ramos da Silva Rocha</t>
        </is>
      </c>
      <c r="C3951" t="inlineStr">
        <is>
          <t>Técnico III</t>
        </is>
      </c>
      <c r="D3951" t="n">
        <v>42</v>
      </c>
      <c r="E3951" t="n">
        <v>38</v>
      </c>
      <c r="F3951" t="n">
        <v>9.140000000000001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M3951" t="n">
        <v>36</v>
      </c>
      <c r="N3951" t="n">
        <v>93.75</v>
      </c>
      <c r="O3951" t="n">
        <v>26.81992337164751</v>
      </c>
    </row>
    <row r="3952" hidden="1">
      <c r="A3952" s="11" t="n">
        <v>46126</v>
      </c>
      <c r="B3952" t="inlineStr">
        <is>
          <t>Damyllis Lorraine de Oliveira Gonçalves</t>
        </is>
      </c>
      <c r="C3952" t="inlineStr">
        <is>
          <t>Técnico II</t>
        </is>
      </c>
      <c r="D3952" t="n">
        <v>25</v>
      </c>
      <c r="E3952" t="n">
        <v>22</v>
      </c>
      <c r="F3952" t="n">
        <v>23.3</v>
      </c>
      <c r="G3952" t="n">
        <v>0</v>
      </c>
      <c r="H3952" t="n">
        <v>0</v>
      </c>
      <c r="I3952" s="3" t="n">
        <v>0</v>
      </c>
      <c r="J3952" s="3" t="n">
        <v>0</v>
      </c>
      <c r="K3952" s="3" t="n">
        <v>0</v>
      </c>
      <c r="L3952" s="3">
        <f>IF(K3952&lt;-5,"CRÍTICO",IF(K3952&lt;0,"ATENÇÃO",IF(K3952&lt;=5,"OPORTUNO","MUITO BOM")))</f>
        <v/>
      </c>
      <c r="M3952" t="n">
        <v>20</v>
      </c>
      <c r="N3952" t="n">
        <v>97.86</v>
      </c>
      <c r="O3952" t="n">
        <v>31.01851851851852</v>
      </c>
    </row>
    <row r="3953" hidden="1">
      <c r="A3953" s="11" t="n">
        <v>46126</v>
      </c>
      <c r="B3953" t="inlineStr">
        <is>
          <t>Daniel Gomes da Silva</t>
        </is>
      </c>
      <c r="C3953" t="inlineStr">
        <is>
          <t>Técnico I</t>
        </is>
      </c>
      <c r="D3953" t="n">
        <v>19</v>
      </c>
      <c r="E3953" t="n">
        <v>17</v>
      </c>
      <c r="F3953" t="n">
        <v>18.44</v>
      </c>
      <c r="G3953" t="n">
        <v>0</v>
      </c>
      <c r="H3953" t="n">
        <v>0</v>
      </c>
      <c r="I3953" s="3">
        <f>E3953+G3953+H3953</f>
        <v/>
      </c>
      <c r="J3953" s="3">
        <f>ROUND(MIN(IF(C3953="Técnico III",35,IF(C3953="Técnico II",28,IF(C3953="Técnico I",23,IF(C3953="JR",20,IF(C3953="Estágio",10,0))))),IF(C3953="Técnico III",SUMIFS($D:$D,$A:$A,$A3953,$B:$B,"&lt;&gt;Patrícia Karla de Sousa Araújo",$B:$B,"&lt;&gt;Lorena Dias de Araujo",$B:$B,"&lt;&gt;Lucas Luiz Romero")*(35/1083),IF(C3953="Técnico II",SUMIFS($D:$D,$A:$A,$A3953,$B:$B,"&lt;&gt;Patrícia Karla de Sousa Araújo",$B:$B,"&lt;&gt;Lorena Dias de Araujo",$B:$B,"&lt;&gt;Lucas Luiz Romero")*(28/1083),IF(C3953="Técnico I",SUMIFS($D:$D,$A:$A,$A3953,$B:$B,"&lt;&gt;Patrícia Karla de Sousa Araújo",$B:$B,"&lt;&gt;Lorena Dias de Araujo",$B:$B,"&lt;&gt;Lucas Luiz Romero")*(23/1083),IF(C3953="JR",SUMIFS($D:$D,$A:$A,$A3953,$B:$B,"&lt;&gt;Patrícia Karla de Sousa Araújo",$B:$B,"&lt;&gt;Lorena Dias de Araujo",$B:$B,"&lt;&gt;Lucas Luiz Romero")*(20/1083),IF(C3953="Estágio",SUMIFS($D:$D,$A:$A,$A3953,$B:$B,"&lt;&gt;Patrícia Karla de Sousa Araújo",$B:$B,"&lt;&gt;Lorena Dias de Araujo",$B:$B,"&lt;&gt;Lucas Luiz Romero")*(10/1083),0)))))),0)</f>
        <v/>
      </c>
      <c r="K3953" s="3">
        <f>I3953-J3953</f>
        <v/>
      </c>
      <c r="L3953" s="3">
        <f>IF(K3953&lt;-5,"CRÍTICO",IF(K3953&lt;0,"ATENÇÃO",IF(K3953&lt;=5,"OPORTUNO","MUITO BOM")))</f>
        <v/>
      </c>
      <c r="M3953" t="n">
        <v>15</v>
      </c>
      <c r="N3953" t="n">
        <v>100</v>
      </c>
      <c r="O3953" t="n">
        <v>36.59420289855073</v>
      </c>
    </row>
    <row r="3954" hidden="1">
      <c r="A3954" s="11" t="n">
        <v>46126</v>
      </c>
      <c r="B3954" t="inlineStr">
        <is>
          <t>Davylla Rodrigues Freitas Silva</t>
        </is>
      </c>
      <c r="C3954" t="inlineStr">
        <is>
          <t>Técnico III</t>
        </is>
      </c>
      <c r="D3954" t="n">
        <v>23</v>
      </c>
      <c r="E3954" t="n">
        <v>22</v>
      </c>
      <c r="F3954" t="n">
        <v>27.14</v>
      </c>
      <c r="G3954" t="n">
        <v>0</v>
      </c>
      <c r="H3954" t="n">
        <v>0</v>
      </c>
      <c r="I3954" s="3" t="n">
        <v>0</v>
      </c>
      <c r="J3954" s="3" t="n">
        <v>0</v>
      </c>
      <c r="K3954" s="3" t="n">
        <v>0</v>
      </c>
      <c r="L3954" s="3">
        <f>IF(K3954&lt;-5,"CRÍTICO",IF(K3954&lt;0,"ATENÇÃO",IF(K3954&lt;=5,"OPORTUNO","MUITO BOM")))</f>
        <v/>
      </c>
      <c r="M3954" t="n">
        <v>23</v>
      </c>
      <c r="N3954" t="n">
        <v>100</v>
      </c>
      <c r="O3954" t="n">
        <v>38.65384615384615</v>
      </c>
    </row>
    <row r="3955" hidden="1">
      <c r="A3955" s="11" t="n">
        <v>46126</v>
      </c>
      <c r="B3955" t="inlineStr">
        <is>
          <t>Emilly Caylane Costa</t>
        </is>
      </c>
      <c r="C3955" t="inlineStr">
        <is>
          <t>Estágio</t>
        </is>
      </c>
      <c r="D3955" t="n">
        <v>14</v>
      </c>
      <c r="E3955" t="n">
        <v>10</v>
      </c>
      <c r="F3955" t="n">
        <v>20.44</v>
      </c>
      <c r="G3955" t="n">
        <v>0</v>
      </c>
      <c r="H3955" t="n">
        <v>0</v>
      </c>
      <c r="I3955" s="3">
        <f>E3955+G3955+H3955</f>
        <v/>
      </c>
      <c r="J3955" s="3">
        <f>ROUND(MIN(IF(C3955="Técnico III",35,IF(C3955="Técnico II",28,IF(C3955="Técnico I",23,IF(C3955="JR",20,IF(C3955="Estágio",10,0))))),IF(C3955="Técnico III",SUMIFS($D:$D,$A:$A,$A3955,$B:$B,"&lt;&gt;Patrícia Karla de Sousa Araújo",$B:$B,"&lt;&gt;Lorena Dias de Araujo",$B:$B,"&lt;&gt;Lucas Luiz Romero")*(35/1083),IF(C3955="Técnico II",SUMIFS($D:$D,$A:$A,$A3955,$B:$B,"&lt;&gt;Patrícia Karla de Sousa Araújo",$B:$B,"&lt;&gt;Lorena Dias de Araujo",$B:$B,"&lt;&gt;Lucas Luiz Romero")*(28/1083),IF(C3955="Técnico I",SUMIFS($D:$D,$A:$A,$A3955,$B:$B,"&lt;&gt;Patrícia Karla de Sousa Araújo",$B:$B,"&lt;&gt;Lorena Dias de Araujo",$B:$B,"&lt;&gt;Lucas Luiz Romero")*(23/1083),IF(C3955="JR",SUMIFS($D:$D,$A:$A,$A3955,$B:$B,"&lt;&gt;Patrícia Karla de Sousa Araújo",$B:$B,"&lt;&gt;Lorena Dias de Araujo",$B:$B,"&lt;&gt;Lucas Luiz Romero")*(20/1083),IF(C3955="Estágio",SUMIFS($D:$D,$A:$A,$A3955,$B:$B,"&lt;&gt;Patrícia Karla de Sousa Araújo",$B:$B,"&lt;&gt;Lorena Dias de Araujo",$B:$B,"&lt;&gt;Lucas Luiz Romero")*(10/1083),0)))))),0)</f>
        <v/>
      </c>
      <c r="K3955" s="3">
        <f>I3955-J3955</f>
        <v/>
      </c>
      <c r="L3955" s="3">
        <f>IF(K3955&lt;-5,"CRÍTICO",IF(K3955&lt;0,"ATENÇÃO",IF(K3955&lt;=5,"OPORTUNO","MUITO BOM")))</f>
        <v/>
      </c>
      <c r="M3955" t="n">
        <v>6</v>
      </c>
      <c r="N3955" t="n">
        <v>100</v>
      </c>
      <c r="O3955" t="n">
        <v>27.36842105263158</v>
      </c>
    </row>
    <row r="3956" hidden="1">
      <c r="A3956" s="11" t="n">
        <v>46126</v>
      </c>
      <c r="B3956" t="inlineStr">
        <is>
          <t>Emilly Kamilly Medeiros Miranda</t>
        </is>
      </c>
      <c r="C3956" t="inlineStr">
        <is>
          <t>Técnico II</t>
        </is>
      </c>
      <c r="D3956" t="n">
        <v>19</v>
      </c>
      <c r="E3956" t="n">
        <v>18</v>
      </c>
      <c r="F3956" t="n">
        <v>23.37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M3956" t="n">
        <v>16</v>
      </c>
      <c r="N3956" t="n">
        <v>97.83</v>
      </c>
      <c r="O3956" t="n">
        <v>28.35164835164835</v>
      </c>
    </row>
    <row r="3957" hidden="1">
      <c r="A3957" s="11" t="n">
        <v>46126</v>
      </c>
      <c r="B3957" t="inlineStr">
        <is>
          <t>Francielson de Oliveira</t>
        </is>
      </c>
      <c r="C3957" t="inlineStr">
        <is>
          <t>Técnico III</t>
        </is>
      </c>
      <c r="D3957" t="n">
        <v>32</v>
      </c>
      <c r="E3957" t="n">
        <v>31</v>
      </c>
      <c r="F3957" t="n">
        <v>15.08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M3957" t="n">
        <v>31</v>
      </c>
      <c r="N3957" t="n">
        <v>99.26000000000001</v>
      </c>
      <c r="O3957" t="n">
        <v>29.76653696498055</v>
      </c>
    </row>
    <row r="3958" hidden="1">
      <c r="A3958" s="11" t="n">
        <v>46126</v>
      </c>
      <c r="B3958" t="inlineStr">
        <is>
          <t>Francilene Ferreira de Jesus</t>
        </is>
      </c>
      <c r="C3958" t="inlineStr">
        <is>
          <t>Técnico II</t>
        </is>
      </c>
      <c r="D3958" t="n">
        <v>34</v>
      </c>
      <c r="E3958" t="n">
        <v>31</v>
      </c>
      <c r="F3958" t="n">
        <v>19.12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M3958" t="n">
        <v>27</v>
      </c>
      <c r="N3958" t="n">
        <v>99.19</v>
      </c>
      <c r="O3958" t="n">
        <v>29.46236559139785</v>
      </c>
    </row>
    <row r="3959" hidden="1">
      <c r="A3959" s="11" t="n">
        <v>46167</v>
      </c>
      <c r="B3959" t="inlineStr">
        <is>
          <t>Lorena Dias de Araujo</t>
        </is>
      </c>
      <c r="C3959" t="inlineStr">
        <is>
          <t>Técnico II</t>
        </is>
      </c>
      <c r="D3959" s="3" t="n">
        <v>19</v>
      </c>
      <c r="E3959" s="3" t="n">
        <v>15</v>
      </c>
      <c r="F3959" s="3" t="n">
        <v>24.06</v>
      </c>
      <c r="G3959" s="3" t="n">
        <v>0</v>
      </c>
      <c r="H3959" s="3" t="n">
        <v>0</v>
      </c>
      <c r="I3959" s="3" t="n">
        <v>0</v>
      </c>
      <c r="J3959" s="3" t="n">
        <v>0</v>
      </c>
      <c r="K3959" s="3" t="n">
        <v>0</v>
      </c>
      <c r="L3959" s="3">
        <f>IF(K3959&lt;-5,"CRÍTICO",IF(K3959&lt;0,"ATENÇÃO",IF(K3959&lt;=5,"OPORTUNO","MUITO BOM")))</f>
        <v/>
      </c>
      <c r="M3959" s="3" t="n">
        <v>16</v>
      </c>
      <c r="N3959" s="3" t="n">
        <v>100</v>
      </c>
      <c r="O3959" s="3" t="n">
        <v>25</v>
      </c>
    </row>
    <row r="3960" hidden="1">
      <c r="A3960" s="11" t="n">
        <v>46126</v>
      </c>
      <c r="B3960" t="inlineStr">
        <is>
          <t>Isabella Borges de Oliveira</t>
        </is>
      </c>
      <c r="C3960" t="inlineStr">
        <is>
          <t>Técnico II</t>
        </is>
      </c>
      <c r="D3960" t="n">
        <v>0</v>
      </c>
      <c r="E3960" t="n">
        <v>0</v>
      </c>
      <c r="F3960" t="n">
        <v>0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  <c r="M3960" t="n">
        <v>0</v>
      </c>
      <c r="N3960" t="n">
        <v>100</v>
      </c>
      <c r="O3960" t="n">
        <v>28.92156862745098</v>
      </c>
    </row>
    <row r="3961" hidden="1">
      <c r="A3961" s="11" t="n">
        <v>46126</v>
      </c>
      <c r="B3961" t="inlineStr">
        <is>
          <t>Janaina Lima dos Reis Urany</t>
        </is>
      </c>
      <c r="C3961" t="inlineStr">
        <is>
          <t>Técnico III</t>
        </is>
      </c>
      <c r="D3961" t="n">
        <v>34</v>
      </c>
      <c r="E3961" t="n">
        <v>30</v>
      </c>
      <c r="F3961" t="n">
        <v>17.31</v>
      </c>
      <c r="G3961" t="n">
        <v>0</v>
      </c>
      <c r="H3961" t="n">
        <v>0</v>
      </c>
      <c r="I3961" s="3">
        <f>E3961+G3961+H3961</f>
        <v/>
      </c>
      <c r="J3961" s="3">
        <f>ROUND(MIN(IF(C3961="Técnico III",35,IF(C3961="Técnico II",28,IF(C3961="Técnico I",23,IF(C3961="JR",20,IF(C3961="Estágio",10,0))))),IF(C3961="Técnico III",SUMIFS($D:$D,$A:$A,$A3961,$B:$B,"&lt;&gt;Patrícia Karla de Sousa Araújo",$B:$B,"&lt;&gt;Lorena Dias de Araujo",$B:$B,"&lt;&gt;Lucas Luiz Romero")*(35/1083),IF(C3961="Técnico II",SUMIFS($D:$D,$A:$A,$A3961,$B:$B,"&lt;&gt;Patrícia Karla de Sousa Araújo",$B:$B,"&lt;&gt;Lorena Dias de Araujo",$B:$B,"&lt;&gt;Lucas Luiz Romero")*(28/1083),IF(C3961="Técnico I",SUMIFS($D:$D,$A:$A,$A3961,$B:$B,"&lt;&gt;Patrícia Karla de Sousa Araújo",$B:$B,"&lt;&gt;Lorena Dias de Araujo",$B:$B,"&lt;&gt;Lucas Luiz Romero")*(23/1083),IF(C3961="JR",SUMIFS($D:$D,$A:$A,$A3961,$B:$B,"&lt;&gt;Patrícia Karla de Sousa Araújo",$B:$B,"&lt;&gt;Lorena Dias de Araujo",$B:$B,"&lt;&gt;Lucas Luiz Romero")*(20/1083),IF(C3961="Estágio",SUMIFS($D:$D,$A:$A,$A3961,$B:$B,"&lt;&gt;Patrícia Karla de Sousa Araújo",$B:$B,"&lt;&gt;Lorena Dias de Araujo",$B:$B,"&lt;&gt;Lucas Luiz Romero")*(10/1083),0)))))),0)</f>
        <v/>
      </c>
      <c r="K3961" s="3">
        <f>I3961-J3961</f>
        <v/>
      </c>
      <c r="L3961" s="3">
        <f>IF(K3961&lt;-5,"CRÍTICO",IF(K3961&lt;0,"ATENÇÃO",IF(K3961&lt;=5,"OPORTUNO","MUITO BOM")))</f>
        <v/>
      </c>
      <c r="M3961" t="n">
        <v>33</v>
      </c>
      <c r="N3961" t="n">
        <v>99.56999999999999</v>
      </c>
      <c r="O3961" t="n">
        <v>30.63583815028902</v>
      </c>
    </row>
    <row r="3962" hidden="1">
      <c r="A3962" s="11" t="n">
        <v>46126</v>
      </c>
      <c r="B3962" t="inlineStr">
        <is>
          <t>Jaqueline Evangelista da Silva Martins</t>
        </is>
      </c>
      <c r="C3962" t="inlineStr">
        <is>
          <t>Técnico III</t>
        </is>
      </c>
      <c r="D3962" t="n">
        <v>0</v>
      </c>
      <c r="E3962" t="n">
        <v>0</v>
      </c>
      <c r="F3962" t="n">
        <v>0</v>
      </c>
      <c r="G3962" t="n">
        <v>0</v>
      </c>
      <c r="H3962" t="n">
        <v>0</v>
      </c>
      <c r="I3962" s="3" t="n">
        <v>0</v>
      </c>
      <c r="J3962" s="3" t="n">
        <v>0</v>
      </c>
      <c r="K3962" s="3" t="n">
        <v>0</v>
      </c>
      <c r="L3962" s="3">
        <f>IF(K3962&lt;-5,"CRÍTICO",IF(K3962&lt;0,"ATENÇÃO",IF(K3962&lt;=5,"OPORTUNO","MUITO BOM")))</f>
        <v/>
      </c>
      <c r="M3962" t="n">
        <v>0</v>
      </c>
      <c r="N3962" t="n">
        <v>95.65000000000001</v>
      </c>
      <c r="O3962" t="n">
        <v>32.43243243243244</v>
      </c>
    </row>
    <row r="3963" hidden="1">
      <c r="A3963" s="11" t="n">
        <v>46126</v>
      </c>
      <c r="B3963" t="inlineStr">
        <is>
          <t>Jessica Faria da Silveira</t>
        </is>
      </c>
      <c r="C3963" t="inlineStr">
        <is>
          <t>Técnico II</t>
        </is>
      </c>
      <c r="D3963" t="n">
        <v>19</v>
      </c>
      <c r="E3963" t="n">
        <v>12</v>
      </c>
      <c r="F3963" t="n">
        <v>15.44</v>
      </c>
      <c r="G3963" t="n">
        <v>0</v>
      </c>
      <c r="H3963" t="n">
        <v>0</v>
      </c>
      <c r="I3963" s="3">
        <f>E3963+G3963+H3963</f>
        <v/>
      </c>
      <c r="J3963" s="3">
        <f>ROUND(MIN(IF(C3963="Técnico III",35,IF(C3963="Técnico II",28,IF(C3963="Técnico I",23,IF(C3963="JR",20,IF(C3963="Estágio",10,0))))),IF(C3963="Técnico III",SUMIFS($D:$D,$A:$A,$A3963,$B:$B,"&lt;&gt;Patrícia Karla de Sousa Araújo",$B:$B,"&lt;&gt;Lorena Dias de Araujo",$B:$B,"&lt;&gt;Lucas Luiz Romero")*(35/1083),IF(C3963="Técnico II",SUMIFS($D:$D,$A:$A,$A3963,$B:$B,"&lt;&gt;Patrícia Karla de Sousa Araújo",$B:$B,"&lt;&gt;Lorena Dias de Araujo",$B:$B,"&lt;&gt;Lucas Luiz Romero")*(28/1083),IF(C3963="Técnico I",SUMIFS($D:$D,$A:$A,$A3963,$B:$B,"&lt;&gt;Patrícia Karla de Sousa Araújo",$B:$B,"&lt;&gt;Lorena Dias de Araujo",$B:$B,"&lt;&gt;Lucas Luiz Romero")*(23/1083),IF(C3963="JR",SUMIFS($D:$D,$A:$A,$A3963,$B:$B,"&lt;&gt;Patrícia Karla de Sousa Araújo",$B:$B,"&lt;&gt;Lorena Dias de Araujo",$B:$B,"&lt;&gt;Lucas Luiz Romero")*(20/1083),IF(C3963="Estágio",SUMIFS($D:$D,$A:$A,$A3963,$B:$B,"&lt;&gt;Patrícia Karla de Sousa Araújo",$B:$B,"&lt;&gt;Lorena Dias de Araujo",$B:$B,"&lt;&gt;Lucas Luiz Romero")*(10/1083),0)))))),0)</f>
        <v/>
      </c>
      <c r="K3963" s="3">
        <f>I3963-J3963</f>
        <v/>
      </c>
      <c r="L3963" s="3">
        <f>IF(K3963&lt;-5,"CRÍTICO",IF(K3963&lt;0,"ATENÇÃO",IF(K3963&lt;=5,"OPORTUNO","MUITO BOM")))</f>
        <v/>
      </c>
      <c r="M3963" t="n">
        <v>10</v>
      </c>
      <c r="N3963" t="n">
        <v>98.81</v>
      </c>
      <c r="O3963" t="n">
        <v>26.25698324022346</v>
      </c>
    </row>
    <row r="3964" hidden="1">
      <c r="A3964" s="11" t="n">
        <v>46126</v>
      </c>
      <c r="B3964" t="inlineStr">
        <is>
          <t>Jéssica Fé Moura</t>
        </is>
      </c>
      <c r="C3964" t="inlineStr">
        <is>
          <t>Técnico III</t>
        </is>
      </c>
      <c r="D3964" t="n">
        <v>0</v>
      </c>
      <c r="E3964" t="n">
        <v>0</v>
      </c>
      <c r="F3964" t="n">
        <v>0</v>
      </c>
      <c r="G3964" t="n">
        <v>0</v>
      </c>
      <c r="H3964" t="n">
        <v>0</v>
      </c>
      <c r="I3964" s="3" t="n">
        <v>0</v>
      </c>
      <c r="J3964" s="3" t="n">
        <v>0</v>
      </c>
      <c r="K3964" s="3" t="n">
        <v>0</v>
      </c>
      <c r="L3964" s="3">
        <f>IF(K3964&lt;-5,"CRÍTICO",IF(K3964&lt;0,"ATENÇÃO",IF(K3964&lt;=5,"OPORTUNO","MUITO BOM")))</f>
        <v/>
      </c>
      <c r="M3964" t="n">
        <v>0</v>
      </c>
      <c r="N3964" t="n">
        <v>0</v>
      </c>
      <c r="O3964" t="n">
        <v>0</v>
      </c>
    </row>
    <row r="3965" hidden="1">
      <c r="A3965" s="11" t="n">
        <v>46126</v>
      </c>
      <c r="B3965" t="inlineStr">
        <is>
          <t>Karina Gonçalves Martins</t>
        </is>
      </c>
      <c r="C3965" t="inlineStr">
        <is>
          <t>JR</t>
        </is>
      </c>
      <c r="D3965" t="n">
        <v>27</v>
      </c>
      <c r="E3965" t="n">
        <v>25</v>
      </c>
      <c r="F3965" t="n">
        <v>20.45</v>
      </c>
      <c r="G3965" t="n">
        <v>0</v>
      </c>
      <c r="H3965" t="n">
        <v>0</v>
      </c>
      <c r="I3965" s="3">
        <f>E3965+G3965+H3965</f>
        <v/>
      </c>
      <c r="J3965" s="3">
        <f>ROUND(MIN(IF(C3965="Técnico III",35,IF(C3965="Técnico II",28,IF(C3965="Técnico I",23,IF(C3965="JR",20,IF(C3965="Estágio",10,0))))),IF(C3965="Técnico III",SUMIFS($D:$D,$A:$A,$A3965,$B:$B,"&lt;&gt;Patrícia Karla de Sousa Araújo",$B:$B,"&lt;&gt;Lorena Dias de Araujo",$B:$B,"&lt;&gt;Lucas Luiz Romero")*(35/1083),IF(C3965="Técnico II",SUMIFS($D:$D,$A:$A,$A3965,$B:$B,"&lt;&gt;Patrícia Karla de Sousa Araújo",$B:$B,"&lt;&gt;Lorena Dias de Araujo",$B:$B,"&lt;&gt;Lucas Luiz Romero")*(28/1083),IF(C3965="Técnico I",SUMIFS($D:$D,$A:$A,$A3965,$B:$B,"&lt;&gt;Patrícia Karla de Sousa Araújo",$B:$B,"&lt;&gt;Lorena Dias de Araujo",$B:$B,"&lt;&gt;Lucas Luiz Romero")*(23/1083),IF(C3965="JR",SUMIFS($D:$D,$A:$A,$A3965,$B:$B,"&lt;&gt;Patrícia Karla de Sousa Araújo",$B:$B,"&lt;&gt;Lorena Dias de Araujo",$B:$B,"&lt;&gt;Lucas Luiz Romero")*(20/1083),IF(C3965="Estágio",SUMIFS($D:$D,$A:$A,$A3965,$B:$B,"&lt;&gt;Patrícia Karla de Sousa Araújo",$B:$B,"&lt;&gt;Lorena Dias de Araujo",$B:$B,"&lt;&gt;Lucas Luiz Romero")*(10/1083),0)))))),0)</f>
        <v/>
      </c>
      <c r="K3965" s="3">
        <f>I3965-J3965</f>
        <v/>
      </c>
      <c r="L3965" s="3">
        <f>IF(K3965&lt;-5,"CRÍTICO",IF(K3965&lt;0,"ATENÇÃO",IF(K3965&lt;=5,"OPORTUNO","MUITO BOM")))</f>
        <v/>
      </c>
      <c r="M3965" t="n">
        <v>21</v>
      </c>
      <c r="N3965" t="n">
        <v>97.17</v>
      </c>
      <c r="O3965" t="n">
        <v>28.81844380403458</v>
      </c>
    </row>
    <row r="3966" hidden="1">
      <c r="A3966" s="11" t="n">
        <v>46126</v>
      </c>
      <c r="B3966" t="inlineStr">
        <is>
          <t>Kerollen Cristielly de Jesus Siqueira</t>
        </is>
      </c>
      <c r="C3966" t="inlineStr">
        <is>
          <t>Técnico III</t>
        </is>
      </c>
      <c r="D3966" t="n">
        <v>23</v>
      </c>
      <c r="E3966" t="n">
        <v>22</v>
      </c>
      <c r="F3966" t="n">
        <v>18.55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M3966" t="n">
        <v>23</v>
      </c>
      <c r="N3966" t="n">
        <v>96.81</v>
      </c>
      <c r="O3966" t="n">
        <v>48.01864801864802</v>
      </c>
    </row>
    <row r="3967" hidden="1">
      <c r="A3967" s="11" t="n">
        <v>46126</v>
      </c>
      <c r="B3967" t="inlineStr">
        <is>
          <t>Leandro de Souza Silva</t>
        </is>
      </c>
      <c r="C3967" t="inlineStr">
        <is>
          <t>JR</t>
        </is>
      </c>
      <c r="D3967" t="n">
        <v>18</v>
      </c>
      <c r="E3967" t="n">
        <v>15</v>
      </c>
      <c r="F3967" t="n">
        <v>17.37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M3967" t="n">
        <v>10</v>
      </c>
      <c r="N3967" t="n">
        <v>98.15000000000001</v>
      </c>
      <c r="O3967" t="n">
        <v>27.1551724137931</v>
      </c>
    </row>
    <row r="3968" hidden="1">
      <c r="A3968" s="11" t="n">
        <v>46126</v>
      </c>
      <c r="B3968" t="inlineStr">
        <is>
          <t>Leandro Oliveira de Sousa</t>
        </is>
      </c>
      <c r="C3968" t="inlineStr">
        <is>
          <t>Técnico III</t>
        </is>
      </c>
      <c r="D3968" t="n">
        <v>29</v>
      </c>
      <c r="E3968" t="n">
        <v>28</v>
      </c>
      <c r="F3968" t="n">
        <v>17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M3968" t="n">
        <v>25</v>
      </c>
      <c r="N3968" t="n">
        <v>99.15000000000001</v>
      </c>
      <c r="O3968" t="n">
        <v>27.58620689655172</v>
      </c>
    </row>
    <row r="3969" hidden="1">
      <c r="A3969" s="11" t="n">
        <v>46126</v>
      </c>
      <c r="B3969" t="inlineStr">
        <is>
          <t>Lizandra Gomes Duarte</t>
        </is>
      </c>
      <c r="C3969" t="inlineStr">
        <is>
          <t>Técnico II</t>
        </is>
      </c>
      <c r="D3969" t="n">
        <v>40</v>
      </c>
      <c r="E3969" t="n">
        <v>30</v>
      </c>
      <c r="F3969" t="n">
        <v>13.23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M3969" t="n">
        <v>16</v>
      </c>
      <c r="N3969" t="n">
        <v>99.17</v>
      </c>
      <c r="O3969" t="n">
        <v>29.75206611570248</v>
      </c>
    </row>
    <row r="3970" hidden="1">
      <c r="A3970" s="11" t="n">
        <v>46126</v>
      </c>
      <c r="B3970" t="inlineStr">
        <is>
          <t>Lorena Dias de Araujo</t>
        </is>
      </c>
      <c r="C3970" t="inlineStr">
        <is>
          <t>Técnico II</t>
        </is>
      </c>
      <c r="D3970" t="n">
        <v>0</v>
      </c>
      <c r="E3970" t="n">
        <v>0</v>
      </c>
      <c r="F3970" t="n">
        <v>0</v>
      </c>
      <c r="G3970" t="n">
        <v>0</v>
      </c>
      <c r="H3970" t="n">
        <v>0</v>
      </c>
      <c r="I3970" s="3" t="n">
        <v>0</v>
      </c>
      <c r="J3970" s="3" t="n">
        <v>0</v>
      </c>
      <c r="K3970" s="3" t="n">
        <v>0</v>
      </c>
      <c r="L3970" s="3">
        <f>IF(K3970&lt;-5,"CRÍTICO",IF(K3970&lt;0,"ATENÇÃO",IF(K3970&lt;=5,"OPORTUNO","MUITO BOM")))</f>
        <v/>
      </c>
      <c r="M3970" t="n">
        <v>0</v>
      </c>
      <c r="N3970" t="n">
        <v>98.73</v>
      </c>
      <c r="O3970" t="n">
        <v>28.96174863387978</v>
      </c>
    </row>
    <row r="3971" hidden="1">
      <c r="A3971" s="11" t="n">
        <v>46126</v>
      </c>
      <c r="B3971" t="inlineStr">
        <is>
          <t>Lucas Luiz Romero</t>
        </is>
      </c>
      <c r="C3971" t="inlineStr">
        <is>
          <t>Técnico III</t>
        </is>
      </c>
      <c r="D3971" t="n">
        <v>36</v>
      </c>
      <c r="E3971" t="n">
        <v>25</v>
      </c>
      <c r="F3971" t="n">
        <v>15.12</v>
      </c>
      <c r="G3971" t="n">
        <v>0</v>
      </c>
      <c r="H3971" t="n">
        <v>0</v>
      </c>
      <c r="I3971" s="3">
        <f>E3971+G3971+H3971</f>
        <v/>
      </c>
      <c r="J3971" s="3">
        <f>ROUND(MIN(IF(C3971="Técnico III",35,IF(C3971="Técnico II",28,IF(C3971="Técnico I",23,IF(C3971="JR",20,IF(C3971="Estágio",10,0))))),IF(C3971="Técnico III",SUMIFS($D:$D,$A:$A,$A3971,$B:$B,"&lt;&gt;Patrícia Karla de Sousa Araújo",$B:$B,"&lt;&gt;Lorena Dias de Araujo",$B:$B,"&lt;&gt;Lucas Luiz Romero")*(35/1083),IF(C3971="Técnico II",SUMIFS($D:$D,$A:$A,$A3971,$B:$B,"&lt;&gt;Patrícia Karla de Sousa Araújo",$B:$B,"&lt;&gt;Lorena Dias de Araujo",$B:$B,"&lt;&gt;Lucas Luiz Romero")*(28/1083),IF(C3971="Técnico I",SUMIFS($D:$D,$A:$A,$A3971,$B:$B,"&lt;&gt;Patrícia Karla de Sousa Araújo",$B:$B,"&lt;&gt;Lorena Dias de Araujo",$B:$B,"&lt;&gt;Lucas Luiz Romero")*(23/1083),IF(C3971="JR",SUMIFS($D:$D,$A:$A,$A3971,$B:$B,"&lt;&gt;Patrícia Karla de Sousa Araújo",$B:$B,"&lt;&gt;Lorena Dias de Araujo",$B:$B,"&lt;&gt;Lucas Luiz Romero")*(20/1083),IF(C3971="Estágio",SUMIFS($D:$D,$A:$A,$A3971,$B:$B,"&lt;&gt;Patrícia Karla de Sousa Araújo",$B:$B,"&lt;&gt;Lorena Dias de Araujo",$B:$B,"&lt;&gt;Lucas Luiz Romero")*(10/1083),0)))))),0)</f>
        <v/>
      </c>
      <c r="K3971" s="3">
        <f>I3971-J3971</f>
        <v/>
      </c>
      <c r="L3971" s="3">
        <f>IF(K3971&lt;-5,"CRÍTICO",IF(K3971&lt;0,"ATENÇÃO",IF(K3971&lt;=5,"OPORTUNO","MUITO BOM")))</f>
        <v/>
      </c>
      <c r="M3971" t="n">
        <v>20</v>
      </c>
      <c r="N3971" t="n">
        <v>88.68000000000001</v>
      </c>
      <c r="O3971" t="n">
        <v>22.03389830508474</v>
      </c>
    </row>
    <row r="3972" hidden="1">
      <c r="A3972" s="11" t="n">
        <v>46126</v>
      </c>
      <c r="B3972" t="inlineStr">
        <is>
          <t>Luiz Fernando de Carvalho Junior</t>
        </is>
      </c>
      <c r="C3972" t="inlineStr">
        <is>
          <t>Técnico I</t>
        </is>
      </c>
      <c r="D3972" t="n">
        <v>24</v>
      </c>
      <c r="E3972" t="n">
        <v>20</v>
      </c>
      <c r="F3972" t="n">
        <v>20.34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M3972" t="n">
        <v>18</v>
      </c>
      <c r="N3972" t="n">
        <v>97.37</v>
      </c>
      <c r="O3972" t="n">
        <v>25.76530612244898</v>
      </c>
    </row>
    <row r="3973" hidden="1">
      <c r="A3973" s="11" t="n">
        <v>46126</v>
      </c>
      <c r="B3973" t="inlineStr">
        <is>
          <t>Maria Eduarda Sousa Costa</t>
        </is>
      </c>
      <c r="C3973" t="inlineStr">
        <is>
          <t>Estágio</t>
        </is>
      </c>
      <c r="D3973" t="n">
        <v>11</v>
      </c>
      <c r="E3973" t="n">
        <v>10</v>
      </c>
      <c r="F3973" t="n">
        <v>32.28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M3973" t="n">
        <v>7</v>
      </c>
      <c r="N3973" t="n">
        <v>100</v>
      </c>
      <c r="O3973" t="n">
        <v>25</v>
      </c>
    </row>
    <row r="3974" hidden="1">
      <c r="A3974" s="11" t="n">
        <v>46126</v>
      </c>
      <c r="B3974" t="inlineStr">
        <is>
          <t>Matheus Farias De Souza</t>
        </is>
      </c>
      <c r="C3974" t="inlineStr">
        <is>
          <t>Técnico III</t>
        </is>
      </c>
      <c r="D3974" t="n">
        <v>31</v>
      </c>
      <c r="E3974" t="n">
        <v>25</v>
      </c>
      <c r="F3974" t="n">
        <v>13.21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M3974" t="n">
        <v>31</v>
      </c>
      <c r="N3974" t="n">
        <v>100</v>
      </c>
      <c r="O3974" t="n">
        <v>23.9870340356564</v>
      </c>
    </row>
    <row r="3975" hidden="1">
      <c r="A3975" s="11" t="n">
        <v>46126</v>
      </c>
      <c r="B3975" t="inlineStr">
        <is>
          <t>Maysa Victoria Dias Moura</t>
        </is>
      </c>
      <c r="C3975" t="inlineStr">
        <is>
          <t>Técnico III</t>
        </is>
      </c>
      <c r="D3975" t="n">
        <v>39</v>
      </c>
      <c r="E3975" t="n">
        <v>37</v>
      </c>
      <c r="F3975" t="n">
        <v>12.02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M3975" t="n">
        <v>3</v>
      </c>
      <c r="N3975" t="n">
        <v>95.48999999999999</v>
      </c>
      <c r="O3975" t="n">
        <v>28.37022132796781</v>
      </c>
    </row>
    <row r="3976" hidden="1">
      <c r="A3976" s="11" t="n">
        <v>46126</v>
      </c>
      <c r="B3976" t="inlineStr">
        <is>
          <t>Michelle G Santos</t>
        </is>
      </c>
      <c r="C3976" t="inlineStr">
        <is>
          <t>Estágio</t>
        </is>
      </c>
      <c r="D3976" t="n">
        <v>0</v>
      </c>
      <c r="E3976" t="n">
        <v>0</v>
      </c>
      <c r="F3976" t="n">
        <v>0</v>
      </c>
      <c r="G3976" t="n">
        <v>0</v>
      </c>
      <c r="H3976" t="n">
        <v>0</v>
      </c>
      <c r="I3976" s="3" t="n">
        <v>0</v>
      </c>
      <c r="J3976" s="3" t="n">
        <v>0</v>
      </c>
      <c r="K3976" s="3" t="n">
        <v>0</v>
      </c>
      <c r="L3976" s="3">
        <f>IF(K3976&lt;-5,"CRÍTICO",IF(K3976&lt;0,"ATENÇÃO",IF(K3976&lt;=5,"OPORTUNO","MUITO BOM")))</f>
        <v/>
      </c>
      <c r="M3976" t="n">
        <v>0</v>
      </c>
      <c r="N3976" t="n">
        <v>100</v>
      </c>
      <c r="O3976" t="n">
        <v>23.77622377622378</v>
      </c>
    </row>
    <row r="3977" hidden="1">
      <c r="A3977" s="11" t="n">
        <v>46126</v>
      </c>
      <c r="B3977" t="inlineStr">
        <is>
          <t>Milena Sales</t>
        </is>
      </c>
      <c r="C3977" t="inlineStr">
        <is>
          <t>JR</t>
        </is>
      </c>
      <c r="D3977" t="n">
        <v>39</v>
      </c>
      <c r="E3977" t="n">
        <v>35</v>
      </c>
      <c r="F3977" t="n">
        <v>13.33</v>
      </c>
      <c r="G3977" t="n">
        <v>0</v>
      </c>
      <c r="H3977" t="n">
        <v>0</v>
      </c>
      <c r="I3977" s="3">
        <f>E3977+G3977+H3977</f>
        <v/>
      </c>
      <c r="J3977" s="3">
        <f>ROUND(MIN(IF(C3977="Técnico III",35,IF(C3977="Técnico II",28,IF(C3977="Técnico I",23,IF(C3977="JR",20,IF(C3977="Estágio",10,0))))),IF(C3977="Técnico III",SUMIFS($D:$D,$A:$A,$A3977,$B:$B,"&lt;&gt;Patrícia Karla de Sousa Araújo",$B:$B,"&lt;&gt;Lorena Dias de Araujo",$B:$B,"&lt;&gt;Lucas Luiz Romero")*(35/1083),IF(C3977="Técnico II",SUMIFS($D:$D,$A:$A,$A3977,$B:$B,"&lt;&gt;Patrícia Karla de Sousa Araújo",$B:$B,"&lt;&gt;Lorena Dias de Araujo",$B:$B,"&lt;&gt;Lucas Luiz Romero")*(28/1083),IF(C3977="Técnico I",SUMIFS($D:$D,$A:$A,$A3977,$B:$B,"&lt;&gt;Patrícia Karla de Sousa Araújo",$B:$B,"&lt;&gt;Lorena Dias de Araujo",$B:$B,"&lt;&gt;Lucas Luiz Romero")*(23/1083),IF(C3977="JR",SUMIFS($D:$D,$A:$A,$A3977,$B:$B,"&lt;&gt;Patrícia Karla de Sousa Araújo",$B:$B,"&lt;&gt;Lorena Dias de Araujo",$B:$B,"&lt;&gt;Lucas Luiz Romero")*(20/1083),IF(C3977="Estágio",SUMIFS($D:$D,$A:$A,$A3977,$B:$B,"&lt;&gt;Patrícia Karla de Sousa Araújo",$B:$B,"&lt;&gt;Lorena Dias de Araujo",$B:$B,"&lt;&gt;Lucas Luiz Romero")*(10/1083),0)))))),0)</f>
        <v/>
      </c>
      <c r="K3977" s="3">
        <f>I3977-J3977</f>
        <v/>
      </c>
      <c r="L3977" s="3">
        <f>IF(K3977&lt;-5,"CRÍTICO",IF(K3977&lt;0,"ATENÇÃO",IF(K3977&lt;=5,"OPORTUNO","MUITO BOM")))</f>
        <v/>
      </c>
      <c r="M3977" t="n">
        <v>20</v>
      </c>
      <c r="N3977" t="n">
        <v>96.15000000000001</v>
      </c>
      <c r="O3977" t="n">
        <v>24.04580152671756</v>
      </c>
    </row>
    <row r="3978" hidden="1">
      <c r="A3978" s="11" t="n">
        <v>46126</v>
      </c>
      <c r="B3978" t="inlineStr">
        <is>
          <t>Patrícia Karla de Sousa Araújo</t>
        </is>
      </c>
      <c r="C3978" t="inlineStr">
        <is>
          <t>Técnico II</t>
        </is>
      </c>
      <c r="D3978" t="n">
        <v>32</v>
      </c>
      <c r="E3978" t="n">
        <v>30</v>
      </c>
      <c r="F3978" t="n">
        <v>16.52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M3978" t="n">
        <v>22</v>
      </c>
      <c r="N3978" t="n">
        <v>99.02</v>
      </c>
      <c r="O3978" t="n">
        <v>34.7972972972973</v>
      </c>
    </row>
    <row r="3979" hidden="1">
      <c r="A3979" s="11" t="n">
        <v>46126</v>
      </c>
      <c r="B3979" t="inlineStr">
        <is>
          <t>Paulo Ricardo Santos</t>
        </is>
      </c>
      <c r="C3979" t="inlineStr">
        <is>
          <t>JR</t>
        </is>
      </c>
      <c r="D3979" t="n">
        <v>24</v>
      </c>
      <c r="E3979" t="n">
        <v>24</v>
      </c>
      <c r="F3979" t="n">
        <v>15.58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M3979" t="n">
        <v>19</v>
      </c>
      <c r="N3979" t="n">
        <v>98.84</v>
      </c>
      <c r="O3979" t="n">
        <v>31.86813186813187</v>
      </c>
    </row>
    <row r="3980" hidden="1">
      <c r="A3980" s="11" t="n">
        <v>46126</v>
      </c>
      <c r="B3980" t="inlineStr">
        <is>
          <t>Pedro Luiz Mota Sousa</t>
        </is>
      </c>
      <c r="C3980" t="inlineStr">
        <is>
          <t>JR</t>
        </is>
      </c>
      <c r="D3980" t="n">
        <v>19</v>
      </c>
      <c r="E3980" t="n">
        <v>19</v>
      </c>
      <c r="F3980" t="n">
        <v>18.56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M3980" t="n">
        <v>15</v>
      </c>
      <c r="N3980" t="n">
        <v>100</v>
      </c>
      <c r="O3980" t="n">
        <v>34.66666666666667</v>
      </c>
    </row>
    <row r="3981" hidden="1">
      <c r="A3981" s="11" t="n">
        <v>46126</v>
      </c>
      <c r="B3981" t="inlineStr">
        <is>
          <t>Quirino Diogo Leite Torres</t>
        </is>
      </c>
      <c r="C3981" t="inlineStr">
        <is>
          <t>Estágio</t>
        </is>
      </c>
      <c r="D3981" t="n">
        <v>0</v>
      </c>
      <c r="E3981" t="n">
        <v>0</v>
      </c>
      <c r="F3981" t="n">
        <v>0</v>
      </c>
      <c r="G3981" t="n">
        <v>0</v>
      </c>
      <c r="H3981" t="n">
        <v>0</v>
      </c>
      <c r="I3981" s="3" t="n">
        <v>0</v>
      </c>
      <c r="J3981" s="3" t="n">
        <v>0</v>
      </c>
      <c r="K3981" s="3" t="n">
        <v>0</v>
      </c>
      <c r="L3981" s="3">
        <f>IF(K3981&lt;-5,"CRÍTICO",IF(K3981&lt;0,"ATENÇÃO",IF(K3981&lt;=5,"OPORTUNO","MUITO BOM")))</f>
        <v/>
      </c>
      <c r="M3981" t="n">
        <v>0</v>
      </c>
      <c r="N3981" t="n">
        <v>94.12</v>
      </c>
      <c r="O3981" t="n">
        <v>32.8</v>
      </c>
    </row>
    <row r="3982" hidden="1">
      <c r="A3982" s="11" t="n">
        <v>46126</v>
      </c>
      <c r="B3982" t="inlineStr">
        <is>
          <t>Raane Batista Matos</t>
        </is>
      </c>
      <c r="C3982" t="inlineStr">
        <is>
          <t>Técnico I</t>
        </is>
      </c>
      <c r="D3982" t="n">
        <v>30</v>
      </c>
      <c r="E3982" t="n">
        <v>29</v>
      </c>
      <c r="F3982" t="n">
        <v>15.13</v>
      </c>
      <c r="G3982" t="n">
        <v>0</v>
      </c>
      <c r="H3982" t="n">
        <v>0</v>
      </c>
      <c r="I3982" s="3">
        <f>E3982+G3982+H3982</f>
        <v/>
      </c>
      <c r="J3982" s="3">
        <f>ROUND(MIN(IF(C3982="Técnico III",35,IF(C3982="Técnico II",28,IF(C3982="Técnico I",23,IF(C3982="JR",20,IF(C3982="Estágio",10,0))))),IF(C3982="Técnico III",SUMIFS($D:$D,$A:$A,$A3982,$B:$B,"&lt;&gt;Patrícia Karla de Sousa Araújo",$B:$B,"&lt;&gt;Lorena Dias de Araujo",$B:$B,"&lt;&gt;Lucas Luiz Romero")*(35/1083),IF(C3982="Técnico II",SUMIFS($D:$D,$A:$A,$A3982,$B:$B,"&lt;&gt;Patrícia Karla de Sousa Araújo",$B:$B,"&lt;&gt;Lorena Dias de Araujo",$B:$B,"&lt;&gt;Lucas Luiz Romero")*(28/1083),IF(C3982="Técnico I",SUMIFS($D:$D,$A:$A,$A3982,$B:$B,"&lt;&gt;Patrícia Karla de Sousa Araújo",$B:$B,"&lt;&gt;Lorena Dias de Araujo",$B:$B,"&lt;&gt;Lucas Luiz Romero")*(23/1083),IF(C3982="JR",SUMIFS($D:$D,$A:$A,$A3982,$B:$B,"&lt;&gt;Patrícia Karla de Sousa Araújo",$B:$B,"&lt;&gt;Lorena Dias de Araujo",$B:$B,"&lt;&gt;Lucas Luiz Romero")*(20/1083),IF(C3982="Estágio",SUMIFS($D:$D,$A:$A,$A3982,$B:$B,"&lt;&gt;Patrícia Karla de Sousa Araújo",$B:$B,"&lt;&gt;Lorena Dias de Araujo",$B:$B,"&lt;&gt;Lucas Luiz Romero")*(10/1083),0)))))),0)</f>
        <v/>
      </c>
      <c r="K3982" s="3">
        <f>I3982-J3982</f>
        <v/>
      </c>
      <c r="L3982" s="3">
        <f>IF(K3982&lt;-5,"CRÍTICO",IF(K3982&lt;0,"ATENÇÃO",IF(K3982&lt;=5,"OPORTUNO","MUITO BOM")))</f>
        <v/>
      </c>
      <c r="M3982" t="n">
        <v>26</v>
      </c>
      <c r="N3982" t="n">
        <v>98.31999999999999</v>
      </c>
      <c r="O3982" t="n">
        <v>26.85851318944844</v>
      </c>
    </row>
    <row r="3983" hidden="1">
      <c r="A3983" s="11" t="n">
        <v>46126</v>
      </c>
      <c r="B3983" t="inlineStr">
        <is>
          <t>Rafael Gomes de Morais</t>
        </is>
      </c>
      <c r="C3983" t="inlineStr">
        <is>
          <t>Técnico III</t>
        </is>
      </c>
      <c r="D3983" t="n">
        <v>43</v>
      </c>
      <c r="E3983" t="n">
        <v>36</v>
      </c>
      <c r="F3983" t="n">
        <v>12.13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M3983" t="n">
        <v>29</v>
      </c>
      <c r="N3983" t="n">
        <v>100</v>
      </c>
      <c r="O3983" t="n">
        <v>31.13553113553114</v>
      </c>
    </row>
    <row r="3984" hidden="1">
      <c r="A3984" s="11" t="n">
        <v>46126</v>
      </c>
      <c r="B3984" t="inlineStr">
        <is>
          <t>Sara Maria Monteiro Lopes</t>
        </is>
      </c>
      <c r="C3984" t="inlineStr">
        <is>
          <t>Técnico I</t>
        </is>
      </c>
      <c r="D3984" t="n">
        <v>20</v>
      </c>
      <c r="E3984" t="n">
        <v>19</v>
      </c>
      <c r="F3984" t="n">
        <v>30.37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M3984" t="n">
        <v>17</v>
      </c>
      <c r="N3984" t="n">
        <v>100</v>
      </c>
      <c r="O3984" t="n">
        <v>26.36986301369863</v>
      </c>
    </row>
    <row r="3985" hidden="1">
      <c r="A3985" s="11" t="n">
        <v>46126</v>
      </c>
      <c r="B3985" t="inlineStr">
        <is>
          <t>Sarah Steffanie de Lima Borges</t>
        </is>
      </c>
      <c r="C3985" t="inlineStr">
        <is>
          <t>Técnico III</t>
        </is>
      </c>
      <c r="D3985" t="n">
        <v>24</v>
      </c>
      <c r="E3985" t="n">
        <v>22</v>
      </c>
      <c r="F3985" t="n">
        <v>15.09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M3985" t="n">
        <v>21</v>
      </c>
      <c r="N3985" t="n">
        <v>99.20999999999999</v>
      </c>
      <c r="O3985" t="n">
        <v>25.18891687657431</v>
      </c>
    </row>
    <row r="3986" hidden="1">
      <c r="A3986" s="11" t="n">
        <v>46127</v>
      </c>
      <c r="B3986" t="inlineStr">
        <is>
          <t>Alisson de Freitas Silva</t>
        </is>
      </c>
      <c r="C3986" t="inlineStr">
        <is>
          <t>Técnico II</t>
        </is>
      </c>
      <c r="D3986" t="n">
        <v>31</v>
      </c>
      <c r="E3986" t="n">
        <v>26</v>
      </c>
      <c r="F3986" t="n">
        <v>15.24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M3986" t="n">
        <v>12</v>
      </c>
      <c r="N3986" t="n">
        <v>100</v>
      </c>
      <c r="O3986" t="n">
        <v>32.76450511945392</v>
      </c>
    </row>
    <row r="3987" hidden="1">
      <c r="A3987" s="11" t="n">
        <v>46127</v>
      </c>
      <c r="B3987" t="inlineStr">
        <is>
          <t>Amanda Moura Ferreira</t>
        </is>
      </c>
      <c r="C3987" t="inlineStr">
        <is>
          <t>Técnico III</t>
        </is>
      </c>
      <c r="D3987" t="n">
        <v>0</v>
      </c>
      <c r="E3987" t="n">
        <v>0</v>
      </c>
      <c r="F3987" t="n">
        <v>0</v>
      </c>
      <c r="G3987" t="n">
        <v>0</v>
      </c>
      <c r="H3987" t="n">
        <v>0</v>
      </c>
      <c r="I3987" s="3" t="n">
        <v>0</v>
      </c>
      <c r="J3987" s="3" t="n">
        <v>0</v>
      </c>
      <c r="K3987" s="3" t="n">
        <v>0</v>
      </c>
      <c r="L3987" s="3">
        <f>IF(K3987&lt;-5,"CRÍTICO",IF(K3987&lt;0,"ATENÇÃO",IF(K3987&lt;=5,"OPORTUNO","MUITO BOM")))</f>
        <v/>
      </c>
      <c r="M3987" t="n">
        <v>30</v>
      </c>
      <c r="N3987" t="n">
        <v>98.66</v>
      </c>
      <c r="O3987" t="n">
        <v>35.41666666666667</v>
      </c>
    </row>
    <row r="3988" hidden="1">
      <c r="A3988" s="11" t="n">
        <v>46127</v>
      </c>
      <c r="B3988" t="inlineStr">
        <is>
          <t>Ana Karollyne Souza Faria</t>
        </is>
      </c>
      <c r="C3988" t="inlineStr">
        <is>
          <t>Técnico I</t>
        </is>
      </c>
      <c r="D3988" t="n">
        <v>34</v>
      </c>
      <c r="E3988" t="n">
        <v>31</v>
      </c>
      <c r="F3988" t="n">
        <v>17.05</v>
      </c>
      <c r="G3988" t="n">
        <v>0</v>
      </c>
      <c r="H3988" t="n">
        <v>0</v>
      </c>
      <c r="I3988" s="3">
        <f>E3988+G3988+H3988</f>
        <v/>
      </c>
      <c r="J3988" s="3">
        <f>ROUND(MIN(IF(C3988="Técnico III",35,IF(C3988="Técnico II",28,IF(C3988="Técnico I",23,IF(C3988="JR",20,IF(C3988="Estágio",10,0))))),IF(C3988="Técnico III",SUMIFS($D:$D,$A:$A,$A3988,$B:$B,"&lt;&gt;Patrícia Karla de Sousa Araújo",$B:$B,"&lt;&gt;Lorena Dias de Araujo",$B:$B,"&lt;&gt;Lucas Luiz Romero")*(35/1083),IF(C3988="Técnico II",SUMIFS($D:$D,$A:$A,$A3988,$B:$B,"&lt;&gt;Patrícia Karla de Sousa Araújo",$B:$B,"&lt;&gt;Lorena Dias de Araujo",$B:$B,"&lt;&gt;Lucas Luiz Romero")*(28/1083),IF(C3988="Técnico I",SUMIFS($D:$D,$A:$A,$A3988,$B:$B,"&lt;&gt;Patrícia Karla de Sousa Araújo",$B:$B,"&lt;&gt;Lorena Dias de Araujo",$B:$B,"&lt;&gt;Lucas Luiz Romero")*(23/1083),IF(C3988="JR",SUMIFS($D:$D,$A:$A,$A3988,$B:$B,"&lt;&gt;Patrícia Karla de Sousa Araújo",$B:$B,"&lt;&gt;Lorena Dias de Araujo",$B:$B,"&lt;&gt;Lucas Luiz Romero")*(20/1083),IF(C3988="Estágio",SUMIFS($D:$D,$A:$A,$A3988,$B:$B,"&lt;&gt;Patrícia Karla de Sousa Araújo",$B:$B,"&lt;&gt;Lorena Dias de Araujo",$B:$B,"&lt;&gt;Lucas Luiz Romero")*(10/1083),0)))))),0)</f>
        <v/>
      </c>
      <c r="K3988" s="3">
        <f>I3988-J3988</f>
        <v/>
      </c>
      <c r="L3988" s="3">
        <f>IF(K3988&lt;-5,"CRÍTICO",IF(K3988&lt;0,"ATENÇÃO",IF(K3988&lt;=5,"OPORTUNO","MUITO BOM")))</f>
        <v/>
      </c>
      <c r="M3988" t="n">
        <v>32</v>
      </c>
      <c r="N3988" t="n">
        <v>99.31999999999999</v>
      </c>
      <c r="O3988" t="n">
        <v>30.6483300589391</v>
      </c>
    </row>
    <row r="3989" hidden="1">
      <c r="A3989" s="11" t="n">
        <v>46127</v>
      </c>
      <c r="B3989" t="inlineStr">
        <is>
          <t>Ana Paula Da Luz Silva Aleixo</t>
        </is>
      </c>
      <c r="C3989" t="inlineStr">
        <is>
          <t>Técnico III</t>
        </is>
      </c>
      <c r="D3989" t="n">
        <v>34</v>
      </c>
      <c r="E3989" t="n">
        <v>32</v>
      </c>
      <c r="F3989" t="n">
        <v>15.01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M3989" t="n">
        <v>29</v>
      </c>
      <c r="N3989" t="n">
        <v>100</v>
      </c>
      <c r="O3989" t="n">
        <v>27.80373831775701</v>
      </c>
    </row>
    <row r="3990" hidden="1">
      <c r="A3990" s="11" t="n">
        <v>46127</v>
      </c>
      <c r="B3990" t="inlineStr">
        <is>
          <t>Anna Luiza Rezende Tavares</t>
        </is>
      </c>
      <c r="C3990" t="inlineStr">
        <is>
          <t>Estágio</t>
        </is>
      </c>
      <c r="D3990" t="n">
        <v>34</v>
      </c>
      <c r="E3990" t="n">
        <v>32</v>
      </c>
      <c r="F3990" t="n">
        <v>15.51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M3990" t="n">
        <v>30</v>
      </c>
      <c r="N3990" t="n">
        <v>96.73999999999999</v>
      </c>
      <c r="O3990" t="n">
        <v>28.67647058823529</v>
      </c>
    </row>
    <row r="3991" hidden="1">
      <c r="A3991" s="11" t="n">
        <v>46127</v>
      </c>
      <c r="B3991" t="inlineStr">
        <is>
          <t>Brenda de Menezes Silva</t>
        </is>
      </c>
      <c r="C3991" t="inlineStr">
        <is>
          <t>Técnico II</t>
        </is>
      </c>
      <c r="D3991" t="n">
        <v>39</v>
      </c>
      <c r="E3991" t="n">
        <v>36</v>
      </c>
      <c r="F3991" t="n">
        <v>15.53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M3991" t="n">
        <v>37</v>
      </c>
      <c r="N3991" t="n">
        <v>98.81999999999999</v>
      </c>
      <c r="O3991" t="n">
        <v>30.74141048824593</v>
      </c>
    </row>
    <row r="3992" hidden="1">
      <c r="A3992" s="11" t="n">
        <v>46127</v>
      </c>
      <c r="B3992" t="inlineStr">
        <is>
          <t>Carlos Mateus Cassimiro Nunes</t>
        </is>
      </c>
      <c r="C3992" t="inlineStr">
        <is>
          <t>Técnico II</t>
        </is>
      </c>
      <c r="D3992" t="n">
        <v>20</v>
      </c>
      <c r="E3992" t="n">
        <v>20</v>
      </c>
      <c r="F3992" t="n">
        <v>34.04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M3992" t="n">
        <v>17</v>
      </c>
      <c r="N3992" t="n">
        <v>98.2</v>
      </c>
      <c r="O3992" t="n">
        <v>27.17086834733893</v>
      </c>
    </row>
    <row r="3993" hidden="1">
      <c r="A3993" s="11" t="n">
        <v>46127</v>
      </c>
      <c r="B3993" t="inlineStr">
        <is>
          <t>Claudio de Sousa Velasco Filho</t>
        </is>
      </c>
      <c r="C3993" t="inlineStr">
        <is>
          <t>Estágio</t>
        </is>
      </c>
      <c r="D3993" t="n">
        <v>10</v>
      </c>
      <c r="E3993" t="n">
        <v>8</v>
      </c>
      <c r="F3993" t="n">
        <v>17.12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M3993" t="n">
        <v>6</v>
      </c>
      <c r="N3993" t="n">
        <v>100</v>
      </c>
      <c r="O3993" t="n">
        <v>23.13432835820895</v>
      </c>
    </row>
    <row r="3994" hidden="1">
      <c r="A3994" s="11" t="n">
        <v>46127</v>
      </c>
      <c r="B3994" t="inlineStr">
        <is>
          <t>Clessiane Pereira dos Santos</t>
        </is>
      </c>
      <c r="C3994" t="inlineStr">
        <is>
          <t>Técnico I</t>
        </is>
      </c>
      <c r="D3994" t="n">
        <v>27</v>
      </c>
      <c r="E3994" t="n">
        <v>22</v>
      </c>
      <c r="F3994" t="n">
        <v>14.14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M3994" t="n">
        <v>24</v>
      </c>
      <c r="N3994" t="n">
        <v>96.3</v>
      </c>
      <c r="O3994" t="n">
        <v>32.21957040572792</v>
      </c>
    </row>
    <row r="3995" hidden="1">
      <c r="A3995" s="11" t="n">
        <v>46127</v>
      </c>
      <c r="B3995" t="inlineStr">
        <is>
          <t>Cristiane Ramos da Silva Rocha</t>
        </is>
      </c>
      <c r="C3995" t="inlineStr">
        <is>
          <t>Técnico III</t>
        </is>
      </c>
      <c r="D3995" t="n">
        <v>46</v>
      </c>
      <c r="E3995" t="n">
        <v>41</v>
      </c>
      <c r="F3995" t="n">
        <v>10.2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M3995" t="n">
        <v>39</v>
      </c>
      <c r="N3995" t="n">
        <v>93.75</v>
      </c>
      <c r="O3995" t="n">
        <v>26.81992337164751</v>
      </c>
    </row>
    <row r="3996" hidden="1">
      <c r="A3996" s="11" t="n">
        <v>46127</v>
      </c>
      <c r="B3996" t="inlineStr">
        <is>
          <t>Damyllis Lorraine de Oliveira Gonçalves</t>
        </is>
      </c>
      <c r="C3996" t="inlineStr">
        <is>
          <t>Técnico II</t>
        </is>
      </c>
      <c r="D3996" t="n">
        <v>26</v>
      </c>
      <c r="E3996" t="n">
        <v>23</v>
      </c>
      <c r="F3996" t="n">
        <v>17.08</v>
      </c>
      <c r="G3996" t="n">
        <v>0</v>
      </c>
      <c r="H3996" t="n">
        <v>0</v>
      </c>
      <c r="I3996" s="3" t="n">
        <v>0</v>
      </c>
      <c r="J3996" s="3" t="n">
        <v>0</v>
      </c>
      <c r="K3996" s="3" t="n">
        <v>0</v>
      </c>
      <c r="L3996" s="3">
        <f>IF(K3996&lt;-5,"CRÍTICO",IF(K3996&lt;0,"ATENÇÃO",IF(K3996&lt;=5,"OPORTUNO","MUITO BOM")))</f>
        <v/>
      </c>
      <c r="M3996" t="n">
        <v>23</v>
      </c>
      <c r="N3996" t="n">
        <v>97.86</v>
      </c>
      <c r="O3996" t="n">
        <v>31.01851851851852</v>
      </c>
    </row>
    <row r="3997" hidden="1">
      <c r="A3997" s="11" t="n">
        <v>46127</v>
      </c>
      <c r="B3997" t="inlineStr">
        <is>
          <t>Daniel Gomes da Silva</t>
        </is>
      </c>
      <c r="C3997" t="inlineStr">
        <is>
          <t>Técnico I</t>
        </is>
      </c>
      <c r="D3997" t="n">
        <v>28</v>
      </c>
      <c r="E3997" t="n">
        <v>28</v>
      </c>
      <c r="F3997" t="n">
        <v>15.24</v>
      </c>
      <c r="G3997" t="n">
        <v>0</v>
      </c>
      <c r="H3997" t="n">
        <v>0</v>
      </c>
      <c r="I3997" s="3">
        <f>E3997+G3997+H3997</f>
        <v/>
      </c>
      <c r="J3997" s="3">
        <f>ROUND(MIN(IF(C3997="Técnico III",35,IF(C3997="Técnico II",28,IF(C3997="Técnico I",23,IF(C3997="JR",20,IF(C3997="Estágio",10,0))))),IF(C3997="Técnico III",SUMIFS($D:$D,$A:$A,$A3997,$B:$B,"&lt;&gt;Patrícia Karla de Sousa Araújo",$B:$B,"&lt;&gt;Lorena Dias de Araujo",$B:$B,"&lt;&gt;Lucas Luiz Romero")*(35/1083),IF(C3997="Técnico II",SUMIFS($D:$D,$A:$A,$A3997,$B:$B,"&lt;&gt;Patrícia Karla de Sousa Araújo",$B:$B,"&lt;&gt;Lorena Dias de Araujo",$B:$B,"&lt;&gt;Lucas Luiz Romero")*(28/1083),IF(C3997="Técnico I",SUMIFS($D:$D,$A:$A,$A3997,$B:$B,"&lt;&gt;Patrícia Karla de Sousa Araújo",$B:$B,"&lt;&gt;Lorena Dias de Araujo",$B:$B,"&lt;&gt;Lucas Luiz Romero")*(23/1083),IF(C3997="JR",SUMIFS($D:$D,$A:$A,$A3997,$B:$B,"&lt;&gt;Patrícia Karla de Sousa Araújo",$B:$B,"&lt;&gt;Lorena Dias de Araujo",$B:$B,"&lt;&gt;Lucas Luiz Romero")*(20/1083),IF(C3997="Estágio",SUMIFS($D:$D,$A:$A,$A3997,$B:$B,"&lt;&gt;Patrícia Karla de Sousa Araújo",$B:$B,"&lt;&gt;Lorena Dias de Araujo",$B:$B,"&lt;&gt;Lucas Luiz Romero")*(10/1083),0)))))),0)</f>
        <v/>
      </c>
      <c r="K3997" s="3">
        <f>I3997-J3997</f>
        <v/>
      </c>
      <c r="L3997" s="3">
        <f>IF(K3997&lt;-5,"CRÍTICO",IF(K3997&lt;0,"ATENÇÃO",IF(K3997&lt;=5,"OPORTUNO","MUITO BOM")))</f>
        <v/>
      </c>
      <c r="M3997" t="n">
        <v>16</v>
      </c>
      <c r="N3997" t="n">
        <v>100</v>
      </c>
      <c r="O3997" t="n">
        <v>36.59420289855073</v>
      </c>
    </row>
    <row r="3998" hidden="1">
      <c r="A3998" s="11" t="n">
        <v>46127</v>
      </c>
      <c r="B3998" t="inlineStr">
        <is>
          <t>Davylla Rodrigues Freitas Silva</t>
        </is>
      </c>
      <c r="C3998" t="inlineStr">
        <is>
          <t>Técnico III</t>
        </is>
      </c>
      <c r="D3998" t="n">
        <v>34</v>
      </c>
      <c r="E3998" t="n">
        <v>34</v>
      </c>
      <c r="F3998" t="n">
        <v>17.25</v>
      </c>
      <c r="G3998" t="n">
        <v>0</v>
      </c>
      <c r="H3998" t="n">
        <v>0</v>
      </c>
      <c r="I3998" s="3" t="n">
        <v>0</v>
      </c>
      <c r="J3998" s="3" t="n">
        <v>0</v>
      </c>
      <c r="K3998" s="3" t="n">
        <v>0</v>
      </c>
      <c r="L3998" s="3">
        <f>IF(K3998&lt;-5,"CRÍTICO",IF(K3998&lt;0,"ATENÇÃO",IF(K3998&lt;=5,"OPORTUNO","MUITO BOM")))</f>
        <v/>
      </c>
      <c r="M3998" t="n">
        <v>32</v>
      </c>
      <c r="N3998" t="n">
        <v>100</v>
      </c>
      <c r="O3998" t="n">
        <v>38.65384615384615</v>
      </c>
    </row>
    <row r="3999" hidden="1">
      <c r="A3999" s="11" t="n">
        <v>46127</v>
      </c>
      <c r="B3999" t="inlineStr">
        <is>
          <t>Emilly Caylane Costa</t>
        </is>
      </c>
      <c r="C3999" t="inlineStr">
        <is>
          <t>Estágio</t>
        </is>
      </c>
      <c r="D3999" t="n">
        <v>8</v>
      </c>
      <c r="E3999" t="n">
        <v>8</v>
      </c>
      <c r="F3999" t="n">
        <v>48.21</v>
      </c>
      <c r="G3999" t="n">
        <v>0</v>
      </c>
      <c r="H3999" t="n">
        <v>0</v>
      </c>
      <c r="I3999" s="3">
        <f>E3999+G3999+H3999</f>
        <v/>
      </c>
      <c r="J3999" s="3">
        <f>ROUND(MIN(IF(C3999="Técnico III",35,IF(C3999="Técnico II",28,IF(C3999="Técnico I",23,IF(C3999="JR",20,IF(C3999="Estágio",10,0))))),IF(C3999="Técnico III",SUMIFS($D:$D,$A:$A,$A3999,$B:$B,"&lt;&gt;Patrícia Karla de Sousa Araújo",$B:$B,"&lt;&gt;Lorena Dias de Araujo",$B:$B,"&lt;&gt;Lucas Luiz Romero")*(35/1083),IF(C3999="Técnico II",SUMIFS($D:$D,$A:$A,$A3999,$B:$B,"&lt;&gt;Patrícia Karla de Sousa Araújo",$B:$B,"&lt;&gt;Lorena Dias de Araujo",$B:$B,"&lt;&gt;Lucas Luiz Romero")*(28/1083),IF(C3999="Técnico I",SUMIFS($D:$D,$A:$A,$A3999,$B:$B,"&lt;&gt;Patrícia Karla de Sousa Araújo",$B:$B,"&lt;&gt;Lorena Dias de Araujo",$B:$B,"&lt;&gt;Lucas Luiz Romero")*(23/1083),IF(C3999="JR",SUMIFS($D:$D,$A:$A,$A3999,$B:$B,"&lt;&gt;Patrícia Karla de Sousa Araújo",$B:$B,"&lt;&gt;Lorena Dias de Araujo",$B:$B,"&lt;&gt;Lucas Luiz Romero")*(20/1083),IF(C3999="Estágio",SUMIFS($D:$D,$A:$A,$A3999,$B:$B,"&lt;&gt;Patrícia Karla de Sousa Araújo",$B:$B,"&lt;&gt;Lorena Dias de Araujo",$B:$B,"&lt;&gt;Lucas Luiz Romero")*(10/1083),0)))))),0)</f>
        <v/>
      </c>
      <c r="K3999" s="3">
        <f>I3999-J3999</f>
        <v/>
      </c>
      <c r="L3999" s="3">
        <f>IF(K3999&lt;-5,"CRÍTICO",IF(K3999&lt;0,"ATENÇÃO",IF(K3999&lt;=5,"OPORTUNO","MUITO BOM")))</f>
        <v/>
      </c>
      <c r="M3999" t="n">
        <v>6</v>
      </c>
      <c r="N3999" t="n">
        <v>100</v>
      </c>
      <c r="O3999" t="n">
        <v>27.36842105263158</v>
      </c>
    </row>
    <row r="4000" hidden="1">
      <c r="A4000" s="11" t="n">
        <v>46127</v>
      </c>
      <c r="B4000" t="inlineStr">
        <is>
          <t>Emilly Kamilly Medeiros Miranda</t>
        </is>
      </c>
      <c r="C4000" t="inlineStr">
        <is>
          <t>Técnico II</t>
        </is>
      </c>
      <c r="D4000" t="n">
        <v>24</v>
      </c>
      <c r="E4000" t="n">
        <v>24</v>
      </c>
      <c r="F4000" t="n">
        <v>20.2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M4000" t="n">
        <v>20</v>
      </c>
      <c r="N4000" t="n">
        <v>97.83</v>
      </c>
      <c r="O4000" t="n">
        <v>28.35164835164835</v>
      </c>
    </row>
    <row r="4001" hidden="1">
      <c r="A4001" s="11" t="n">
        <v>46127</v>
      </c>
      <c r="B4001" t="inlineStr">
        <is>
          <t>Francielson de Oliveira</t>
        </is>
      </c>
      <c r="C4001" t="inlineStr">
        <is>
          <t>Técnico III</t>
        </is>
      </c>
      <c r="D4001" t="n">
        <v>28</v>
      </c>
      <c r="E4001" t="n">
        <v>27</v>
      </c>
      <c r="F4001" t="n">
        <v>15.54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M4001" t="n">
        <v>28</v>
      </c>
      <c r="N4001" t="n">
        <v>99.26000000000001</v>
      </c>
      <c r="O4001" t="n">
        <v>29.76653696498055</v>
      </c>
    </row>
    <row r="4002" hidden="1">
      <c r="A4002" s="11" t="n">
        <v>46127</v>
      </c>
      <c r="B4002" t="inlineStr">
        <is>
          <t>Francilene Ferreira de Jesus</t>
        </is>
      </c>
      <c r="C4002" t="inlineStr">
        <is>
          <t>Técnico II</t>
        </is>
      </c>
      <c r="D4002" t="n">
        <v>28</v>
      </c>
      <c r="E4002" t="n">
        <v>26</v>
      </c>
      <c r="F4002" t="n">
        <v>22.11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M4002" t="n">
        <v>27</v>
      </c>
      <c r="N4002" t="n">
        <v>99.19</v>
      </c>
      <c r="O4002" t="n">
        <v>29.46236559139785</v>
      </c>
    </row>
    <row r="4003" hidden="1">
      <c r="A4003" s="11" t="n">
        <v>46167</v>
      </c>
      <c r="B4003" t="inlineStr">
        <is>
          <t>Patrícia Karla de Sousa Araújo</t>
        </is>
      </c>
      <c r="C4003" t="inlineStr">
        <is>
          <t>Técnico II</t>
        </is>
      </c>
      <c r="D4003" s="3" t="n">
        <v>0</v>
      </c>
      <c r="E4003" s="3" t="n">
        <v>0</v>
      </c>
      <c r="F4003" s="3" t="n">
        <v>0</v>
      </c>
      <c r="G4003" s="3" t="n">
        <v>0</v>
      </c>
      <c r="H4003" s="3" t="n">
        <v>0</v>
      </c>
      <c r="I4003" s="3" t="n">
        <v>0</v>
      </c>
      <c r="J4003" s="3" t="n">
        <v>0</v>
      </c>
      <c r="K4003" s="3" t="n">
        <v>0</v>
      </c>
      <c r="L4003" s="3">
        <f>IF(K4003&lt;-5,"CRÍTICO",IF(K4003&lt;0,"ATENÇÃO",IF(K4003&lt;=5,"OPORTUNO","MUITO BOM")))</f>
        <v/>
      </c>
      <c r="M4003" s="3" t="n">
        <v>0</v>
      </c>
      <c r="N4003" s="3" t="n">
        <v>100</v>
      </c>
      <c r="O4003" s="3" t="n">
        <v>20.18348623853211</v>
      </c>
    </row>
    <row r="4004" hidden="1">
      <c r="A4004" s="11" t="n">
        <v>46127</v>
      </c>
      <c r="B4004" t="inlineStr">
        <is>
          <t>Isabella Borges de Oliveira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  <c r="M4004" t="n">
        <v>0</v>
      </c>
      <c r="N4004" t="n">
        <v>100</v>
      </c>
      <c r="O4004" t="n">
        <v>28.92156862745098</v>
      </c>
    </row>
    <row r="4005" hidden="1">
      <c r="A4005" s="11" t="n">
        <v>46127</v>
      </c>
      <c r="B4005" t="inlineStr">
        <is>
          <t>Janaina Lima dos Reis Urany</t>
        </is>
      </c>
      <c r="C4005" t="inlineStr">
        <is>
          <t>Técnico III</t>
        </is>
      </c>
      <c r="D4005" t="n">
        <v>42</v>
      </c>
      <c r="E4005" t="n">
        <v>42</v>
      </c>
      <c r="F4005" t="n">
        <v>13.59</v>
      </c>
      <c r="G4005" t="n">
        <v>0</v>
      </c>
      <c r="H4005" t="n">
        <v>0</v>
      </c>
      <c r="I4005" s="3">
        <f>E4005+G4005+H4005</f>
        <v/>
      </c>
      <c r="J4005" s="3">
        <f>ROUND(MIN(IF(C4005="Técnico III",35,IF(C4005="Técnico II",28,IF(C4005="Técnico I",23,IF(C4005="JR",20,IF(C4005="Estágio",10,0))))),IF(C4005="Técnico III",SUMIFS($D:$D,$A:$A,$A4005,$B:$B,"&lt;&gt;Patrícia Karla de Sousa Araújo",$B:$B,"&lt;&gt;Lorena Dias de Araujo",$B:$B,"&lt;&gt;Lucas Luiz Romero")*(35/1083),IF(C4005="Técnico II",SUMIFS($D:$D,$A:$A,$A4005,$B:$B,"&lt;&gt;Patrícia Karla de Sousa Araújo",$B:$B,"&lt;&gt;Lorena Dias de Araujo",$B:$B,"&lt;&gt;Lucas Luiz Romero")*(28/1083),IF(C4005="Técnico I",SUMIFS($D:$D,$A:$A,$A4005,$B:$B,"&lt;&gt;Patrícia Karla de Sousa Araújo",$B:$B,"&lt;&gt;Lorena Dias de Araujo",$B:$B,"&lt;&gt;Lucas Luiz Romero")*(23/1083),IF(C4005="JR",SUMIFS($D:$D,$A:$A,$A4005,$B:$B,"&lt;&gt;Patrícia Karla de Sousa Araújo",$B:$B,"&lt;&gt;Lorena Dias de Araujo",$B:$B,"&lt;&gt;Lucas Luiz Romero")*(20/1083),IF(C4005="Estágio",SUMIFS($D:$D,$A:$A,$A4005,$B:$B,"&lt;&gt;Patrícia Karla de Sousa Araújo",$B:$B,"&lt;&gt;Lorena Dias de Araujo",$B:$B,"&lt;&gt;Lucas Luiz Romero")*(10/1083),0)))))),0)</f>
        <v/>
      </c>
      <c r="K4005" s="3">
        <f>I4005-J4005</f>
        <v/>
      </c>
      <c r="L4005" s="3">
        <f>IF(K4005&lt;-5,"CRÍTICO",IF(K4005&lt;0,"ATENÇÃO",IF(K4005&lt;=5,"OPORTUNO","MUITO BOM")))</f>
        <v/>
      </c>
      <c r="M4005" t="n">
        <v>37</v>
      </c>
      <c r="N4005" t="n">
        <v>99.56999999999999</v>
      </c>
      <c r="O4005" t="n">
        <v>30.63583815028902</v>
      </c>
    </row>
    <row r="4006" hidden="1">
      <c r="A4006" s="11" t="n">
        <v>46127</v>
      </c>
      <c r="B4006" t="inlineStr">
        <is>
          <t>Jaqueline Evangelista da Silva Martins</t>
        </is>
      </c>
      <c r="C4006" t="inlineStr">
        <is>
          <t>Técnico III</t>
        </is>
      </c>
      <c r="D4006" t="n">
        <v>0</v>
      </c>
      <c r="E4006" t="n">
        <v>0</v>
      </c>
      <c r="F4006" t="n">
        <v>0</v>
      </c>
      <c r="G4006" t="n">
        <v>0</v>
      </c>
      <c r="H4006" t="n">
        <v>0</v>
      </c>
      <c r="I4006" s="3" t="n">
        <v>0</v>
      </c>
      <c r="J4006" s="3" t="n">
        <v>0</v>
      </c>
      <c r="K4006" s="3" t="n">
        <v>0</v>
      </c>
      <c r="L4006" s="3">
        <f>IF(K4006&lt;-5,"CRÍTICO",IF(K4006&lt;0,"ATENÇÃO",IF(K4006&lt;=5,"OPORTUNO","MUITO BOM")))</f>
        <v/>
      </c>
      <c r="M4006" t="n">
        <v>0</v>
      </c>
      <c r="N4006" t="n">
        <v>95.65000000000001</v>
      </c>
      <c r="O4006" t="n">
        <v>32.43243243243244</v>
      </c>
    </row>
    <row r="4007" hidden="1">
      <c r="A4007" s="11" t="n">
        <v>46127</v>
      </c>
      <c r="B4007" t="inlineStr">
        <is>
          <t>Jessica Faria da Silveira</t>
        </is>
      </c>
      <c r="C4007" t="inlineStr">
        <is>
          <t>Técnico II</t>
        </is>
      </c>
      <c r="D4007" t="n">
        <v>27</v>
      </c>
      <c r="E4007" t="n">
        <v>24</v>
      </c>
      <c r="F4007" t="n">
        <v>19.04</v>
      </c>
      <c r="G4007" t="n">
        <v>0</v>
      </c>
      <c r="H4007" t="n">
        <v>0</v>
      </c>
      <c r="I4007" s="3">
        <f>E4007+G4007+H4007</f>
        <v/>
      </c>
      <c r="J4007" s="3">
        <f>ROUND(MIN(IF(C4007="Técnico III",35,IF(C4007="Técnico II",28,IF(C4007="Técnico I",23,IF(C4007="JR",20,IF(C4007="Estágio",10,0))))),IF(C4007="Técnico III",SUMIFS($D:$D,$A:$A,$A4007,$B:$B,"&lt;&gt;Patrícia Karla de Sousa Araújo",$B:$B,"&lt;&gt;Lorena Dias de Araujo",$B:$B,"&lt;&gt;Lucas Luiz Romero")*(35/1083),IF(C4007="Técnico II",SUMIFS($D:$D,$A:$A,$A4007,$B:$B,"&lt;&gt;Patrícia Karla de Sousa Araújo",$B:$B,"&lt;&gt;Lorena Dias de Araujo",$B:$B,"&lt;&gt;Lucas Luiz Romero")*(28/1083),IF(C4007="Técnico I",SUMIFS($D:$D,$A:$A,$A4007,$B:$B,"&lt;&gt;Patrícia Karla de Sousa Araújo",$B:$B,"&lt;&gt;Lorena Dias de Araujo",$B:$B,"&lt;&gt;Lucas Luiz Romero")*(23/1083),IF(C4007="JR",SUMIFS($D:$D,$A:$A,$A4007,$B:$B,"&lt;&gt;Patrícia Karla de Sousa Araújo",$B:$B,"&lt;&gt;Lorena Dias de Araujo",$B:$B,"&lt;&gt;Lucas Luiz Romero")*(20/1083),IF(C4007="Estágio",SUMIFS($D:$D,$A:$A,$A4007,$B:$B,"&lt;&gt;Patrícia Karla de Sousa Araújo",$B:$B,"&lt;&gt;Lorena Dias de Araujo",$B:$B,"&lt;&gt;Lucas Luiz Romero")*(10/1083),0)))))),0)</f>
        <v/>
      </c>
      <c r="K4007" s="3">
        <f>I4007-J4007</f>
        <v/>
      </c>
      <c r="L4007" s="3">
        <f>IF(K4007&lt;-5,"CRÍTICO",IF(K4007&lt;0,"ATENÇÃO",IF(K4007&lt;=5,"OPORTUNO","MUITO BOM")))</f>
        <v/>
      </c>
      <c r="M4007" t="n">
        <v>23</v>
      </c>
      <c r="N4007" t="n">
        <v>98.81</v>
      </c>
      <c r="O4007" t="n">
        <v>26.25698324022346</v>
      </c>
    </row>
    <row r="4008" hidden="1">
      <c r="A4008" s="11" t="n">
        <v>46127</v>
      </c>
      <c r="B4008" t="inlineStr">
        <is>
          <t>Jéssica Fé Moura</t>
        </is>
      </c>
      <c r="C4008" t="inlineStr">
        <is>
          <t>Técnico III</t>
        </is>
      </c>
      <c r="D4008" t="n">
        <v>0</v>
      </c>
      <c r="E4008" t="n">
        <v>0</v>
      </c>
      <c r="F4008" t="n">
        <v>0</v>
      </c>
      <c r="G4008" t="n">
        <v>0</v>
      </c>
      <c r="H4008" t="n">
        <v>0</v>
      </c>
      <c r="I4008" s="3" t="n">
        <v>0</v>
      </c>
      <c r="J4008" s="3" t="n">
        <v>0</v>
      </c>
      <c r="K4008" s="3" t="n">
        <v>0</v>
      </c>
      <c r="L4008" s="3">
        <f>IF(K4008&lt;-5,"CRÍTICO",IF(K4008&lt;0,"ATENÇÃO",IF(K4008&lt;=5,"OPORTUNO","MUITO BOM")))</f>
        <v/>
      </c>
      <c r="M4008" t="n">
        <v>0</v>
      </c>
      <c r="N4008" t="n">
        <v>0</v>
      </c>
      <c r="O4008" t="n">
        <v>0</v>
      </c>
    </row>
    <row r="4009" hidden="1">
      <c r="A4009" s="11" t="n">
        <v>46127</v>
      </c>
      <c r="B4009" t="inlineStr">
        <is>
          <t>Karina Gonçalves Martins</t>
        </is>
      </c>
      <c r="C4009" t="inlineStr">
        <is>
          <t>JR</t>
        </is>
      </c>
      <c r="D4009" t="n">
        <v>26</v>
      </c>
      <c r="E4009" t="n">
        <v>21</v>
      </c>
      <c r="F4009" t="n">
        <v>21.48</v>
      </c>
      <c r="G4009" t="n">
        <v>0</v>
      </c>
      <c r="H4009" t="n">
        <v>0</v>
      </c>
      <c r="I4009" s="3">
        <f>E4009+G4009+H4009</f>
        <v/>
      </c>
      <c r="J4009" s="3">
        <f>ROUND(MIN(IF(C4009="Técnico III",35,IF(C4009="Técnico II",28,IF(C4009="Técnico I",23,IF(C4009="JR",20,IF(C4009="Estágio",10,0))))),IF(C4009="Técnico III",SUMIFS($D:$D,$A:$A,$A4009,$B:$B,"&lt;&gt;Patrícia Karla de Sousa Araújo",$B:$B,"&lt;&gt;Lorena Dias de Araujo",$B:$B,"&lt;&gt;Lucas Luiz Romero")*(35/1083),IF(C4009="Técnico II",SUMIFS($D:$D,$A:$A,$A4009,$B:$B,"&lt;&gt;Patrícia Karla de Sousa Araújo",$B:$B,"&lt;&gt;Lorena Dias de Araujo",$B:$B,"&lt;&gt;Lucas Luiz Romero")*(28/1083),IF(C4009="Técnico I",SUMIFS($D:$D,$A:$A,$A4009,$B:$B,"&lt;&gt;Patrícia Karla de Sousa Araújo",$B:$B,"&lt;&gt;Lorena Dias de Araujo",$B:$B,"&lt;&gt;Lucas Luiz Romero")*(23/1083),IF(C4009="JR",SUMIFS($D:$D,$A:$A,$A4009,$B:$B,"&lt;&gt;Patrícia Karla de Sousa Araújo",$B:$B,"&lt;&gt;Lorena Dias de Araujo",$B:$B,"&lt;&gt;Lucas Luiz Romero")*(20/1083),IF(C4009="Estágio",SUMIFS($D:$D,$A:$A,$A4009,$B:$B,"&lt;&gt;Patrícia Karla de Sousa Araújo",$B:$B,"&lt;&gt;Lorena Dias de Araujo",$B:$B,"&lt;&gt;Lucas Luiz Romero")*(10/1083),0)))))),0)</f>
        <v/>
      </c>
      <c r="K4009" s="3">
        <f>I4009-J4009</f>
        <v/>
      </c>
      <c r="L4009" s="3">
        <f>IF(K4009&lt;-5,"CRÍTICO",IF(K4009&lt;0,"ATENÇÃO",IF(K4009&lt;=5,"OPORTUNO","MUITO BOM")))</f>
        <v/>
      </c>
      <c r="M4009" t="n">
        <v>23</v>
      </c>
      <c r="N4009" t="n">
        <v>97.17</v>
      </c>
      <c r="O4009" t="n">
        <v>28.81844380403458</v>
      </c>
    </row>
    <row r="4010" hidden="1">
      <c r="A4010" s="11" t="n">
        <v>46127</v>
      </c>
      <c r="B4010" t="inlineStr">
        <is>
          <t>Kerollen Cristielly de Jesus Siqueira</t>
        </is>
      </c>
      <c r="C4010" t="inlineStr">
        <is>
          <t>Técnico III</t>
        </is>
      </c>
      <c r="D4010" t="n">
        <v>0</v>
      </c>
      <c r="E4010" t="n">
        <v>0</v>
      </c>
      <c r="F4010" t="n">
        <v>0</v>
      </c>
      <c r="G4010" t="n">
        <v>0</v>
      </c>
      <c r="H4010" t="n">
        <v>0</v>
      </c>
      <c r="I4010" s="3" t="n">
        <v>0</v>
      </c>
      <c r="J4010" s="3" t="n">
        <v>0</v>
      </c>
      <c r="K4010" s="3" t="n">
        <v>0</v>
      </c>
      <c r="L4010" s="3">
        <f>IF(K4010&lt;-5,"CRÍTICO",IF(K4010&lt;0,"ATENÇÃO",IF(K4010&lt;=5,"OPORTUNO","MUITO BOM")))</f>
        <v/>
      </c>
      <c r="M4010" t="n">
        <v>44</v>
      </c>
      <c r="N4010" t="n">
        <v>96.81</v>
      </c>
      <c r="O4010" t="n">
        <v>48.01864801864802</v>
      </c>
    </row>
    <row r="4011" hidden="1">
      <c r="A4011" s="11" t="n">
        <v>46127</v>
      </c>
      <c r="B4011" t="inlineStr">
        <is>
          <t>Leandro de Souza Silva</t>
        </is>
      </c>
      <c r="C4011" t="inlineStr">
        <is>
          <t>JR</t>
        </is>
      </c>
      <c r="D4011" t="n">
        <v>14</v>
      </c>
      <c r="E4011" t="n">
        <v>13</v>
      </c>
      <c r="F4011" t="n">
        <v>33.31</v>
      </c>
      <c r="G4011" t="n">
        <v>0</v>
      </c>
      <c r="H4011" t="n">
        <v>0</v>
      </c>
      <c r="I4011" s="3">
        <f>E4011+G4011+H4011</f>
        <v/>
      </c>
      <c r="J4011" s="3">
        <f>ROUND(MIN(IF(C4011="Técnico III",35,IF(C4011="Técnico II",28,IF(C4011="Técnico I",23,IF(C4011="JR",20,IF(C4011="Estágio",10,0))))),IF(C4011="Técnico III",SUMIFS($D:$D,$A:$A,$A4011,$B:$B,"&lt;&gt;Patrícia Karla de Sousa Araújo",$B:$B,"&lt;&gt;Lorena Dias de Araujo",$B:$B,"&lt;&gt;Lucas Luiz Romero")*(35/1083),IF(C4011="Técnico II",SUMIFS($D:$D,$A:$A,$A4011,$B:$B,"&lt;&gt;Patrícia Karla de Sousa Araújo",$B:$B,"&lt;&gt;Lorena Dias de Araujo",$B:$B,"&lt;&gt;Lucas Luiz Romero")*(28/1083),IF(C4011="Técnico I",SUMIFS($D:$D,$A:$A,$A4011,$B:$B,"&lt;&gt;Patrícia Karla de Sousa Araújo",$B:$B,"&lt;&gt;Lorena Dias de Araujo",$B:$B,"&lt;&gt;Lucas Luiz Romero")*(23/1083),IF(C4011="JR",SUMIFS($D:$D,$A:$A,$A4011,$B:$B,"&lt;&gt;Patrícia Karla de Sousa Araújo",$B:$B,"&lt;&gt;Lorena Dias de Araujo",$B:$B,"&lt;&gt;Lucas Luiz Romero")*(20/1083),IF(C4011="Estágio",SUMIFS($D:$D,$A:$A,$A4011,$B:$B,"&lt;&gt;Patrícia Karla de Sousa Araújo",$B:$B,"&lt;&gt;Lorena Dias de Araujo",$B:$B,"&lt;&gt;Lucas Luiz Romero")*(10/1083),0)))))),0)</f>
        <v/>
      </c>
      <c r="K4011" s="3">
        <f>I4011-J4011</f>
        <v/>
      </c>
      <c r="L4011" s="3">
        <f>IF(K4011&lt;-5,"CRÍTICO",IF(K4011&lt;0,"ATENÇÃO",IF(K4011&lt;=5,"OPORTUNO","MUITO BOM")))</f>
        <v/>
      </c>
      <c r="M4011" t="n">
        <v>12</v>
      </c>
      <c r="N4011" t="n">
        <v>98.15000000000001</v>
      </c>
      <c r="O4011" t="n">
        <v>27.1551724137931</v>
      </c>
    </row>
    <row r="4012" hidden="1">
      <c r="A4012" s="11" t="n">
        <v>46127</v>
      </c>
      <c r="B4012" t="inlineStr">
        <is>
          <t>Leandro Oliveira de Sousa</t>
        </is>
      </c>
      <c r="C4012" t="inlineStr">
        <is>
          <t>Técnico III</t>
        </is>
      </c>
      <c r="D4012" t="n">
        <v>28</v>
      </c>
      <c r="E4012" t="n">
        <v>28</v>
      </c>
      <c r="F4012" t="n">
        <v>18.45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M4012" t="n">
        <v>25</v>
      </c>
      <c r="N4012" t="n">
        <v>99.15000000000001</v>
      </c>
      <c r="O4012" t="n">
        <v>27.58620689655172</v>
      </c>
    </row>
    <row r="4013" hidden="1">
      <c r="A4013" s="11" t="n">
        <v>46127</v>
      </c>
      <c r="B4013" t="inlineStr">
        <is>
          <t>Lizandra Gomes Duarte</t>
        </is>
      </c>
      <c r="C4013" t="inlineStr">
        <is>
          <t>Técnico II</t>
        </is>
      </c>
      <c r="D4013" t="n">
        <v>30</v>
      </c>
      <c r="E4013" t="n">
        <v>27</v>
      </c>
      <c r="F4013" t="n">
        <v>13.33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M4013" t="n">
        <v>32</v>
      </c>
      <c r="N4013" t="n">
        <v>99.17</v>
      </c>
      <c r="O4013" t="n">
        <v>29.75206611570248</v>
      </c>
    </row>
    <row r="4014" hidden="1">
      <c r="A4014" s="11" t="n">
        <v>46127</v>
      </c>
      <c r="B4014" t="inlineStr">
        <is>
          <t>Lorena Dias de Araujo</t>
        </is>
      </c>
      <c r="C4014" t="inlineStr">
        <is>
          <t>Técnico II</t>
        </is>
      </c>
      <c r="D4014" t="n">
        <v>0</v>
      </c>
      <c r="E4014" t="n">
        <v>0</v>
      </c>
      <c r="F4014" t="n">
        <v>0</v>
      </c>
      <c r="G4014" t="n">
        <v>0</v>
      </c>
      <c r="H4014" t="n">
        <v>0</v>
      </c>
      <c r="I4014" s="3" t="n">
        <v>0</v>
      </c>
      <c r="J4014" s="3" t="n">
        <v>0</v>
      </c>
      <c r="K4014" s="3" t="n">
        <v>0</v>
      </c>
      <c r="L4014" s="3">
        <f>IF(K4014&lt;-5,"CRÍTICO",IF(K4014&lt;0,"ATENÇÃO",IF(K4014&lt;=5,"OPORTUNO","MUITO BOM")))</f>
        <v/>
      </c>
      <c r="M4014" t="n">
        <v>0</v>
      </c>
      <c r="N4014" t="n">
        <v>98.73</v>
      </c>
      <c r="O4014" t="n">
        <v>28.96174863387978</v>
      </c>
    </row>
    <row r="4015" hidden="1">
      <c r="A4015" s="11" t="n">
        <v>46127</v>
      </c>
      <c r="B4015" t="inlineStr">
        <is>
          <t>Lucas Luiz Romero</t>
        </is>
      </c>
      <c r="C4015" t="inlineStr">
        <is>
          <t>Técnico III</t>
        </is>
      </c>
      <c r="D4015" t="n">
        <v>39</v>
      </c>
      <c r="E4015" t="n">
        <v>33</v>
      </c>
      <c r="F4015" t="n">
        <v>16.56</v>
      </c>
      <c r="G4015" t="n">
        <v>0</v>
      </c>
      <c r="H4015" t="n">
        <v>0</v>
      </c>
      <c r="I4015" s="3">
        <f>E4015+G4015+H4015</f>
        <v/>
      </c>
      <c r="J4015" s="3">
        <f>ROUND(MIN(IF(C4015="Técnico III",35,IF(C4015="Técnico II",28,IF(C4015="Técnico I",23,IF(C4015="JR",20,IF(C4015="Estágio",10,0))))),IF(C4015="Técnico III",SUMIFS($D:$D,$A:$A,$A4015,$B:$B,"&lt;&gt;Patrícia Karla de Sousa Araújo",$B:$B,"&lt;&gt;Lorena Dias de Araujo",$B:$B,"&lt;&gt;Lucas Luiz Romero")*(35/1083),IF(C4015="Técnico II",SUMIFS($D:$D,$A:$A,$A4015,$B:$B,"&lt;&gt;Patrícia Karla de Sousa Araújo",$B:$B,"&lt;&gt;Lorena Dias de Araujo",$B:$B,"&lt;&gt;Lucas Luiz Romero")*(28/1083),IF(C4015="Técnico I",SUMIFS($D:$D,$A:$A,$A4015,$B:$B,"&lt;&gt;Patrícia Karla de Sousa Araújo",$B:$B,"&lt;&gt;Lorena Dias de Araujo",$B:$B,"&lt;&gt;Lucas Luiz Romero")*(23/1083),IF(C4015="JR",SUMIFS($D:$D,$A:$A,$A4015,$B:$B,"&lt;&gt;Patrícia Karla de Sousa Araújo",$B:$B,"&lt;&gt;Lorena Dias de Araujo",$B:$B,"&lt;&gt;Lucas Luiz Romero")*(20/1083),IF(C4015="Estágio",SUMIFS($D:$D,$A:$A,$A4015,$B:$B,"&lt;&gt;Patrícia Karla de Sousa Araújo",$B:$B,"&lt;&gt;Lorena Dias de Araujo",$B:$B,"&lt;&gt;Lucas Luiz Romero")*(10/1083),0)))))),0)</f>
        <v/>
      </c>
      <c r="K4015" s="3">
        <f>I4015-J4015</f>
        <v/>
      </c>
      <c r="L4015" s="3">
        <f>IF(K4015&lt;-5,"CRÍTICO",IF(K4015&lt;0,"ATENÇÃO",IF(K4015&lt;=5,"OPORTUNO","MUITO BOM")))</f>
        <v/>
      </c>
      <c r="M4015" t="n">
        <v>27</v>
      </c>
      <c r="N4015" t="n">
        <v>88.68000000000001</v>
      </c>
      <c r="O4015" t="n">
        <v>22.03389830508474</v>
      </c>
    </row>
    <row r="4016" hidden="1">
      <c r="A4016" s="11" t="n">
        <v>46127</v>
      </c>
      <c r="B4016" t="inlineStr">
        <is>
          <t>Luiz Fernando de Carvalho Junior</t>
        </is>
      </c>
      <c r="C4016" t="inlineStr">
        <is>
          <t>Técnico I</t>
        </is>
      </c>
      <c r="D4016" t="n">
        <v>21</v>
      </c>
      <c r="E4016" t="n">
        <v>20</v>
      </c>
      <c r="F4016" t="n">
        <v>33.46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M4016" t="n">
        <v>17</v>
      </c>
      <c r="N4016" t="n">
        <v>97.37</v>
      </c>
      <c r="O4016" t="n">
        <v>25.76530612244898</v>
      </c>
    </row>
    <row r="4017" hidden="1">
      <c r="A4017" s="11" t="n">
        <v>46127</v>
      </c>
      <c r="B4017" t="inlineStr">
        <is>
          <t>Maria Eduarda Sousa Costa</t>
        </is>
      </c>
      <c r="C4017" t="inlineStr">
        <is>
          <t>Estágio</t>
        </is>
      </c>
      <c r="D4017" t="n">
        <v>36</v>
      </c>
      <c r="E4017" t="n">
        <v>18</v>
      </c>
      <c r="F4017" t="n">
        <v>7.05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M4017" t="n">
        <v>6</v>
      </c>
      <c r="N4017" t="n">
        <v>100</v>
      </c>
      <c r="O4017" t="n">
        <v>25</v>
      </c>
    </row>
    <row r="4018" hidden="1">
      <c r="A4018" s="11" t="n">
        <v>46127</v>
      </c>
      <c r="B4018" t="inlineStr">
        <is>
          <t>Matheus Farias De Souza</t>
        </is>
      </c>
      <c r="C4018" t="inlineStr">
        <is>
          <t>Técnico III</t>
        </is>
      </c>
      <c r="D4018" t="n">
        <v>30</v>
      </c>
      <c r="E4018" t="n">
        <v>28</v>
      </c>
      <c r="F4018" t="n">
        <v>13.55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M4018" t="n">
        <v>39</v>
      </c>
      <c r="N4018" t="n">
        <v>100</v>
      </c>
      <c r="O4018" t="n">
        <v>23.9870340356564</v>
      </c>
    </row>
    <row r="4019" hidden="1">
      <c r="A4019" s="11" t="n">
        <v>46127</v>
      </c>
      <c r="B4019" t="inlineStr">
        <is>
          <t>Maysa Victoria Dias Moura</t>
        </is>
      </c>
      <c r="C4019" t="inlineStr">
        <is>
          <t>Técnico III</t>
        </is>
      </c>
      <c r="D4019" t="n">
        <v>36</v>
      </c>
      <c r="E4019" t="n">
        <v>34</v>
      </c>
      <c r="F4019" t="n">
        <v>15.23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M4019" t="n">
        <v>51</v>
      </c>
      <c r="N4019" t="n">
        <v>95.48999999999999</v>
      </c>
      <c r="O4019" t="n">
        <v>28.37022132796781</v>
      </c>
    </row>
    <row r="4020" hidden="1">
      <c r="A4020" s="11" t="n">
        <v>46127</v>
      </c>
      <c r="B4020" t="inlineStr">
        <is>
          <t>Michelle G Santos</t>
        </is>
      </c>
      <c r="C4020" t="inlineStr">
        <is>
          <t>Estágio</t>
        </is>
      </c>
      <c r="D4020" t="n">
        <v>19</v>
      </c>
      <c r="E4020" t="n">
        <v>19</v>
      </c>
      <c r="F4020" t="n">
        <v>30.04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M4020" t="n">
        <v>15</v>
      </c>
      <c r="N4020" t="n">
        <v>100</v>
      </c>
      <c r="O4020" t="n">
        <v>23.77622377622378</v>
      </c>
    </row>
    <row r="4021" hidden="1">
      <c r="A4021" s="11" t="n">
        <v>46127</v>
      </c>
      <c r="B4021" t="inlineStr">
        <is>
          <t>Milena Sales</t>
        </is>
      </c>
      <c r="C4021" t="inlineStr">
        <is>
          <t>JR</t>
        </is>
      </c>
      <c r="D4021" t="n">
        <v>28</v>
      </c>
      <c r="E4021" t="n">
        <v>22</v>
      </c>
      <c r="F4021" t="n">
        <v>18.5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M4021" t="n">
        <v>18</v>
      </c>
      <c r="N4021" t="n">
        <v>96.15000000000001</v>
      </c>
      <c r="O4021" t="n">
        <v>24.04580152671756</v>
      </c>
    </row>
    <row r="4022" hidden="1">
      <c r="A4022" s="11" t="n">
        <v>46127</v>
      </c>
      <c r="B4022" t="inlineStr">
        <is>
          <t>Patrícia Karla de Sousa Araújo</t>
        </is>
      </c>
      <c r="C4022" t="inlineStr">
        <is>
          <t>Técnico II</t>
        </is>
      </c>
      <c r="D4022" t="n">
        <v>27</v>
      </c>
      <c r="E4022" t="n">
        <v>25</v>
      </c>
      <c r="F4022" t="n">
        <v>20.41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M4022" t="n">
        <v>22</v>
      </c>
      <c r="N4022" t="n">
        <v>99.02</v>
      </c>
      <c r="O4022" t="n">
        <v>34.7972972972973</v>
      </c>
    </row>
    <row r="4023" hidden="1">
      <c r="A4023" s="11" t="n">
        <v>46127</v>
      </c>
      <c r="B4023" t="inlineStr">
        <is>
          <t>Paulo Ricardo Santos</t>
        </is>
      </c>
      <c r="C4023" t="inlineStr">
        <is>
          <t>JR</t>
        </is>
      </c>
      <c r="D4023" t="n">
        <v>27</v>
      </c>
      <c r="E4023" t="n">
        <v>26</v>
      </c>
      <c r="F4023" t="n">
        <v>15.04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M4023" t="n">
        <v>21</v>
      </c>
      <c r="N4023" t="n">
        <v>98.84</v>
      </c>
      <c r="O4023" t="n">
        <v>31.86813186813187</v>
      </c>
    </row>
    <row r="4024" hidden="1">
      <c r="A4024" s="11" t="n">
        <v>46127</v>
      </c>
      <c r="B4024" t="inlineStr">
        <is>
          <t>Pedro Luiz Mota Sousa</t>
        </is>
      </c>
      <c r="C4024" t="inlineStr">
        <is>
          <t>JR</t>
        </is>
      </c>
      <c r="D4024" t="n">
        <v>25</v>
      </c>
      <c r="E4024" t="n">
        <v>22</v>
      </c>
      <c r="F4024" t="n">
        <v>17.13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M4024" t="n">
        <v>21</v>
      </c>
      <c r="N4024" t="n">
        <v>100</v>
      </c>
      <c r="O4024" t="n">
        <v>34.66666666666667</v>
      </c>
    </row>
    <row r="4025" hidden="1">
      <c r="A4025" s="11" t="n">
        <v>46127</v>
      </c>
      <c r="B4025" t="inlineStr">
        <is>
          <t>Quirino Diogo Leite Torres</t>
        </is>
      </c>
      <c r="C4025" t="inlineStr">
        <is>
          <t>Estágio</t>
        </is>
      </c>
      <c r="D4025" t="n">
        <v>11</v>
      </c>
      <c r="E4025" t="n">
        <v>11</v>
      </c>
      <c r="F4025" t="n">
        <v>27.16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M4025" t="n">
        <v>10</v>
      </c>
      <c r="N4025" t="n">
        <v>94.12</v>
      </c>
      <c r="O4025" t="n">
        <v>32.8</v>
      </c>
    </row>
    <row r="4026" hidden="1">
      <c r="A4026" s="11" t="n">
        <v>46127</v>
      </c>
      <c r="B4026" t="inlineStr">
        <is>
          <t>Raane Batista Matos</t>
        </is>
      </c>
      <c r="C4026" t="inlineStr">
        <is>
          <t>Técnico I</t>
        </is>
      </c>
      <c r="D4026" t="n">
        <v>23</v>
      </c>
      <c r="E4026" t="n">
        <v>23</v>
      </c>
      <c r="F4026" t="n">
        <v>16.52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M4026" t="n">
        <v>21</v>
      </c>
      <c r="N4026" t="n">
        <v>98.31999999999999</v>
      </c>
      <c r="O4026" t="n">
        <v>26.85851318944844</v>
      </c>
    </row>
    <row r="4027" hidden="1">
      <c r="A4027" s="11" t="n">
        <v>46127</v>
      </c>
      <c r="B4027" t="inlineStr">
        <is>
          <t>Rafael Gomes de Morais</t>
        </is>
      </c>
      <c r="C4027" t="inlineStr">
        <is>
          <t>Técnico III</t>
        </is>
      </c>
      <c r="D4027" t="n">
        <v>29</v>
      </c>
      <c r="E4027" t="n">
        <v>24</v>
      </c>
      <c r="F4027" t="n">
        <v>15.04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M4027" t="n">
        <v>22</v>
      </c>
      <c r="N4027" t="n">
        <v>100</v>
      </c>
      <c r="O4027" t="n">
        <v>31.13553113553114</v>
      </c>
    </row>
    <row r="4028" hidden="1">
      <c r="A4028" s="11" t="n">
        <v>46127</v>
      </c>
      <c r="B4028" t="inlineStr">
        <is>
          <t>Sara Maria Monteiro Lopes</t>
        </is>
      </c>
      <c r="C4028" t="inlineStr">
        <is>
          <t>Técnico I</t>
        </is>
      </c>
      <c r="D4028" t="n">
        <v>12</v>
      </c>
      <c r="E4028" t="n">
        <v>12</v>
      </c>
      <c r="F4028" t="n">
        <v>45.09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M4028" t="n">
        <v>11</v>
      </c>
      <c r="N4028" t="n">
        <v>100</v>
      </c>
      <c r="O4028" t="n">
        <v>26.36986301369863</v>
      </c>
    </row>
    <row r="4029" hidden="1">
      <c r="A4029" s="11" t="n">
        <v>46127</v>
      </c>
      <c r="B4029" t="inlineStr">
        <is>
          <t>Sarah Steffanie de Lima Borges</t>
        </is>
      </c>
      <c r="C4029" t="inlineStr">
        <is>
          <t>Técnico III</t>
        </is>
      </c>
      <c r="D4029" t="n">
        <v>34</v>
      </c>
      <c r="E4029" t="n">
        <v>33</v>
      </c>
      <c r="F4029" t="n">
        <v>15.06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M4029" t="n">
        <v>28</v>
      </c>
      <c r="N4029" t="n">
        <v>99.20999999999999</v>
      </c>
      <c r="O4029" t="n">
        <v>25.18891687657431</v>
      </c>
    </row>
    <row r="4030" hidden="1">
      <c r="A4030" s="11" t="n">
        <v>46128</v>
      </c>
      <c r="B4030" t="inlineStr">
        <is>
          <t>Alisson de Freitas Silva</t>
        </is>
      </c>
      <c r="C4030" t="inlineStr">
        <is>
          <t>Técnico II</t>
        </is>
      </c>
      <c r="D4030" t="n">
        <v>15</v>
      </c>
      <c r="E4030" t="n">
        <v>13</v>
      </c>
      <c r="F4030" t="n">
        <v>22.21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M4030" t="n">
        <v>11</v>
      </c>
      <c r="N4030" t="n">
        <v>100</v>
      </c>
      <c r="O4030" t="n">
        <v>32.76450511945392</v>
      </c>
    </row>
    <row r="4031" hidden="1">
      <c r="A4031" s="11" t="n">
        <v>46128</v>
      </c>
      <c r="B4031" t="inlineStr">
        <is>
          <t>Amanda Moura Ferreira</t>
        </is>
      </c>
      <c r="C4031" t="inlineStr">
        <is>
          <t>Técnico III</t>
        </is>
      </c>
      <c r="D4031" t="n">
        <v>0</v>
      </c>
      <c r="E4031" t="n">
        <v>0</v>
      </c>
      <c r="F4031" t="n">
        <v>0</v>
      </c>
      <c r="G4031" t="n">
        <v>0</v>
      </c>
      <c r="H4031" t="n">
        <v>0</v>
      </c>
      <c r="I4031" s="3" t="n">
        <v>0</v>
      </c>
      <c r="J4031" s="3" t="n">
        <v>0</v>
      </c>
      <c r="K4031" s="3" t="n">
        <v>0</v>
      </c>
      <c r="L4031" s="3">
        <f>IF(K4031&lt;-5,"CRÍTICO",IF(K4031&lt;0,"ATENÇÃO",IF(K4031&lt;=5,"OPORTUNO","MUITO BOM")))</f>
        <v/>
      </c>
      <c r="M4031" t="n">
        <v>21</v>
      </c>
      <c r="N4031" t="n">
        <v>98.66</v>
      </c>
      <c r="O4031" t="n">
        <v>35.41666666666667</v>
      </c>
    </row>
    <row r="4032" hidden="1">
      <c r="A4032" s="11" t="n">
        <v>46128</v>
      </c>
      <c r="B4032" t="inlineStr">
        <is>
          <t>Ana Karollyne Souza Faria</t>
        </is>
      </c>
      <c r="C4032" t="inlineStr">
        <is>
          <t>Técnico I</t>
        </is>
      </c>
      <c r="D4032" t="n">
        <v>23</v>
      </c>
      <c r="E4032" t="n">
        <v>22</v>
      </c>
      <c r="F4032" t="n">
        <v>24.16</v>
      </c>
      <c r="G4032" t="n">
        <v>0</v>
      </c>
      <c r="H4032" t="n">
        <v>0</v>
      </c>
      <c r="I4032" s="3">
        <f>E4032+G4032+H4032</f>
        <v/>
      </c>
      <c r="J4032" s="3">
        <f>ROUND(MIN(IF(C4032="Técnico III",35,IF(C4032="Técnico II",28,IF(C4032="Técnico I",23,IF(C4032="JR",20,IF(C4032="Estágio",10,0))))),IF(C4032="Técnico III",SUMIFS($D:$D,$A:$A,$A4032,$B:$B,"&lt;&gt;Patrícia Karla de Sousa Araújo",$B:$B,"&lt;&gt;Lorena Dias de Araujo",$B:$B,"&lt;&gt;Lucas Luiz Romero")*(35/1083),IF(C4032="Técnico II",SUMIFS($D:$D,$A:$A,$A4032,$B:$B,"&lt;&gt;Patrícia Karla de Sousa Araújo",$B:$B,"&lt;&gt;Lorena Dias de Araujo",$B:$B,"&lt;&gt;Lucas Luiz Romero")*(28/1083),IF(C4032="Técnico I",SUMIFS($D:$D,$A:$A,$A4032,$B:$B,"&lt;&gt;Patrícia Karla de Sousa Araújo",$B:$B,"&lt;&gt;Lorena Dias de Araujo",$B:$B,"&lt;&gt;Lucas Luiz Romero")*(23/1083),IF(C4032="JR",SUMIFS($D:$D,$A:$A,$A4032,$B:$B,"&lt;&gt;Patrícia Karla de Sousa Araújo",$B:$B,"&lt;&gt;Lorena Dias de Araujo",$B:$B,"&lt;&gt;Lucas Luiz Romero")*(20/1083),IF(C4032="Estágio",SUMIFS($D:$D,$A:$A,$A4032,$B:$B,"&lt;&gt;Patrícia Karla de Sousa Araújo",$B:$B,"&lt;&gt;Lorena Dias de Araujo",$B:$B,"&lt;&gt;Lucas Luiz Romero")*(10/1083),0)))))),0)</f>
        <v/>
      </c>
      <c r="K4032" s="3">
        <f>I4032-J4032</f>
        <v/>
      </c>
      <c r="L4032" s="3">
        <f>IF(K4032&lt;-5,"CRÍTICO",IF(K4032&lt;0,"ATENÇÃO",IF(K4032&lt;=5,"OPORTUNO","MUITO BOM")))</f>
        <v/>
      </c>
      <c r="M4032" t="n">
        <v>24</v>
      </c>
      <c r="N4032" t="n">
        <v>99.31999999999999</v>
      </c>
      <c r="O4032" t="n">
        <v>30.6483300589391</v>
      </c>
    </row>
    <row r="4033" hidden="1">
      <c r="A4033" s="11" t="n">
        <v>46128</v>
      </c>
      <c r="B4033" t="inlineStr">
        <is>
          <t>Ana Paula Da Luz Silva Aleixo</t>
        </is>
      </c>
      <c r="C4033" t="inlineStr">
        <is>
          <t>Técnico III</t>
        </is>
      </c>
      <c r="D4033" t="n">
        <v>19</v>
      </c>
      <c r="E4033" t="n">
        <v>16</v>
      </c>
      <c r="F4033" t="n">
        <v>20.58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M4033" t="n">
        <v>23</v>
      </c>
      <c r="N4033" t="n">
        <v>100</v>
      </c>
      <c r="O4033" t="n">
        <v>27.80373831775701</v>
      </c>
    </row>
    <row r="4034" hidden="1">
      <c r="A4034" s="11" t="n">
        <v>46128</v>
      </c>
      <c r="B4034" t="inlineStr">
        <is>
          <t>Anna Luiza Rezende Tavares</t>
        </is>
      </c>
      <c r="C4034" t="inlineStr">
        <is>
          <t>Estágio</t>
        </is>
      </c>
      <c r="D4034" t="n">
        <v>29</v>
      </c>
      <c r="E4034" t="n">
        <v>27</v>
      </c>
      <c r="F4034" t="n">
        <v>20.49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M4034" t="n">
        <v>25</v>
      </c>
      <c r="N4034" t="n">
        <v>96.73999999999999</v>
      </c>
      <c r="O4034" t="n">
        <v>28.67647058823529</v>
      </c>
    </row>
    <row r="4035" hidden="1">
      <c r="A4035" s="11" t="n">
        <v>46128</v>
      </c>
      <c r="B4035" t="inlineStr">
        <is>
          <t>Brenda de Menezes Silva</t>
        </is>
      </c>
      <c r="C4035" t="inlineStr">
        <is>
          <t>Técnico II</t>
        </is>
      </c>
      <c r="D4035" t="n">
        <v>44</v>
      </c>
      <c r="E4035" t="n">
        <v>42</v>
      </c>
      <c r="F4035" t="n">
        <v>12.21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M4035" t="n">
        <v>43</v>
      </c>
      <c r="N4035" t="n">
        <v>98.81999999999999</v>
      </c>
      <c r="O4035" t="n">
        <v>30.74141048824593</v>
      </c>
    </row>
    <row r="4036" hidden="1">
      <c r="A4036" s="11" t="n">
        <v>46128</v>
      </c>
      <c r="B4036" t="inlineStr">
        <is>
          <t>Carlos Mateus Cassimiro Nunes</t>
        </is>
      </c>
      <c r="C4036" t="inlineStr">
        <is>
          <t>Técnico II</t>
        </is>
      </c>
      <c r="D4036" t="n">
        <v>25</v>
      </c>
      <c r="E4036" t="n">
        <v>24</v>
      </c>
      <c r="F4036" t="n">
        <v>21.56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M4036" t="n">
        <v>26</v>
      </c>
      <c r="N4036" t="n">
        <v>98.2</v>
      </c>
      <c r="O4036" t="n">
        <v>27.17086834733893</v>
      </c>
    </row>
    <row r="4037" hidden="1">
      <c r="A4037" s="11" t="n">
        <v>46128</v>
      </c>
      <c r="B4037" t="inlineStr">
        <is>
          <t>Claudio de Sousa Velasco Filho</t>
        </is>
      </c>
      <c r="C4037" t="inlineStr">
        <is>
          <t>Estágio</t>
        </is>
      </c>
      <c r="D4037" t="n">
        <v>11</v>
      </c>
      <c r="E4037" t="n">
        <v>9</v>
      </c>
      <c r="F4037" t="n">
        <v>32.01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M4037" t="n">
        <v>7</v>
      </c>
      <c r="N4037" t="n">
        <v>100</v>
      </c>
      <c r="O4037" t="n">
        <v>23.13432835820895</v>
      </c>
    </row>
    <row r="4038" hidden="1">
      <c r="A4038" s="11" t="n">
        <v>46128</v>
      </c>
      <c r="B4038" t="inlineStr">
        <is>
          <t>Clessiane Pereira dos Santos</t>
        </is>
      </c>
      <c r="C4038" t="inlineStr">
        <is>
          <t>Técnico I</t>
        </is>
      </c>
      <c r="D4038" t="n">
        <v>12</v>
      </c>
      <c r="E4038" t="n">
        <v>11</v>
      </c>
      <c r="F4038" t="n">
        <v>18.31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M4038" t="n">
        <v>11</v>
      </c>
      <c r="N4038" t="n">
        <v>96.3</v>
      </c>
      <c r="O4038" t="n">
        <v>32.21957040572792</v>
      </c>
    </row>
    <row r="4039" hidden="1">
      <c r="A4039" s="11" t="n">
        <v>46128</v>
      </c>
      <c r="B4039" t="inlineStr">
        <is>
          <t>Cristiane Ramos da Silva Rocha</t>
        </is>
      </c>
      <c r="C4039" t="inlineStr">
        <is>
          <t>Técnico III</t>
        </is>
      </c>
      <c r="D4039" t="n">
        <v>30</v>
      </c>
      <c r="E4039" t="n">
        <v>26</v>
      </c>
      <c r="F4039" t="n">
        <v>13.3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M4039" t="n">
        <v>26</v>
      </c>
      <c r="N4039" t="n">
        <v>93.75</v>
      </c>
      <c r="O4039" t="n">
        <v>26.81992337164751</v>
      </c>
    </row>
    <row r="4040" hidden="1">
      <c r="A4040" s="11" t="n">
        <v>46128</v>
      </c>
      <c r="B4040" t="inlineStr">
        <is>
          <t>Damyllis Lorraine de Oliveira Gonçalves</t>
        </is>
      </c>
      <c r="C4040" t="inlineStr">
        <is>
          <t>Técnico II</t>
        </is>
      </c>
      <c r="D4040" t="n">
        <v>35</v>
      </c>
      <c r="E4040" t="n">
        <v>25</v>
      </c>
      <c r="F4040" t="n">
        <v>15.05</v>
      </c>
      <c r="G4040" t="n">
        <v>0</v>
      </c>
      <c r="H4040" t="n">
        <v>0</v>
      </c>
      <c r="I4040" s="3" t="n">
        <v>0</v>
      </c>
      <c r="J4040" s="3" t="n">
        <v>0</v>
      </c>
      <c r="K4040" s="3" t="n">
        <v>0</v>
      </c>
      <c r="L4040" s="3">
        <f>IF(K4040&lt;-5,"CRÍTICO",IF(K4040&lt;0,"ATENÇÃO",IF(K4040&lt;=5,"OPORTUNO","MUITO BOM")))</f>
        <v/>
      </c>
      <c r="M4040" t="n">
        <v>29</v>
      </c>
      <c r="N4040" t="n">
        <v>97.86</v>
      </c>
      <c r="O4040" t="n">
        <v>31.01851851851852</v>
      </c>
    </row>
    <row r="4041" hidden="1">
      <c r="A4041" s="11" t="n">
        <v>46128</v>
      </c>
      <c r="B4041" t="inlineStr">
        <is>
          <t>Daniel Gomes da Silva</t>
        </is>
      </c>
      <c r="C4041" t="inlineStr">
        <is>
          <t>Técnico I</t>
        </is>
      </c>
      <c r="D4041" t="n">
        <v>22</v>
      </c>
      <c r="E4041" t="n">
        <v>22</v>
      </c>
      <c r="F4041" t="n">
        <v>17.27</v>
      </c>
      <c r="G4041" t="n">
        <v>0</v>
      </c>
      <c r="H4041" t="n">
        <v>0</v>
      </c>
      <c r="I4041" s="3">
        <f>E4041+G4041+H4041</f>
        <v/>
      </c>
      <c r="J4041" s="3">
        <f>ROUND(MIN(IF(C4041="Técnico III",35,IF(C4041="Técnico II",28,IF(C4041="Técnico I",23,IF(C4041="JR",20,IF(C4041="Estágio",10,0))))),IF(C4041="Técnico III",SUMIFS($D:$D,$A:$A,$A4041,$B:$B,"&lt;&gt;Patrícia Karla de Sousa Araújo",$B:$B,"&lt;&gt;Lorena Dias de Araujo",$B:$B,"&lt;&gt;Lucas Luiz Romero")*(35/1083),IF(C4041="Técnico II",SUMIFS($D:$D,$A:$A,$A4041,$B:$B,"&lt;&gt;Patrícia Karla de Sousa Araújo",$B:$B,"&lt;&gt;Lorena Dias de Araujo",$B:$B,"&lt;&gt;Lucas Luiz Romero")*(28/1083),IF(C4041="Técnico I",SUMIFS($D:$D,$A:$A,$A4041,$B:$B,"&lt;&gt;Patrícia Karla de Sousa Araújo",$B:$B,"&lt;&gt;Lorena Dias de Araujo",$B:$B,"&lt;&gt;Lucas Luiz Romero")*(23/1083),IF(C4041="JR",SUMIFS($D:$D,$A:$A,$A4041,$B:$B,"&lt;&gt;Patrícia Karla de Sousa Araújo",$B:$B,"&lt;&gt;Lorena Dias de Araujo",$B:$B,"&lt;&gt;Lucas Luiz Romero")*(20/1083),IF(C4041="Estágio",SUMIFS($D:$D,$A:$A,$A4041,$B:$B,"&lt;&gt;Patrícia Karla de Sousa Araújo",$B:$B,"&lt;&gt;Lorena Dias de Araujo",$B:$B,"&lt;&gt;Lucas Luiz Romero")*(10/1083),0)))))),0)</f>
        <v/>
      </c>
      <c r="K4041" s="3">
        <f>I4041-J4041</f>
        <v/>
      </c>
      <c r="L4041" s="3">
        <f>IF(K4041&lt;-5,"CRÍTICO",IF(K4041&lt;0,"ATENÇÃO",IF(K4041&lt;=5,"OPORTUNO","MUITO BOM")))</f>
        <v/>
      </c>
      <c r="M4041" t="n">
        <v>23</v>
      </c>
      <c r="N4041" t="n">
        <v>100</v>
      </c>
      <c r="O4041" t="n">
        <v>36.59420289855073</v>
      </c>
    </row>
    <row r="4042" hidden="1">
      <c r="A4042" s="11" t="n">
        <v>46128</v>
      </c>
      <c r="B4042" t="inlineStr">
        <is>
          <t>Davylla Rodrigues Freitas Silva</t>
        </is>
      </c>
      <c r="C4042" t="inlineStr">
        <is>
          <t>Técnico III</t>
        </is>
      </c>
      <c r="D4042" t="n">
        <v>8</v>
      </c>
      <c r="E4042" t="n">
        <v>8</v>
      </c>
      <c r="F4042" t="n">
        <v>35.44</v>
      </c>
      <c r="G4042" t="n">
        <v>0</v>
      </c>
      <c r="H4042" t="n">
        <v>0</v>
      </c>
      <c r="I4042" s="3" t="n">
        <v>0</v>
      </c>
      <c r="J4042" s="3" t="n">
        <v>0</v>
      </c>
      <c r="K4042" s="3" t="n">
        <v>0</v>
      </c>
      <c r="L4042" s="3">
        <f>IF(K4042&lt;-5,"CRÍTICO",IF(K4042&lt;0,"ATENÇÃO",IF(K4042&lt;=5,"OPORTUNO","MUITO BOM")))</f>
        <v/>
      </c>
      <c r="M4042" t="n">
        <v>12</v>
      </c>
      <c r="N4042" t="n">
        <v>100</v>
      </c>
      <c r="O4042" t="n">
        <v>38.65384615384615</v>
      </c>
    </row>
    <row r="4043" hidden="1">
      <c r="A4043" s="11" t="n">
        <v>46128</v>
      </c>
      <c r="B4043" t="inlineStr">
        <is>
          <t>Emilly Caylane Costa</t>
        </is>
      </c>
      <c r="C4043" t="inlineStr">
        <is>
          <t>Estágio</t>
        </is>
      </c>
      <c r="D4043" t="n">
        <v>6</v>
      </c>
      <c r="E4043" t="n">
        <v>5</v>
      </c>
      <c r="F4043" t="n">
        <v>27.29</v>
      </c>
      <c r="G4043" t="n">
        <v>0</v>
      </c>
      <c r="H4043" t="n">
        <v>0</v>
      </c>
      <c r="I4043" s="3">
        <f>E4043+G4043+H4043</f>
        <v/>
      </c>
      <c r="J4043" s="3">
        <f>ROUND(MIN(IF(C4043="Técnico III",35,IF(C4043="Técnico II",28,IF(C4043="Técnico I",23,IF(C4043="JR",20,IF(C4043="Estágio",10,0))))),IF(C4043="Técnico III",SUMIFS($D:$D,$A:$A,$A4043,$B:$B,"&lt;&gt;Patrícia Karla de Sousa Araújo",$B:$B,"&lt;&gt;Lorena Dias de Araujo",$B:$B,"&lt;&gt;Lucas Luiz Romero")*(35/1083),IF(C4043="Técnico II",SUMIFS($D:$D,$A:$A,$A4043,$B:$B,"&lt;&gt;Patrícia Karla de Sousa Araújo",$B:$B,"&lt;&gt;Lorena Dias de Araujo",$B:$B,"&lt;&gt;Lucas Luiz Romero")*(28/1083),IF(C4043="Técnico I",SUMIFS($D:$D,$A:$A,$A4043,$B:$B,"&lt;&gt;Patrícia Karla de Sousa Araújo",$B:$B,"&lt;&gt;Lorena Dias de Araujo",$B:$B,"&lt;&gt;Lucas Luiz Romero")*(23/1083),IF(C4043="JR",SUMIFS($D:$D,$A:$A,$A4043,$B:$B,"&lt;&gt;Patrícia Karla de Sousa Araújo",$B:$B,"&lt;&gt;Lorena Dias de Araujo",$B:$B,"&lt;&gt;Lucas Luiz Romero")*(20/1083),IF(C4043="Estágio",SUMIFS($D:$D,$A:$A,$A4043,$B:$B,"&lt;&gt;Patrícia Karla de Sousa Araújo",$B:$B,"&lt;&gt;Lorena Dias de Araujo",$B:$B,"&lt;&gt;Lucas Luiz Romero")*(10/1083),0)))))),0)</f>
        <v/>
      </c>
      <c r="K4043" s="3">
        <f>I4043-J4043</f>
        <v/>
      </c>
      <c r="L4043" s="3">
        <f>IF(K4043&lt;-5,"CRÍTICO",IF(K4043&lt;0,"ATENÇÃO",IF(K4043&lt;=5,"OPORTUNO","MUITO BOM")))</f>
        <v/>
      </c>
      <c r="M4043" t="n">
        <v>3</v>
      </c>
      <c r="N4043" t="n">
        <v>100</v>
      </c>
      <c r="O4043" t="n">
        <v>27.36842105263158</v>
      </c>
    </row>
    <row r="4044" hidden="1">
      <c r="A4044" s="11" t="n">
        <v>46128</v>
      </c>
      <c r="B4044" t="inlineStr">
        <is>
          <t>Emilly Kamilly Medeiros Miranda</t>
        </is>
      </c>
      <c r="C4044" t="inlineStr">
        <is>
          <t>Técnico II</t>
        </is>
      </c>
      <c r="D4044" t="n">
        <v>27</v>
      </c>
      <c r="E4044" t="n">
        <v>25</v>
      </c>
      <c r="F4044" t="n">
        <v>17.27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M4044" t="n">
        <v>24</v>
      </c>
      <c r="N4044" t="n">
        <v>97.83</v>
      </c>
      <c r="O4044" t="n">
        <v>28.35164835164835</v>
      </c>
    </row>
    <row r="4045" hidden="1">
      <c r="A4045" s="11" t="n">
        <v>46128</v>
      </c>
      <c r="B4045" t="inlineStr">
        <is>
          <t>Francielson de Oliveira</t>
        </is>
      </c>
      <c r="C4045" t="inlineStr">
        <is>
          <t>Técnico III</t>
        </is>
      </c>
      <c r="D4045" t="n">
        <v>21</v>
      </c>
      <c r="E4045" t="n">
        <v>19</v>
      </c>
      <c r="F4045" t="n">
        <v>20.1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M4045" t="n">
        <v>22</v>
      </c>
      <c r="N4045" t="n">
        <v>99.26000000000001</v>
      </c>
      <c r="O4045" t="n">
        <v>29.76653696498055</v>
      </c>
    </row>
    <row r="4046" hidden="1">
      <c r="A4046" s="11" t="n">
        <v>46128</v>
      </c>
      <c r="B4046" t="inlineStr">
        <is>
          <t>Francilene Ferreira de Jesus</t>
        </is>
      </c>
      <c r="C4046" t="inlineStr">
        <is>
          <t>Técnico II</t>
        </is>
      </c>
      <c r="D4046" t="n">
        <v>27</v>
      </c>
      <c r="E4046" t="n">
        <v>26</v>
      </c>
      <c r="F4046" t="n">
        <v>28.54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M4046" t="n">
        <v>22</v>
      </c>
      <c r="N4046" t="n">
        <v>99.19</v>
      </c>
      <c r="O4046" t="n">
        <v>29.46236559139785</v>
      </c>
    </row>
    <row r="4047" hidden="1">
      <c r="A4047" s="5" t="n">
        <v>46148</v>
      </c>
      <c r="B4047" s="6" t="inlineStr">
        <is>
          <t>Emilly Kamilly Medeiros Miranda</t>
        </is>
      </c>
      <c r="C4047" s="3" t="inlineStr">
        <is>
          <t>Técnico II</t>
        </is>
      </c>
      <c r="D4047" s="3" t="n">
        <v>15</v>
      </c>
      <c r="E4047" s="3" t="n">
        <v>14</v>
      </c>
      <c r="F4047" s="3" t="n">
        <v>17.31</v>
      </c>
      <c r="G4047" s="3" t="n">
        <v>9</v>
      </c>
      <c r="H4047" s="3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IF(K4047&lt;-5,"CRÍTICO",IF(K4047&lt;0,"ATENÇÃO",IF(K4047&lt;=5,"BOM","EXCELENTE")))</f>
        <v/>
      </c>
      <c r="M4047" s="3" t="n">
        <v>22</v>
      </c>
      <c r="N4047" s="3" t="n">
        <v>99.01000000000001</v>
      </c>
      <c r="O4047" s="3" t="n">
        <v>17.76649746192894</v>
      </c>
    </row>
    <row r="4048" hidden="1">
      <c r="A4048" s="11" t="n">
        <v>46128</v>
      </c>
      <c r="B4048" t="inlineStr">
        <is>
          <t>Isabella Borges de Oliveira</t>
        </is>
      </c>
      <c r="C4048" t="inlineStr">
        <is>
          <t>Técnico II</t>
        </is>
      </c>
      <c r="D4048" t="n">
        <v>0</v>
      </c>
      <c r="E4048" t="n">
        <v>0</v>
      </c>
      <c r="F4048" t="n">
        <v>0</v>
      </c>
      <c r="G4048" t="n">
        <v>0</v>
      </c>
      <c r="H4048" t="n">
        <v>0</v>
      </c>
      <c r="I4048" s="3" t="n">
        <v>0</v>
      </c>
      <c r="J4048" s="3" t="n">
        <v>0</v>
      </c>
      <c r="K4048" s="3" t="n">
        <v>0</v>
      </c>
      <c r="L4048" s="3">
        <f>IF(K4048&lt;-5,"CRÍTICO",IF(K4048&lt;0,"ATENÇÃO",IF(K4048&lt;=5,"OPORTUNO","MUITO BOM")))</f>
        <v/>
      </c>
      <c r="M4048" t="n">
        <v>0</v>
      </c>
      <c r="N4048" t="n">
        <v>100</v>
      </c>
      <c r="O4048" t="n">
        <v>28.92156862745098</v>
      </c>
    </row>
    <row r="4049" hidden="1">
      <c r="A4049" s="11" t="n">
        <v>46128</v>
      </c>
      <c r="B4049" t="inlineStr">
        <is>
          <t>Janaina Lima dos Reis Urany</t>
        </is>
      </c>
      <c r="C4049" t="inlineStr">
        <is>
          <t>Técnico III</t>
        </is>
      </c>
      <c r="D4049" t="n">
        <v>38</v>
      </c>
      <c r="E4049" t="n">
        <v>34</v>
      </c>
      <c r="F4049" t="n">
        <v>14.17</v>
      </c>
      <c r="G4049" t="n">
        <v>0</v>
      </c>
      <c r="H4049" t="n">
        <v>0</v>
      </c>
      <c r="I4049" s="3">
        <f>E4049+G4049+H4049</f>
        <v/>
      </c>
      <c r="J4049" s="3">
        <f>ROUND(MIN(IF(C4049="Técnico III",35,IF(C4049="Técnico II",28,IF(C4049="Técnico I",23,IF(C4049="JR",20,IF(C4049="Estágio",10,0))))),IF(C4049="Técnico III",SUMIFS($D:$D,$A:$A,$A4049,$B:$B,"&lt;&gt;Patrícia Karla de Sousa Araújo",$B:$B,"&lt;&gt;Lorena Dias de Araujo",$B:$B,"&lt;&gt;Lucas Luiz Romero")*(35/1083),IF(C4049="Técnico II",SUMIFS($D:$D,$A:$A,$A4049,$B:$B,"&lt;&gt;Patrícia Karla de Sousa Araújo",$B:$B,"&lt;&gt;Lorena Dias de Araujo",$B:$B,"&lt;&gt;Lucas Luiz Romero")*(28/1083),IF(C4049="Técnico I",SUMIFS($D:$D,$A:$A,$A4049,$B:$B,"&lt;&gt;Patrícia Karla de Sousa Araújo",$B:$B,"&lt;&gt;Lorena Dias de Araujo",$B:$B,"&lt;&gt;Lucas Luiz Romero")*(23/1083),IF(C4049="JR",SUMIFS($D:$D,$A:$A,$A4049,$B:$B,"&lt;&gt;Patrícia Karla de Sousa Araújo",$B:$B,"&lt;&gt;Lorena Dias de Araujo",$B:$B,"&lt;&gt;Lucas Luiz Romero")*(20/1083),IF(C4049="Estágio",SUMIFS($D:$D,$A:$A,$A4049,$B:$B,"&lt;&gt;Patrícia Karla de Sousa Araújo",$B:$B,"&lt;&gt;Lorena Dias de Araujo",$B:$B,"&lt;&gt;Lucas Luiz Romero")*(10/1083),0)))))),0)</f>
        <v/>
      </c>
      <c r="K4049" s="3">
        <f>I4049-J4049</f>
        <v/>
      </c>
      <c r="L4049" s="3">
        <f>IF(K4049&lt;-5,"CRÍTICO",IF(K4049&lt;0,"ATENÇÃO",IF(K4049&lt;=5,"OPORTUNO","MUITO BOM")))</f>
        <v/>
      </c>
      <c r="M4049" t="n">
        <v>31</v>
      </c>
      <c r="N4049" t="n">
        <v>99.56999999999999</v>
      </c>
      <c r="O4049" t="n">
        <v>30.63583815028902</v>
      </c>
    </row>
    <row r="4050" hidden="1">
      <c r="A4050" s="11" t="n">
        <v>46128</v>
      </c>
      <c r="B4050" t="inlineStr">
        <is>
          <t>Jaqueline Evangelista da Silva Martins</t>
        </is>
      </c>
      <c r="C4050" t="inlineStr">
        <is>
          <t>Técnico III</t>
        </is>
      </c>
      <c r="D4050" t="n">
        <v>0</v>
      </c>
      <c r="E4050" t="n">
        <v>0</v>
      </c>
      <c r="F4050" t="n">
        <v>0</v>
      </c>
      <c r="G4050" t="n">
        <v>0</v>
      </c>
      <c r="H4050" t="n">
        <v>0</v>
      </c>
      <c r="I4050" s="3" t="n">
        <v>0</v>
      </c>
      <c r="J4050" s="3" t="n">
        <v>0</v>
      </c>
      <c r="K4050" s="3" t="n">
        <v>0</v>
      </c>
      <c r="L4050" s="3">
        <f>IF(K4050&lt;-5,"CRÍTICO",IF(K4050&lt;0,"ATENÇÃO",IF(K4050&lt;=5,"OPORTUNO","MUITO BOM")))</f>
        <v/>
      </c>
      <c r="M4050" t="n">
        <v>0</v>
      </c>
      <c r="N4050" t="n">
        <v>95.65000000000001</v>
      </c>
      <c r="O4050" t="n">
        <v>32.43243243243244</v>
      </c>
    </row>
    <row r="4051" hidden="1">
      <c r="A4051" s="11" t="n">
        <v>46128</v>
      </c>
      <c r="B4051" t="inlineStr">
        <is>
          <t>Jessica Faria da Silveira</t>
        </is>
      </c>
      <c r="C4051" t="inlineStr">
        <is>
          <t>Técnico II</t>
        </is>
      </c>
      <c r="D4051" t="n">
        <v>11</v>
      </c>
      <c r="E4051" t="n">
        <v>10</v>
      </c>
      <c r="F4051" t="n">
        <v>17.24</v>
      </c>
      <c r="G4051" t="n">
        <v>0</v>
      </c>
      <c r="H4051" t="n">
        <v>0</v>
      </c>
      <c r="I4051" s="3">
        <f>E4051+G4051+H4051</f>
        <v/>
      </c>
      <c r="J4051" s="3">
        <f>ROUND(MIN(IF(C4051="Técnico III",35,IF(C4051="Técnico II",28,IF(C4051="Técnico I",23,IF(C4051="JR",20,IF(C4051="Estágio",10,0))))),IF(C4051="Técnico III",SUMIFS($D:$D,$A:$A,$A4051,$B:$B,"&lt;&gt;Patrícia Karla de Sousa Araújo",$B:$B,"&lt;&gt;Lorena Dias de Araujo",$B:$B,"&lt;&gt;Lucas Luiz Romero")*(35/1083),IF(C4051="Técnico II",SUMIFS($D:$D,$A:$A,$A4051,$B:$B,"&lt;&gt;Patrícia Karla de Sousa Araújo",$B:$B,"&lt;&gt;Lorena Dias de Araujo",$B:$B,"&lt;&gt;Lucas Luiz Romero")*(28/1083),IF(C4051="Técnico I",SUMIFS($D:$D,$A:$A,$A4051,$B:$B,"&lt;&gt;Patrícia Karla de Sousa Araújo",$B:$B,"&lt;&gt;Lorena Dias de Araujo",$B:$B,"&lt;&gt;Lucas Luiz Romero")*(23/1083),IF(C4051="JR",SUMIFS($D:$D,$A:$A,$A4051,$B:$B,"&lt;&gt;Patrícia Karla de Sousa Araújo",$B:$B,"&lt;&gt;Lorena Dias de Araujo",$B:$B,"&lt;&gt;Lucas Luiz Romero")*(20/1083),IF(C4051="Estágio",SUMIFS($D:$D,$A:$A,$A4051,$B:$B,"&lt;&gt;Patrícia Karla de Sousa Araújo",$B:$B,"&lt;&gt;Lorena Dias de Araujo",$B:$B,"&lt;&gt;Lucas Luiz Romero")*(10/1083),0)))))),0)</f>
        <v/>
      </c>
      <c r="K4051" s="3">
        <f>I4051-J4051</f>
        <v/>
      </c>
      <c r="L4051" s="3">
        <f>IF(K4051&lt;-5,"CRÍTICO",IF(K4051&lt;0,"ATENÇÃO",IF(K4051&lt;=5,"OPORTUNO","MUITO BOM")))</f>
        <v/>
      </c>
      <c r="M4051" t="n">
        <v>9</v>
      </c>
      <c r="N4051" t="n">
        <v>98.81</v>
      </c>
      <c r="O4051" t="n">
        <v>26.25698324022346</v>
      </c>
    </row>
    <row r="4052" hidden="1">
      <c r="A4052" s="11" t="n">
        <v>46128</v>
      </c>
      <c r="B4052" t="inlineStr">
        <is>
          <t>Jéssica Fé Moura</t>
        </is>
      </c>
      <c r="C4052" t="inlineStr">
        <is>
          <t>Técnico III</t>
        </is>
      </c>
      <c r="D4052" t="n">
        <v>0</v>
      </c>
      <c r="E4052" t="n">
        <v>0</v>
      </c>
      <c r="F4052" t="n">
        <v>0</v>
      </c>
      <c r="G4052" t="n">
        <v>0</v>
      </c>
      <c r="H4052" t="n">
        <v>0</v>
      </c>
      <c r="I4052" s="3" t="n">
        <v>0</v>
      </c>
      <c r="J4052" s="3" t="n">
        <v>0</v>
      </c>
      <c r="K4052" s="3" t="n">
        <v>0</v>
      </c>
      <c r="L4052" s="3">
        <f>IF(K4052&lt;-5,"CRÍTICO",IF(K4052&lt;0,"ATENÇÃO",IF(K4052&lt;=5,"OPORTUNO","MUITO BOM")))</f>
        <v/>
      </c>
      <c r="M4052" t="n">
        <v>0</v>
      </c>
      <c r="N4052" t="n">
        <v>0</v>
      </c>
      <c r="O4052" t="n">
        <v>0</v>
      </c>
    </row>
    <row r="4053" hidden="1">
      <c r="A4053" s="11" t="n">
        <v>46128</v>
      </c>
      <c r="B4053" t="inlineStr">
        <is>
          <t>Karina Gonçalves Martins</t>
        </is>
      </c>
      <c r="C4053" t="inlineStr">
        <is>
          <t>JR</t>
        </is>
      </c>
      <c r="D4053" t="n">
        <v>21</v>
      </c>
      <c r="E4053" t="n">
        <v>19</v>
      </c>
      <c r="F4053" t="n">
        <v>18.54</v>
      </c>
      <c r="G4053" t="n">
        <v>0</v>
      </c>
      <c r="H4053" t="n">
        <v>0</v>
      </c>
      <c r="I4053" s="3">
        <f>E4053+G4053+H4053</f>
        <v/>
      </c>
      <c r="J4053" s="3">
        <f>ROUND(MIN(IF(C4053="Técnico III",35,IF(C4053="Técnico II",28,IF(C4053="Técnico I",23,IF(C4053="JR",20,IF(C4053="Estágio",10,0))))),IF(C4053="Técnico III",SUMIFS($D:$D,$A:$A,$A4053,$B:$B,"&lt;&gt;Patrícia Karla de Sousa Araújo",$B:$B,"&lt;&gt;Lorena Dias de Araujo",$B:$B,"&lt;&gt;Lucas Luiz Romero")*(35/1083),IF(C4053="Técnico II",SUMIFS($D:$D,$A:$A,$A4053,$B:$B,"&lt;&gt;Patrícia Karla de Sousa Araújo",$B:$B,"&lt;&gt;Lorena Dias de Araujo",$B:$B,"&lt;&gt;Lucas Luiz Romero")*(28/1083),IF(C4053="Técnico I",SUMIFS($D:$D,$A:$A,$A4053,$B:$B,"&lt;&gt;Patrícia Karla de Sousa Araújo",$B:$B,"&lt;&gt;Lorena Dias de Araujo",$B:$B,"&lt;&gt;Lucas Luiz Romero")*(23/1083),IF(C4053="JR",SUMIFS($D:$D,$A:$A,$A4053,$B:$B,"&lt;&gt;Patrícia Karla de Sousa Araújo",$B:$B,"&lt;&gt;Lorena Dias de Araujo",$B:$B,"&lt;&gt;Lucas Luiz Romero")*(20/1083),IF(C4053="Estágio",SUMIFS($D:$D,$A:$A,$A4053,$B:$B,"&lt;&gt;Patrícia Karla de Sousa Araújo",$B:$B,"&lt;&gt;Lorena Dias de Araujo",$B:$B,"&lt;&gt;Lucas Luiz Romero")*(10/1083),0)))))),0)</f>
        <v/>
      </c>
      <c r="K4053" s="3">
        <f>I4053-J4053</f>
        <v/>
      </c>
      <c r="L4053" s="3">
        <f>IF(K4053&lt;-5,"CRÍTICO",IF(K4053&lt;0,"ATENÇÃO",IF(K4053&lt;=5,"OPORTUNO","MUITO BOM")))</f>
        <v/>
      </c>
      <c r="M4053" t="n">
        <v>20</v>
      </c>
      <c r="N4053" t="n">
        <v>97.17</v>
      </c>
      <c r="O4053" t="n">
        <v>28.81844380403458</v>
      </c>
    </row>
    <row r="4054" hidden="1">
      <c r="A4054" s="11" t="n">
        <v>46128</v>
      </c>
      <c r="B4054" t="inlineStr">
        <is>
          <t>Kerollen Cristielly de Jesus Siqueira</t>
        </is>
      </c>
      <c r="C4054" t="inlineStr">
        <is>
          <t>Técnico III</t>
        </is>
      </c>
      <c r="D4054" t="n">
        <v>0</v>
      </c>
      <c r="E4054" t="n">
        <v>0</v>
      </c>
      <c r="F4054" t="n">
        <v>0</v>
      </c>
      <c r="G4054" t="n">
        <v>0</v>
      </c>
      <c r="H4054" t="n">
        <v>0</v>
      </c>
      <c r="I4054" s="3" t="n">
        <v>0</v>
      </c>
      <c r="J4054" s="3" t="n">
        <v>0</v>
      </c>
      <c r="K4054" s="3" t="n">
        <v>0</v>
      </c>
      <c r="L4054" s="3">
        <f>IF(K4054&lt;-5,"CRÍTICO",IF(K4054&lt;0,"ATENÇÃO",IF(K4054&lt;=5,"OPORTUNO","MUITO BOM")))</f>
        <v/>
      </c>
      <c r="M4054" t="n">
        <v>22</v>
      </c>
      <c r="N4054" t="n">
        <v>96.81</v>
      </c>
      <c r="O4054" t="n">
        <v>48.01864801864802</v>
      </c>
    </row>
    <row r="4055" hidden="1">
      <c r="A4055" s="11" t="n">
        <v>46128</v>
      </c>
      <c r="B4055" t="inlineStr">
        <is>
          <t>Leandro de Souza Silva</t>
        </is>
      </c>
      <c r="C4055" t="inlineStr">
        <is>
          <t>JR</t>
        </is>
      </c>
      <c r="D4055" t="n">
        <v>17</v>
      </c>
      <c r="E4055" t="n">
        <v>13</v>
      </c>
      <c r="F4055" t="n">
        <v>24.14</v>
      </c>
      <c r="G4055" t="n">
        <v>0</v>
      </c>
      <c r="H4055" t="n">
        <v>0</v>
      </c>
      <c r="I4055" s="3">
        <f>E4055+G4055+H4055</f>
        <v/>
      </c>
      <c r="J4055" s="3">
        <f>ROUND(MIN(IF(C4055="Técnico III",35,IF(C4055="Técnico II",28,IF(C4055="Técnico I",23,IF(C4055="JR",20,IF(C4055="Estágio",10,0))))),IF(C4055="Técnico III",SUMIFS($D:$D,$A:$A,$A4055,$B:$B,"&lt;&gt;Patrícia Karla de Sousa Araújo",$B:$B,"&lt;&gt;Lorena Dias de Araujo",$B:$B,"&lt;&gt;Lucas Luiz Romero")*(35/1083),IF(C4055="Técnico II",SUMIFS($D:$D,$A:$A,$A4055,$B:$B,"&lt;&gt;Patrícia Karla de Sousa Araújo",$B:$B,"&lt;&gt;Lorena Dias de Araujo",$B:$B,"&lt;&gt;Lucas Luiz Romero")*(28/1083),IF(C4055="Técnico I",SUMIFS($D:$D,$A:$A,$A4055,$B:$B,"&lt;&gt;Patrícia Karla de Sousa Araújo",$B:$B,"&lt;&gt;Lorena Dias de Araujo",$B:$B,"&lt;&gt;Lucas Luiz Romero")*(23/1083),IF(C4055="JR",SUMIFS($D:$D,$A:$A,$A4055,$B:$B,"&lt;&gt;Patrícia Karla de Sousa Araújo",$B:$B,"&lt;&gt;Lorena Dias de Araujo",$B:$B,"&lt;&gt;Lucas Luiz Romero")*(20/1083),IF(C4055="Estágio",SUMIFS($D:$D,$A:$A,$A4055,$B:$B,"&lt;&gt;Patrícia Karla de Sousa Araújo",$B:$B,"&lt;&gt;Lorena Dias de Araujo",$B:$B,"&lt;&gt;Lucas Luiz Romero")*(10/1083),0)))))),0)</f>
        <v/>
      </c>
      <c r="K4055" s="3">
        <f>I4055-J4055</f>
        <v/>
      </c>
      <c r="L4055" s="3">
        <f>IF(K4055&lt;-5,"CRÍTICO",IF(K4055&lt;0,"ATENÇÃO",IF(K4055&lt;=5,"OPORTUNO","MUITO BOM")))</f>
        <v/>
      </c>
      <c r="M4055" t="n">
        <v>11</v>
      </c>
      <c r="N4055" t="n">
        <v>98.15000000000001</v>
      </c>
      <c r="O4055" t="n">
        <v>27.1551724137931</v>
      </c>
    </row>
    <row r="4056" hidden="1">
      <c r="A4056" s="11" t="n">
        <v>46128</v>
      </c>
      <c r="B4056" t="inlineStr">
        <is>
          <t>Leandro Oliveira de Sousa</t>
        </is>
      </c>
      <c r="C4056" t="inlineStr">
        <is>
          <t>Técnico III</t>
        </is>
      </c>
      <c r="D4056" t="n">
        <v>23</v>
      </c>
      <c r="E4056" t="n">
        <v>19</v>
      </c>
      <c r="F4056" t="n">
        <v>17.29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M4056" t="n">
        <v>19</v>
      </c>
      <c r="N4056" t="n">
        <v>99.15000000000001</v>
      </c>
      <c r="O4056" t="n">
        <v>27.58620689655172</v>
      </c>
    </row>
    <row r="4057" hidden="1">
      <c r="A4057" s="11" t="n">
        <v>46128</v>
      </c>
      <c r="B4057" t="inlineStr">
        <is>
          <t>Lizandra Gomes Duarte</t>
        </is>
      </c>
      <c r="C4057" t="inlineStr">
        <is>
          <t>Técnico II</t>
        </is>
      </c>
      <c r="D4057" t="n">
        <v>30</v>
      </c>
      <c r="E4057" t="n">
        <v>29</v>
      </c>
      <c r="F4057" t="n">
        <v>20.16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M4057" t="n">
        <v>17</v>
      </c>
      <c r="N4057" t="n">
        <v>99.17</v>
      </c>
      <c r="O4057" t="n">
        <v>29.75206611570248</v>
      </c>
    </row>
    <row r="4058" hidden="1">
      <c r="A4058" s="11" t="n">
        <v>46128</v>
      </c>
      <c r="B4058" t="inlineStr">
        <is>
          <t>Lorena Dias de Araujo</t>
        </is>
      </c>
      <c r="C4058" t="inlineStr">
        <is>
          <t>Técnico II</t>
        </is>
      </c>
      <c r="D4058" t="n">
        <v>0</v>
      </c>
      <c r="E4058" t="n">
        <v>0</v>
      </c>
      <c r="F4058" t="n">
        <v>0</v>
      </c>
      <c r="G4058" t="n">
        <v>0</v>
      </c>
      <c r="H4058" t="n">
        <v>0</v>
      </c>
      <c r="I4058" s="3" t="n">
        <v>0</v>
      </c>
      <c r="J4058" s="3" t="n">
        <v>0</v>
      </c>
      <c r="K4058" s="3" t="n">
        <v>0</v>
      </c>
      <c r="L4058" s="3">
        <f>IF(K4058&lt;-5,"CRÍTICO",IF(K4058&lt;0,"ATENÇÃO",IF(K4058&lt;=5,"OPORTUNO","MUITO BOM")))</f>
        <v/>
      </c>
      <c r="M4058" t="n">
        <v>0</v>
      </c>
      <c r="N4058" t="n">
        <v>98.73</v>
      </c>
      <c r="O4058" t="n">
        <v>28.96174863387978</v>
      </c>
    </row>
    <row r="4059" hidden="1">
      <c r="A4059" s="11" t="n">
        <v>46128</v>
      </c>
      <c r="B4059" t="inlineStr">
        <is>
          <t>Lucas Luiz Romero</t>
        </is>
      </c>
      <c r="C4059" t="inlineStr">
        <is>
          <t>Técnico III</t>
        </is>
      </c>
      <c r="D4059" t="n">
        <v>16</v>
      </c>
      <c r="E4059" t="n">
        <v>14</v>
      </c>
      <c r="F4059" t="n">
        <v>15.23</v>
      </c>
      <c r="G4059" t="n">
        <v>0</v>
      </c>
      <c r="H4059" t="n">
        <v>0</v>
      </c>
      <c r="I4059" s="3">
        <f>E4059+G4059+H4059</f>
        <v/>
      </c>
      <c r="J4059" s="3">
        <f>ROUND(MIN(IF(C4059="Técnico III",35,IF(C4059="Técnico II",28,IF(C4059="Técnico I",23,IF(C4059="JR",20,IF(C4059="Estágio",10,0))))),IF(C4059="Técnico III",SUMIFS($D:$D,$A:$A,$A4059,$B:$B,"&lt;&gt;Patrícia Karla de Sousa Araújo",$B:$B,"&lt;&gt;Lorena Dias de Araujo",$B:$B,"&lt;&gt;Lucas Luiz Romero")*(35/1083),IF(C4059="Técnico II",SUMIFS($D:$D,$A:$A,$A4059,$B:$B,"&lt;&gt;Patrícia Karla de Sousa Araújo",$B:$B,"&lt;&gt;Lorena Dias de Araujo",$B:$B,"&lt;&gt;Lucas Luiz Romero")*(28/1083),IF(C4059="Técnico I",SUMIFS($D:$D,$A:$A,$A4059,$B:$B,"&lt;&gt;Patrícia Karla de Sousa Araújo",$B:$B,"&lt;&gt;Lorena Dias de Araujo",$B:$B,"&lt;&gt;Lucas Luiz Romero")*(23/1083),IF(C4059="JR",SUMIFS($D:$D,$A:$A,$A4059,$B:$B,"&lt;&gt;Patrícia Karla de Sousa Araújo",$B:$B,"&lt;&gt;Lorena Dias de Araujo",$B:$B,"&lt;&gt;Lucas Luiz Romero")*(20/1083),IF(C4059="Estágio",SUMIFS($D:$D,$A:$A,$A4059,$B:$B,"&lt;&gt;Patrícia Karla de Sousa Araújo",$B:$B,"&lt;&gt;Lorena Dias de Araujo",$B:$B,"&lt;&gt;Lucas Luiz Romero")*(10/1083),0)))))),0)</f>
        <v/>
      </c>
      <c r="K4059" s="3">
        <f>I4059-J4059</f>
        <v/>
      </c>
      <c r="L4059" s="3">
        <f>IF(K4059&lt;-5,"CRÍTICO",IF(K4059&lt;0,"ATENÇÃO",IF(K4059&lt;=5,"OPORTUNO","MUITO BOM")))</f>
        <v/>
      </c>
      <c r="M4059" t="n">
        <v>11</v>
      </c>
      <c r="N4059" t="n">
        <v>88.68000000000001</v>
      </c>
      <c r="O4059" t="n">
        <v>22.03389830508474</v>
      </c>
    </row>
    <row r="4060" hidden="1">
      <c r="A4060" s="11" t="n">
        <v>46128</v>
      </c>
      <c r="B4060" t="inlineStr">
        <is>
          <t>Luiz Fernando de Carvalho Junior</t>
        </is>
      </c>
      <c r="C4060" t="inlineStr">
        <is>
          <t>Técnico I</t>
        </is>
      </c>
      <c r="D4060" t="n">
        <v>19</v>
      </c>
      <c r="E4060" t="n">
        <v>18</v>
      </c>
      <c r="F4060" t="n">
        <v>25.17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M4060" t="n">
        <v>20</v>
      </c>
      <c r="N4060" t="n">
        <v>97.37</v>
      </c>
      <c r="O4060" t="n">
        <v>25.76530612244898</v>
      </c>
    </row>
    <row r="4061" hidden="1">
      <c r="A4061" s="11" t="n">
        <v>46128</v>
      </c>
      <c r="B4061" t="inlineStr">
        <is>
          <t>Maria Eduarda Sousa Costa</t>
        </is>
      </c>
      <c r="C4061" t="inlineStr">
        <is>
          <t>Estágio</t>
        </is>
      </c>
      <c r="D4061" t="n">
        <v>75</v>
      </c>
      <c r="E4061" t="n">
        <v>29</v>
      </c>
      <c r="F4061" t="n">
        <v>7.09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M4061" t="n">
        <v>4</v>
      </c>
      <c r="N4061" t="n">
        <v>100</v>
      </c>
      <c r="O4061" t="n">
        <v>25</v>
      </c>
    </row>
    <row r="4062" hidden="1">
      <c r="A4062" s="11" t="n">
        <v>46128</v>
      </c>
      <c r="B4062" t="inlineStr">
        <is>
          <t>Matheus Farias De Souza</t>
        </is>
      </c>
      <c r="C4062" t="inlineStr">
        <is>
          <t>Técnico III</t>
        </is>
      </c>
      <c r="D4062" t="n">
        <v>27</v>
      </c>
      <c r="E4062" t="n">
        <v>24</v>
      </c>
      <c r="F4062" t="n">
        <v>17.28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M4062" t="n">
        <v>29</v>
      </c>
      <c r="N4062" t="n">
        <v>100</v>
      </c>
      <c r="O4062" t="n">
        <v>23.9870340356564</v>
      </c>
    </row>
    <row r="4063" hidden="1">
      <c r="A4063" s="11" t="n">
        <v>46128</v>
      </c>
      <c r="B4063" t="inlineStr">
        <is>
          <t>Maysa Victoria Dias Moura</t>
        </is>
      </c>
      <c r="C4063" t="inlineStr">
        <is>
          <t>Técnico III</t>
        </is>
      </c>
      <c r="D4063" t="n">
        <v>36</v>
      </c>
      <c r="E4063" t="n">
        <v>34</v>
      </c>
      <c r="F4063" t="n">
        <v>15.11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M4063" t="n">
        <v>34</v>
      </c>
      <c r="N4063" t="n">
        <v>95.48999999999999</v>
      </c>
      <c r="O4063" t="n">
        <v>28.37022132796781</v>
      </c>
    </row>
    <row r="4064" hidden="1">
      <c r="A4064" s="11" t="n">
        <v>46128</v>
      </c>
      <c r="B4064" t="inlineStr">
        <is>
          <t>Michelle G Santos</t>
        </is>
      </c>
      <c r="C4064" t="inlineStr">
        <is>
          <t>Estágio</t>
        </is>
      </c>
      <c r="D4064" t="n">
        <v>18</v>
      </c>
      <c r="E4064" t="n">
        <v>16</v>
      </c>
      <c r="F4064" t="n">
        <v>25.32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M4064" t="n">
        <v>11</v>
      </c>
      <c r="N4064" t="n">
        <v>100</v>
      </c>
      <c r="O4064" t="n">
        <v>23.77622377622378</v>
      </c>
    </row>
    <row r="4065" hidden="1">
      <c r="A4065" s="11" t="n">
        <v>46128</v>
      </c>
      <c r="B4065" t="inlineStr">
        <is>
          <t>Milena Sales</t>
        </is>
      </c>
      <c r="C4065" t="inlineStr">
        <is>
          <t>JR</t>
        </is>
      </c>
      <c r="D4065" t="n">
        <v>30</v>
      </c>
      <c r="E4065" t="n">
        <v>25</v>
      </c>
      <c r="F4065" t="n">
        <v>17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M4065" t="n">
        <v>15</v>
      </c>
      <c r="N4065" t="n">
        <v>96.15000000000001</v>
      </c>
      <c r="O4065" t="n">
        <v>24.04580152671756</v>
      </c>
    </row>
    <row r="4066" hidden="1">
      <c r="A4066" s="11" t="n">
        <v>46128</v>
      </c>
      <c r="B4066" t="inlineStr">
        <is>
          <t>Patrícia Karla de Sousa Araújo</t>
        </is>
      </c>
      <c r="C4066" t="inlineStr">
        <is>
          <t>Técnico II</t>
        </is>
      </c>
      <c r="D4066" t="n">
        <v>21</v>
      </c>
      <c r="E4066" t="n">
        <v>19</v>
      </c>
      <c r="F4066" t="n">
        <v>25.38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M4066" t="n">
        <v>16</v>
      </c>
      <c r="N4066" t="n">
        <v>99.02</v>
      </c>
      <c r="O4066" t="n">
        <v>34.7972972972973</v>
      </c>
    </row>
    <row r="4067" hidden="1">
      <c r="A4067" s="11" t="n">
        <v>46128</v>
      </c>
      <c r="B4067" t="inlineStr">
        <is>
          <t>Paulo Ricardo Santos</t>
        </is>
      </c>
      <c r="C4067" t="inlineStr">
        <is>
          <t>JR</t>
        </is>
      </c>
      <c r="D4067" t="n">
        <v>11</v>
      </c>
      <c r="E4067" t="n">
        <v>11</v>
      </c>
      <c r="F4067" t="n">
        <v>18.41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M4067" t="n">
        <v>13</v>
      </c>
      <c r="N4067" t="n">
        <v>98.84</v>
      </c>
      <c r="O4067" t="n">
        <v>31.86813186813187</v>
      </c>
    </row>
    <row r="4068" hidden="1">
      <c r="A4068" s="11" t="n">
        <v>46128</v>
      </c>
      <c r="B4068" t="inlineStr">
        <is>
          <t>Pedro Luiz Mota Sousa</t>
        </is>
      </c>
      <c r="C4068" t="inlineStr">
        <is>
          <t>JR</t>
        </is>
      </c>
      <c r="D4068" t="n">
        <v>16</v>
      </c>
      <c r="E4068" t="n">
        <v>14</v>
      </c>
      <c r="F4068" t="n">
        <v>15.51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M4068" t="n">
        <v>13</v>
      </c>
      <c r="N4068" t="n">
        <v>100</v>
      </c>
      <c r="O4068" t="n">
        <v>34.66666666666667</v>
      </c>
    </row>
    <row r="4069" hidden="1">
      <c r="A4069" s="11" t="n">
        <v>46128</v>
      </c>
      <c r="B4069" t="inlineStr">
        <is>
          <t>Quirino Diogo Leite Torres</t>
        </is>
      </c>
      <c r="C4069" t="inlineStr">
        <is>
          <t>Estágio</t>
        </is>
      </c>
      <c r="D4069" t="n">
        <v>15</v>
      </c>
      <c r="E4069" t="n">
        <v>13</v>
      </c>
      <c r="F4069" t="n">
        <v>33.28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M4069" t="n">
        <v>9</v>
      </c>
      <c r="N4069" t="n">
        <v>94.12</v>
      </c>
      <c r="O4069" t="n">
        <v>32.8</v>
      </c>
    </row>
    <row r="4070" hidden="1">
      <c r="A4070" s="11" t="n">
        <v>46128</v>
      </c>
      <c r="B4070" t="inlineStr">
        <is>
          <t>Raane Batista Matos</t>
        </is>
      </c>
      <c r="C4070" t="inlineStr">
        <is>
          <t>Técnico I</t>
        </is>
      </c>
      <c r="D4070" t="n">
        <v>38</v>
      </c>
      <c r="E4070" t="n">
        <v>36</v>
      </c>
      <c r="F4070" t="n">
        <v>11.53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M4070" t="n">
        <v>32</v>
      </c>
      <c r="N4070" t="n">
        <v>98.31999999999999</v>
      </c>
      <c r="O4070" t="n">
        <v>26.85851318944844</v>
      </c>
    </row>
    <row r="4071" hidden="1">
      <c r="A4071" s="11" t="n">
        <v>46128</v>
      </c>
      <c r="B4071" t="inlineStr">
        <is>
          <t>Rafael Gomes de Morais</t>
        </is>
      </c>
      <c r="C4071" t="inlineStr">
        <is>
          <t>Técnico III</t>
        </is>
      </c>
      <c r="D4071" t="n">
        <v>38</v>
      </c>
      <c r="E4071" t="n">
        <v>34</v>
      </c>
      <c r="F4071" t="n">
        <v>13.27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M4071" t="n">
        <v>27</v>
      </c>
      <c r="N4071" t="n">
        <v>100</v>
      </c>
      <c r="O4071" t="n">
        <v>31.13553113553114</v>
      </c>
    </row>
    <row r="4072" hidden="1">
      <c r="A4072" s="11" t="n">
        <v>46128</v>
      </c>
      <c r="B4072" t="inlineStr">
        <is>
          <t>Sara Maria Monteiro Lopes</t>
        </is>
      </c>
      <c r="C4072" t="inlineStr">
        <is>
          <t>Técnico I</t>
        </is>
      </c>
      <c r="D4072" t="n">
        <v>19</v>
      </c>
      <c r="E4072" t="n">
        <v>18</v>
      </c>
      <c r="F4072" t="n">
        <v>24.08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M4072" t="n">
        <v>14</v>
      </c>
      <c r="N4072" t="n">
        <v>100</v>
      </c>
      <c r="O4072" t="n">
        <v>26.36986301369863</v>
      </c>
    </row>
    <row r="4073" hidden="1">
      <c r="A4073" s="11" t="n">
        <v>46128</v>
      </c>
      <c r="B4073" t="inlineStr">
        <is>
          <t>Sarah Steffanie de Lima Borges</t>
        </is>
      </c>
      <c r="C4073" t="inlineStr">
        <is>
          <t>Técnico III</t>
        </is>
      </c>
      <c r="D4073" t="n">
        <v>29</v>
      </c>
      <c r="E4073" t="n">
        <v>28</v>
      </c>
      <c r="F4073" t="n">
        <v>17.08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M4073" t="n">
        <v>25</v>
      </c>
      <c r="N4073" t="n">
        <v>99.20999999999999</v>
      </c>
      <c r="O4073" t="n">
        <v>25.18891687657431</v>
      </c>
    </row>
    <row r="4074" hidden="1">
      <c r="A4074" s="11" t="n">
        <v>46129</v>
      </c>
      <c r="B4074" t="inlineStr">
        <is>
          <t>Alisson de Freitas Silva</t>
        </is>
      </c>
      <c r="C4074" t="inlineStr">
        <is>
          <t>Técnico II</t>
        </is>
      </c>
      <c r="D4074" t="n">
        <v>25</v>
      </c>
      <c r="E4074" t="n">
        <v>21</v>
      </c>
      <c r="F4074" t="n">
        <v>12.19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M4074" t="n">
        <v>4</v>
      </c>
      <c r="N4074" t="n">
        <v>100</v>
      </c>
      <c r="O4074" t="n">
        <v>32.76450511945392</v>
      </c>
    </row>
    <row r="4075" hidden="1">
      <c r="A4075" s="11" t="n">
        <v>46129</v>
      </c>
      <c r="B4075" t="inlineStr">
        <is>
          <t>Amanda Moura Ferreira</t>
        </is>
      </c>
      <c r="C4075" t="inlineStr">
        <is>
          <t>Técnico III</t>
        </is>
      </c>
      <c r="D4075" t="n">
        <v>0</v>
      </c>
      <c r="E4075" t="n">
        <v>0</v>
      </c>
      <c r="F4075" t="n">
        <v>0</v>
      </c>
      <c r="G4075" t="n">
        <v>0</v>
      </c>
      <c r="H4075" t="n">
        <v>0</v>
      </c>
      <c r="I4075" s="3" t="n">
        <v>0</v>
      </c>
      <c r="J4075" s="3" t="n">
        <v>0</v>
      </c>
      <c r="K4075" s="3" t="n">
        <v>0</v>
      </c>
      <c r="L4075" s="3">
        <f>IF(K4075&lt;-5,"CRÍTICO",IF(K4075&lt;0,"ATENÇÃO",IF(K4075&lt;=5,"OPORTUNO","MUITO BOM")))</f>
        <v/>
      </c>
      <c r="M4075" t="n">
        <v>30</v>
      </c>
      <c r="N4075" t="n">
        <v>98.66</v>
      </c>
      <c r="O4075" t="n">
        <v>35.41666666666667</v>
      </c>
    </row>
    <row r="4076" hidden="1">
      <c r="A4076" s="11" t="n">
        <v>46129</v>
      </c>
      <c r="B4076" t="inlineStr">
        <is>
          <t>Ana Karollyne Souza Faria</t>
        </is>
      </c>
      <c r="C4076" t="inlineStr">
        <is>
          <t>Técnico I</t>
        </is>
      </c>
      <c r="D4076" t="n">
        <v>22</v>
      </c>
      <c r="E4076" t="n">
        <v>22</v>
      </c>
      <c r="F4076" t="n">
        <v>27.15</v>
      </c>
      <c r="G4076" t="n">
        <v>0</v>
      </c>
      <c r="H4076" t="n">
        <v>0</v>
      </c>
      <c r="I4076" s="3">
        <f>E4076+G4076+H4076</f>
        <v/>
      </c>
      <c r="J4076" s="3">
        <f>ROUND(MIN(IF(C4076="Técnico III",35,IF(C4076="Técnico II",28,IF(C4076="Técnico I",23,IF(C4076="JR",20,IF(C4076="Estágio",10,0))))),IF(C4076="Técnico III",SUMIFS($D:$D,$A:$A,$A4076,$B:$B,"&lt;&gt;Patrícia Karla de Sousa Araújo",$B:$B,"&lt;&gt;Lorena Dias de Araujo",$B:$B,"&lt;&gt;Lucas Luiz Romero")*(35/1083),IF(C4076="Técnico II",SUMIFS($D:$D,$A:$A,$A4076,$B:$B,"&lt;&gt;Patrícia Karla de Sousa Araújo",$B:$B,"&lt;&gt;Lorena Dias de Araujo",$B:$B,"&lt;&gt;Lucas Luiz Romero")*(28/1083),IF(C4076="Técnico I",SUMIFS($D:$D,$A:$A,$A4076,$B:$B,"&lt;&gt;Patrícia Karla de Sousa Araújo",$B:$B,"&lt;&gt;Lorena Dias de Araujo",$B:$B,"&lt;&gt;Lucas Luiz Romero")*(23/1083),IF(C4076="JR",SUMIFS($D:$D,$A:$A,$A4076,$B:$B,"&lt;&gt;Patrícia Karla de Sousa Araújo",$B:$B,"&lt;&gt;Lorena Dias de Araujo",$B:$B,"&lt;&gt;Lucas Luiz Romero")*(20/1083),IF(C4076="Estágio",SUMIFS($D:$D,$A:$A,$A4076,$B:$B,"&lt;&gt;Patrícia Karla de Sousa Araújo",$B:$B,"&lt;&gt;Lorena Dias de Araujo",$B:$B,"&lt;&gt;Lucas Luiz Romero")*(10/1083),0)))))),0)</f>
        <v/>
      </c>
      <c r="K4076" s="3">
        <f>I4076-J4076</f>
        <v/>
      </c>
      <c r="L4076" s="3">
        <f>IF(K4076&lt;-5,"CRÍTICO",IF(K4076&lt;0,"ATENÇÃO",IF(K4076&lt;=5,"OPORTUNO","MUITO BOM")))</f>
        <v/>
      </c>
      <c r="M4076" t="n">
        <v>21</v>
      </c>
      <c r="N4076" t="n">
        <v>99.31999999999999</v>
      </c>
      <c r="O4076" t="n">
        <v>30.6483300589391</v>
      </c>
    </row>
    <row r="4077" hidden="1">
      <c r="A4077" s="11" t="n">
        <v>46129</v>
      </c>
      <c r="B4077" t="inlineStr">
        <is>
          <t>Ana Paula Da Luz Silva Aleixo</t>
        </is>
      </c>
      <c r="C4077" t="inlineStr">
        <is>
          <t>Técnico III</t>
        </is>
      </c>
      <c r="D4077" t="n">
        <v>28</v>
      </c>
      <c r="E4077" t="n">
        <v>23</v>
      </c>
      <c r="F4077" t="n">
        <v>18.2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M4077" t="n">
        <v>20</v>
      </c>
      <c r="N4077" t="n">
        <v>100</v>
      </c>
      <c r="O4077" t="n">
        <v>27.80373831775701</v>
      </c>
    </row>
    <row r="4078" hidden="1">
      <c r="A4078" s="11" t="n">
        <v>46129</v>
      </c>
      <c r="B4078" t="inlineStr">
        <is>
          <t>Anna Luiza Rezende Tavares</t>
        </is>
      </c>
      <c r="C4078" t="inlineStr">
        <is>
          <t>Estágio</t>
        </is>
      </c>
      <c r="D4078" t="n">
        <v>0</v>
      </c>
      <c r="E4078" t="n">
        <v>0</v>
      </c>
      <c r="F4078" t="n">
        <v>0</v>
      </c>
      <c r="G4078" t="n">
        <v>0</v>
      </c>
      <c r="H4078" t="n">
        <v>0</v>
      </c>
      <c r="I4078" s="3" t="n">
        <v>0</v>
      </c>
      <c r="J4078" s="3" t="n">
        <v>0</v>
      </c>
      <c r="K4078" s="3" t="n">
        <v>0</v>
      </c>
      <c r="L4078" s="3">
        <f>IF(K4078&lt;-5,"CRÍTICO",IF(K4078&lt;0,"ATENÇÃO",IF(K4078&lt;=5,"OPORTUNO","MUITO BOM")))</f>
        <v/>
      </c>
      <c r="M4078" t="n">
        <v>0</v>
      </c>
      <c r="N4078" t="n">
        <v>96.73999999999999</v>
      </c>
      <c r="O4078" t="n">
        <v>28.67647058823529</v>
      </c>
    </row>
    <row r="4079" hidden="1">
      <c r="A4079" s="11" t="n">
        <v>46129</v>
      </c>
      <c r="B4079" t="inlineStr">
        <is>
          <t>Brenda de Menezes Silva</t>
        </is>
      </c>
      <c r="C4079" t="inlineStr">
        <is>
          <t>Técnico II</t>
        </is>
      </c>
      <c r="D4079" t="n">
        <v>36</v>
      </c>
      <c r="E4079" t="n">
        <v>32</v>
      </c>
      <c r="F4079" t="n">
        <v>15.03</v>
      </c>
      <c r="G4079" t="n">
        <v>0</v>
      </c>
      <c r="H4079" t="n">
        <v>0</v>
      </c>
      <c r="I4079" s="3">
        <f>E4079+G4079+H4079</f>
        <v/>
      </c>
      <c r="J4079" s="3">
        <f>ROUND(MIN(IF(C4079="Técnico III",35,IF(C4079="Técnico II",28,IF(C4079="Técnico I",23,IF(C4079="JR",20,IF(C4079="Estágio",10,0))))),IF(C4079="Técnico III",SUMIFS($D:$D,$A:$A,$A4079,$B:$B,"&lt;&gt;Patrícia Karla de Sousa Araújo",$B:$B,"&lt;&gt;Lorena Dias de Araujo",$B:$B,"&lt;&gt;Lucas Luiz Romero")*(35/1083),IF(C4079="Técnico II",SUMIFS($D:$D,$A:$A,$A4079,$B:$B,"&lt;&gt;Patrícia Karla de Sousa Araújo",$B:$B,"&lt;&gt;Lorena Dias de Araujo",$B:$B,"&lt;&gt;Lucas Luiz Romero")*(28/1083),IF(C4079="Técnico I",SUMIFS($D:$D,$A:$A,$A4079,$B:$B,"&lt;&gt;Patrícia Karla de Sousa Araújo",$B:$B,"&lt;&gt;Lorena Dias de Araujo",$B:$B,"&lt;&gt;Lucas Luiz Romero")*(23/1083),IF(C4079="JR",SUMIFS($D:$D,$A:$A,$A4079,$B:$B,"&lt;&gt;Patrícia Karla de Sousa Araújo",$B:$B,"&lt;&gt;Lorena Dias de Araujo",$B:$B,"&lt;&gt;Lucas Luiz Romero")*(20/1083),IF(C4079="Estágio",SUMIFS($D:$D,$A:$A,$A4079,$B:$B,"&lt;&gt;Patrícia Karla de Sousa Araújo",$B:$B,"&lt;&gt;Lorena Dias de Araujo",$B:$B,"&lt;&gt;Lucas Luiz Romero")*(10/1083),0)))))),0)</f>
        <v/>
      </c>
      <c r="K4079" s="3">
        <f>I4079-J4079</f>
        <v/>
      </c>
      <c r="L4079" s="3">
        <f>IF(K4079&lt;-5,"CRÍTICO",IF(K4079&lt;0,"ATENÇÃO",IF(K4079&lt;=5,"OPORTUNO","MUITO BOM")))</f>
        <v/>
      </c>
      <c r="M4079" t="n">
        <v>31</v>
      </c>
      <c r="N4079" t="n">
        <v>98.81999999999999</v>
      </c>
      <c r="O4079" t="n">
        <v>30.74141048824593</v>
      </c>
    </row>
    <row r="4080" hidden="1">
      <c r="A4080" s="11" t="n">
        <v>46129</v>
      </c>
      <c r="B4080" t="inlineStr">
        <is>
          <t>Carlos Mateus Cassimiro Nunes</t>
        </is>
      </c>
      <c r="C4080" t="inlineStr">
        <is>
          <t>Técnico II</t>
        </is>
      </c>
      <c r="D4080" t="n">
        <v>16</v>
      </c>
      <c r="E4080" t="n">
        <v>16</v>
      </c>
      <c r="F4080" t="n">
        <v>38.22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M4080" t="n">
        <v>14</v>
      </c>
      <c r="N4080" t="n">
        <v>98.2</v>
      </c>
      <c r="O4080" t="n">
        <v>27.17086834733893</v>
      </c>
    </row>
    <row r="4081" hidden="1">
      <c r="A4081" s="11" t="n">
        <v>46129</v>
      </c>
      <c r="B4081" t="inlineStr">
        <is>
          <t>Claudio de Sousa Velasco Filho</t>
        </is>
      </c>
      <c r="C4081" t="inlineStr">
        <is>
          <t>Estágio</t>
        </is>
      </c>
      <c r="D4081" t="n">
        <v>7</v>
      </c>
      <c r="E4081" t="n">
        <v>6</v>
      </c>
      <c r="F4081" t="n">
        <v>39.08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M4081" t="n">
        <v>6</v>
      </c>
      <c r="N4081" t="n">
        <v>100</v>
      </c>
      <c r="O4081" t="n">
        <v>23.13432835820895</v>
      </c>
    </row>
    <row r="4082" hidden="1">
      <c r="A4082" s="11" t="n">
        <v>46129</v>
      </c>
      <c r="B4082" t="inlineStr">
        <is>
          <t>Clessiane Pereira dos Santos</t>
        </is>
      </c>
      <c r="C4082" t="inlineStr">
        <is>
          <t>Técnico I</t>
        </is>
      </c>
      <c r="D4082" t="n">
        <v>29</v>
      </c>
      <c r="E4082" t="n">
        <v>26</v>
      </c>
      <c r="F4082" t="n">
        <v>15.35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M4082" t="n">
        <v>29</v>
      </c>
      <c r="N4082" t="n">
        <v>96.3</v>
      </c>
      <c r="O4082" t="n">
        <v>32.21957040572792</v>
      </c>
    </row>
    <row r="4083" hidden="1">
      <c r="A4083" s="11" t="n">
        <v>46129</v>
      </c>
      <c r="B4083" t="inlineStr">
        <is>
          <t>Cristiane Ramos da Silva Rocha</t>
        </is>
      </c>
      <c r="C4083" t="inlineStr">
        <is>
          <t>Técnico III</t>
        </is>
      </c>
      <c r="D4083" t="n">
        <v>30</v>
      </c>
      <c r="E4083" t="n">
        <v>27</v>
      </c>
      <c r="F4083" t="n">
        <v>12.3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M4083" t="n">
        <v>26</v>
      </c>
      <c r="N4083" t="n">
        <v>93.75</v>
      </c>
      <c r="O4083" t="n">
        <v>26.81992337164751</v>
      </c>
    </row>
    <row r="4084" hidden="1">
      <c r="A4084" s="11" t="n">
        <v>46129</v>
      </c>
      <c r="B4084" t="inlineStr">
        <is>
          <t>Damyllis Lorraine de Oliveira Gonçalves</t>
        </is>
      </c>
      <c r="C4084" t="inlineStr">
        <is>
          <t>Técnico II</t>
        </is>
      </c>
      <c r="D4084" t="n">
        <v>30</v>
      </c>
      <c r="E4084" t="n">
        <v>25</v>
      </c>
      <c r="F4084" t="n">
        <v>20.39</v>
      </c>
      <c r="G4084" t="n">
        <v>0</v>
      </c>
      <c r="H4084" t="n">
        <v>0</v>
      </c>
      <c r="I4084" s="3" t="n">
        <v>0</v>
      </c>
      <c r="J4084" s="3" t="n">
        <v>0</v>
      </c>
      <c r="K4084" s="3" t="n">
        <v>0</v>
      </c>
      <c r="L4084" s="3">
        <f>IF(K4084&lt;-5,"CRÍTICO",IF(K4084&lt;0,"ATENÇÃO",IF(K4084&lt;=5,"OPORTUNO","MUITO BOM")))</f>
        <v/>
      </c>
      <c r="M4084" t="n">
        <v>20</v>
      </c>
      <c r="N4084" t="n">
        <v>97.86</v>
      </c>
      <c r="O4084" t="n">
        <v>31.01851851851852</v>
      </c>
    </row>
    <row r="4085" hidden="1">
      <c r="A4085" s="11" t="n">
        <v>46129</v>
      </c>
      <c r="B4085" t="inlineStr">
        <is>
          <t>Daniel Gomes da Silva</t>
        </is>
      </c>
      <c r="C4085" t="inlineStr">
        <is>
          <t>Técnico I</t>
        </is>
      </c>
      <c r="D4085" t="n">
        <v>23</v>
      </c>
      <c r="E4085" t="n">
        <v>23</v>
      </c>
      <c r="F4085" t="n">
        <v>19.18</v>
      </c>
      <c r="G4085" t="n">
        <v>0</v>
      </c>
      <c r="H4085" t="n">
        <v>0</v>
      </c>
      <c r="I4085" s="3">
        <f>E4085+G4085+H4085</f>
        <v/>
      </c>
      <c r="J4085" s="3">
        <f>ROUND(MIN(IF(C4085="Técnico III",35,IF(C4085="Técnico II",28,IF(C4085="Técnico I",23,IF(C4085="JR",20,IF(C4085="Estágio",10,0))))),IF(C4085="Técnico III",SUMIFS($D:$D,$A:$A,$A4085,$B:$B,"&lt;&gt;Patrícia Karla de Sousa Araújo",$B:$B,"&lt;&gt;Lorena Dias de Araujo",$B:$B,"&lt;&gt;Lucas Luiz Romero")*(35/1083),IF(C4085="Técnico II",SUMIFS($D:$D,$A:$A,$A4085,$B:$B,"&lt;&gt;Patrícia Karla de Sousa Araújo",$B:$B,"&lt;&gt;Lorena Dias de Araujo",$B:$B,"&lt;&gt;Lucas Luiz Romero")*(28/1083),IF(C4085="Técnico I",SUMIFS($D:$D,$A:$A,$A4085,$B:$B,"&lt;&gt;Patrícia Karla de Sousa Araújo",$B:$B,"&lt;&gt;Lorena Dias de Araujo",$B:$B,"&lt;&gt;Lucas Luiz Romero")*(23/1083),IF(C4085="JR",SUMIFS($D:$D,$A:$A,$A4085,$B:$B,"&lt;&gt;Patrícia Karla de Sousa Araújo",$B:$B,"&lt;&gt;Lorena Dias de Araujo",$B:$B,"&lt;&gt;Lucas Luiz Romero")*(20/1083),IF(C4085="Estágio",SUMIFS($D:$D,$A:$A,$A4085,$B:$B,"&lt;&gt;Patrícia Karla de Sousa Araújo",$B:$B,"&lt;&gt;Lorena Dias de Araujo",$B:$B,"&lt;&gt;Lucas Luiz Romero")*(10/1083),0)))))),0)</f>
        <v/>
      </c>
      <c r="K4085" s="3">
        <f>I4085-J4085</f>
        <v/>
      </c>
      <c r="L4085" s="3">
        <f>IF(K4085&lt;-5,"CRÍTICO",IF(K4085&lt;0,"ATENÇÃO",IF(K4085&lt;=5,"OPORTUNO","MUITO BOM")))</f>
        <v/>
      </c>
      <c r="M4085" t="n">
        <v>15</v>
      </c>
      <c r="N4085" t="n">
        <v>100</v>
      </c>
      <c r="O4085" t="n">
        <v>36.59420289855073</v>
      </c>
    </row>
    <row r="4086" hidden="1">
      <c r="A4086" s="11" t="n">
        <v>46129</v>
      </c>
      <c r="B4086" t="inlineStr">
        <is>
          <t>Davylla Rodrigues Freitas Silva</t>
        </is>
      </c>
      <c r="C4086" t="inlineStr">
        <is>
          <t>Técnico III</t>
        </is>
      </c>
      <c r="D4086" t="n">
        <v>28</v>
      </c>
      <c r="E4086" t="n">
        <v>27</v>
      </c>
      <c r="F4086" t="n">
        <v>20.11</v>
      </c>
      <c r="G4086" t="n">
        <v>0</v>
      </c>
      <c r="H4086" t="n">
        <v>0</v>
      </c>
      <c r="I4086" s="3" t="n">
        <v>0</v>
      </c>
      <c r="J4086" s="3" t="n">
        <v>0</v>
      </c>
      <c r="K4086" s="3" t="n">
        <v>0</v>
      </c>
      <c r="L4086" s="3">
        <f>IF(K4086&lt;-5,"CRÍTICO",IF(K4086&lt;0,"ATENÇÃO",IF(K4086&lt;=5,"OPORTUNO","MUITO BOM")))</f>
        <v/>
      </c>
      <c r="M4086" t="n">
        <v>28</v>
      </c>
      <c r="N4086" t="n">
        <v>100</v>
      </c>
      <c r="O4086" t="n">
        <v>38.65384615384615</v>
      </c>
    </row>
    <row r="4087" hidden="1">
      <c r="A4087" s="11" t="n">
        <v>46129</v>
      </c>
      <c r="B4087" t="inlineStr">
        <is>
          <t>Emilly Caylane Costa</t>
        </is>
      </c>
      <c r="C4087" t="inlineStr">
        <is>
          <t>Estágio</t>
        </is>
      </c>
      <c r="D4087" t="n">
        <v>13</v>
      </c>
      <c r="E4087" t="n">
        <v>11</v>
      </c>
      <c r="F4087" t="n">
        <v>13.5</v>
      </c>
      <c r="G4087" t="n">
        <v>0</v>
      </c>
      <c r="H4087" t="n">
        <v>0</v>
      </c>
      <c r="I4087" s="3">
        <f>E4087+G4087+H4087</f>
        <v/>
      </c>
      <c r="J4087" s="3">
        <f>ROUND(MIN(IF(C4087="Técnico III",35,IF(C4087="Técnico II",28,IF(C4087="Técnico I",23,IF(C4087="JR",20,IF(C4087="Estágio",10,0))))),IF(C4087="Técnico III",SUMIFS($D:$D,$A:$A,$A4087,$B:$B,"&lt;&gt;Patrícia Karla de Sousa Araújo",$B:$B,"&lt;&gt;Lorena Dias de Araujo",$B:$B,"&lt;&gt;Lucas Luiz Romero")*(35/1083),IF(C4087="Técnico II",SUMIFS($D:$D,$A:$A,$A4087,$B:$B,"&lt;&gt;Patrícia Karla de Sousa Araújo",$B:$B,"&lt;&gt;Lorena Dias de Araujo",$B:$B,"&lt;&gt;Lucas Luiz Romero")*(28/1083),IF(C4087="Técnico I",SUMIFS($D:$D,$A:$A,$A4087,$B:$B,"&lt;&gt;Patrícia Karla de Sousa Araújo",$B:$B,"&lt;&gt;Lorena Dias de Araujo",$B:$B,"&lt;&gt;Lucas Luiz Romero")*(23/1083),IF(C4087="JR",SUMIFS($D:$D,$A:$A,$A4087,$B:$B,"&lt;&gt;Patrícia Karla de Sousa Araújo",$B:$B,"&lt;&gt;Lorena Dias de Araujo",$B:$B,"&lt;&gt;Lucas Luiz Romero")*(20/1083),IF(C4087="Estágio",SUMIFS($D:$D,$A:$A,$A4087,$B:$B,"&lt;&gt;Patrícia Karla de Sousa Araújo",$B:$B,"&lt;&gt;Lorena Dias de Araujo",$B:$B,"&lt;&gt;Lucas Luiz Romero")*(10/1083),0)))))),0)</f>
        <v/>
      </c>
      <c r="K4087" s="3">
        <f>I4087-J4087</f>
        <v/>
      </c>
      <c r="L4087" s="3">
        <f>IF(K4087&lt;-5,"CRÍTICO",IF(K4087&lt;0,"ATENÇÃO",IF(K4087&lt;=5,"OPORTUNO","MUITO BOM")))</f>
        <v/>
      </c>
      <c r="M4087" t="n">
        <v>7</v>
      </c>
      <c r="N4087" t="n">
        <v>100</v>
      </c>
      <c r="O4087" t="n">
        <v>27.36842105263158</v>
      </c>
    </row>
    <row r="4088" hidden="1">
      <c r="A4088" s="11" t="n">
        <v>46129</v>
      </c>
      <c r="B4088" t="inlineStr">
        <is>
          <t>Emilly Kamilly Medeiros Miranda</t>
        </is>
      </c>
      <c r="C4088" t="inlineStr">
        <is>
          <t>Técnico II</t>
        </is>
      </c>
      <c r="D4088" t="n">
        <v>27</v>
      </c>
      <c r="E4088" t="n">
        <v>25</v>
      </c>
      <c r="F4088" t="n">
        <v>17.03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M4088" t="n">
        <v>25</v>
      </c>
      <c r="N4088" t="n">
        <v>97.83</v>
      </c>
      <c r="O4088" t="n">
        <v>28.35164835164835</v>
      </c>
    </row>
    <row r="4089" hidden="1">
      <c r="A4089" s="11" t="n">
        <v>46129</v>
      </c>
      <c r="B4089" t="inlineStr">
        <is>
          <t>Francielson de Oliveira</t>
        </is>
      </c>
      <c r="C4089" t="inlineStr">
        <is>
          <t>Técnico III</t>
        </is>
      </c>
      <c r="D4089" t="n">
        <v>30</v>
      </c>
      <c r="E4089" t="n">
        <v>27</v>
      </c>
      <c r="F4089" t="n">
        <v>14.08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M4089" t="n">
        <v>30</v>
      </c>
      <c r="N4089" t="n">
        <v>99.26000000000001</v>
      </c>
      <c r="O4089" t="n">
        <v>29.76653696498055</v>
      </c>
    </row>
    <row r="4090" hidden="1">
      <c r="A4090" s="11" t="n">
        <v>46129</v>
      </c>
      <c r="B4090" t="inlineStr">
        <is>
          <t>Francilene Ferreira de Jesus</t>
        </is>
      </c>
      <c r="C4090" t="inlineStr">
        <is>
          <t>Técnico II</t>
        </is>
      </c>
      <c r="D4090" t="n">
        <v>31</v>
      </c>
      <c r="E4090" t="n">
        <v>28</v>
      </c>
      <c r="F4090" t="n">
        <v>15.49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M4090" t="n">
        <v>23</v>
      </c>
      <c r="N4090" t="n">
        <v>99.19</v>
      </c>
      <c r="O4090" t="n">
        <v>29.46236559139785</v>
      </c>
    </row>
    <row r="4091" hidden="1">
      <c r="A4091" s="11" t="n">
        <v>46168</v>
      </c>
      <c r="B4091" t="inlineStr">
        <is>
          <t>Emilly Kamilly Medeiros Miranda</t>
        </is>
      </c>
      <c r="C4091" t="inlineStr">
        <is>
          <t>Técnico II</t>
        </is>
      </c>
      <c r="D4091" s="3" t="n">
        <v>21</v>
      </c>
      <c r="E4091" s="3" t="n">
        <v>21</v>
      </c>
      <c r="F4091" s="3" t="n">
        <v>13.22</v>
      </c>
      <c r="G4091" s="3" t="n">
        <v>1</v>
      </c>
      <c r="M4091" s="3" t="n">
        <v>17</v>
      </c>
      <c r="N4091" s="3" t="n">
        <v>99.01000000000001</v>
      </c>
      <c r="O4091" s="3" t="n">
        <v>19.54314720812183</v>
      </c>
    </row>
    <row r="4092" hidden="1">
      <c r="A4092" s="11" t="n">
        <v>46129</v>
      </c>
      <c r="B4092" t="inlineStr">
        <is>
          <t>Isabella Borges de Oliveira</t>
        </is>
      </c>
      <c r="C4092" t="inlineStr">
        <is>
          <t>Técnico II</t>
        </is>
      </c>
      <c r="D4092" t="n">
        <v>0</v>
      </c>
      <c r="E4092" t="n">
        <v>0</v>
      </c>
      <c r="F4092" t="n">
        <v>0</v>
      </c>
      <c r="G4092" t="n">
        <v>0</v>
      </c>
      <c r="H4092" t="n">
        <v>0</v>
      </c>
      <c r="I4092" s="3" t="n">
        <v>0</v>
      </c>
      <c r="J4092" s="3" t="n">
        <v>0</v>
      </c>
      <c r="K4092" s="3" t="n">
        <v>0</v>
      </c>
      <c r="L4092" s="3">
        <f>IF(K4092&lt;-5,"CRÍTICO",IF(K4092&lt;0,"ATENÇÃO",IF(K4092&lt;=5,"OPORTUNO","MUITO BOM")))</f>
        <v/>
      </c>
      <c r="M4092" t="n">
        <v>0</v>
      </c>
      <c r="N4092" t="n">
        <v>100</v>
      </c>
      <c r="O4092" t="n">
        <v>28.92156862745098</v>
      </c>
    </row>
    <row r="4093" hidden="1">
      <c r="A4093" s="11" t="n">
        <v>46129</v>
      </c>
      <c r="B4093" t="inlineStr">
        <is>
          <t>Janaina Lima dos Reis Urany</t>
        </is>
      </c>
      <c r="C4093" t="inlineStr">
        <is>
          <t>Técnico III</t>
        </is>
      </c>
      <c r="D4093" t="n">
        <v>32</v>
      </c>
      <c r="E4093" t="n">
        <v>28</v>
      </c>
      <c r="F4093" t="n">
        <v>11.51</v>
      </c>
      <c r="G4093" t="n">
        <v>0</v>
      </c>
      <c r="H4093" t="n">
        <v>0</v>
      </c>
      <c r="I4093" s="3">
        <f>E4093+G4093+H4093</f>
        <v/>
      </c>
      <c r="J4093" s="3">
        <f>ROUND(MIN(IF(C4093="Técnico III",35,IF(C4093="Técnico II",28,IF(C4093="Técnico I",23,IF(C4093="JR",20,IF(C4093="Estágio",10,0))))),IF(C4093="Técnico III",SUMIFS($D:$D,$A:$A,$A4093,$B:$B,"&lt;&gt;Patrícia Karla de Sousa Araújo",$B:$B,"&lt;&gt;Lorena Dias de Araujo",$B:$B,"&lt;&gt;Lucas Luiz Romero")*(35/1083),IF(C4093="Técnico II",SUMIFS($D:$D,$A:$A,$A4093,$B:$B,"&lt;&gt;Patrícia Karla de Sousa Araújo",$B:$B,"&lt;&gt;Lorena Dias de Araujo",$B:$B,"&lt;&gt;Lucas Luiz Romero")*(28/1083),IF(C4093="Técnico I",SUMIFS($D:$D,$A:$A,$A4093,$B:$B,"&lt;&gt;Patrícia Karla de Sousa Araújo",$B:$B,"&lt;&gt;Lorena Dias de Araujo",$B:$B,"&lt;&gt;Lucas Luiz Romero")*(23/1083),IF(C4093="JR",SUMIFS($D:$D,$A:$A,$A4093,$B:$B,"&lt;&gt;Patrícia Karla de Sousa Araújo",$B:$B,"&lt;&gt;Lorena Dias de Araujo",$B:$B,"&lt;&gt;Lucas Luiz Romero")*(20/1083),IF(C4093="Estágio",SUMIFS($D:$D,$A:$A,$A4093,$B:$B,"&lt;&gt;Patrícia Karla de Sousa Araújo",$B:$B,"&lt;&gt;Lorena Dias de Araujo",$B:$B,"&lt;&gt;Lucas Luiz Romero")*(10/1083),0)))))),0)</f>
        <v/>
      </c>
      <c r="K4093" s="3">
        <f>I4093-J4093</f>
        <v/>
      </c>
      <c r="L4093" s="3">
        <f>IF(K4093&lt;-5,"CRÍTICO",IF(K4093&lt;0,"ATENÇÃO",IF(K4093&lt;=5,"OPORTUNO","MUITO BOM")))</f>
        <v/>
      </c>
      <c r="M4093" t="n">
        <v>31</v>
      </c>
      <c r="N4093" t="n">
        <v>99.56999999999999</v>
      </c>
      <c r="O4093" t="n">
        <v>30.63583815028902</v>
      </c>
    </row>
    <row r="4094" hidden="1">
      <c r="A4094" s="11" t="n">
        <v>46129</v>
      </c>
      <c r="B4094" t="inlineStr">
        <is>
          <t>Jaqueline Evangelista da Silva Martins</t>
        </is>
      </c>
      <c r="C4094" t="inlineStr">
        <is>
          <t>Técnico III</t>
        </is>
      </c>
      <c r="D4094" t="n">
        <v>0</v>
      </c>
      <c r="E4094" t="n">
        <v>0</v>
      </c>
      <c r="F4094" t="n">
        <v>0</v>
      </c>
      <c r="G4094" t="n">
        <v>0</v>
      </c>
      <c r="H4094" t="n">
        <v>0</v>
      </c>
      <c r="I4094" s="3" t="n">
        <v>0</v>
      </c>
      <c r="J4094" s="3" t="n">
        <v>0</v>
      </c>
      <c r="K4094" s="3" t="n">
        <v>0</v>
      </c>
      <c r="L4094" s="3">
        <f>IF(K4094&lt;-5,"CRÍTICO",IF(K4094&lt;0,"ATENÇÃO",IF(K4094&lt;=5,"OPORTUNO","MUITO BOM")))</f>
        <v/>
      </c>
      <c r="M4094" t="n">
        <v>0</v>
      </c>
      <c r="N4094" t="n">
        <v>95.65000000000001</v>
      </c>
      <c r="O4094" t="n">
        <v>32.43243243243244</v>
      </c>
    </row>
    <row r="4095" hidden="1">
      <c r="A4095" s="11" t="n">
        <v>46129</v>
      </c>
      <c r="B4095" t="inlineStr">
        <is>
          <t>Jessica Faria da Silveira</t>
        </is>
      </c>
      <c r="C4095" t="inlineStr">
        <is>
          <t>Técnico II</t>
        </is>
      </c>
      <c r="D4095" t="n">
        <v>26</v>
      </c>
      <c r="E4095" t="n">
        <v>21</v>
      </c>
      <c r="F4095" t="n">
        <v>22.33</v>
      </c>
      <c r="G4095" t="n">
        <v>0</v>
      </c>
      <c r="H4095" t="n">
        <v>0</v>
      </c>
      <c r="I4095" s="3">
        <f>E4095+G4095+H4095</f>
        <v/>
      </c>
      <c r="J4095" s="3">
        <f>ROUND(MIN(IF(C4095="Técnico III",35,IF(C4095="Técnico II",28,IF(C4095="Técnico I",23,IF(C4095="JR",20,IF(C4095="Estágio",10,0))))),IF(C4095="Técnico III",SUMIFS($D:$D,$A:$A,$A4095,$B:$B,"&lt;&gt;Patrícia Karla de Sousa Araújo",$B:$B,"&lt;&gt;Lorena Dias de Araujo",$B:$B,"&lt;&gt;Lucas Luiz Romero")*(35/1083),IF(C4095="Técnico II",SUMIFS($D:$D,$A:$A,$A4095,$B:$B,"&lt;&gt;Patrícia Karla de Sousa Araújo",$B:$B,"&lt;&gt;Lorena Dias de Araujo",$B:$B,"&lt;&gt;Lucas Luiz Romero")*(28/1083),IF(C4095="Técnico I",SUMIFS($D:$D,$A:$A,$A4095,$B:$B,"&lt;&gt;Patrícia Karla de Sousa Araújo",$B:$B,"&lt;&gt;Lorena Dias de Araujo",$B:$B,"&lt;&gt;Lucas Luiz Romero")*(23/1083),IF(C4095="JR",SUMIFS($D:$D,$A:$A,$A4095,$B:$B,"&lt;&gt;Patrícia Karla de Sousa Araújo",$B:$B,"&lt;&gt;Lorena Dias de Araujo",$B:$B,"&lt;&gt;Lucas Luiz Romero")*(20/1083),IF(C4095="Estágio",SUMIFS($D:$D,$A:$A,$A4095,$B:$B,"&lt;&gt;Patrícia Karla de Sousa Araújo",$B:$B,"&lt;&gt;Lorena Dias de Araujo",$B:$B,"&lt;&gt;Lucas Luiz Romero")*(10/1083),0)))))),0)</f>
        <v/>
      </c>
      <c r="K4095" s="3">
        <f>I4095-J4095</f>
        <v/>
      </c>
      <c r="L4095" s="3">
        <f>IF(K4095&lt;-5,"CRÍTICO",IF(K4095&lt;0,"ATENÇÃO",IF(K4095&lt;=5,"OPORTUNO","MUITO BOM")))</f>
        <v/>
      </c>
      <c r="M4095" t="n">
        <v>16</v>
      </c>
      <c r="N4095" t="n">
        <v>98.81</v>
      </c>
      <c r="O4095" t="n">
        <v>26.25698324022346</v>
      </c>
    </row>
    <row r="4096" hidden="1">
      <c r="A4096" s="11" t="n">
        <v>46129</v>
      </c>
      <c r="B4096" t="inlineStr">
        <is>
          <t>Jéssica Fé Moura</t>
        </is>
      </c>
      <c r="C4096" t="inlineStr">
        <is>
          <t>Técnico III</t>
        </is>
      </c>
      <c r="D4096" t="n">
        <v>0</v>
      </c>
      <c r="E4096" t="n">
        <v>0</v>
      </c>
      <c r="F4096" t="n">
        <v>0</v>
      </c>
      <c r="G4096" t="n">
        <v>0</v>
      </c>
      <c r="H4096" t="n">
        <v>0</v>
      </c>
      <c r="I4096" s="3" t="n">
        <v>0</v>
      </c>
      <c r="J4096" s="3" t="n">
        <v>0</v>
      </c>
      <c r="K4096" s="3" t="n">
        <v>0</v>
      </c>
      <c r="L4096" s="3">
        <f>IF(K4096&lt;-5,"CRÍTICO",IF(K4096&lt;0,"ATENÇÃO",IF(K4096&lt;=5,"OPORTUNO","MUITO BOM")))</f>
        <v/>
      </c>
      <c r="M4096" t="n">
        <v>0</v>
      </c>
      <c r="N4096" t="n">
        <v>0</v>
      </c>
      <c r="O4096" t="n">
        <v>0</v>
      </c>
    </row>
    <row r="4097" hidden="1">
      <c r="A4097" s="11" t="n">
        <v>46129</v>
      </c>
      <c r="B4097" t="inlineStr">
        <is>
          <t>Karina Gonçalves Martins</t>
        </is>
      </c>
      <c r="C4097" t="inlineStr">
        <is>
          <t>JR</t>
        </is>
      </c>
      <c r="D4097" t="n">
        <v>21</v>
      </c>
      <c r="E4097" t="n">
        <v>21</v>
      </c>
      <c r="F4097" t="n">
        <v>20.14</v>
      </c>
      <c r="G4097" t="n">
        <v>0</v>
      </c>
      <c r="H4097" t="n">
        <v>0</v>
      </c>
      <c r="I4097" s="3">
        <f>E4097+G4097+H4097</f>
        <v/>
      </c>
      <c r="J4097" s="3">
        <f>ROUND(MIN(IF(C4097="Técnico III",35,IF(C4097="Técnico II",28,IF(C4097="Técnico I",23,IF(C4097="JR",20,IF(C4097="Estágio",10,0))))),IF(C4097="Técnico III",SUMIFS($D:$D,$A:$A,$A4097,$B:$B,"&lt;&gt;Patrícia Karla de Sousa Araújo",$B:$B,"&lt;&gt;Lorena Dias de Araujo",$B:$B,"&lt;&gt;Lucas Luiz Romero")*(35/1083),IF(C4097="Técnico II",SUMIFS($D:$D,$A:$A,$A4097,$B:$B,"&lt;&gt;Patrícia Karla de Sousa Araújo",$B:$B,"&lt;&gt;Lorena Dias de Araujo",$B:$B,"&lt;&gt;Lucas Luiz Romero")*(28/1083),IF(C4097="Técnico I",SUMIFS($D:$D,$A:$A,$A4097,$B:$B,"&lt;&gt;Patrícia Karla de Sousa Araújo",$B:$B,"&lt;&gt;Lorena Dias de Araujo",$B:$B,"&lt;&gt;Lucas Luiz Romero")*(23/1083),IF(C4097="JR",SUMIFS($D:$D,$A:$A,$A4097,$B:$B,"&lt;&gt;Patrícia Karla de Sousa Araújo",$B:$B,"&lt;&gt;Lorena Dias de Araujo",$B:$B,"&lt;&gt;Lucas Luiz Romero")*(20/1083),IF(C4097="Estágio",SUMIFS($D:$D,$A:$A,$A4097,$B:$B,"&lt;&gt;Patrícia Karla de Sousa Araújo",$B:$B,"&lt;&gt;Lorena Dias de Araujo",$B:$B,"&lt;&gt;Lucas Luiz Romero")*(10/1083),0)))))),0)</f>
        <v/>
      </c>
      <c r="K4097" s="3">
        <f>I4097-J4097</f>
        <v/>
      </c>
      <c r="L4097" s="3">
        <f>IF(K4097&lt;-5,"CRÍTICO",IF(K4097&lt;0,"ATENÇÃO",IF(K4097&lt;=5,"OPORTUNO","MUITO BOM")))</f>
        <v/>
      </c>
      <c r="M4097" t="n">
        <v>21</v>
      </c>
      <c r="N4097" t="n">
        <v>97.17</v>
      </c>
      <c r="O4097" t="n">
        <v>28.81844380403458</v>
      </c>
    </row>
    <row r="4098" hidden="1">
      <c r="A4098" s="11" t="n">
        <v>46129</v>
      </c>
      <c r="B4098" t="inlineStr">
        <is>
          <t>Kerollen Cristielly de Jesus Siqueira</t>
        </is>
      </c>
      <c r="C4098" t="inlineStr">
        <is>
          <t>Técnico III</t>
        </is>
      </c>
      <c r="D4098" t="n">
        <v>0</v>
      </c>
      <c r="E4098" t="n">
        <v>0</v>
      </c>
      <c r="F4098" t="n">
        <v>0</v>
      </c>
      <c r="G4098" t="n">
        <v>0</v>
      </c>
      <c r="H4098" t="n">
        <v>0</v>
      </c>
      <c r="I4098" s="3" t="n">
        <v>0</v>
      </c>
      <c r="J4098" s="3" t="n">
        <v>0</v>
      </c>
      <c r="K4098" s="3" t="n">
        <v>0</v>
      </c>
      <c r="L4098" s="3">
        <f>IF(K4098&lt;-5,"CRÍTICO",IF(K4098&lt;0,"ATENÇÃO",IF(K4098&lt;=5,"OPORTUNO","MUITO BOM")))</f>
        <v/>
      </c>
      <c r="M4098" t="n">
        <v>22</v>
      </c>
      <c r="N4098" t="n">
        <v>96.81</v>
      </c>
      <c r="O4098" t="n">
        <v>48.01864801864802</v>
      </c>
    </row>
    <row r="4099" hidden="1">
      <c r="A4099" s="11" t="n">
        <v>46129</v>
      </c>
      <c r="B4099" t="inlineStr">
        <is>
          <t>Leandro de Souza Silva</t>
        </is>
      </c>
      <c r="C4099" t="inlineStr">
        <is>
          <t>JR</t>
        </is>
      </c>
      <c r="D4099" t="n">
        <v>12</v>
      </c>
      <c r="E4099" t="n">
        <v>8</v>
      </c>
      <c r="F4099" t="n">
        <v>19.05</v>
      </c>
      <c r="G4099" t="n">
        <v>0</v>
      </c>
      <c r="H4099" t="n">
        <v>0</v>
      </c>
      <c r="I4099" s="3">
        <f>E4099+G4099+H4099</f>
        <v/>
      </c>
      <c r="J4099" s="3">
        <f>ROUND(MIN(IF(C4099="Técnico III",35,IF(C4099="Técnico II",28,IF(C4099="Técnico I",23,IF(C4099="JR",20,IF(C4099="Estágio",10,0))))),IF(C4099="Técnico III",SUMIFS($D:$D,$A:$A,$A4099,$B:$B,"&lt;&gt;Patrícia Karla de Sousa Araújo",$B:$B,"&lt;&gt;Lorena Dias de Araujo",$B:$B,"&lt;&gt;Lucas Luiz Romero")*(35/1083),IF(C4099="Técnico II",SUMIFS($D:$D,$A:$A,$A4099,$B:$B,"&lt;&gt;Patrícia Karla de Sousa Araújo",$B:$B,"&lt;&gt;Lorena Dias de Araujo",$B:$B,"&lt;&gt;Lucas Luiz Romero")*(28/1083),IF(C4099="Técnico I",SUMIFS($D:$D,$A:$A,$A4099,$B:$B,"&lt;&gt;Patrícia Karla de Sousa Araújo",$B:$B,"&lt;&gt;Lorena Dias de Araujo",$B:$B,"&lt;&gt;Lucas Luiz Romero")*(23/1083),IF(C4099="JR",SUMIFS($D:$D,$A:$A,$A4099,$B:$B,"&lt;&gt;Patrícia Karla de Sousa Araújo",$B:$B,"&lt;&gt;Lorena Dias de Araujo",$B:$B,"&lt;&gt;Lucas Luiz Romero")*(20/1083),IF(C4099="Estágio",SUMIFS($D:$D,$A:$A,$A4099,$B:$B,"&lt;&gt;Patrícia Karla de Sousa Araújo",$B:$B,"&lt;&gt;Lorena Dias de Araujo",$B:$B,"&lt;&gt;Lucas Luiz Romero")*(10/1083),0)))))),0)</f>
        <v/>
      </c>
      <c r="K4099" s="3">
        <f>I4099-J4099</f>
        <v/>
      </c>
      <c r="L4099" s="3">
        <f>IF(K4099&lt;-5,"CRÍTICO",IF(K4099&lt;0,"ATENÇÃO",IF(K4099&lt;=5,"OPORTUNO","MUITO BOM")))</f>
        <v/>
      </c>
      <c r="M4099" t="n">
        <v>6</v>
      </c>
      <c r="N4099" t="n">
        <v>98.15000000000001</v>
      </c>
      <c r="O4099" t="n">
        <v>27.1551724137931</v>
      </c>
    </row>
    <row r="4100" hidden="1">
      <c r="A4100" s="11" t="n">
        <v>46129</v>
      </c>
      <c r="B4100" t="inlineStr">
        <is>
          <t>Leandro Oliveira de Sousa</t>
        </is>
      </c>
      <c r="C4100" t="inlineStr">
        <is>
          <t>Técnico III</t>
        </is>
      </c>
      <c r="D4100" t="n">
        <v>24</v>
      </c>
      <c r="E4100" t="n">
        <v>22</v>
      </c>
      <c r="F4100" t="n">
        <v>15.56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M4100" t="n">
        <v>23</v>
      </c>
      <c r="N4100" t="n">
        <v>99.15000000000001</v>
      </c>
      <c r="O4100" t="n">
        <v>27.58620689655172</v>
      </c>
    </row>
    <row r="4101" hidden="1">
      <c r="A4101" s="11" t="n">
        <v>46129</v>
      </c>
      <c r="B4101" t="inlineStr">
        <is>
          <t>Lizandra Gomes Duarte</t>
        </is>
      </c>
      <c r="C4101" t="inlineStr">
        <is>
          <t>Técnico II</t>
        </is>
      </c>
      <c r="D4101" t="n">
        <v>27</v>
      </c>
      <c r="E4101" t="n">
        <v>27</v>
      </c>
      <c r="F4101" t="n">
        <v>20.28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M4101" t="n">
        <v>18</v>
      </c>
      <c r="N4101" t="n">
        <v>99.17</v>
      </c>
      <c r="O4101" t="n">
        <v>29.75206611570248</v>
      </c>
    </row>
    <row r="4102" hidden="1">
      <c r="A4102" s="11" t="n">
        <v>46129</v>
      </c>
      <c r="B4102" t="inlineStr">
        <is>
          <t>Lorena Dias de Araujo</t>
        </is>
      </c>
      <c r="C4102" t="inlineStr">
        <is>
          <t>Técnico II</t>
        </is>
      </c>
      <c r="D4102" t="n">
        <v>0</v>
      </c>
      <c r="E4102" t="n">
        <v>0</v>
      </c>
      <c r="F4102" t="n">
        <v>0</v>
      </c>
      <c r="G4102" t="n">
        <v>0</v>
      </c>
      <c r="H4102" t="n">
        <v>0</v>
      </c>
      <c r="I4102" s="3" t="n">
        <v>0</v>
      </c>
      <c r="J4102" s="3" t="n">
        <v>0</v>
      </c>
      <c r="K4102" s="3" t="n">
        <v>0</v>
      </c>
      <c r="L4102" s="3">
        <f>IF(K4102&lt;-5,"CRÍTICO",IF(K4102&lt;0,"ATENÇÃO",IF(K4102&lt;=5,"OPORTUNO","MUITO BOM")))</f>
        <v/>
      </c>
      <c r="M4102" t="n">
        <v>0</v>
      </c>
      <c r="N4102" t="n">
        <v>98.73</v>
      </c>
      <c r="O4102" t="n">
        <v>28.96174863387978</v>
      </c>
    </row>
    <row r="4103" hidden="1">
      <c r="A4103" s="11" t="n">
        <v>46129</v>
      </c>
      <c r="B4103" t="inlineStr">
        <is>
          <t>Lucas Luiz Romero</t>
        </is>
      </c>
      <c r="C4103" t="inlineStr">
        <is>
          <t>Técnico III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M4103" t="n">
        <v>0</v>
      </c>
      <c r="N4103" t="n">
        <v>88.68000000000001</v>
      </c>
      <c r="O4103" t="n">
        <v>22.03389830508474</v>
      </c>
    </row>
    <row r="4104" hidden="1">
      <c r="A4104" s="11" t="n">
        <v>46129</v>
      </c>
      <c r="B4104" t="inlineStr">
        <is>
          <t>Luiz Fernando de Carvalho Junior</t>
        </is>
      </c>
      <c r="C4104" t="inlineStr">
        <is>
          <t>Técnico I</t>
        </is>
      </c>
      <c r="D4104" t="n">
        <v>20</v>
      </c>
      <c r="E4104" t="n">
        <v>20</v>
      </c>
      <c r="F4104" t="n">
        <v>25.26</v>
      </c>
      <c r="G4104" t="n">
        <v>0</v>
      </c>
      <c r="H4104" t="n">
        <v>0</v>
      </c>
      <c r="I4104" s="3">
        <f>E4104+G4104+H4104</f>
        <v/>
      </c>
      <c r="J4104" s="3">
        <f>ROUND(MIN(IF(C4104="Técnico III",35,IF(C4104="Técnico II",28,IF(C4104="Técnico I",23,IF(C4104="JR",20,IF(C4104="Estágio",10,0))))),IF(C4104="Técnico III",SUMIFS($D:$D,$A:$A,$A4104,$B:$B,"&lt;&gt;Patrícia Karla de Sousa Araújo",$B:$B,"&lt;&gt;Lorena Dias de Araujo",$B:$B,"&lt;&gt;Lucas Luiz Romero")*(35/1083),IF(C4104="Técnico II",SUMIFS($D:$D,$A:$A,$A4104,$B:$B,"&lt;&gt;Patrícia Karla de Sousa Araújo",$B:$B,"&lt;&gt;Lorena Dias de Araujo",$B:$B,"&lt;&gt;Lucas Luiz Romero")*(28/1083),IF(C4104="Técnico I",SUMIFS($D:$D,$A:$A,$A4104,$B:$B,"&lt;&gt;Patrícia Karla de Sousa Araújo",$B:$B,"&lt;&gt;Lorena Dias de Araujo",$B:$B,"&lt;&gt;Lucas Luiz Romero")*(23/1083),IF(C4104="JR",SUMIFS($D:$D,$A:$A,$A4104,$B:$B,"&lt;&gt;Patrícia Karla de Sousa Araújo",$B:$B,"&lt;&gt;Lorena Dias de Araujo",$B:$B,"&lt;&gt;Lucas Luiz Romero")*(20/1083),IF(C4104="Estágio",SUMIFS($D:$D,$A:$A,$A4104,$B:$B,"&lt;&gt;Patrícia Karla de Sousa Araújo",$B:$B,"&lt;&gt;Lorena Dias de Araujo",$B:$B,"&lt;&gt;Lucas Luiz Romero")*(10/1083),0)))))),0)</f>
        <v/>
      </c>
      <c r="K4104" s="3">
        <f>I4104-J4104</f>
        <v/>
      </c>
      <c r="L4104" s="3">
        <f>IF(K4104&lt;-5,"CRÍTICO",IF(K4104&lt;0,"ATENÇÃO",IF(K4104&lt;=5,"OPORTUNO","MUITO BOM")))</f>
        <v/>
      </c>
      <c r="M4104" t="n">
        <v>19</v>
      </c>
      <c r="N4104" t="n">
        <v>97.37</v>
      </c>
      <c r="O4104" t="n">
        <v>25.76530612244898</v>
      </c>
    </row>
    <row r="4105" hidden="1">
      <c r="A4105" s="11" t="n">
        <v>46129</v>
      </c>
      <c r="B4105" t="inlineStr">
        <is>
          <t>Maria Eduarda Sousa Costa</t>
        </is>
      </c>
      <c r="C4105" t="inlineStr">
        <is>
          <t>Estágio</t>
        </is>
      </c>
      <c r="D4105" t="n">
        <v>39</v>
      </c>
      <c r="E4105" t="n">
        <v>28</v>
      </c>
      <c r="F4105" t="n">
        <v>12.3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M4105" t="n">
        <v>7</v>
      </c>
      <c r="N4105" t="n">
        <v>100</v>
      </c>
      <c r="O4105" t="n">
        <v>25</v>
      </c>
    </row>
    <row r="4106" hidden="1">
      <c r="A4106" s="11" t="n">
        <v>46129</v>
      </c>
      <c r="B4106" t="inlineStr">
        <is>
          <t>Matheus Farias De Souza</t>
        </is>
      </c>
      <c r="C4106" t="inlineStr">
        <is>
          <t>Técnico III</t>
        </is>
      </c>
      <c r="D4106" t="n">
        <v>29</v>
      </c>
      <c r="E4106" t="n">
        <v>29</v>
      </c>
      <c r="F4106" t="n">
        <v>12.35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M4106" t="n">
        <v>30</v>
      </c>
      <c r="N4106" t="n">
        <v>100</v>
      </c>
      <c r="O4106" t="n">
        <v>23.9870340356564</v>
      </c>
    </row>
    <row r="4107" hidden="1">
      <c r="A4107" s="11" t="n">
        <v>46129</v>
      </c>
      <c r="B4107" t="inlineStr">
        <is>
          <t>Maysa Victoria Dias Moura</t>
        </is>
      </c>
      <c r="C4107" t="inlineStr">
        <is>
          <t>Técnico III</t>
        </is>
      </c>
      <c r="D4107" t="n">
        <v>32</v>
      </c>
      <c r="E4107" t="n">
        <v>28</v>
      </c>
      <c r="F4107" t="n">
        <v>13.48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M4107" t="n">
        <v>22</v>
      </c>
      <c r="N4107" t="n">
        <v>95.48999999999999</v>
      </c>
      <c r="O4107" t="n">
        <v>28.37022132796781</v>
      </c>
    </row>
    <row r="4108" hidden="1">
      <c r="A4108" s="11" t="n">
        <v>46129</v>
      </c>
      <c r="B4108" t="inlineStr">
        <is>
          <t>Michelle G Santos</t>
        </is>
      </c>
      <c r="C4108" t="inlineStr">
        <is>
          <t>Estágio</t>
        </is>
      </c>
      <c r="D4108" t="n">
        <v>13</v>
      </c>
      <c r="E4108" t="n">
        <v>12</v>
      </c>
      <c r="F4108" t="n">
        <v>25.3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M4108" t="n">
        <v>5</v>
      </c>
      <c r="N4108" t="n">
        <v>100</v>
      </c>
      <c r="O4108" t="n">
        <v>23.77622377622378</v>
      </c>
    </row>
    <row r="4109" hidden="1">
      <c r="A4109" s="11" t="n">
        <v>46129</v>
      </c>
      <c r="B4109" t="inlineStr">
        <is>
          <t>Milena Sales</t>
        </is>
      </c>
      <c r="C4109" t="inlineStr">
        <is>
          <t>JR</t>
        </is>
      </c>
      <c r="D4109" t="n">
        <v>35</v>
      </c>
      <c r="E4109" t="n">
        <v>31</v>
      </c>
      <c r="F4109" t="n">
        <v>17.33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M4109" t="n">
        <v>16</v>
      </c>
      <c r="N4109" t="n">
        <v>96.15000000000001</v>
      </c>
      <c r="O4109" t="n">
        <v>24.04580152671756</v>
      </c>
    </row>
    <row r="4110" hidden="1">
      <c r="A4110" s="11" t="n">
        <v>46129</v>
      </c>
      <c r="B4110" t="inlineStr">
        <is>
          <t>Patrícia Karla de Sousa Araújo</t>
        </is>
      </c>
      <c r="C4110" t="inlineStr">
        <is>
          <t>Técnico II</t>
        </is>
      </c>
      <c r="D4110" t="n">
        <v>27</v>
      </c>
      <c r="E4110" t="n">
        <v>25</v>
      </c>
      <c r="F4110" t="n">
        <v>20.19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M4110" t="n">
        <v>24</v>
      </c>
      <c r="N4110" t="n">
        <v>99.02</v>
      </c>
      <c r="O4110" t="n">
        <v>34.7972972972973</v>
      </c>
    </row>
    <row r="4111" hidden="1">
      <c r="A4111" s="11" t="n">
        <v>46129</v>
      </c>
      <c r="B4111" t="inlineStr">
        <is>
          <t>Paulo Ricardo Santos</t>
        </is>
      </c>
      <c r="C4111" t="inlineStr">
        <is>
          <t>JR</t>
        </is>
      </c>
      <c r="D4111" t="n">
        <v>19</v>
      </c>
      <c r="E4111" t="n">
        <v>17</v>
      </c>
      <c r="F4111" t="n">
        <v>17.06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M4111" t="n">
        <v>17</v>
      </c>
      <c r="N4111" t="n">
        <v>98.84</v>
      </c>
      <c r="O4111" t="n">
        <v>31.86813186813187</v>
      </c>
    </row>
    <row r="4112" hidden="1">
      <c r="A4112" s="11" t="n">
        <v>46129</v>
      </c>
      <c r="B4112" t="inlineStr">
        <is>
          <t>Pedro Luiz Mota Sousa</t>
        </is>
      </c>
      <c r="C4112" t="inlineStr">
        <is>
          <t>JR</t>
        </is>
      </c>
      <c r="D4112" t="n">
        <v>15</v>
      </c>
      <c r="E4112" t="n">
        <v>14</v>
      </c>
      <c r="F4112" t="n">
        <v>18.49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M4112" t="n">
        <v>15</v>
      </c>
      <c r="N4112" t="n">
        <v>100</v>
      </c>
      <c r="O4112" t="n">
        <v>34.66666666666667</v>
      </c>
    </row>
    <row r="4113" hidden="1">
      <c r="A4113" s="11" t="n">
        <v>46129</v>
      </c>
      <c r="B4113" t="inlineStr">
        <is>
          <t>Quirino Diogo Leite Torres</t>
        </is>
      </c>
      <c r="C4113" t="inlineStr">
        <is>
          <t>Estágio</t>
        </is>
      </c>
      <c r="D4113" t="n">
        <v>16</v>
      </c>
      <c r="E4113" t="n">
        <v>14</v>
      </c>
      <c r="F4113" t="n">
        <v>30.56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M4113" t="n">
        <v>10</v>
      </c>
      <c r="N4113" t="n">
        <v>94.12</v>
      </c>
      <c r="O4113" t="n">
        <v>32.8</v>
      </c>
    </row>
    <row r="4114" hidden="1">
      <c r="A4114" s="11" t="n">
        <v>46129</v>
      </c>
      <c r="B4114" t="inlineStr">
        <is>
          <t>Raane Batista Matos</t>
        </is>
      </c>
      <c r="C4114" t="inlineStr">
        <is>
          <t>Técnico I</t>
        </is>
      </c>
      <c r="D4114" t="n">
        <v>28</v>
      </c>
      <c r="E4114" t="n">
        <v>26</v>
      </c>
      <c r="F4114" t="n">
        <v>15.33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M4114" t="n">
        <v>21</v>
      </c>
      <c r="N4114" t="n">
        <v>98.31999999999999</v>
      </c>
      <c r="O4114" t="n">
        <v>26.85851318944844</v>
      </c>
    </row>
    <row r="4115" hidden="1">
      <c r="A4115" s="11" t="n">
        <v>46129</v>
      </c>
      <c r="B4115" t="inlineStr">
        <is>
          <t>Rafael Gomes de Morais</t>
        </is>
      </c>
      <c r="C4115" t="inlineStr">
        <is>
          <t>Técnico III</t>
        </is>
      </c>
      <c r="D4115" t="n">
        <v>35</v>
      </c>
      <c r="E4115" t="n">
        <v>31</v>
      </c>
      <c r="F4115" t="n">
        <v>12.08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M4115" t="n">
        <v>31</v>
      </c>
      <c r="N4115" t="n">
        <v>100</v>
      </c>
      <c r="O4115" t="n">
        <v>31.13553113553114</v>
      </c>
    </row>
    <row r="4116" hidden="1">
      <c r="A4116" s="11" t="n">
        <v>46129</v>
      </c>
      <c r="B4116" t="inlineStr">
        <is>
          <t>Sara Maria Monteiro Lopes</t>
        </is>
      </c>
      <c r="C4116" t="inlineStr">
        <is>
          <t>Técnico I</t>
        </is>
      </c>
      <c r="D4116" t="n">
        <v>18</v>
      </c>
      <c r="E4116" t="n">
        <v>17</v>
      </c>
      <c r="F4116" t="n">
        <v>23.58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M4116" t="n">
        <v>16</v>
      </c>
      <c r="N4116" t="n">
        <v>100</v>
      </c>
      <c r="O4116" t="n">
        <v>26.36986301369863</v>
      </c>
    </row>
    <row r="4117" hidden="1">
      <c r="A4117" s="11" t="n">
        <v>46129</v>
      </c>
      <c r="B4117" t="inlineStr">
        <is>
          <t>Sarah Steffanie de Lima Borges</t>
        </is>
      </c>
      <c r="C4117" t="inlineStr">
        <is>
          <t>Técnico III</t>
        </is>
      </c>
      <c r="D4117" t="n">
        <v>0</v>
      </c>
      <c r="E4117" t="n">
        <v>0</v>
      </c>
      <c r="F4117" t="n">
        <v>0</v>
      </c>
      <c r="G4117" t="n">
        <v>0</v>
      </c>
      <c r="H4117" t="n">
        <v>0</v>
      </c>
      <c r="I4117" s="3" t="n">
        <v>0</v>
      </c>
      <c r="J4117" s="3" t="n">
        <v>0</v>
      </c>
      <c r="K4117" s="3" t="n">
        <v>0</v>
      </c>
      <c r="L4117" s="3">
        <f>IF(K4117&lt;-5,"CRÍTICO",IF(K4117&lt;0,"ATENÇÃO",IF(K4117&lt;=5,"OPORTUNO","MUITO BOM")))</f>
        <v/>
      </c>
      <c r="M4117" t="n">
        <v>0</v>
      </c>
      <c r="N4117" t="n">
        <v>99.20999999999999</v>
      </c>
      <c r="O4117" t="n">
        <v>25.18891687657431</v>
      </c>
    </row>
    <row r="4118" hidden="1">
      <c r="A4118" s="11" t="n">
        <v>46132</v>
      </c>
      <c r="B4118" t="inlineStr">
        <is>
          <t>Alisson de Freitas Silva</t>
        </is>
      </c>
      <c r="C4118" t="inlineStr">
        <is>
          <t>Técnico II</t>
        </is>
      </c>
      <c r="D4118" t="n">
        <v>35</v>
      </c>
      <c r="E4118" t="n">
        <v>27</v>
      </c>
      <c r="F4118" t="n">
        <v>10.2</v>
      </c>
      <c r="G4118" t="n">
        <v>0</v>
      </c>
      <c r="H4118" t="n">
        <v>0</v>
      </c>
      <c r="I4118" s="3">
        <f>E4118+G4118+H4118</f>
        <v/>
      </c>
      <c r="J4118" s="3">
        <f>ROUND(MIN(IF(C4118="Técnico III",35,IF(C4118="Técnico II",28,IF(C4118="Técnico I",23,IF(C4118="JR",20,IF(C4118="Estágio",10,0))))),IF(C4118="Técnico III",SUMIFS($D:$D,$A:$A,$A4118,$B:$B,"&lt;&gt;Patrícia Karla de Sousa Araújo",$B:$B,"&lt;&gt;Lorena Dias de Araujo",$B:$B,"&lt;&gt;Lucas Luiz Romero")*(35/1083),IF(C4118="Técnico II",SUMIFS($D:$D,$A:$A,$A4118,$B:$B,"&lt;&gt;Patrícia Karla de Sousa Araújo",$B:$B,"&lt;&gt;Lorena Dias de Araujo",$B:$B,"&lt;&gt;Lucas Luiz Romero")*(28/1083),IF(C4118="Técnico I",SUMIFS($D:$D,$A:$A,$A4118,$B:$B,"&lt;&gt;Patrícia Karla de Sousa Araújo",$B:$B,"&lt;&gt;Lorena Dias de Araujo",$B:$B,"&lt;&gt;Lucas Luiz Romero")*(23/1083),IF(C4118="JR",SUMIFS($D:$D,$A:$A,$A4118,$B:$B,"&lt;&gt;Patrícia Karla de Sousa Araújo",$B:$B,"&lt;&gt;Lorena Dias de Araujo",$B:$B,"&lt;&gt;Lucas Luiz Romero")*(20/1083),IF(C4118="Estágio",SUMIFS($D:$D,$A:$A,$A4118,$B:$B,"&lt;&gt;Patrícia Karla de Sousa Araújo",$B:$B,"&lt;&gt;Lorena Dias de Araujo",$B:$B,"&lt;&gt;Lucas Luiz Romero")*(10/1083),0)))))),0)</f>
        <v/>
      </c>
      <c r="K4118" s="3">
        <f>I4118-J4118</f>
        <v/>
      </c>
      <c r="L4118" s="3">
        <f>IF(K4118&lt;-5,"CRÍTICO",IF(K4118&lt;0,"ATENÇÃO",IF(K4118&lt;=5,"OPORTUNO","MUITO BOM")))</f>
        <v/>
      </c>
      <c r="M4118" t="n">
        <v>18</v>
      </c>
      <c r="N4118" t="n">
        <v>100</v>
      </c>
      <c r="O4118" t="n">
        <v>32.76450511945392</v>
      </c>
    </row>
    <row r="4119" hidden="1">
      <c r="A4119" s="11" t="n">
        <v>46132</v>
      </c>
      <c r="B4119" t="inlineStr">
        <is>
          <t>Amanda Moura Ferreira</t>
        </is>
      </c>
      <c r="C4119" t="inlineStr">
        <is>
          <t>Técnico III</t>
        </is>
      </c>
      <c r="D4119" t="n">
        <v>0</v>
      </c>
      <c r="E4119" t="n">
        <v>0</v>
      </c>
      <c r="F4119" t="n">
        <v>0</v>
      </c>
      <c r="G4119" t="n">
        <v>0</v>
      </c>
      <c r="H4119" t="n">
        <v>0</v>
      </c>
      <c r="I4119" s="3" t="n">
        <v>0</v>
      </c>
      <c r="J4119" s="3" t="n">
        <v>0</v>
      </c>
      <c r="K4119" s="3" t="n">
        <v>0</v>
      </c>
      <c r="L4119" s="3">
        <f>IF(K4119&lt;-5,"CRÍTICO",IF(K4119&lt;0,"ATENÇÃO",IF(K4119&lt;=5,"OPORTUNO","MUITO BOM")))</f>
        <v/>
      </c>
      <c r="M4119" t="n">
        <v>11</v>
      </c>
      <c r="N4119" t="n">
        <v>98.66</v>
      </c>
      <c r="O4119" t="n">
        <v>35.41666666666667</v>
      </c>
    </row>
    <row r="4120" hidden="1">
      <c r="A4120" s="11" t="n">
        <v>46132</v>
      </c>
      <c r="B4120" t="inlineStr">
        <is>
          <t>Ana Karollyne Souza Faria</t>
        </is>
      </c>
      <c r="C4120" t="inlineStr">
        <is>
          <t>Técnico I</t>
        </is>
      </c>
      <c r="D4120" t="n">
        <v>24</v>
      </c>
      <c r="E4120" t="n">
        <v>24</v>
      </c>
      <c r="F4120" t="n">
        <v>17.28</v>
      </c>
      <c r="G4120" t="n">
        <v>0</v>
      </c>
      <c r="H4120" t="n">
        <v>0</v>
      </c>
      <c r="I4120" s="3">
        <f>E4120+G4120+H4120</f>
        <v/>
      </c>
      <c r="J4120" s="3">
        <f>ROUND(MIN(IF(C4120="Técnico III",35,IF(C4120="Técnico II",28,IF(C4120="Técnico I",23,IF(C4120="JR",20,IF(C4120="Estágio",10,0))))),IF(C4120="Técnico III",SUMIFS($D:$D,$A:$A,$A4120,$B:$B,"&lt;&gt;Patrícia Karla de Sousa Araújo",$B:$B,"&lt;&gt;Lorena Dias de Araujo",$B:$B,"&lt;&gt;Lucas Luiz Romero")*(35/1083),IF(C4120="Técnico II",SUMIFS($D:$D,$A:$A,$A4120,$B:$B,"&lt;&gt;Patrícia Karla de Sousa Araújo",$B:$B,"&lt;&gt;Lorena Dias de Araujo",$B:$B,"&lt;&gt;Lucas Luiz Romero")*(28/1083),IF(C4120="Técnico I",SUMIFS($D:$D,$A:$A,$A4120,$B:$B,"&lt;&gt;Patrícia Karla de Sousa Araújo",$B:$B,"&lt;&gt;Lorena Dias de Araujo",$B:$B,"&lt;&gt;Lucas Luiz Romero")*(23/1083),IF(C4120="JR",SUMIFS($D:$D,$A:$A,$A4120,$B:$B,"&lt;&gt;Patrícia Karla de Sousa Araújo",$B:$B,"&lt;&gt;Lorena Dias de Araujo",$B:$B,"&lt;&gt;Lucas Luiz Romero")*(20/1083),IF(C4120="Estágio",SUMIFS($D:$D,$A:$A,$A4120,$B:$B,"&lt;&gt;Patrícia Karla de Sousa Araújo",$B:$B,"&lt;&gt;Lorena Dias de Araujo",$B:$B,"&lt;&gt;Lucas Luiz Romero")*(10/1083),0)))))),0)</f>
        <v/>
      </c>
      <c r="K4120" s="3">
        <f>I4120-J4120</f>
        <v/>
      </c>
      <c r="L4120" s="3">
        <f>IF(K4120&lt;-5,"CRÍTICO",IF(K4120&lt;0,"ATENÇÃO",IF(K4120&lt;=5,"OPORTUNO","MUITO BOM")))</f>
        <v/>
      </c>
      <c r="M4120" t="n">
        <v>24</v>
      </c>
      <c r="N4120" t="n">
        <v>99.31999999999999</v>
      </c>
      <c r="O4120" t="n">
        <v>30.6483300589391</v>
      </c>
    </row>
    <row r="4121" hidden="1">
      <c r="A4121" s="11" t="n">
        <v>46132</v>
      </c>
      <c r="B4121" t="inlineStr">
        <is>
          <t>Ana Paula Da Luz Silva Aleixo</t>
        </is>
      </c>
      <c r="C4121" t="inlineStr">
        <is>
          <t>Técnico III</t>
        </is>
      </c>
      <c r="D4121" t="n">
        <v>16</v>
      </c>
      <c r="E4121" t="n">
        <v>15</v>
      </c>
      <c r="F4121" t="n">
        <v>22.26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M4121" t="n">
        <v>17</v>
      </c>
      <c r="N4121" t="n">
        <v>100</v>
      </c>
      <c r="O4121" t="n">
        <v>27.80373831775701</v>
      </c>
    </row>
    <row r="4122" hidden="1">
      <c r="A4122" s="11" t="n">
        <v>46132</v>
      </c>
      <c r="B4122" t="inlineStr">
        <is>
          <t>Anna Luiza Rezende Tavares</t>
        </is>
      </c>
      <c r="C4122" t="inlineStr">
        <is>
          <t>Estágio</t>
        </is>
      </c>
      <c r="D4122" t="n">
        <v>12</v>
      </c>
      <c r="E4122" t="n">
        <v>11</v>
      </c>
      <c r="F4122" t="n">
        <v>17.01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M4122" t="n">
        <v>11</v>
      </c>
      <c r="N4122" t="n">
        <v>96.73999999999999</v>
      </c>
      <c r="O4122" t="n">
        <v>28.67647058823529</v>
      </c>
    </row>
    <row r="4123" hidden="1">
      <c r="A4123" s="11" t="n">
        <v>46132</v>
      </c>
      <c r="B4123" t="inlineStr">
        <is>
          <t>Brenda de Menezes Silva</t>
        </is>
      </c>
      <c r="C4123" t="inlineStr">
        <is>
          <t>Técnico II</t>
        </is>
      </c>
      <c r="D4123" t="n">
        <v>35</v>
      </c>
      <c r="E4123" t="n">
        <v>30</v>
      </c>
      <c r="F4123" t="n">
        <v>8.51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M4123" t="n">
        <v>32</v>
      </c>
      <c r="N4123" t="n">
        <v>98.81999999999999</v>
      </c>
      <c r="O4123" t="n">
        <v>30.74141048824593</v>
      </c>
    </row>
    <row r="4124" hidden="1">
      <c r="A4124" s="11" t="n">
        <v>46132</v>
      </c>
      <c r="B4124" t="inlineStr">
        <is>
          <t>Carlos Mateus Cassimiro Nunes</t>
        </is>
      </c>
      <c r="C4124" t="inlineStr">
        <is>
          <t>Técnico II</t>
        </is>
      </c>
      <c r="D4124" t="n">
        <v>25</v>
      </c>
      <c r="E4124" t="n">
        <v>25</v>
      </c>
      <c r="F4124" t="n">
        <v>20.4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M4124" t="n">
        <v>24</v>
      </c>
      <c r="N4124" t="n">
        <v>98.2</v>
      </c>
      <c r="O4124" t="n">
        <v>27.17086834733893</v>
      </c>
    </row>
    <row r="4125" hidden="1">
      <c r="A4125" s="11" t="n">
        <v>46132</v>
      </c>
      <c r="B4125" t="inlineStr">
        <is>
          <t>Claudio de Sousa Velasco Filho</t>
        </is>
      </c>
      <c r="C4125" t="inlineStr">
        <is>
          <t>Estágio</t>
        </is>
      </c>
      <c r="D4125" t="n">
        <v>1</v>
      </c>
      <c r="E4125" t="n">
        <v>1</v>
      </c>
      <c r="F4125" t="n">
        <v>199.04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M4125" t="n">
        <v>1</v>
      </c>
      <c r="N4125" t="n">
        <v>100</v>
      </c>
      <c r="O4125" t="n">
        <v>23.13432835820895</v>
      </c>
    </row>
    <row r="4126" hidden="1">
      <c r="A4126" s="11" t="n">
        <v>46132</v>
      </c>
      <c r="B4126" t="inlineStr">
        <is>
          <t>Clessiane Pereira dos Santos</t>
        </is>
      </c>
      <c r="C4126" t="inlineStr">
        <is>
          <t>Técnico I</t>
        </is>
      </c>
      <c r="D4126" t="n">
        <v>22</v>
      </c>
      <c r="E4126" t="n">
        <v>19</v>
      </c>
      <c r="F4126" t="n">
        <v>15.12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M4126" t="n">
        <v>19</v>
      </c>
      <c r="N4126" t="n">
        <v>96.3</v>
      </c>
      <c r="O4126" t="n">
        <v>32.21957040572792</v>
      </c>
    </row>
    <row r="4127" hidden="1">
      <c r="A4127" s="11" t="n">
        <v>46132</v>
      </c>
      <c r="B4127" t="inlineStr">
        <is>
          <t>Cristiane Ramos da Silva Rocha</t>
        </is>
      </c>
      <c r="C4127" t="inlineStr">
        <is>
          <t>Técnico III</t>
        </is>
      </c>
      <c r="D4127" t="n">
        <v>22</v>
      </c>
      <c r="E4127" t="n">
        <v>21</v>
      </c>
      <c r="F4127" t="n">
        <v>12.09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M4127" t="n">
        <v>16</v>
      </c>
      <c r="N4127" t="n">
        <v>93.75</v>
      </c>
      <c r="O4127" t="n">
        <v>26.81992337164751</v>
      </c>
    </row>
    <row r="4128" hidden="1">
      <c r="A4128" s="11" t="n">
        <v>46132</v>
      </c>
      <c r="B4128" t="inlineStr">
        <is>
          <t>Damyllis Lorraine de Oliveira Gonçalves</t>
        </is>
      </c>
      <c r="C4128" t="inlineStr">
        <is>
          <t>Técnico II</t>
        </is>
      </c>
      <c r="D4128" t="n">
        <v>24</v>
      </c>
      <c r="E4128" t="n">
        <v>22</v>
      </c>
      <c r="F4128" t="n">
        <v>18.3</v>
      </c>
      <c r="G4128" t="n">
        <v>0</v>
      </c>
      <c r="H4128" t="n">
        <v>0</v>
      </c>
      <c r="I4128" s="3" t="n">
        <v>0</v>
      </c>
      <c r="J4128" s="3" t="n">
        <v>0</v>
      </c>
      <c r="K4128" s="3" t="n">
        <v>0</v>
      </c>
      <c r="L4128" s="3">
        <f>IF(K4128&lt;-5,"CRÍTICO",IF(K4128&lt;0,"ATENÇÃO",IF(K4128&lt;=5,"OPORTUNO","MUITO BOM")))</f>
        <v/>
      </c>
      <c r="M4128" t="n">
        <v>24</v>
      </c>
      <c r="N4128" t="n">
        <v>97.86</v>
      </c>
      <c r="O4128" t="n">
        <v>31.01851851851852</v>
      </c>
    </row>
    <row r="4129" hidden="1">
      <c r="A4129" s="11" t="n">
        <v>46132</v>
      </c>
      <c r="B4129" t="inlineStr">
        <is>
          <t>Daniel Gomes da Silva</t>
        </is>
      </c>
      <c r="C4129" t="inlineStr">
        <is>
          <t>Técnico I</t>
        </is>
      </c>
      <c r="D4129" t="n">
        <v>17</v>
      </c>
      <c r="E4129" t="n">
        <v>17</v>
      </c>
      <c r="F4129" t="n">
        <v>20.17</v>
      </c>
      <c r="G4129" t="n">
        <v>0</v>
      </c>
      <c r="H4129" t="n">
        <v>0</v>
      </c>
      <c r="I4129" s="3">
        <f>E4129+G4129+H4129</f>
        <v/>
      </c>
      <c r="J4129" s="3">
        <f>ROUND(MIN(IF(C4129="Técnico III",35,IF(C4129="Técnico II",28,IF(C4129="Técnico I",23,IF(C4129="JR",20,IF(C4129="Estágio",10,0))))),IF(C4129="Técnico III",SUMIFS($D:$D,$A:$A,$A4129,$B:$B,"&lt;&gt;Patrícia Karla de Sousa Araújo",$B:$B,"&lt;&gt;Lorena Dias de Araujo",$B:$B,"&lt;&gt;Lucas Luiz Romero")*(35/1083),IF(C4129="Técnico II",SUMIFS($D:$D,$A:$A,$A4129,$B:$B,"&lt;&gt;Patrícia Karla de Sousa Araújo",$B:$B,"&lt;&gt;Lorena Dias de Araujo",$B:$B,"&lt;&gt;Lucas Luiz Romero")*(28/1083),IF(C4129="Técnico I",SUMIFS($D:$D,$A:$A,$A4129,$B:$B,"&lt;&gt;Patrícia Karla de Sousa Araújo",$B:$B,"&lt;&gt;Lorena Dias de Araujo",$B:$B,"&lt;&gt;Lucas Luiz Romero")*(23/1083),IF(C4129="JR",SUMIFS($D:$D,$A:$A,$A4129,$B:$B,"&lt;&gt;Patrícia Karla de Sousa Araújo",$B:$B,"&lt;&gt;Lorena Dias de Araujo",$B:$B,"&lt;&gt;Lucas Luiz Romero")*(20/1083),IF(C4129="Estágio",SUMIFS($D:$D,$A:$A,$A4129,$B:$B,"&lt;&gt;Patrícia Karla de Sousa Araújo",$B:$B,"&lt;&gt;Lorena Dias de Araujo",$B:$B,"&lt;&gt;Lucas Luiz Romero")*(10/1083),0)))))),0)</f>
        <v/>
      </c>
      <c r="K4129" s="3">
        <f>I4129-J4129</f>
        <v/>
      </c>
      <c r="L4129" s="3">
        <f>IF(K4129&lt;-5,"CRÍTICO",IF(K4129&lt;0,"ATENÇÃO",IF(K4129&lt;=5,"OPORTUNO","MUITO BOM")))</f>
        <v/>
      </c>
      <c r="M4129" t="n">
        <v>11</v>
      </c>
      <c r="N4129" t="n">
        <v>100</v>
      </c>
      <c r="O4129" t="n">
        <v>36.59420289855073</v>
      </c>
    </row>
    <row r="4130" hidden="1">
      <c r="A4130" s="11" t="n">
        <v>46132</v>
      </c>
      <c r="B4130" t="inlineStr">
        <is>
          <t>Davylla Rodrigues Freitas Silva</t>
        </is>
      </c>
      <c r="C4130" t="inlineStr">
        <is>
          <t>Técnico III</t>
        </is>
      </c>
      <c r="D4130" t="n">
        <v>24</v>
      </c>
      <c r="E4130" t="n">
        <v>23</v>
      </c>
      <c r="F4130" t="n">
        <v>19.12</v>
      </c>
      <c r="G4130" t="n">
        <v>0</v>
      </c>
      <c r="H4130" t="n">
        <v>0</v>
      </c>
      <c r="I4130" s="3" t="n">
        <v>0</v>
      </c>
      <c r="J4130" s="3" t="n">
        <v>0</v>
      </c>
      <c r="K4130" s="3" t="n">
        <v>0</v>
      </c>
      <c r="L4130" s="3">
        <f>IF(K4130&lt;-5,"CRÍTICO",IF(K4130&lt;0,"ATENÇÃO",IF(K4130&lt;=5,"OPORTUNO","MUITO BOM")))</f>
        <v/>
      </c>
      <c r="M4130" t="n">
        <v>23</v>
      </c>
      <c r="N4130" t="n">
        <v>100</v>
      </c>
      <c r="O4130" t="n">
        <v>38.65384615384615</v>
      </c>
    </row>
    <row r="4131" hidden="1">
      <c r="A4131" s="11" t="n">
        <v>46132</v>
      </c>
      <c r="B4131" t="inlineStr">
        <is>
          <t>Emilly Caylane Costa</t>
        </is>
      </c>
      <c r="C4131" t="inlineStr">
        <is>
          <t>Estágio</t>
        </is>
      </c>
      <c r="D4131" t="n">
        <v>7</v>
      </c>
      <c r="E4131" t="n">
        <v>6</v>
      </c>
      <c r="F4131" t="n">
        <v>27.23</v>
      </c>
      <c r="G4131" t="n">
        <v>0</v>
      </c>
      <c r="H4131" t="n">
        <v>0</v>
      </c>
      <c r="I4131" s="3">
        <f>E4131+G4131+H4131</f>
        <v/>
      </c>
      <c r="J4131" s="3">
        <f>ROUND(MIN(IF(C4131="Técnico III",35,IF(C4131="Técnico II",28,IF(C4131="Técnico I",23,IF(C4131="JR",20,IF(C4131="Estágio",10,0))))),IF(C4131="Técnico III",SUMIFS($D:$D,$A:$A,$A4131,$B:$B,"&lt;&gt;Patrícia Karla de Sousa Araújo",$B:$B,"&lt;&gt;Lorena Dias de Araujo",$B:$B,"&lt;&gt;Lucas Luiz Romero")*(35/1083),IF(C4131="Técnico II",SUMIFS($D:$D,$A:$A,$A4131,$B:$B,"&lt;&gt;Patrícia Karla de Sousa Araújo",$B:$B,"&lt;&gt;Lorena Dias de Araujo",$B:$B,"&lt;&gt;Lucas Luiz Romero")*(28/1083),IF(C4131="Técnico I",SUMIFS($D:$D,$A:$A,$A4131,$B:$B,"&lt;&gt;Patrícia Karla de Sousa Araújo",$B:$B,"&lt;&gt;Lorena Dias de Araujo",$B:$B,"&lt;&gt;Lucas Luiz Romero")*(23/1083),IF(C4131="JR",SUMIFS($D:$D,$A:$A,$A4131,$B:$B,"&lt;&gt;Patrícia Karla de Sousa Araújo",$B:$B,"&lt;&gt;Lorena Dias de Araujo",$B:$B,"&lt;&gt;Lucas Luiz Romero")*(20/1083),IF(C4131="Estágio",SUMIFS($D:$D,$A:$A,$A4131,$B:$B,"&lt;&gt;Patrícia Karla de Sousa Araújo",$B:$B,"&lt;&gt;Lorena Dias de Araujo",$B:$B,"&lt;&gt;Lucas Luiz Romero")*(10/1083),0)))))),0)</f>
        <v/>
      </c>
      <c r="K4131" s="3">
        <f>I4131-J4131</f>
        <v/>
      </c>
      <c r="L4131" s="3">
        <f>IF(K4131&lt;-5,"CRÍTICO",IF(K4131&lt;0,"ATENÇÃO",IF(K4131&lt;=5,"OPORTUNO","MUITO BOM")))</f>
        <v/>
      </c>
      <c r="M4131" t="n">
        <v>4</v>
      </c>
      <c r="N4131" t="n">
        <v>100</v>
      </c>
      <c r="O4131" t="n">
        <v>27.36842105263158</v>
      </c>
    </row>
    <row r="4132" hidden="1">
      <c r="A4132" s="11" t="n">
        <v>46132</v>
      </c>
      <c r="B4132" t="inlineStr">
        <is>
          <t>Emilly Kamilly Medeiros Miranda</t>
        </is>
      </c>
      <c r="C4132" t="inlineStr">
        <is>
          <t>Técnico II</t>
        </is>
      </c>
      <c r="D4132" t="n">
        <v>26</v>
      </c>
      <c r="E4132" t="n">
        <v>25</v>
      </c>
      <c r="F4132" t="n">
        <v>18.51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M4132" t="n">
        <v>22</v>
      </c>
      <c r="N4132" t="n">
        <v>97.83</v>
      </c>
      <c r="O4132" t="n">
        <v>28.35164835164835</v>
      </c>
    </row>
    <row r="4133" hidden="1">
      <c r="A4133" s="11" t="n">
        <v>46132</v>
      </c>
      <c r="B4133" t="inlineStr">
        <is>
          <t>Francielson de Oliveira</t>
        </is>
      </c>
      <c r="C4133" t="inlineStr">
        <is>
          <t>Técnico III</t>
        </is>
      </c>
      <c r="D4133" t="n">
        <v>25</v>
      </c>
      <c r="E4133" t="n">
        <v>23</v>
      </c>
      <c r="F4133" t="n">
        <v>15.58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M4133" t="n">
        <v>24</v>
      </c>
      <c r="N4133" t="n">
        <v>99.26000000000001</v>
      </c>
      <c r="O4133" t="n">
        <v>29.76653696498055</v>
      </c>
    </row>
    <row r="4134" hidden="1">
      <c r="A4134" s="11" t="n">
        <v>46132</v>
      </c>
      <c r="B4134" t="inlineStr">
        <is>
          <t>Francilene Ferreira de Jesus</t>
        </is>
      </c>
      <c r="C4134" t="inlineStr">
        <is>
          <t>Técnico II</t>
        </is>
      </c>
      <c r="D4134" t="n">
        <v>9</v>
      </c>
      <c r="E4134" t="n">
        <v>9</v>
      </c>
      <c r="F4134" t="n">
        <v>23.51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M4134" t="n">
        <v>7</v>
      </c>
      <c r="N4134" t="n">
        <v>99.19</v>
      </c>
      <c r="O4134" t="n">
        <v>29.46236559139785</v>
      </c>
    </row>
    <row r="4135" hidden="1">
      <c r="A4135" s="11" t="n">
        <v>46140</v>
      </c>
      <c r="B4135" t="inlineStr">
        <is>
          <t>Francilene Ferreira de Jesus</t>
        </is>
      </c>
      <c r="C4135" t="inlineStr">
        <is>
          <t>Técnico II</t>
        </is>
      </c>
      <c r="D4135" s="3" t="n">
        <v>29</v>
      </c>
      <c r="E4135" s="3" t="n">
        <v>25</v>
      </c>
      <c r="F4135" s="3" t="n">
        <v>20.23</v>
      </c>
      <c r="G4135" s="3" t="n">
        <v>0</v>
      </c>
      <c r="H4135" s="3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M4135" s="3" t="n">
        <v>23</v>
      </c>
      <c r="N4135" s="3" t="n">
        <v>99.19</v>
      </c>
      <c r="O4135" s="3" t="n">
        <v>29.46236559139785</v>
      </c>
    </row>
    <row r="4136" hidden="1">
      <c r="A4136" s="11" t="n">
        <v>46132</v>
      </c>
      <c r="B4136" t="inlineStr">
        <is>
          <t>Isabella Borges de Oliveira</t>
        </is>
      </c>
      <c r="C4136" t="inlineStr">
        <is>
          <t>Técnico II</t>
        </is>
      </c>
      <c r="D4136" t="n">
        <v>0</v>
      </c>
      <c r="E4136" t="n">
        <v>0</v>
      </c>
      <c r="F4136" t="n">
        <v>0</v>
      </c>
      <c r="G4136" t="n">
        <v>0</v>
      </c>
      <c r="H4136" t="n">
        <v>0</v>
      </c>
      <c r="I4136" s="3" t="n">
        <v>0</v>
      </c>
      <c r="J4136" s="3" t="n">
        <v>0</v>
      </c>
      <c r="K4136" s="3" t="n">
        <v>0</v>
      </c>
      <c r="L4136" s="3">
        <f>IF(K4136&lt;-5,"CRÍTICO",IF(K4136&lt;0,"ATENÇÃO",IF(K4136&lt;=5,"OPORTUNO","MUITO BOM")))</f>
        <v/>
      </c>
      <c r="M4136" t="n">
        <v>0</v>
      </c>
      <c r="N4136" t="n">
        <v>100</v>
      </c>
      <c r="O4136" t="n">
        <v>28.92156862745098</v>
      </c>
    </row>
    <row r="4137" hidden="1">
      <c r="A4137" s="11" t="n">
        <v>46132</v>
      </c>
      <c r="B4137" t="inlineStr">
        <is>
          <t>Janaina Lima dos Reis Urany</t>
        </is>
      </c>
      <c r="C4137" t="inlineStr">
        <is>
          <t>Técnico III</t>
        </is>
      </c>
      <c r="D4137" t="n">
        <v>30</v>
      </c>
      <c r="E4137" t="n">
        <v>30</v>
      </c>
      <c r="F4137" t="n">
        <v>13.56</v>
      </c>
      <c r="G4137" t="n">
        <v>0</v>
      </c>
      <c r="H4137" t="n">
        <v>0</v>
      </c>
      <c r="I4137" s="3">
        <f>E4137+G4137+H4137</f>
        <v/>
      </c>
      <c r="J4137" s="3">
        <f>ROUND(MIN(IF(C4137="Técnico III",35,IF(C4137="Técnico II",28,IF(C4137="Técnico I",23,IF(C4137="JR",20,IF(C4137="Estágio",10,0))))),IF(C4137="Técnico III",SUMIFS($D:$D,$A:$A,$A4137,$B:$B,"&lt;&gt;Patrícia Karla de Sousa Araújo",$B:$B,"&lt;&gt;Lorena Dias de Araujo",$B:$B,"&lt;&gt;Lucas Luiz Romero")*(35/1083),IF(C4137="Técnico II",SUMIFS($D:$D,$A:$A,$A4137,$B:$B,"&lt;&gt;Patrícia Karla de Sousa Araújo",$B:$B,"&lt;&gt;Lorena Dias de Araujo",$B:$B,"&lt;&gt;Lucas Luiz Romero")*(28/1083),IF(C4137="Técnico I",SUMIFS($D:$D,$A:$A,$A4137,$B:$B,"&lt;&gt;Patrícia Karla de Sousa Araújo",$B:$B,"&lt;&gt;Lorena Dias de Araujo",$B:$B,"&lt;&gt;Lucas Luiz Romero")*(23/1083),IF(C4137="JR",SUMIFS($D:$D,$A:$A,$A4137,$B:$B,"&lt;&gt;Patrícia Karla de Sousa Araújo",$B:$B,"&lt;&gt;Lorena Dias de Araujo",$B:$B,"&lt;&gt;Lucas Luiz Romero")*(20/1083),IF(C4137="Estágio",SUMIFS($D:$D,$A:$A,$A4137,$B:$B,"&lt;&gt;Patrícia Karla de Sousa Araújo",$B:$B,"&lt;&gt;Lorena Dias de Araujo",$B:$B,"&lt;&gt;Lucas Luiz Romero")*(10/1083),0)))))),0)</f>
        <v/>
      </c>
      <c r="K4137" s="3">
        <f>I4137-J4137</f>
        <v/>
      </c>
      <c r="L4137" s="3">
        <f>IF(K4137&lt;-5,"CRÍTICO",IF(K4137&lt;0,"ATENÇÃO",IF(K4137&lt;=5,"OPORTUNO","MUITO BOM")))</f>
        <v/>
      </c>
      <c r="M4137" t="n">
        <v>27</v>
      </c>
      <c r="N4137" t="n">
        <v>99.56999999999999</v>
      </c>
      <c r="O4137" t="n">
        <v>30.63583815028902</v>
      </c>
    </row>
    <row r="4138" hidden="1">
      <c r="A4138" s="11" t="n">
        <v>46132</v>
      </c>
      <c r="B4138" t="inlineStr">
        <is>
          <t>Jaqueline Evangelista da Silva Martins</t>
        </is>
      </c>
      <c r="C4138" t="inlineStr">
        <is>
          <t>Técnico III</t>
        </is>
      </c>
      <c r="D4138" t="n">
        <v>0</v>
      </c>
      <c r="E4138" t="n">
        <v>0</v>
      </c>
      <c r="F4138" t="n">
        <v>0</v>
      </c>
      <c r="G4138" t="n">
        <v>0</v>
      </c>
      <c r="H4138" t="n">
        <v>0</v>
      </c>
      <c r="I4138" s="3" t="n">
        <v>0</v>
      </c>
      <c r="J4138" s="3" t="n">
        <v>0</v>
      </c>
      <c r="K4138" s="3" t="n">
        <v>0</v>
      </c>
      <c r="L4138" s="3">
        <f>IF(K4138&lt;-5,"CRÍTICO",IF(K4138&lt;0,"ATENÇÃO",IF(K4138&lt;=5,"OPORTUNO","MUITO BOM")))</f>
        <v/>
      </c>
      <c r="M4138" t="n">
        <v>0</v>
      </c>
      <c r="N4138" t="n">
        <v>95.65000000000001</v>
      </c>
      <c r="O4138" t="n">
        <v>32.43243243243244</v>
      </c>
    </row>
    <row r="4139" hidden="1">
      <c r="A4139" s="11" t="n">
        <v>46132</v>
      </c>
      <c r="B4139" t="inlineStr">
        <is>
          <t>Jessica Faria da Silveira</t>
        </is>
      </c>
      <c r="C4139" t="inlineStr">
        <is>
          <t>Técnico II</t>
        </is>
      </c>
      <c r="D4139" t="n">
        <v>28</v>
      </c>
      <c r="E4139" t="n">
        <v>23</v>
      </c>
      <c r="F4139" t="n">
        <v>16.49</v>
      </c>
      <c r="G4139" t="n">
        <v>0</v>
      </c>
      <c r="H4139" t="n">
        <v>0</v>
      </c>
      <c r="I4139" s="3">
        <f>E4139+G4139+H4139</f>
        <v/>
      </c>
      <c r="J4139" s="3">
        <f>ROUND(MIN(IF(C4139="Técnico III",35,IF(C4139="Técnico II",28,IF(C4139="Técnico I",23,IF(C4139="JR",20,IF(C4139="Estágio",10,0))))),IF(C4139="Técnico III",SUMIFS($D:$D,$A:$A,$A4139,$B:$B,"&lt;&gt;Patrícia Karla de Sousa Araújo",$B:$B,"&lt;&gt;Lorena Dias de Araujo",$B:$B,"&lt;&gt;Lucas Luiz Romero")*(35/1083),IF(C4139="Técnico II",SUMIFS($D:$D,$A:$A,$A4139,$B:$B,"&lt;&gt;Patrícia Karla de Sousa Araújo",$B:$B,"&lt;&gt;Lorena Dias de Araujo",$B:$B,"&lt;&gt;Lucas Luiz Romero")*(28/1083),IF(C4139="Técnico I",SUMIFS($D:$D,$A:$A,$A4139,$B:$B,"&lt;&gt;Patrícia Karla de Sousa Araújo",$B:$B,"&lt;&gt;Lorena Dias de Araujo",$B:$B,"&lt;&gt;Lucas Luiz Romero")*(23/1083),IF(C4139="JR",SUMIFS($D:$D,$A:$A,$A4139,$B:$B,"&lt;&gt;Patrícia Karla de Sousa Araújo",$B:$B,"&lt;&gt;Lorena Dias de Araujo",$B:$B,"&lt;&gt;Lucas Luiz Romero")*(20/1083),IF(C4139="Estágio",SUMIFS($D:$D,$A:$A,$A4139,$B:$B,"&lt;&gt;Patrícia Karla de Sousa Araújo",$B:$B,"&lt;&gt;Lorena Dias de Araujo",$B:$B,"&lt;&gt;Lucas Luiz Romero")*(10/1083),0)))))),0)</f>
        <v/>
      </c>
      <c r="K4139" s="3">
        <f>I4139-J4139</f>
        <v/>
      </c>
      <c r="L4139" s="3">
        <f>IF(K4139&lt;-5,"CRÍTICO",IF(K4139&lt;0,"ATENÇÃO",IF(K4139&lt;=5,"OPORTUNO","MUITO BOM")))</f>
        <v/>
      </c>
      <c r="M4139" t="n">
        <v>19</v>
      </c>
      <c r="N4139" t="n">
        <v>98.81</v>
      </c>
      <c r="O4139" t="n">
        <v>26.25698324022346</v>
      </c>
    </row>
    <row r="4140" hidden="1">
      <c r="A4140" s="11" t="n">
        <v>46132</v>
      </c>
      <c r="B4140" t="inlineStr">
        <is>
          <t>Jéssica Fé Moura</t>
        </is>
      </c>
      <c r="C4140" t="inlineStr">
        <is>
          <t>Técnico III</t>
        </is>
      </c>
      <c r="D4140" t="n">
        <v>0</v>
      </c>
      <c r="E4140" t="n">
        <v>0</v>
      </c>
      <c r="F4140" t="n">
        <v>0</v>
      </c>
      <c r="G4140" t="n">
        <v>0</v>
      </c>
      <c r="H4140" t="n">
        <v>0</v>
      </c>
      <c r="I4140" s="3" t="n">
        <v>0</v>
      </c>
      <c r="J4140" s="3" t="n">
        <v>0</v>
      </c>
      <c r="K4140" s="3" t="n">
        <v>0</v>
      </c>
      <c r="L4140" s="3">
        <f>IF(K4140&lt;-5,"CRÍTICO",IF(K4140&lt;0,"ATENÇÃO",IF(K4140&lt;=5,"OPORTUNO","MUITO BOM")))</f>
        <v/>
      </c>
      <c r="M4140" t="n">
        <v>0</v>
      </c>
      <c r="N4140" t="n">
        <v>0</v>
      </c>
      <c r="O4140" t="n">
        <v>0</v>
      </c>
    </row>
    <row r="4141" hidden="1">
      <c r="A4141" s="11" t="n">
        <v>46132</v>
      </c>
      <c r="B4141" t="inlineStr">
        <is>
          <t>Karina Gonçalves Martins</t>
        </is>
      </c>
      <c r="C4141" t="inlineStr">
        <is>
          <t>JR</t>
        </is>
      </c>
      <c r="D4141" t="n">
        <v>6</v>
      </c>
      <c r="E4141" t="n">
        <v>6</v>
      </c>
      <c r="F4141" t="n">
        <v>24.11</v>
      </c>
      <c r="G4141" t="n">
        <v>0</v>
      </c>
      <c r="H4141" t="n">
        <v>0</v>
      </c>
      <c r="I4141" s="3">
        <f>E4141+G4141+H4141</f>
        <v/>
      </c>
      <c r="J4141" s="3">
        <f>ROUND(MIN(IF(C4141="Técnico III",35,IF(C4141="Técnico II",28,IF(C4141="Técnico I",23,IF(C4141="JR",20,IF(C4141="Estágio",10,0))))),IF(C4141="Técnico III",SUMIFS($D:$D,$A:$A,$A4141,$B:$B,"&lt;&gt;Patrícia Karla de Sousa Araújo",$B:$B,"&lt;&gt;Lorena Dias de Araujo",$B:$B,"&lt;&gt;Lucas Luiz Romero")*(35/1083),IF(C4141="Técnico II",SUMIFS($D:$D,$A:$A,$A4141,$B:$B,"&lt;&gt;Patrícia Karla de Sousa Araújo",$B:$B,"&lt;&gt;Lorena Dias de Araujo",$B:$B,"&lt;&gt;Lucas Luiz Romero")*(28/1083),IF(C4141="Técnico I",SUMIFS($D:$D,$A:$A,$A4141,$B:$B,"&lt;&gt;Patrícia Karla de Sousa Araújo",$B:$B,"&lt;&gt;Lorena Dias de Araujo",$B:$B,"&lt;&gt;Lucas Luiz Romero")*(23/1083),IF(C4141="JR",SUMIFS($D:$D,$A:$A,$A4141,$B:$B,"&lt;&gt;Patrícia Karla de Sousa Araújo",$B:$B,"&lt;&gt;Lorena Dias de Araujo",$B:$B,"&lt;&gt;Lucas Luiz Romero")*(20/1083),IF(C4141="Estágio",SUMIFS($D:$D,$A:$A,$A4141,$B:$B,"&lt;&gt;Patrícia Karla de Sousa Araújo",$B:$B,"&lt;&gt;Lorena Dias de Araujo",$B:$B,"&lt;&gt;Lucas Luiz Romero")*(10/1083),0)))))),0)</f>
        <v/>
      </c>
      <c r="K4141" s="3">
        <f>I4141-J4141</f>
        <v/>
      </c>
      <c r="L4141" s="3">
        <f>IF(K4141&lt;-5,"CRÍTICO",IF(K4141&lt;0,"ATENÇÃO",IF(K4141&lt;=5,"OPORTUNO","MUITO BOM")))</f>
        <v/>
      </c>
      <c r="M4141" t="n">
        <v>5</v>
      </c>
      <c r="N4141" t="n">
        <v>97.17</v>
      </c>
      <c r="O4141" t="n">
        <v>28.81844380403458</v>
      </c>
    </row>
    <row r="4142" hidden="1">
      <c r="A4142" s="11" t="n">
        <v>46132</v>
      </c>
      <c r="B4142" t="inlineStr">
        <is>
          <t>Kerollen Cristielly de Jesus Siqueira</t>
        </is>
      </c>
      <c r="C4142" t="inlineStr">
        <is>
          <t>Técnico III</t>
        </is>
      </c>
      <c r="D4142" t="n">
        <v>0</v>
      </c>
      <c r="E4142" t="n">
        <v>0</v>
      </c>
      <c r="F4142" t="n">
        <v>0</v>
      </c>
      <c r="G4142" t="n">
        <v>0</v>
      </c>
      <c r="H4142" t="n">
        <v>0</v>
      </c>
      <c r="I4142" s="3" t="n">
        <v>0</v>
      </c>
      <c r="J4142" s="3" t="n">
        <v>0</v>
      </c>
      <c r="K4142" s="3" t="n">
        <v>0</v>
      </c>
      <c r="L4142" s="3">
        <f>IF(K4142&lt;-5,"CRÍTICO",IF(K4142&lt;0,"ATENÇÃO",IF(K4142&lt;=5,"OPORTUNO","MUITO BOM")))</f>
        <v/>
      </c>
      <c r="M4142" t="n">
        <v>17</v>
      </c>
      <c r="N4142" t="n">
        <v>96.81</v>
      </c>
      <c r="O4142" t="n">
        <v>48.01864801864802</v>
      </c>
    </row>
    <row r="4143" hidden="1">
      <c r="A4143" s="11" t="n">
        <v>46132</v>
      </c>
      <c r="B4143" t="inlineStr">
        <is>
          <t>Leandro de Souza Silva</t>
        </is>
      </c>
      <c r="C4143" t="inlineStr">
        <is>
          <t>JR</t>
        </is>
      </c>
      <c r="D4143" t="n">
        <v>8</v>
      </c>
      <c r="E4143" t="n">
        <v>8</v>
      </c>
      <c r="F4143" t="n">
        <v>22.12</v>
      </c>
      <c r="G4143" t="n">
        <v>0</v>
      </c>
      <c r="H4143" t="n">
        <v>0</v>
      </c>
      <c r="I4143" s="3">
        <f>E4143+G4143+H4143</f>
        <v/>
      </c>
      <c r="J4143" s="3">
        <f>ROUND(MIN(IF(C4143="Técnico III",35,IF(C4143="Técnico II",28,IF(C4143="Técnico I",23,IF(C4143="JR",20,IF(C4143="Estágio",10,0))))),IF(C4143="Técnico III",SUMIFS($D:$D,$A:$A,$A4143,$B:$B,"&lt;&gt;Patrícia Karla de Sousa Araújo",$B:$B,"&lt;&gt;Lorena Dias de Araujo",$B:$B,"&lt;&gt;Lucas Luiz Romero")*(35/1083),IF(C4143="Técnico II",SUMIFS($D:$D,$A:$A,$A4143,$B:$B,"&lt;&gt;Patrícia Karla de Sousa Araújo",$B:$B,"&lt;&gt;Lorena Dias de Araujo",$B:$B,"&lt;&gt;Lucas Luiz Romero")*(28/1083),IF(C4143="Técnico I",SUMIFS($D:$D,$A:$A,$A4143,$B:$B,"&lt;&gt;Patrícia Karla de Sousa Araújo",$B:$B,"&lt;&gt;Lorena Dias de Araujo",$B:$B,"&lt;&gt;Lucas Luiz Romero")*(23/1083),IF(C4143="JR",SUMIFS($D:$D,$A:$A,$A4143,$B:$B,"&lt;&gt;Patrícia Karla de Sousa Araújo",$B:$B,"&lt;&gt;Lorena Dias de Araujo",$B:$B,"&lt;&gt;Lucas Luiz Romero")*(20/1083),IF(C4143="Estágio",SUMIFS($D:$D,$A:$A,$A4143,$B:$B,"&lt;&gt;Patrícia Karla de Sousa Araújo",$B:$B,"&lt;&gt;Lorena Dias de Araujo",$B:$B,"&lt;&gt;Lucas Luiz Romero")*(10/1083),0)))))),0)</f>
        <v/>
      </c>
      <c r="K4143" s="3">
        <f>I4143-J4143</f>
        <v/>
      </c>
      <c r="L4143" s="3">
        <f>IF(K4143&lt;-5,"CRÍTICO",IF(K4143&lt;0,"ATENÇÃO",IF(K4143&lt;=5,"OPORTUNO","MUITO BOM")))</f>
        <v/>
      </c>
      <c r="M4143" t="n">
        <v>6</v>
      </c>
      <c r="N4143" t="n">
        <v>98.15000000000001</v>
      </c>
      <c r="O4143" t="n">
        <v>27.1551724137931</v>
      </c>
    </row>
    <row r="4144" hidden="1">
      <c r="A4144" s="11" t="n">
        <v>46132</v>
      </c>
      <c r="B4144" t="inlineStr">
        <is>
          <t>Leandro Oliveira de Sousa</t>
        </is>
      </c>
      <c r="C4144" t="inlineStr">
        <is>
          <t>Técnico III</t>
        </is>
      </c>
      <c r="D4144" t="n">
        <v>27</v>
      </c>
      <c r="E4144" t="n">
        <v>23</v>
      </c>
      <c r="F4144" t="n">
        <v>16.42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M4144" t="n">
        <v>22</v>
      </c>
      <c r="N4144" t="n">
        <v>99.15000000000001</v>
      </c>
      <c r="O4144" t="n">
        <v>27.58620689655172</v>
      </c>
    </row>
    <row r="4145" hidden="1">
      <c r="A4145" s="11" t="n">
        <v>46132</v>
      </c>
      <c r="B4145" t="inlineStr">
        <is>
          <t>Lizandra Gomes Duarte</t>
        </is>
      </c>
      <c r="C4145" t="inlineStr">
        <is>
          <t>Técnico II</t>
        </is>
      </c>
      <c r="D4145" t="n">
        <v>19</v>
      </c>
      <c r="E4145" t="n">
        <v>19</v>
      </c>
      <c r="F4145" t="n">
        <v>20.49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M4145" t="n">
        <v>9</v>
      </c>
      <c r="N4145" t="n">
        <v>99.17</v>
      </c>
      <c r="O4145" t="n">
        <v>29.75206611570248</v>
      </c>
    </row>
    <row r="4146" hidden="1">
      <c r="A4146" s="11" t="n">
        <v>46132</v>
      </c>
      <c r="B4146" t="inlineStr">
        <is>
          <t>Lorena Dias de Araujo</t>
        </is>
      </c>
      <c r="C4146" t="inlineStr">
        <is>
          <t>Técnico II</t>
        </is>
      </c>
      <c r="D4146" t="n">
        <v>0</v>
      </c>
      <c r="E4146" t="n">
        <v>0</v>
      </c>
      <c r="F4146" t="n">
        <v>0</v>
      </c>
      <c r="G4146" t="n">
        <v>0</v>
      </c>
      <c r="H4146" t="n">
        <v>0</v>
      </c>
      <c r="I4146" s="3" t="n">
        <v>0</v>
      </c>
      <c r="J4146" s="3" t="n">
        <v>0</v>
      </c>
      <c r="K4146" s="3" t="n">
        <v>0</v>
      </c>
      <c r="L4146" s="3">
        <f>IF(K4146&lt;-5,"CRÍTICO",IF(K4146&lt;0,"ATENÇÃO",IF(K4146&lt;=5,"OPORTUNO","MUITO BOM")))</f>
        <v/>
      </c>
      <c r="M4146" t="n">
        <v>0</v>
      </c>
      <c r="N4146" t="n">
        <v>98.73</v>
      </c>
      <c r="O4146" t="n">
        <v>28.96174863387978</v>
      </c>
    </row>
    <row r="4147" hidden="1">
      <c r="A4147" s="11" t="n">
        <v>46132</v>
      </c>
      <c r="B4147" t="inlineStr">
        <is>
          <t>Lucas Luiz Romero</t>
        </is>
      </c>
      <c r="C4147" t="inlineStr">
        <is>
          <t>Técnico III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M4147" t="n">
        <v>0</v>
      </c>
      <c r="N4147" t="n">
        <v>88.68000000000001</v>
      </c>
      <c r="O4147" t="n">
        <v>22.03389830508474</v>
      </c>
    </row>
    <row r="4148" hidden="1">
      <c r="A4148" s="11" t="n">
        <v>46132</v>
      </c>
      <c r="B4148" t="inlineStr">
        <is>
          <t>Luiz Fernando de Carvalho Junior</t>
        </is>
      </c>
      <c r="C4148" t="inlineStr">
        <is>
          <t>Técnico I</t>
        </is>
      </c>
      <c r="D4148" t="n">
        <v>13</v>
      </c>
      <c r="E4148" t="n">
        <v>11</v>
      </c>
      <c r="F4148" t="n">
        <v>18.36</v>
      </c>
      <c r="G4148" t="n">
        <v>0</v>
      </c>
      <c r="H4148" t="n">
        <v>0</v>
      </c>
      <c r="I4148" s="3">
        <f>E4148+G4148+H4148</f>
        <v/>
      </c>
      <c r="J4148" s="3">
        <f>ROUND(MIN(IF(C4148="Técnico III",35,IF(C4148="Técnico II",28,IF(C4148="Técnico I",23,IF(C4148="JR",20,IF(C4148="Estágio",10,0))))),IF(C4148="Técnico III",SUMIFS($D:$D,$A:$A,$A4148,$B:$B,"&lt;&gt;Patrícia Karla de Sousa Araújo",$B:$B,"&lt;&gt;Lorena Dias de Araujo",$B:$B,"&lt;&gt;Lucas Luiz Romero")*(35/1083),IF(C4148="Técnico II",SUMIFS($D:$D,$A:$A,$A4148,$B:$B,"&lt;&gt;Patrícia Karla de Sousa Araújo",$B:$B,"&lt;&gt;Lorena Dias de Araujo",$B:$B,"&lt;&gt;Lucas Luiz Romero")*(28/1083),IF(C4148="Técnico I",SUMIFS($D:$D,$A:$A,$A4148,$B:$B,"&lt;&gt;Patrícia Karla de Sousa Araújo",$B:$B,"&lt;&gt;Lorena Dias de Araujo",$B:$B,"&lt;&gt;Lucas Luiz Romero")*(23/1083),IF(C4148="JR",SUMIFS($D:$D,$A:$A,$A4148,$B:$B,"&lt;&gt;Patrícia Karla de Sousa Araújo",$B:$B,"&lt;&gt;Lorena Dias de Araujo",$B:$B,"&lt;&gt;Lucas Luiz Romero")*(20/1083),IF(C4148="Estágio",SUMIFS($D:$D,$A:$A,$A4148,$B:$B,"&lt;&gt;Patrícia Karla de Sousa Araújo",$B:$B,"&lt;&gt;Lorena Dias de Araujo",$B:$B,"&lt;&gt;Lucas Luiz Romero")*(10/1083),0)))))),0)</f>
        <v/>
      </c>
      <c r="K4148" s="3">
        <f>I4148-J4148</f>
        <v/>
      </c>
      <c r="L4148" s="3">
        <f>IF(K4148&lt;-5,"CRÍTICO",IF(K4148&lt;0,"ATENÇÃO",IF(K4148&lt;=5,"OPORTUNO","MUITO BOM")))</f>
        <v/>
      </c>
      <c r="M4148" t="n">
        <v>13</v>
      </c>
      <c r="N4148" t="n">
        <v>97.37</v>
      </c>
      <c r="O4148" t="n">
        <v>25.76530612244898</v>
      </c>
    </row>
    <row r="4149" hidden="1">
      <c r="A4149" s="11" t="n">
        <v>46132</v>
      </c>
      <c r="B4149" t="inlineStr">
        <is>
          <t>Maria Eduarda Sousa Costa</t>
        </is>
      </c>
      <c r="C4149" t="inlineStr">
        <is>
          <t>Estágio</t>
        </is>
      </c>
      <c r="D4149" t="n">
        <v>10</v>
      </c>
      <c r="E4149" t="n">
        <v>10</v>
      </c>
      <c r="F4149" t="n">
        <v>25.55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M4149" t="n">
        <v>8</v>
      </c>
      <c r="N4149" t="n">
        <v>100</v>
      </c>
      <c r="O4149" t="n">
        <v>25</v>
      </c>
    </row>
    <row r="4150" hidden="1">
      <c r="A4150" s="11" t="n">
        <v>46132</v>
      </c>
      <c r="B4150" t="inlineStr">
        <is>
          <t>Matheus Farias De Souza</t>
        </is>
      </c>
      <c r="C4150" t="inlineStr">
        <is>
          <t>Técnico III</t>
        </is>
      </c>
      <c r="D4150" t="n">
        <v>23</v>
      </c>
      <c r="E4150" t="n">
        <v>21</v>
      </c>
      <c r="F4150" t="n">
        <v>14.14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M4150" t="n">
        <v>23</v>
      </c>
      <c r="N4150" t="n">
        <v>100</v>
      </c>
      <c r="O4150" t="n">
        <v>23.9870340356564</v>
      </c>
    </row>
    <row r="4151" hidden="1">
      <c r="A4151" s="11" t="n">
        <v>46132</v>
      </c>
      <c r="B4151" t="inlineStr">
        <is>
          <t>Maysa Victoria Dias Moura</t>
        </is>
      </c>
      <c r="C4151" t="inlineStr">
        <is>
          <t>Técnico III</t>
        </is>
      </c>
      <c r="D4151" t="n">
        <v>27</v>
      </c>
      <c r="E4151" t="n">
        <v>26</v>
      </c>
      <c r="F4151" t="n">
        <v>15.38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M4151" t="n">
        <v>22</v>
      </c>
      <c r="N4151" t="n">
        <v>95.48999999999999</v>
      </c>
      <c r="O4151" t="n">
        <v>28.37022132796781</v>
      </c>
    </row>
    <row r="4152" hidden="1">
      <c r="A4152" s="11" t="n">
        <v>46132</v>
      </c>
      <c r="B4152" t="inlineStr">
        <is>
          <t>Michelle G Santos</t>
        </is>
      </c>
      <c r="C4152" t="inlineStr">
        <is>
          <t>Estágio</t>
        </is>
      </c>
      <c r="D4152" t="n">
        <v>0</v>
      </c>
      <c r="E4152" t="n">
        <v>0</v>
      </c>
      <c r="F4152" t="n">
        <v>0</v>
      </c>
      <c r="G4152" t="n">
        <v>0</v>
      </c>
      <c r="H4152" t="n">
        <v>0</v>
      </c>
      <c r="I4152" s="3" t="n">
        <v>0</v>
      </c>
      <c r="J4152" s="3" t="n">
        <v>0</v>
      </c>
      <c r="K4152" s="3" t="n">
        <v>0</v>
      </c>
      <c r="L4152" s="3">
        <f>IF(K4152&lt;-5,"CRÍTICO",IF(K4152&lt;0,"ATENÇÃO",IF(K4152&lt;=5,"OPORTUNO","MUITO BOM")))</f>
        <v/>
      </c>
      <c r="M4152" t="n">
        <v>0</v>
      </c>
      <c r="N4152" t="n">
        <v>100</v>
      </c>
      <c r="O4152" t="n">
        <v>23.77622377622378</v>
      </c>
    </row>
    <row r="4153" hidden="1">
      <c r="A4153" s="11" t="n">
        <v>46132</v>
      </c>
      <c r="B4153" t="inlineStr">
        <is>
          <t>Milena Sales</t>
        </is>
      </c>
      <c r="C4153" t="inlineStr">
        <is>
          <t>JR</t>
        </is>
      </c>
      <c r="D4153" t="n">
        <v>10</v>
      </c>
      <c r="E4153" t="n">
        <v>8</v>
      </c>
      <c r="F4153" t="n">
        <v>15.55</v>
      </c>
      <c r="G4153" t="n">
        <v>0</v>
      </c>
      <c r="H4153" t="n">
        <v>0</v>
      </c>
      <c r="I4153" s="3">
        <f>E4153+G4153+H4153</f>
        <v/>
      </c>
      <c r="J4153" s="3">
        <f>ROUND(MIN(IF(C4153="Técnico III",35,IF(C4153="Técnico II",28,IF(C4153="Técnico I",23,IF(C4153="JR",20,IF(C4153="Estágio",10,0))))),IF(C4153="Técnico III",SUMIFS($D:$D,$A:$A,$A4153,$B:$B,"&lt;&gt;Patrícia Karla de Sousa Araújo",$B:$B,"&lt;&gt;Lorena Dias de Araujo",$B:$B,"&lt;&gt;Lucas Luiz Romero")*(35/1083),IF(C4153="Técnico II",SUMIFS($D:$D,$A:$A,$A4153,$B:$B,"&lt;&gt;Patrícia Karla de Sousa Araújo",$B:$B,"&lt;&gt;Lorena Dias de Araujo",$B:$B,"&lt;&gt;Lucas Luiz Romero")*(28/1083),IF(C4153="Técnico I",SUMIFS($D:$D,$A:$A,$A4153,$B:$B,"&lt;&gt;Patrícia Karla de Sousa Araújo",$B:$B,"&lt;&gt;Lorena Dias de Araujo",$B:$B,"&lt;&gt;Lucas Luiz Romero")*(23/1083),IF(C4153="JR",SUMIFS($D:$D,$A:$A,$A4153,$B:$B,"&lt;&gt;Patrícia Karla de Sousa Araújo",$B:$B,"&lt;&gt;Lorena Dias de Araujo",$B:$B,"&lt;&gt;Lucas Luiz Romero")*(20/1083),IF(C4153="Estágio",SUMIFS($D:$D,$A:$A,$A4153,$B:$B,"&lt;&gt;Patrícia Karla de Sousa Araújo",$B:$B,"&lt;&gt;Lorena Dias de Araujo",$B:$B,"&lt;&gt;Lucas Luiz Romero")*(10/1083),0)))))),0)</f>
        <v/>
      </c>
      <c r="K4153" s="3">
        <f>I4153-J4153</f>
        <v/>
      </c>
      <c r="L4153" s="3">
        <f>IF(K4153&lt;-5,"CRÍTICO",IF(K4153&lt;0,"ATENÇÃO",IF(K4153&lt;=5,"OPORTUNO","MUITO BOM")))</f>
        <v/>
      </c>
      <c r="M4153" t="n">
        <v>7</v>
      </c>
      <c r="N4153" t="n">
        <v>96.15000000000001</v>
      </c>
      <c r="O4153" t="n">
        <v>24.04580152671756</v>
      </c>
    </row>
    <row r="4154" hidden="1">
      <c r="A4154" s="11" t="n">
        <v>46132</v>
      </c>
      <c r="B4154" t="inlineStr">
        <is>
          <t>Patrícia Karla de Sousa Araújo</t>
        </is>
      </c>
      <c r="C4154" t="inlineStr">
        <is>
          <t>Técnico II</t>
        </is>
      </c>
      <c r="D4154" t="n">
        <v>16</v>
      </c>
      <c r="E4154" t="n">
        <v>12</v>
      </c>
      <c r="F4154" t="n">
        <v>20.08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M4154" t="n">
        <v>14</v>
      </c>
      <c r="N4154" t="n">
        <v>99.02</v>
      </c>
      <c r="O4154" t="n">
        <v>34.7972972972973</v>
      </c>
    </row>
    <row r="4155" hidden="1">
      <c r="A4155" s="11" t="n">
        <v>46132</v>
      </c>
      <c r="B4155" t="inlineStr">
        <is>
          <t>Paulo Ricardo Santos</t>
        </is>
      </c>
      <c r="C4155" t="inlineStr">
        <is>
          <t>JR</t>
        </is>
      </c>
      <c r="D4155" t="n">
        <v>10</v>
      </c>
      <c r="E4155" t="n">
        <v>10</v>
      </c>
      <c r="F4155" t="n">
        <v>13.27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M4155" t="n">
        <v>10</v>
      </c>
      <c r="N4155" t="n">
        <v>98.84</v>
      </c>
      <c r="O4155" t="n">
        <v>31.86813186813187</v>
      </c>
    </row>
    <row r="4156" hidden="1">
      <c r="A4156" s="11" t="n">
        <v>46132</v>
      </c>
      <c r="B4156" t="inlineStr">
        <is>
          <t>Pedro Luiz Mota Sousa</t>
        </is>
      </c>
      <c r="C4156" t="inlineStr">
        <is>
          <t>JR</t>
        </is>
      </c>
      <c r="D4156" t="n">
        <v>9</v>
      </c>
      <c r="E4156" t="n">
        <v>9</v>
      </c>
      <c r="F4156" t="n">
        <v>18.37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M4156" t="n">
        <v>8</v>
      </c>
      <c r="N4156" t="n">
        <v>100</v>
      </c>
      <c r="O4156" t="n">
        <v>34.66666666666667</v>
      </c>
    </row>
    <row r="4157" hidden="1">
      <c r="A4157" s="11" t="n">
        <v>46132</v>
      </c>
      <c r="B4157" t="inlineStr">
        <is>
          <t>Quirino Diogo Leite Torres</t>
        </is>
      </c>
      <c r="C4157" t="inlineStr">
        <is>
          <t>Estágio</t>
        </is>
      </c>
      <c r="D4157" t="n">
        <v>6</v>
      </c>
      <c r="E4157" t="n">
        <v>6</v>
      </c>
      <c r="F4157" t="n">
        <v>36.4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M4157" t="n">
        <v>5</v>
      </c>
      <c r="N4157" t="n">
        <v>94.12</v>
      </c>
      <c r="O4157" t="n">
        <v>32.8</v>
      </c>
    </row>
    <row r="4158" hidden="1">
      <c r="A4158" s="11" t="n">
        <v>46132</v>
      </c>
      <c r="B4158" t="inlineStr">
        <is>
          <t>Raane Batista Matos</t>
        </is>
      </c>
      <c r="C4158" t="inlineStr">
        <is>
          <t>Técnico I</t>
        </is>
      </c>
      <c r="D4158" t="n">
        <v>11</v>
      </c>
      <c r="E4158" t="n">
        <v>11</v>
      </c>
      <c r="F4158" t="n">
        <v>13.35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M4158" t="n">
        <v>6</v>
      </c>
      <c r="N4158" t="n">
        <v>98.31999999999999</v>
      </c>
      <c r="O4158" t="n">
        <v>26.85851318944844</v>
      </c>
    </row>
    <row r="4159" hidden="1">
      <c r="A4159" s="11" t="n">
        <v>46132</v>
      </c>
      <c r="B4159" t="inlineStr">
        <is>
          <t>Rafael Gomes de Morais</t>
        </is>
      </c>
      <c r="C4159" t="inlineStr">
        <is>
          <t>Técnico III</t>
        </is>
      </c>
      <c r="D4159" t="n">
        <v>32</v>
      </c>
      <c r="E4159" t="n">
        <v>30</v>
      </c>
      <c r="F4159" t="n">
        <v>11.55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M4159" t="n">
        <v>19</v>
      </c>
      <c r="N4159" t="n">
        <v>100</v>
      </c>
      <c r="O4159" t="n">
        <v>31.13553113553114</v>
      </c>
    </row>
    <row r="4160" hidden="1">
      <c r="A4160" s="11" t="n">
        <v>46132</v>
      </c>
      <c r="B4160" t="inlineStr">
        <is>
          <t>Sara Maria Monteiro Lopes</t>
        </is>
      </c>
      <c r="C4160" t="inlineStr">
        <is>
          <t>Técnico I</t>
        </is>
      </c>
      <c r="D4160" t="n">
        <v>7</v>
      </c>
      <c r="E4160" t="n">
        <v>7</v>
      </c>
      <c r="F4160" t="n">
        <v>24.17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M4160" t="n">
        <v>7</v>
      </c>
      <c r="N4160" t="n">
        <v>100</v>
      </c>
      <c r="O4160" t="n">
        <v>26.36986301369863</v>
      </c>
    </row>
    <row r="4161" hidden="1">
      <c r="A4161" s="11" t="n">
        <v>46132</v>
      </c>
      <c r="B4161" t="inlineStr">
        <is>
          <t>Sarah Steffanie de Lima Borges</t>
        </is>
      </c>
      <c r="C4161" t="inlineStr">
        <is>
          <t>Técnico III</t>
        </is>
      </c>
      <c r="D4161" t="n">
        <v>26</v>
      </c>
      <c r="E4161" t="n">
        <v>23</v>
      </c>
      <c r="F4161" t="n">
        <v>15.04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M4161" t="n">
        <v>19</v>
      </c>
      <c r="N4161" t="n">
        <v>99.20999999999999</v>
      </c>
      <c r="O4161" t="n">
        <v>25.18891687657431</v>
      </c>
    </row>
    <row r="4162" hidden="1">
      <c r="A4162" s="11" t="n">
        <v>46134</v>
      </c>
      <c r="B4162" t="inlineStr">
        <is>
          <t>Alisson de Freitas Silva</t>
        </is>
      </c>
      <c r="C4162" t="inlineStr">
        <is>
          <t>Técnico II</t>
        </is>
      </c>
      <c r="D4162" t="n">
        <v>42</v>
      </c>
      <c r="E4162" t="n">
        <v>38</v>
      </c>
      <c r="F4162" t="n">
        <v>10.58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M4162" t="n">
        <v>30</v>
      </c>
      <c r="N4162" t="n">
        <v>100</v>
      </c>
      <c r="O4162" t="n">
        <v>32.76450511945392</v>
      </c>
    </row>
    <row r="4163" hidden="1">
      <c r="A4163" s="11" t="n">
        <v>46134</v>
      </c>
      <c r="B4163" t="inlineStr">
        <is>
          <t>Amanda Moura Ferreira</t>
        </is>
      </c>
      <c r="C4163" t="inlineStr">
        <is>
          <t>Técnico III</t>
        </is>
      </c>
      <c r="D4163" t="n">
        <v>0</v>
      </c>
      <c r="E4163" t="n">
        <v>0</v>
      </c>
      <c r="F4163" t="n">
        <v>0</v>
      </c>
      <c r="G4163" t="n">
        <v>0</v>
      </c>
      <c r="H4163" t="n">
        <v>0</v>
      </c>
      <c r="I4163" s="3" t="n">
        <v>0</v>
      </c>
      <c r="J4163" s="3" t="n">
        <v>0</v>
      </c>
      <c r="K4163" s="3" t="n">
        <v>0</v>
      </c>
      <c r="L4163" s="3">
        <f>IF(K4163&lt;-5,"CRÍTICO",IF(K4163&lt;0,"ATENÇÃO",IF(K4163&lt;=5,"OPORTUNO","MUITO BOM")))</f>
        <v/>
      </c>
      <c r="M4163" t="n">
        <v>21</v>
      </c>
      <c r="N4163" t="n">
        <v>98.66</v>
      </c>
      <c r="O4163" t="n">
        <v>35.41666666666667</v>
      </c>
    </row>
    <row r="4164" hidden="1">
      <c r="A4164" s="11" t="n">
        <v>46134</v>
      </c>
      <c r="B4164" t="inlineStr">
        <is>
          <t>Ana Karollyne Souza Faria</t>
        </is>
      </c>
      <c r="C4164" t="inlineStr">
        <is>
          <t>Técnico I</t>
        </is>
      </c>
      <c r="D4164" t="n">
        <v>33</v>
      </c>
      <c r="E4164" t="n">
        <v>30</v>
      </c>
      <c r="F4164" t="n">
        <v>12.16</v>
      </c>
      <c r="G4164" t="n">
        <v>0</v>
      </c>
      <c r="H4164" t="n">
        <v>0</v>
      </c>
      <c r="I4164" s="3">
        <f>E4164+G4164+H4164</f>
        <v/>
      </c>
      <c r="J4164" s="3">
        <f>ROUND(MIN(IF(C4164="Técnico III",35,IF(C4164="Técnico II",28,IF(C4164="Técnico I",23,IF(C4164="JR",20,IF(C4164="Estágio",10,0))))),IF(C4164="Técnico III",SUMIFS($D:$D,$A:$A,$A4164,$B:$B,"&lt;&gt;Patrícia Karla de Sousa Araújo",$B:$B,"&lt;&gt;Lorena Dias de Araujo",$B:$B,"&lt;&gt;Lucas Luiz Romero")*(35/1083),IF(C4164="Técnico II",SUMIFS($D:$D,$A:$A,$A4164,$B:$B,"&lt;&gt;Patrícia Karla de Sousa Araújo",$B:$B,"&lt;&gt;Lorena Dias de Araujo",$B:$B,"&lt;&gt;Lucas Luiz Romero")*(28/1083),IF(C4164="Técnico I",SUMIFS($D:$D,$A:$A,$A4164,$B:$B,"&lt;&gt;Patrícia Karla de Sousa Araújo",$B:$B,"&lt;&gt;Lorena Dias de Araujo",$B:$B,"&lt;&gt;Lucas Luiz Romero")*(23/1083),IF(C4164="JR",SUMIFS($D:$D,$A:$A,$A4164,$B:$B,"&lt;&gt;Patrícia Karla de Sousa Araújo",$B:$B,"&lt;&gt;Lorena Dias de Araujo",$B:$B,"&lt;&gt;Lucas Luiz Romero")*(20/1083),IF(C4164="Estágio",SUMIFS($D:$D,$A:$A,$A4164,$B:$B,"&lt;&gt;Patrícia Karla de Sousa Araújo",$B:$B,"&lt;&gt;Lorena Dias de Araujo",$B:$B,"&lt;&gt;Lucas Luiz Romero")*(10/1083),0)))))),0)</f>
        <v/>
      </c>
      <c r="K4164" s="3">
        <f>I4164-J4164</f>
        <v/>
      </c>
      <c r="L4164" s="3">
        <f>IF(K4164&lt;-5,"CRÍTICO",IF(K4164&lt;0,"ATENÇÃO",IF(K4164&lt;=5,"OPORTUNO","MUITO BOM")))</f>
        <v/>
      </c>
      <c r="M4164" t="n">
        <v>32</v>
      </c>
      <c r="N4164" t="n">
        <v>99.31999999999999</v>
      </c>
      <c r="O4164" t="n">
        <v>30.6483300589391</v>
      </c>
    </row>
    <row r="4165" hidden="1">
      <c r="A4165" s="11" t="n">
        <v>46134</v>
      </c>
      <c r="B4165" t="inlineStr">
        <is>
          <t>Ana Paula Da Luz Silva Aleixo</t>
        </is>
      </c>
      <c r="C4165" t="inlineStr">
        <is>
          <t>Técnico III</t>
        </is>
      </c>
      <c r="D4165" t="n">
        <v>16</v>
      </c>
      <c r="E4165" t="n">
        <v>15</v>
      </c>
      <c r="F4165" t="n">
        <v>26.58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M4165" t="n">
        <v>13</v>
      </c>
      <c r="N4165" t="n">
        <v>100</v>
      </c>
      <c r="O4165" t="n">
        <v>27.80373831775701</v>
      </c>
    </row>
    <row r="4166" hidden="1">
      <c r="A4166" s="11" t="n">
        <v>46134</v>
      </c>
      <c r="B4166" t="inlineStr">
        <is>
          <t>Anna Luiza Rezende Tavares</t>
        </is>
      </c>
      <c r="C4166" t="inlineStr">
        <is>
          <t>Estágio</t>
        </is>
      </c>
      <c r="D4166" t="n">
        <v>28</v>
      </c>
      <c r="E4166" t="n">
        <v>25</v>
      </c>
      <c r="F4166" t="n">
        <v>14.12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M4166" t="n">
        <v>22</v>
      </c>
      <c r="N4166" t="n">
        <v>96.73999999999999</v>
      </c>
      <c r="O4166" t="n">
        <v>28.67647058823529</v>
      </c>
    </row>
    <row r="4167" hidden="1">
      <c r="A4167" s="11" t="n">
        <v>46134</v>
      </c>
      <c r="B4167" t="inlineStr">
        <is>
          <t>Brenda de Menezes Silva</t>
        </is>
      </c>
      <c r="C4167" t="inlineStr">
        <is>
          <t>Técnico II</t>
        </is>
      </c>
      <c r="D4167" t="n">
        <v>0</v>
      </c>
      <c r="E4167" t="n">
        <v>0</v>
      </c>
      <c r="F4167" t="n">
        <v>0</v>
      </c>
      <c r="G4167" t="n">
        <v>0</v>
      </c>
      <c r="H4167" t="n">
        <v>0</v>
      </c>
      <c r="I4167" s="3" t="n">
        <v>0</v>
      </c>
      <c r="J4167" s="3" t="n">
        <v>0</v>
      </c>
      <c r="K4167" s="3" t="n">
        <v>0</v>
      </c>
      <c r="L4167" s="3">
        <f>IF(K4167&lt;-5,"CRÍTICO",IF(K4167&lt;0,"ATENÇÃO",IF(K4167&lt;=5,"OPORTUNO","MUITO BOM")))</f>
        <v/>
      </c>
      <c r="M4167" t="n">
        <v>0</v>
      </c>
      <c r="N4167" t="n">
        <v>98.81999999999999</v>
      </c>
      <c r="O4167" t="n">
        <v>30.74141048824593</v>
      </c>
    </row>
    <row r="4168" hidden="1">
      <c r="A4168" s="11" t="n">
        <v>46134</v>
      </c>
      <c r="B4168" t="inlineStr">
        <is>
          <t>Carlos Mateus Cassimiro Nunes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M4168" t="n">
        <v>0</v>
      </c>
      <c r="N4168" t="n">
        <v>98.2</v>
      </c>
      <c r="O4168" t="n">
        <v>27.17086834733893</v>
      </c>
    </row>
    <row r="4169" hidden="1">
      <c r="A4169" s="11" t="n">
        <v>46134</v>
      </c>
      <c r="B4169" t="inlineStr">
        <is>
          <t>Claudio de Sousa Velasco Filho</t>
        </is>
      </c>
      <c r="C4169" t="inlineStr">
        <is>
          <t>Estágio</t>
        </is>
      </c>
      <c r="D4169" t="n">
        <v>5</v>
      </c>
      <c r="E4169" t="n">
        <v>5</v>
      </c>
      <c r="F4169" t="n">
        <v>33.49</v>
      </c>
      <c r="G4169" t="n">
        <v>0</v>
      </c>
      <c r="H4169" t="n">
        <v>0</v>
      </c>
      <c r="I4169" s="3">
        <f>E4169+G4169+H4169</f>
        <v/>
      </c>
      <c r="J4169" s="3">
        <f>ROUND(MIN(IF(C4169="Técnico III",35,IF(C4169="Técnico II",28,IF(C4169="Técnico I",23,IF(C4169="JR",20,IF(C4169="Estágio",10,0))))),IF(C4169="Técnico III",SUMIFS($D:$D,$A:$A,$A4169,$B:$B,"&lt;&gt;Patrícia Karla de Sousa Araújo",$B:$B,"&lt;&gt;Lorena Dias de Araujo",$B:$B,"&lt;&gt;Lucas Luiz Romero")*(35/1083),IF(C4169="Técnico II",SUMIFS($D:$D,$A:$A,$A4169,$B:$B,"&lt;&gt;Patrícia Karla de Sousa Araújo",$B:$B,"&lt;&gt;Lorena Dias de Araujo",$B:$B,"&lt;&gt;Lucas Luiz Romero")*(28/1083),IF(C4169="Técnico I",SUMIFS($D:$D,$A:$A,$A4169,$B:$B,"&lt;&gt;Patrícia Karla de Sousa Araújo",$B:$B,"&lt;&gt;Lorena Dias de Araujo",$B:$B,"&lt;&gt;Lucas Luiz Romero")*(23/1083),IF(C4169="JR",SUMIFS($D:$D,$A:$A,$A4169,$B:$B,"&lt;&gt;Patrícia Karla de Sousa Araújo",$B:$B,"&lt;&gt;Lorena Dias de Araujo",$B:$B,"&lt;&gt;Lucas Luiz Romero")*(20/1083),IF(C4169="Estágio",SUMIFS($D:$D,$A:$A,$A4169,$B:$B,"&lt;&gt;Patrícia Karla de Sousa Araújo",$B:$B,"&lt;&gt;Lorena Dias de Araujo",$B:$B,"&lt;&gt;Lucas Luiz Romero")*(10/1083),0)))))),0)</f>
        <v/>
      </c>
      <c r="K4169" s="3">
        <f>I4169-J4169</f>
        <v/>
      </c>
      <c r="L4169" s="3">
        <f>IF(K4169&lt;-5,"CRÍTICO",IF(K4169&lt;0,"ATENÇÃO",IF(K4169&lt;=5,"OPORTUNO","MUITO BOM")))</f>
        <v/>
      </c>
      <c r="M4169" t="n">
        <v>4</v>
      </c>
      <c r="N4169" t="n">
        <v>100</v>
      </c>
      <c r="O4169" t="n">
        <v>23.13432835820895</v>
      </c>
    </row>
    <row r="4170" hidden="1">
      <c r="A4170" s="11" t="n">
        <v>46134</v>
      </c>
      <c r="B4170" t="inlineStr">
        <is>
          <t>Clessiane Pereira dos Santos</t>
        </is>
      </c>
      <c r="C4170" t="inlineStr">
        <is>
          <t>Técnico I</t>
        </is>
      </c>
      <c r="D4170" t="n">
        <v>16</v>
      </c>
      <c r="E4170" t="n">
        <v>13</v>
      </c>
      <c r="F4170" t="n">
        <v>15.45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M4170" t="n">
        <v>13</v>
      </c>
      <c r="N4170" t="n">
        <v>96.3</v>
      </c>
      <c r="O4170" t="n">
        <v>32.21957040572792</v>
      </c>
    </row>
    <row r="4171" hidden="1">
      <c r="A4171" s="11" t="n">
        <v>46134</v>
      </c>
      <c r="B4171" t="inlineStr">
        <is>
          <t>Cristiane Ramos da Silva Rocha</t>
        </is>
      </c>
      <c r="C4171" t="inlineStr">
        <is>
          <t>Técnico III</t>
        </is>
      </c>
      <c r="D4171" t="n">
        <v>24</v>
      </c>
      <c r="E4171" t="n">
        <v>23</v>
      </c>
      <c r="F4171" t="n">
        <v>16.43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M4171" t="n">
        <v>19</v>
      </c>
      <c r="N4171" t="n">
        <v>93.75</v>
      </c>
      <c r="O4171" t="n">
        <v>26.81992337164751</v>
      </c>
    </row>
    <row r="4172" hidden="1">
      <c r="A4172" s="11" t="n">
        <v>46134</v>
      </c>
      <c r="B4172" t="inlineStr">
        <is>
          <t>Damyllis Lorraine de Oliveira Gonçalves</t>
        </is>
      </c>
      <c r="C4172" t="inlineStr">
        <is>
          <t>Técnico II</t>
        </is>
      </c>
      <c r="D4172" t="n">
        <v>26</v>
      </c>
      <c r="E4172" t="n">
        <v>25</v>
      </c>
      <c r="F4172" t="n">
        <v>20.07</v>
      </c>
      <c r="G4172" t="n">
        <v>0</v>
      </c>
      <c r="H4172" t="n">
        <v>0</v>
      </c>
      <c r="I4172" s="3" t="n">
        <v>0</v>
      </c>
      <c r="J4172" s="3" t="n">
        <v>0</v>
      </c>
      <c r="K4172" s="3" t="n">
        <v>0</v>
      </c>
      <c r="L4172" s="3">
        <f>IF(K4172&lt;-5,"CRÍTICO",IF(K4172&lt;0,"ATENÇÃO",IF(K4172&lt;=5,"OPORTUNO","MUITO BOM")))</f>
        <v/>
      </c>
      <c r="M4172" t="n">
        <v>21</v>
      </c>
      <c r="N4172" t="n">
        <v>97.86</v>
      </c>
      <c r="O4172" t="n">
        <v>31.01851851851852</v>
      </c>
    </row>
    <row r="4173" hidden="1">
      <c r="A4173" s="11" t="n">
        <v>46134</v>
      </c>
      <c r="B4173" t="inlineStr">
        <is>
          <t>Daniel Gomes da Silva</t>
        </is>
      </c>
      <c r="C4173" t="inlineStr">
        <is>
          <t>Técnico I</t>
        </is>
      </c>
      <c r="D4173" t="n">
        <v>18</v>
      </c>
      <c r="E4173" t="n">
        <v>16</v>
      </c>
      <c r="F4173" t="n">
        <v>22.13</v>
      </c>
      <c r="G4173" t="n">
        <v>0</v>
      </c>
      <c r="H4173" t="n">
        <v>0</v>
      </c>
      <c r="I4173" s="3">
        <f>E4173+G4173+H4173</f>
        <v/>
      </c>
      <c r="J4173" s="3">
        <f>ROUND(MIN(IF(C4173="Técnico III",35,IF(C4173="Técnico II",28,IF(C4173="Técnico I",23,IF(C4173="JR",20,IF(C4173="Estágio",10,0))))),IF(C4173="Técnico III",SUMIFS($D:$D,$A:$A,$A4173,$B:$B,"&lt;&gt;Patrícia Karla de Sousa Araújo",$B:$B,"&lt;&gt;Lorena Dias de Araujo",$B:$B,"&lt;&gt;Lucas Luiz Romero")*(35/1083),IF(C4173="Técnico II",SUMIFS($D:$D,$A:$A,$A4173,$B:$B,"&lt;&gt;Patrícia Karla de Sousa Araújo",$B:$B,"&lt;&gt;Lorena Dias de Araujo",$B:$B,"&lt;&gt;Lucas Luiz Romero")*(28/1083),IF(C4173="Técnico I",SUMIFS($D:$D,$A:$A,$A4173,$B:$B,"&lt;&gt;Patrícia Karla de Sousa Araújo",$B:$B,"&lt;&gt;Lorena Dias de Araujo",$B:$B,"&lt;&gt;Lucas Luiz Romero")*(23/1083),IF(C4173="JR",SUMIFS($D:$D,$A:$A,$A4173,$B:$B,"&lt;&gt;Patrícia Karla de Sousa Araújo",$B:$B,"&lt;&gt;Lorena Dias de Araujo",$B:$B,"&lt;&gt;Lucas Luiz Romero")*(20/1083),IF(C4173="Estágio",SUMIFS($D:$D,$A:$A,$A4173,$B:$B,"&lt;&gt;Patrícia Karla de Sousa Araújo",$B:$B,"&lt;&gt;Lorena Dias de Araujo",$B:$B,"&lt;&gt;Lucas Luiz Romero")*(10/1083),0)))))),0)</f>
        <v/>
      </c>
      <c r="K4173" s="3">
        <f>I4173-J4173</f>
        <v/>
      </c>
      <c r="L4173" s="3">
        <f>IF(K4173&lt;-5,"CRÍTICO",IF(K4173&lt;0,"ATENÇÃO",IF(K4173&lt;=5,"OPORTUNO","MUITO BOM")))</f>
        <v/>
      </c>
      <c r="M4173" t="n">
        <v>8</v>
      </c>
      <c r="N4173" t="n">
        <v>100</v>
      </c>
      <c r="O4173" t="n">
        <v>36.59420289855073</v>
      </c>
    </row>
    <row r="4174" hidden="1">
      <c r="A4174" s="11" t="n">
        <v>46134</v>
      </c>
      <c r="B4174" t="inlineStr">
        <is>
          <t>Davylla Rodrigues Freitas Silva</t>
        </is>
      </c>
      <c r="C4174" t="inlineStr">
        <is>
          <t>Técnico III</t>
        </is>
      </c>
      <c r="D4174" t="n">
        <v>17</v>
      </c>
      <c r="E4174" t="n">
        <v>16</v>
      </c>
      <c r="F4174" t="n">
        <v>31.59</v>
      </c>
      <c r="G4174" t="n">
        <v>0</v>
      </c>
      <c r="H4174" t="n">
        <v>0</v>
      </c>
      <c r="I4174" s="3" t="n">
        <v>0</v>
      </c>
      <c r="J4174" s="3" t="n">
        <v>0</v>
      </c>
      <c r="K4174" s="3" t="n">
        <v>0</v>
      </c>
      <c r="L4174" s="3">
        <f>IF(K4174&lt;-5,"CRÍTICO",IF(K4174&lt;0,"ATENÇÃO",IF(K4174&lt;=5,"OPORTUNO","MUITO BOM")))</f>
        <v/>
      </c>
      <c r="M4174" t="n">
        <v>16</v>
      </c>
      <c r="N4174" t="n">
        <v>100</v>
      </c>
      <c r="O4174" t="n">
        <v>38.65384615384615</v>
      </c>
    </row>
    <row r="4175" hidden="1">
      <c r="A4175" s="11" t="n">
        <v>46134</v>
      </c>
      <c r="B4175" t="inlineStr">
        <is>
          <t>Emilly Caylane Costa</t>
        </is>
      </c>
      <c r="C4175" t="inlineStr">
        <is>
          <t>Estágio</t>
        </is>
      </c>
      <c r="D4175" t="n">
        <v>7</v>
      </c>
      <c r="E4175" t="n">
        <v>7</v>
      </c>
      <c r="F4175" t="n">
        <v>30.04</v>
      </c>
      <c r="G4175" t="n">
        <v>0</v>
      </c>
      <c r="H4175" t="n">
        <v>0</v>
      </c>
      <c r="I4175" s="3">
        <f>E4175+G4175+H4175</f>
        <v/>
      </c>
      <c r="J4175" s="3">
        <f>ROUND(MIN(IF(C4175="Técnico III",35,IF(C4175="Técnico II",28,IF(C4175="Técnico I",23,IF(C4175="JR",20,IF(C4175="Estágio",10,0))))),IF(C4175="Técnico III",SUMIFS($D:$D,$A:$A,$A4175,$B:$B,"&lt;&gt;Patrícia Karla de Sousa Araújo",$B:$B,"&lt;&gt;Lorena Dias de Araujo",$B:$B,"&lt;&gt;Lucas Luiz Romero")*(35/1083),IF(C4175="Técnico II",SUMIFS($D:$D,$A:$A,$A4175,$B:$B,"&lt;&gt;Patrícia Karla de Sousa Araújo",$B:$B,"&lt;&gt;Lorena Dias de Araujo",$B:$B,"&lt;&gt;Lucas Luiz Romero")*(28/1083),IF(C4175="Técnico I",SUMIFS($D:$D,$A:$A,$A4175,$B:$B,"&lt;&gt;Patrícia Karla de Sousa Araújo",$B:$B,"&lt;&gt;Lorena Dias de Araujo",$B:$B,"&lt;&gt;Lucas Luiz Romero")*(23/1083),IF(C4175="JR",SUMIFS($D:$D,$A:$A,$A4175,$B:$B,"&lt;&gt;Patrícia Karla de Sousa Araújo",$B:$B,"&lt;&gt;Lorena Dias de Araujo",$B:$B,"&lt;&gt;Lucas Luiz Romero")*(20/1083),IF(C4175="Estágio",SUMIFS($D:$D,$A:$A,$A4175,$B:$B,"&lt;&gt;Patrícia Karla de Sousa Araújo",$B:$B,"&lt;&gt;Lorena Dias de Araujo",$B:$B,"&lt;&gt;Lucas Luiz Romero")*(10/1083),0)))))),0)</f>
        <v/>
      </c>
      <c r="K4175" s="3">
        <f>I4175-J4175</f>
        <v/>
      </c>
      <c r="L4175" s="3">
        <f>IF(K4175&lt;-5,"CRÍTICO",IF(K4175&lt;0,"ATENÇÃO",IF(K4175&lt;=5,"OPORTUNO","MUITO BOM")))</f>
        <v/>
      </c>
      <c r="M4175" t="n">
        <v>5</v>
      </c>
      <c r="N4175" t="n">
        <v>100</v>
      </c>
      <c r="O4175" t="n">
        <v>27.36842105263158</v>
      </c>
    </row>
    <row r="4176" hidden="1">
      <c r="A4176" s="11" t="n">
        <v>46134</v>
      </c>
      <c r="B4176" t="inlineStr">
        <is>
          <t>Emilly Kamilly Medeiros Miranda</t>
        </is>
      </c>
      <c r="C4176" t="inlineStr">
        <is>
          <t>Técnico II</t>
        </is>
      </c>
      <c r="D4176" t="n">
        <v>30</v>
      </c>
      <c r="E4176" t="n">
        <v>29</v>
      </c>
      <c r="F4176" t="n">
        <v>14.13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M4176" t="n">
        <v>27</v>
      </c>
      <c r="N4176" t="n">
        <v>97.83</v>
      </c>
      <c r="O4176" t="n">
        <v>28.35164835164835</v>
      </c>
    </row>
    <row r="4177" hidden="1">
      <c r="A4177" s="11" t="n">
        <v>46134</v>
      </c>
      <c r="B4177" t="inlineStr">
        <is>
          <t>Francielson de Oliveira</t>
        </is>
      </c>
      <c r="C4177" t="inlineStr">
        <is>
          <t>Técnico III</t>
        </is>
      </c>
      <c r="D4177" t="n">
        <v>19</v>
      </c>
      <c r="E4177" t="n">
        <v>19</v>
      </c>
      <c r="F4177" t="n">
        <v>18.3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M4177" t="n">
        <v>19</v>
      </c>
      <c r="N4177" t="n">
        <v>99.26000000000001</v>
      </c>
      <c r="O4177" t="n">
        <v>29.76653696498055</v>
      </c>
    </row>
    <row r="4178" hidden="1">
      <c r="A4178" s="11" t="n">
        <v>46134</v>
      </c>
      <c r="B4178" t="inlineStr">
        <is>
          <t>Francilene Ferreira de Jesus</t>
        </is>
      </c>
      <c r="C4178" t="inlineStr">
        <is>
          <t>Técnico II</t>
        </is>
      </c>
      <c r="D4178" t="n">
        <v>21</v>
      </c>
      <c r="E4178" t="n">
        <v>19</v>
      </c>
      <c r="F4178" t="n">
        <v>20.57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M4178" t="n">
        <v>17</v>
      </c>
      <c r="N4178" t="n">
        <v>99.19</v>
      </c>
      <c r="O4178" t="n">
        <v>29.46236559139785</v>
      </c>
    </row>
    <row r="4179" hidden="1">
      <c r="A4179" s="11" t="n">
        <v>46141</v>
      </c>
      <c r="B4179" t="inlineStr">
        <is>
          <t>Francilene Ferreira de Jesus</t>
        </is>
      </c>
      <c r="C4179" t="inlineStr">
        <is>
          <t>Técnico II</t>
        </is>
      </c>
      <c r="D4179" s="3" t="n">
        <v>36</v>
      </c>
      <c r="E4179" s="3" t="n">
        <v>34</v>
      </c>
      <c r="F4179" s="3" t="n">
        <v>15.24</v>
      </c>
      <c r="G4179" s="3" t="n">
        <v>0</v>
      </c>
      <c r="H4179" s="3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M4179" s="3" t="n">
        <v>30</v>
      </c>
      <c r="N4179" s="3" t="n">
        <v>99.19</v>
      </c>
      <c r="O4179" s="3" t="n">
        <v>29.46236559139785</v>
      </c>
    </row>
    <row r="4180" hidden="1">
      <c r="A4180" s="11" t="n">
        <v>46134</v>
      </c>
      <c r="B4180" t="inlineStr">
        <is>
          <t>Isabella Borges de Oliveira</t>
        </is>
      </c>
      <c r="C4180" t="inlineStr">
        <is>
          <t>Técnico II</t>
        </is>
      </c>
      <c r="D4180" t="n">
        <v>19</v>
      </c>
      <c r="E4180" t="n">
        <v>18</v>
      </c>
      <c r="F4180" t="n">
        <v>26.53</v>
      </c>
      <c r="G4180" t="n">
        <v>0</v>
      </c>
      <c r="H4180" t="n">
        <v>0</v>
      </c>
      <c r="I4180" s="3">
        <f>E4180+G4180+H4180</f>
        <v/>
      </c>
      <c r="J4180" s="3">
        <f>ROUND(MIN(IF(C4180="Técnico III",35,IF(C4180="Técnico II",28,IF(C4180="Técnico I",23,IF(C4180="JR",20,IF(C4180="Estágio",10,0))))),IF(C4180="Técnico III",SUMIFS($D:$D,$A:$A,$A4180,$B:$B,"&lt;&gt;Patrícia Karla de Sousa Araújo",$B:$B,"&lt;&gt;Lorena Dias de Araujo",$B:$B,"&lt;&gt;Lucas Luiz Romero")*(35/1083),IF(C4180="Técnico II",SUMIFS($D:$D,$A:$A,$A4180,$B:$B,"&lt;&gt;Patrícia Karla de Sousa Araújo",$B:$B,"&lt;&gt;Lorena Dias de Araujo",$B:$B,"&lt;&gt;Lucas Luiz Romero")*(28/1083),IF(C4180="Técnico I",SUMIFS($D:$D,$A:$A,$A4180,$B:$B,"&lt;&gt;Patrícia Karla de Sousa Araújo",$B:$B,"&lt;&gt;Lorena Dias de Araujo",$B:$B,"&lt;&gt;Lucas Luiz Romero")*(23/1083),IF(C4180="JR",SUMIFS($D:$D,$A:$A,$A4180,$B:$B,"&lt;&gt;Patrícia Karla de Sousa Araújo",$B:$B,"&lt;&gt;Lorena Dias de Araujo",$B:$B,"&lt;&gt;Lucas Luiz Romero")*(20/1083),IF(C4180="Estágio",SUMIFS($D:$D,$A:$A,$A4180,$B:$B,"&lt;&gt;Patrícia Karla de Sousa Araújo",$B:$B,"&lt;&gt;Lorena Dias de Araujo",$B:$B,"&lt;&gt;Lucas Luiz Romero")*(10/1083),0)))))),0)</f>
        <v/>
      </c>
      <c r="K4180" s="3">
        <f>I4180-J4180</f>
        <v/>
      </c>
      <c r="L4180" s="3">
        <f>IF(K4180&lt;-5,"CRÍTICO",IF(K4180&lt;0,"ATENÇÃO",IF(K4180&lt;=5,"OPORTUNO","MUITO BOM")))</f>
        <v/>
      </c>
      <c r="M4180" t="n">
        <v>20</v>
      </c>
      <c r="N4180" t="n">
        <v>100</v>
      </c>
      <c r="O4180" t="n">
        <v>28.92156862745098</v>
      </c>
    </row>
    <row r="4181" hidden="1">
      <c r="A4181" s="11" t="n">
        <v>46134</v>
      </c>
      <c r="B4181" t="inlineStr">
        <is>
          <t>Janaina Lima dos Reis Urany</t>
        </is>
      </c>
      <c r="C4181" t="inlineStr">
        <is>
          <t>Técnico III</t>
        </is>
      </c>
      <c r="D4181" t="n">
        <v>33</v>
      </c>
      <c r="E4181" t="n">
        <v>30</v>
      </c>
      <c r="F4181" t="n">
        <v>15.55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M4181" t="n">
        <v>27</v>
      </c>
      <c r="N4181" t="n">
        <v>99.56999999999999</v>
      </c>
      <c r="O4181" t="n">
        <v>30.63583815028902</v>
      </c>
    </row>
    <row r="4182" hidden="1">
      <c r="A4182" s="11" t="n">
        <v>46134</v>
      </c>
      <c r="B4182" t="inlineStr">
        <is>
          <t>Jaqueline Evangelista da Silva Martins</t>
        </is>
      </c>
      <c r="C4182" t="inlineStr">
        <is>
          <t>Técnico III</t>
        </is>
      </c>
      <c r="D4182" t="n">
        <v>0</v>
      </c>
      <c r="E4182" t="n">
        <v>0</v>
      </c>
      <c r="F4182" t="n">
        <v>0</v>
      </c>
      <c r="G4182" t="n">
        <v>0</v>
      </c>
      <c r="H4182" t="n">
        <v>0</v>
      </c>
      <c r="I4182" s="3" t="n">
        <v>0</v>
      </c>
      <c r="J4182" s="3" t="n">
        <v>0</v>
      </c>
      <c r="K4182" s="3" t="n">
        <v>0</v>
      </c>
      <c r="L4182" s="3">
        <f>IF(K4182&lt;-5,"CRÍTICO",IF(K4182&lt;0,"ATENÇÃO",IF(K4182&lt;=5,"OPORTUNO","MUITO BOM")))</f>
        <v/>
      </c>
      <c r="M4182" t="n">
        <v>0</v>
      </c>
      <c r="N4182" t="n">
        <v>95.65000000000001</v>
      </c>
      <c r="O4182" t="n">
        <v>32.43243243243244</v>
      </c>
    </row>
    <row r="4183" hidden="1">
      <c r="A4183" s="11" t="n">
        <v>46134</v>
      </c>
      <c r="B4183" t="inlineStr">
        <is>
          <t>Jessica Faria da Silveira</t>
        </is>
      </c>
      <c r="C4183" t="inlineStr">
        <is>
          <t>Técnico II</t>
        </is>
      </c>
      <c r="D4183" t="n">
        <v>27</v>
      </c>
      <c r="E4183" t="n">
        <v>21</v>
      </c>
      <c r="F4183" t="n">
        <v>13.34</v>
      </c>
      <c r="G4183" t="n">
        <v>0</v>
      </c>
      <c r="H4183" t="n">
        <v>0</v>
      </c>
      <c r="I4183" s="3">
        <f>E4183+G4183+H4183</f>
        <v/>
      </c>
      <c r="J4183" s="3">
        <f>ROUND(MIN(IF(C4183="Técnico III",35,IF(C4183="Técnico II",28,IF(C4183="Técnico I",23,IF(C4183="JR",20,IF(C4183="Estágio",10,0))))),IF(C4183="Técnico III",SUMIFS($D:$D,$A:$A,$A4183,$B:$B,"&lt;&gt;Patrícia Karla de Sousa Araújo",$B:$B,"&lt;&gt;Lorena Dias de Araujo",$B:$B,"&lt;&gt;Lucas Luiz Romero")*(35/1083),IF(C4183="Técnico II",SUMIFS($D:$D,$A:$A,$A4183,$B:$B,"&lt;&gt;Patrícia Karla de Sousa Araújo",$B:$B,"&lt;&gt;Lorena Dias de Araujo",$B:$B,"&lt;&gt;Lucas Luiz Romero")*(28/1083),IF(C4183="Técnico I",SUMIFS($D:$D,$A:$A,$A4183,$B:$B,"&lt;&gt;Patrícia Karla de Sousa Araújo",$B:$B,"&lt;&gt;Lorena Dias de Araujo",$B:$B,"&lt;&gt;Lucas Luiz Romero")*(23/1083),IF(C4183="JR",SUMIFS($D:$D,$A:$A,$A4183,$B:$B,"&lt;&gt;Patrícia Karla de Sousa Araújo",$B:$B,"&lt;&gt;Lorena Dias de Araujo",$B:$B,"&lt;&gt;Lucas Luiz Romero")*(20/1083),IF(C4183="Estágio",SUMIFS($D:$D,$A:$A,$A4183,$B:$B,"&lt;&gt;Patrícia Karla de Sousa Araújo",$B:$B,"&lt;&gt;Lorena Dias de Araujo",$B:$B,"&lt;&gt;Lucas Luiz Romero")*(10/1083),0)))))),0)</f>
        <v/>
      </c>
      <c r="K4183" s="3">
        <f>I4183-J4183</f>
        <v/>
      </c>
      <c r="L4183" s="3">
        <f>IF(K4183&lt;-5,"CRÍTICO",IF(K4183&lt;0,"ATENÇÃO",IF(K4183&lt;=5,"OPORTUNO","MUITO BOM")))</f>
        <v/>
      </c>
      <c r="M4183" t="n">
        <v>20</v>
      </c>
      <c r="N4183" t="n">
        <v>98.81</v>
      </c>
      <c r="O4183" t="n">
        <v>26.25698324022346</v>
      </c>
    </row>
    <row r="4184" hidden="1">
      <c r="A4184" s="11" t="n">
        <v>46134</v>
      </c>
      <c r="B4184" t="inlineStr">
        <is>
          <t>Jéssica Fé Moura</t>
        </is>
      </c>
      <c r="C4184" t="inlineStr">
        <is>
          <t>Técnico III</t>
        </is>
      </c>
      <c r="D4184" t="n">
        <v>0</v>
      </c>
      <c r="E4184" t="n">
        <v>0</v>
      </c>
      <c r="F4184" t="n">
        <v>0</v>
      </c>
      <c r="G4184" t="n">
        <v>0</v>
      </c>
      <c r="H4184" t="n">
        <v>0</v>
      </c>
      <c r="I4184" s="3" t="n">
        <v>0</v>
      </c>
      <c r="J4184" s="3" t="n">
        <v>0</v>
      </c>
      <c r="K4184" s="3" t="n">
        <v>0</v>
      </c>
      <c r="L4184" s="3">
        <f>IF(K4184&lt;-5,"CRÍTICO",IF(K4184&lt;0,"ATENÇÃO",IF(K4184&lt;=5,"OPORTUNO","MUITO BOM")))</f>
        <v/>
      </c>
      <c r="M4184" t="n">
        <v>0</v>
      </c>
      <c r="N4184" t="n">
        <v>0</v>
      </c>
      <c r="O4184" t="n">
        <v>0</v>
      </c>
    </row>
    <row r="4185" hidden="1">
      <c r="A4185" s="11" t="n">
        <v>46134</v>
      </c>
      <c r="B4185" t="inlineStr">
        <is>
          <t>Karina Gonçalves Martins</t>
        </is>
      </c>
      <c r="C4185" t="inlineStr">
        <is>
          <t>JR</t>
        </is>
      </c>
      <c r="D4185" t="n">
        <v>10</v>
      </c>
      <c r="E4185" t="n">
        <v>9</v>
      </c>
      <c r="F4185" t="n">
        <v>34.12</v>
      </c>
      <c r="G4185" t="n">
        <v>0</v>
      </c>
      <c r="H4185" t="n">
        <v>0</v>
      </c>
      <c r="I4185" s="3">
        <f>E4185+G4185+H4185</f>
        <v/>
      </c>
      <c r="J4185" s="3">
        <f>ROUND(MIN(IF(C4185="Técnico III",35,IF(C4185="Técnico II",28,IF(C4185="Técnico I",23,IF(C4185="JR",20,IF(C4185="Estágio",10,0))))),IF(C4185="Técnico III",SUMIFS($D:$D,$A:$A,$A4185,$B:$B,"&lt;&gt;Patrícia Karla de Sousa Araújo",$B:$B,"&lt;&gt;Lorena Dias de Araujo",$B:$B,"&lt;&gt;Lucas Luiz Romero")*(35/1083),IF(C4185="Técnico II",SUMIFS($D:$D,$A:$A,$A4185,$B:$B,"&lt;&gt;Patrícia Karla de Sousa Araújo",$B:$B,"&lt;&gt;Lorena Dias de Araujo",$B:$B,"&lt;&gt;Lucas Luiz Romero")*(28/1083),IF(C4185="Técnico I",SUMIFS($D:$D,$A:$A,$A4185,$B:$B,"&lt;&gt;Patrícia Karla de Sousa Araújo",$B:$B,"&lt;&gt;Lorena Dias de Araujo",$B:$B,"&lt;&gt;Lucas Luiz Romero")*(23/1083),IF(C4185="JR",SUMIFS($D:$D,$A:$A,$A4185,$B:$B,"&lt;&gt;Patrícia Karla de Sousa Araújo",$B:$B,"&lt;&gt;Lorena Dias de Araujo",$B:$B,"&lt;&gt;Lucas Luiz Romero")*(20/1083),IF(C4185="Estágio",SUMIFS($D:$D,$A:$A,$A4185,$B:$B,"&lt;&gt;Patrícia Karla de Sousa Araújo",$B:$B,"&lt;&gt;Lorena Dias de Araujo",$B:$B,"&lt;&gt;Lucas Luiz Romero")*(10/1083),0)))))),0)</f>
        <v/>
      </c>
      <c r="K4185" s="3">
        <f>I4185-J4185</f>
        <v/>
      </c>
      <c r="L4185" s="3">
        <f>IF(K4185&lt;-5,"CRÍTICO",IF(K4185&lt;0,"ATENÇÃO",IF(K4185&lt;=5,"OPORTUNO","MUITO BOM")))</f>
        <v/>
      </c>
      <c r="M4185" t="n">
        <v>10</v>
      </c>
      <c r="N4185" t="n">
        <v>97.17</v>
      </c>
      <c r="O4185" t="n">
        <v>28.81844380403458</v>
      </c>
    </row>
    <row r="4186" hidden="1">
      <c r="A4186" s="11" t="n">
        <v>46134</v>
      </c>
      <c r="B4186" t="inlineStr">
        <is>
          <t>Kerollen Cristielly de Jesus Siqueira</t>
        </is>
      </c>
      <c r="C4186" t="inlineStr">
        <is>
          <t>Técnico III</t>
        </is>
      </c>
      <c r="D4186" t="n">
        <v>0</v>
      </c>
      <c r="E4186" t="n">
        <v>0</v>
      </c>
      <c r="F4186" t="n">
        <v>0</v>
      </c>
      <c r="G4186" t="n">
        <v>0</v>
      </c>
      <c r="H4186" t="n">
        <v>0</v>
      </c>
      <c r="I4186" s="3" t="n">
        <v>0</v>
      </c>
      <c r="J4186" s="3" t="n">
        <v>0</v>
      </c>
      <c r="K4186" s="3" t="n">
        <v>0</v>
      </c>
      <c r="L4186" s="3">
        <f>IF(K4186&lt;-5,"CRÍTICO",IF(K4186&lt;0,"ATENÇÃO",IF(K4186&lt;=5,"OPORTUNO","MUITO BOM")))</f>
        <v/>
      </c>
      <c r="M4186" t="n">
        <v>20</v>
      </c>
      <c r="N4186" t="n">
        <v>96.81</v>
      </c>
      <c r="O4186" t="n">
        <v>48.01864801864802</v>
      </c>
    </row>
    <row r="4187" hidden="1">
      <c r="A4187" s="11" t="n">
        <v>46134</v>
      </c>
      <c r="B4187" t="inlineStr">
        <is>
          <t>Leandro de Souza Silva</t>
        </is>
      </c>
      <c r="C4187" t="inlineStr">
        <is>
          <t>JR</t>
        </is>
      </c>
      <c r="D4187" t="n">
        <v>6</v>
      </c>
      <c r="E4187" t="n">
        <v>5</v>
      </c>
      <c r="F4187" t="n">
        <v>52.11</v>
      </c>
      <c r="G4187" t="n">
        <v>0</v>
      </c>
      <c r="H4187" t="n">
        <v>0</v>
      </c>
      <c r="I4187" s="3">
        <f>E4187+G4187+H4187</f>
        <v/>
      </c>
      <c r="J4187" s="3">
        <f>ROUND(MIN(IF(C4187="Técnico III",35,IF(C4187="Técnico II",28,IF(C4187="Técnico I",23,IF(C4187="JR",20,IF(C4187="Estágio",10,0))))),IF(C4187="Técnico III",SUMIFS($D:$D,$A:$A,$A4187,$B:$B,"&lt;&gt;Patrícia Karla de Sousa Araújo",$B:$B,"&lt;&gt;Lorena Dias de Araujo",$B:$B,"&lt;&gt;Lucas Luiz Romero")*(35/1083),IF(C4187="Técnico II",SUMIFS($D:$D,$A:$A,$A4187,$B:$B,"&lt;&gt;Patrícia Karla de Sousa Araújo",$B:$B,"&lt;&gt;Lorena Dias de Araujo",$B:$B,"&lt;&gt;Lucas Luiz Romero")*(28/1083),IF(C4187="Técnico I",SUMIFS($D:$D,$A:$A,$A4187,$B:$B,"&lt;&gt;Patrícia Karla de Sousa Araújo",$B:$B,"&lt;&gt;Lorena Dias de Araujo",$B:$B,"&lt;&gt;Lucas Luiz Romero")*(23/1083),IF(C4187="JR",SUMIFS($D:$D,$A:$A,$A4187,$B:$B,"&lt;&gt;Patrícia Karla de Sousa Araújo",$B:$B,"&lt;&gt;Lorena Dias de Araujo",$B:$B,"&lt;&gt;Lucas Luiz Romero")*(20/1083),IF(C4187="Estágio",SUMIFS($D:$D,$A:$A,$A4187,$B:$B,"&lt;&gt;Patrícia Karla de Sousa Araújo",$B:$B,"&lt;&gt;Lorena Dias de Araujo",$B:$B,"&lt;&gt;Lucas Luiz Romero")*(10/1083),0)))))),0)</f>
        <v/>
      </c>
      <c r="K4187" s="3">
        <f>I4187-J4187</f>
        <v/>
      </c>
      <c r="L4187" s="3">
        <f>IF(K4187&lt;-5,"CRÍTICO",IF(K4187&lt;0,"ATENÇÃO",IF(K4187&lt;=5,"OPORTUNO","MUITO BOM")))</f>
        <v/>
      </c>
      <c r="M4187" t="n">
        <v>5</v>
      </c>
      <c r="N4187" t="n">
        <v>98.15000000000001</v>
      </c>
      <c r="O4187" t="n">
        <v>27.1551724137931</v>
      </c>
    </row>
    <row r="4188" hidden="1">
      <c r="A4188" s="11" t="n">
        <v>46134</v>
      </c>
      <c r="B4188" t="inlineStr">
        <is>
          <t>Leandro Oliveira de Sousa</t>
        </is>
      </c>
      <c r="C4188" t="inlineStr">
        <is>
          <t>Técnico III</t>
        </is>
      </c>
      <c r="D4188" t="n">
        <v>26</v>
      </c>
      <c r="E4188" t="n">
        <v>23</v>
      </c>
      <c r="F4188" t="n">
        <v>12.33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M4188" t="n">
        <v>25</v>
      </c>
      <c r="N4188" t="n">
        <v>99.15000000000001</v>
      </c>
      <c r="O4188" t="n">
        <v>27.58620689655172</v>
      </c>
    </row>
    <row r="4189" hidden="1">
      <c r="A4189" s="11" t="n">
        <v>46134</v>
      </c>
      <c r="B4189" t="inlineStr">
        <is>
          <t>Lizandra Gomes Duarte</t>
        </is>
      </c>
      <c r="C4189" t="inlineStr">
        <is>
          <t>Técnico II</t>
        </is>
      </c>
      <c r="D4189" t="n">
        <v>25</v>
      </c>
      <c r="E4189" t="n">
        <v>21</v>
      </c>
      <c r="F4189" t="n">
        <v>15.41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M4189" t="n">
        <v>21</v>
      </c>
      <c r="N4189" t="n">
        <v>99.17</v>
      </c>
      <c r="O4189" t="n">
        <v>29.75206611570248</v>
      </c>
    </row>
    <row r="4190" hidden="1">
      <c r="A4190" s="11" t="n">
        <v>46134</v>
      </c>
      <c r="B4190" t="inlineStr">
        <is>
          <t>Lorena Dias de Araujo</t>
        </is>
      </c>
      <c r="C4190" t="inlineStr">
        <is>
          <t>Técnico II</t>
        </is>
      </c>
      <c r="D4190" t="n">
        <v>0</v>
      </c>
      <c r="E4190" t="n">
        <v>0</v>
      </c>
      <c r="F4190" t="n">
        <v>0</v>
      </c>
      <c r="G4190" t="n">
        <v>0</v>
      </c>
      <c r="H4190" t="n">
        <v>0</v>
      </c>
      <c r="I4190" s="3" t="n">
        <v>0</v>
      </c>
      <c r="J4190" s="3" t="n">
        <v>0</v>
      </c>
      <c r="K4190" s="3" t="n">
        <v>0</v>
      </c>
      <c r="L4190" s="3">
        <f>IF(K4190&lt;-5,"CRÍTICO",IF(K4190&lt;0,"ATENÇÃO",IF(K4190&lt;=5,"OPORTUNO","MUITO BOM")))</f>
        <v/>
      </c>
      <c r="M4190" t="n">
        <v>0</v>
      </c>
      <c r="N4190" t="n">
        <v>98.73</v>
      </c>
      <c r="O4190" t="n">
        <v>28.96174863387978</v>
      </c>
    </row>
    <row r="4191" hidden="1">
      <c r="A4191" s="11" t="n">
        <v>46134</v>
      </c>
      <c r="B4191" t="inlineStr">
        <is>
          <t>Lucas Luiz Romero</t>
        </is>
      </c>
      <c r="C4191" t="inlineStr">
        <is>
          <t>Técnico III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M4191" t="n">
        <v>0</v>
      </c>
      <c r="N4191" t="n">
        <v>88.68000000000001</v>
      </c>
      <c r="O4191" t="n">
        <v>22.03389830508474</v>
      </c>
    </row>
    <row r="4192" hidden="1">
      <c r="A4192" s="11" t="n">
        <v>46134</v>
      </c>
      <c r="B4192" t="inlineStr">
        <is>
          <t>Luiz Fernando de Carvalho Junior</t>
        </is>
      </c>
      <c r="C4192" t="inlineStr">
        <is>
          <t>Técnico I</t>
        </is>
      </c>
      <c r="D4192" t="n">
        <v>19</v>
      </c>
      <c r="E4192" t="n">
        <v>19</v>
      </c>
      <c r="F4192" t="n">
        <v>20.37</v>
      </c>
      <c r="G4192" t="n">
        <v>0</v>
      </c>
      <c r="H4192" t="n">
        <v>0</v>
      </c>
      <c r="I4192" s="3">
        <f>E4192+G4192+H4192</f>
        <v/>
      </c>
      <c r="J4192" s="3">
        <f>ROUND(MIN(IF(C4192="Técnico III",35,IF(C4192="Técnico II",28,IF(C4192="Técnico I",23,IF(C4192="JR",20,IF(C4192="Estágio",10,0))))),IF(C4192="Técnico III",SUMIFS($D:$D,$A:$A,$A4192,$B:$B,"&lt;&gt;Patrícia Karla de Sousa Araújo",$B:$B,"&lt;&gt;Lorena Dias de Araujo",$B:$B,"&lt;&gt;Lucas Luiz Romero")*(35/1083),IF(C4192="Técnico II",SUMIFS($D:$D,$A:$A,$A4192,$B:$B,"&lt;&gt;Patrícia Karla de Sousa Araújo",$B:$B,"&lt;&gt;Lorena Dias de Araujo",$B:$B,"&lt;&gt;Lucas Luiz Romero")*(28/1083),IF(C4192="Técnico I",SUMIFS($D:$D,$A:$A,$A4192,$B:$B,"&lt;&gt;Patrícia Karla de Sousa Araújo",$B:$B,"&lt;&gt;Lorena Dias de Araujo",$B:$B,"&lt;&gt;Lucas Luiz Romero")*(23/1083),IF(C4192="JR",SUMIFS($D:$D,$A:$A,$A4192,$B:$B,"&lt;&gt;Patrícia Karla de Sousa Araújo",$B:$B,"&lt;&gt;Lorena Dias de Araujo",$B:$B,"&lt;&gt;Lucas Luiz Romero")*(20/1083),IF(C4192="Estágio",SUMIFS($D:$D,$A:$A,$A4192,$B:$B,"&lt;&gt;Patrícia Karla de Sousa Araújo",$B:$B,"&lt;&gt;Lorena Dias de Araujo",$B:$B,"&lt;&gt;Lucas Luiz Romero")*(10/1083),0)))))),0)</f>
        <v/>
      </c>
      <c r="K4192" s="3">
        <f>I4192-J4192</f>
        <v/>
      </c>
      <c r="L4192" s="3">
        <f>IF(K4192&lt;-5,"CRÍTICO",IF(K4192&lt;0,"ATENÇÃO",IF(K4192&lt;=5,"OPORTUNO","MUITO BOM")))</f>
        <v/>
      </c>
      <c r="M4192" t="n">
        <v>15</v>
      </c>
      <c r="N4192" t="n">
        <v>97.37</v>
      </c>
      <c r="O4192" t="n">
        <v>25.76530612244898</v>
      </c>
    </row>
    <row r="4193" hidden="1">
      <c r="A4193" s="11" t="n">
        <v>46134</v>
      </c>
      <c r="B4193" t="inlineStr">
        <is>
          <t>Maria Eduarda Sousa Costa</t>
        </is>
      </c>
      <c r="C4193" t="inlineStr">
        <is>
          <t>Estágio</t>
        </is>
      </c>
      <c r="D4193" t="n">
        <v>6</v>
      </c>
      <c r="E4193" t="n">
        <v>2</v>
      </c>
      <c r="F4193" t="n">
        <v>2.34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M4193" t="n">
        <v>0</v>
      </c>
      <c r="N4193" t="n">
        <v>100</v>
      </c>
      <c r="O4193" t="n">
        <v>25</v>
      </c>
    </row>
    <row r="4194" hidden="1">
      <c r="A4194" s="11" t="n">
        <v>46134</v>
      </c>
      <c r="B4194" t="inlineStr">
        <is>
          <t>Matheus Farias De Souza</t>
        </is>
      </c>
      <c r="C4194" t="inlineStr">
        <is>
          <t>Técnico III</t>
        </is>
      </c>
      <c r="D4194" t="n">
        <v>22</v>
      </c>
      <c r="E4194" t="n">
        <v>21</v>
      </c>
      <c r="F4194" t="n">
        <v>14.13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M4194" t="n">
        <v>31</v>
      </c>
      <c r="N4194" t="n">
        <v>100</v>
      </c>
      <c r="O4194" t="n">
        <v>23.9870340356564</v>
      </c>
    </row>
    <row r="4195" hidden="1">
      <c r="A4195" s="11" t="n">
        <v>46134</v>
      </c>
      <c r="B4195" t="inlineStr">
        <is>
          <t>Maysa Victoria Dias Moura</t>
        </is>
      </c>
      <c r="C4195" t="inlineStr">
        <is>
          <t>Técnico III</t>
        </is>
      </c>
      <c r="D4195" t="n">
        <v>28</v>
      </c>
      <c r="E4195" t="n">
        <v>23</v>
      </c>
      <c r="F4195" t="n">
        <v>11.51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M4195" t="n">
        <v>16</v>
      </c>
      <c r="N4195" t="n">
        <v>95.48999999999999</v>
      </c>
      <c r="O4195" t="n">
        <v>28.37022132796781</v>
      </c>
    </row>
    <row r="4196" hidden="1">
      <c r="A4196" s="11" t="n">
        <v>46134</v>
      </c>
      <c r="B4196" t="inlineStr">
        <is>
          <t>Michelle G Santos</t>
        </is>
      </c>
      <c r="C4196" t="inlineStr">
        <is>
          <t>Estágio</t>
        </is>
      </c>
      <c r="D4196" t="n">
        <v>21</v>
      </c>
      <c r="E4196" t="n">
        <v>18</v>
      </c>
      <c r="F4196" t="n">
        <v>16.5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M4196" t="n">
        <v>9</v>
      </c>
      <c r="N4196" t="n">
        <v>100</v>
      </c>
      <c r="O4196" t="n">
        <v>23.77622377622378</v>
      </c>
    </row>
    <row r="4197" hidden="1">
      <c r="A4197" s="11" t="n">
        <v>46134</v>
      </c>
      <c r="B4197" t="inlineStr">
        <is>
          <t>Milena Sales</t>
        </is>
      </c>
      <c r="C4197" t="inlineStr">
        <is>
          <t>JR</t>
        </is>
      </c>
      <c r="D4197" t="n">
        <v>31</v>
      </c>
      <c r="E4197" t="n">
        <v>18</v>
      </c>
      <c r="F4197" t="n">
        <v>8.539999999999999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M4197" t="n">
        <v>10</v>
      </c>
      <c r="N4197" t="n">
        <v>96.15000000000001</v>
      </c>
      <c r="O4197" t="n">
        <v>24.04580152671756</v>
      </c>
    </row>
    <row r="4198" hidden="1">
      <c r="A4198" s="11" t="n">
        <v>46134</v>
      </c>
      <c r="B4198" t="inlineStr">
        <is>
          <t>Patrícia Karla de Sousa Araújo</t>
        </is>
      </c>
      <c r="C4198" t="inlineStr">
        <is>
          <t>Técnico II</t>
        </is>
      </c>
      <c r="D4198" t="n">
        <v>9</v>
      </c>
      <c r="E4198" t="n">
        <v>8</v>
      </c>
      <c r="F4198" t="n">
        <v>20.21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M4198" t="n">
        <v>8</v>
      </c>
      <c r="N4198" t="n">
        <v>99.02</v>
      </c>
      <c r="O4198" t="n">
        <v>34.7972972972973</v>
      </c>
    </row>
    <row r="4199" hidden="1">
      <c r="A4199" s="11" t="n">
        <v>46134</v>
      </c>
      <c r="B4199" t="inlineStr">
        <is>
          <t>Paulo Ricardo Santos</t>
        </is>
      </c>
      <c r="C4199" t="inlineStr">
        <is>
          <t>JR</t>
        </is>
      </c>
      <c r="D4199" t="n">
        <v>4</v>
      </c>
      <c r="E4199" t="n">
        <v>4</v>
      </c>
      <c r="F4199" t="n">
        <v>32.34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M4199" t="n">
        <v>3</v>
      </c>
      <c r="N4199" t="n">
        <v>98.84</v>
      </c>
      <c r="O4199" t="n">
        <v>31.86813186813187</v>
      </c>
    </row>
    <row r="4200" hidden="1">
      <c r="A4200" s="11" t="n">
        <v>46134</v>
      </c>
      <c r="B4200" t="inlineStr">
        <is>
          <t>Pedro Luiz Mota Sousa</t>
        </is>
      </c>
      <c r="C4200" t="inlineStr">
        <is>
          <t>JR</t>
        </is>
      </c>
      <c r="D4200" t="n">
        <v>7</v>
      </c>
      <c r="E4200" t="n">
        <v>7</v>
      </c>
      <c r="F4200" t="n">
        <v>18.42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M4200" t="n">
        <v>8</v>
      </c>
      <c r="N4200" t="n">
        <v>100</v>
      </c>
      <c r="O4200" t="n">
        <v>34.66666666666667</v>
      </c>
    </row>
    <row r="4201" hidden="1">
      <c r="A4201" s="11" t="n">
        <v>46134</v>
      </c>
      <c r="B4201" t="inlineStr">
        <is>
          <t>Quirino Diogo Leite Torres</t>
        </is>
      </c>
      <c r="C4201" t="inlineStr">
        <is>
          <t>Estágio</t>
        </is>
      </c>
      <c r="D4201" t="n">
        <v>7</v>
      </c>
      <c r="E4201" t="n">
        <v>7</v>
      </c>
      <c r="F4201" t="n">
        <v>30.53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M4201" t="n">
        <v>5</v>
      </c>
      <c r="N4201" t="n">
        <v>94.12</v>
      </c>
      <c r="O4201" t="n">
        <v>32.8</v>
      </c>
    </row>
    <row r="4202" hidden="1">
      <c r="A4202" s="11" t="n">
        <v>46134</v>
      </c>
      <c r="B4202" t="inlineStr">
        <is>
          <t>Raane Batista Matos</t>
        </is>
      </c>
      <c r="C4202" t="inlineStr">
        <is>
          <t>Técnico I</t>
        </is>
      </c>
      <c r="D4202" t="n">
        <v>21</v>
      </c>
      <c r="E4202" t="n">
        <v>18</v>
      </c>
      <c r="F4202" t="n">
        <v>12.11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M4202" t="n">
        <v>16</v>
      </c>
      <c r="N4202" t="n">
        <v>98.31999999999999</v>
      </c>
      <c r="O4202" t="n">
        <v>26.85851318944844</v>
      </c>
    </row>
    <row r="4203" hidden="1">
      <c r="A4203" s="11" t="n">
        <v>46134</v>
      </c>
      <c r="B4203" t="inlineStr">
        <is>
          <t>Rafael Gomes de Morais</t>
        </is>
      </c>
      <c r="C4203" t="inlineStr">
        <is>
          <t>Técnico III</t>
        </is>
      </c>
      <c r="D4203" t="n">
        <v>33</v>
      </c>
      <c r="E4203" t="n">
        <v>28</v>
      </c>
      <c r="F4203" t="n">
        <v>11.53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M4203" t="n">
        <v>19</v>
      </c>
      <c r="N4203" t="n">
        <v>100</v>
      </c>
      <c r="O4203" t="n">
        <v>31.13553113553114</v>
      </c>
    </row>
    <row r="4204" hidden="1">
      <c r="A4204" s="11" t="n">
        <v>46134</v>
      </c>
      <c r="B4204" t="inlineStr">
        <is>
          <t>Sara Maria Monteiro Lopes</t>
        </is>
      </c>
      <c r="C4204" t="inlineStr">
        <is>
          <t>Técnico I</t>
        </is>
      </c>
      <c r="D4204" t="n">
        <v>17</v>
      </c>
      <c r="E4204" t="n">
        <v>17</v>
      </c>
      <c r="F4204" t="n">
        <v>19.03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M4204" t="n">
        <v>12</v>
      </c>
      <c r="N4204" t="n">
        <v>100</v>
      </c>
      <c r="O4204" t="n">
        <v>26.36986301369863</v>
      </c>
    </row>
    <row r="4205" hidden="1">
      <c r="A4205" s="11" t="n">
        <v>46134</v>
      </c>
      <c r="B4205" t="inlineStr">
        <is>
          <t>Sarah Steffanie de Lima Borges</t>
        </is>
      </c>
      <c r="C4205" t="inlineStr">
        <is>
          <t>Técnico III</t>
        </is>
      </c>
      <c r="D4205" t="n">
        <v>24</v>
      </c>
      <c r="E4205" t="n">
        <v>23</v>
      </c>
      <c r="F4205" t="n">
        <v>19.16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M4205" t="n">
        <v>16</v>
      </c>
      <c r="N4205" t="n">
        <v>99.20999999999999</v>
      </c>
      <c r="O4205" t="n">
        <v>25.18891687657431</v>
      </c>
    </row>
    <row r="4206" hidden="1">
      <c r="A4206" s="11" t="n">
        <v>46135</v>
      </c>
      <c r="B4206" t="inlineStr">
        <is>
          <t>Alisson de Freitas Silva</t>
        </is>
      </c>
      <c r="C4206" t="inlineStr">
        <is>
          <t>Técnico II</t>
        </is>
      </c>
      <c r="D4206" t="n">
        <v>27</v>
      </c>
      <c r="E4206" t="n">
        <v>24</v>
      </c>
      <c r="F4206" t="n">
        <v>13.44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M4206" t="n">
        <v>22</v>
      </c>
      <c r="N4206" t="n">
        <v>100</v>
      </c>
      <c r="O4206" t="n">
        <v>32.76450511945392</v>
      </c>
    </row>
    <row r="4207" hidden="1">
      <c r="A4207" s="11" t="n">
        <v>46135</v>
      </c>
      <c r="B4207" t="inlineStr">
        <is>
          <t>Amanda Moura Ferreira</t>
        </is>
      </c>
      <c r="C4207" t="inlineStr">
        <is>
          <t>Técnico III</t>
        </is>
      </c>
      <c r="D4207" t="n">
        <v>0</v>
      </c>
      <c r="E4207" t="n">
        <v>0</v>
      </c>
      <c r="F4207" t="n">
        <v>0</v>
      </c>
      <c r="G4207" t="n">
        <v>0</v>
      </c>
      <c r="H4207" t="n">
        <v>0</v>
      </c>
      <c r="I4207" s="3" t="n">
        <v>0</v>
      </c>
      <c r="J4207" s="3" t="n">
        <v>0</v>
      </c>
      <c r="K4207" s="3" t="n">
        <v>0</v>
      </c>
      <c r="L4207" s="3">
        <f>IF(K4207&lt;-5,"CRÍTICO",IF(K4207&lt;0,"ATENÇÃO",IF(K4207&lt;=5,"OPORTUNO","MUITO BOM")))</f>
        <v/>
      </c>
      <c r="M4207" t="n">
        <v>18</v>
      </c>
      <c r="N4207" t="n">
        <v>98.66</v>
      </c>
      <c r="O4207" t="n">
        <v>35.41666666666667</v>
      </c>
    </row>
    <row r="4208" hidden="1">
      <c r="A4208" s="11" t="n">
        <v>46135</v>
      </c>
      <c r="B4208" t="inlineStr">
        <is>
          <t>Ana Karollyne Souza Faria</t>
        </is>
      </c>
      <c r="C4208" t="inlineStr">
        <is>
          <t>Técnico I</t>
        </is>
      </c>
      <c r="D4208" t="n">
        <v>31</v>
      </c>
      <c r="E4208" t="n">
        <v>27</v>
      </c>
      <c r="F4208" t="n">
        <v>14.15</v>
      </c>
      <c r="G4208" t="n">
        <v>0</v>
      </c>
      <c r="H4208" t="n">
        <v>0</v>
      </c>
      <c r="I4208" s="3">
        <f>E4208+G4208+H4208</f>
        <v/>
      </c>
      <c r="J4208" s="3">
        <f>ROUND(MIN(IF(C4208="Técnico III",35,IF(C4208="Técnico II",28,IF(C4208="Técnico I",23,IF(C4208="JR",20,IF(C4208="Estágio",10,0))))),IF(C4208="Técnico III",SUMIFS($D:$D,$A:$A,$A4208,$B:$B,"&lt;&gt;Patrícia Karla de Sousa Araújo",$B:$B,"&lt;&gt;Lorena Dias de Araujo",$B:$B,"&lt;&gt;Lucas Luiz Romero")*(35/1083),IF(C4208="Técnico II",SUMIFS($D:$D,$A:$A,$A4208,$B:$B,"&lt;&gt;Patrícia Karla de Sousa Araújo",$B:$B,"&lt;&gt;Lorena Dias de Araujo",$B:$B,"&lt;&gt;Lucas Luiz Romero")*(28/1083),IF(C4208="Técnico I",SUMIFS($D:$D,$A:$A,$A4208,$B:$B,"&lt;&gt;Patrícia Karla de Sousa Araújo",$B:$B,"&lt;&gt;Lorena Dias de Araujo",$B:$B,"&lt;&gt;Lucas Luiz Romero")*(23/1083),IF(C4208="JR",SUMIFS($D:$D,$A:$A,$A4208,$B:$B,"&lt;&gt;Patrícia Karla de Sousa Araújo",$B:$B,"&lt;&gt;Lorena Dias de Araujo",$B:$B,"&lt;&gt;Lucas Luiz Romero")*(20/1083),IF(C4208="Estágio",SUMIFS($D:$D,$A:$A,$A4208,$B:$B,"&lt;&gt;Patrícia Karla de Sousa Araújo",$B:$B,"&lt;&gt;Lorena Dias de Araujo",$B:$B,"&lt;&gt;Lucas Luiz Romero")*(10/1083),0)))))),0)</f>
        <v/>
      </c>
      <c r="K4208" s="3">
        <f>I4208-J4208</f>
        <v/>
      </c>
      <c r="L4208" s="3">
        <f>IF(K4208&lt;-5,"CRÍTICO",IF(K4208&lt;0,"ATENÇÃO",IF(K4208&lt;=5,"OPORTUNO","MUITO BOM")))</f>
        <v/>
      </c>
      <c r="M4208" t="n">
        <v>21</v>
      </c>
      <c r="N4208" t="n">
        <v>99.31999999999999</v>
      </c>
      <c r="O4208" t="n">
        <v>30.6483300589391</v>
      </c>
    </row>
    <row r="4209" hidden="1">
      <c r="A4209" s="11" t="n">
        <v>46135</v>
      </c>
      <c r="B4209" t="inlineStr">
        <is>
          <t>Ana Paula Da Luz Silva Aleixo</t>
        </is>
      </c>
      <c r="C4209" t="inlineStr">
        <is>
          <t>Técnico III</t>
        </is>
      </c>
      <c r="D4209" t="n">
        <v>21</v>
      </c>
      <c r="E4209" t="n">
        <v>19</v>
      </c>
      <c r="F4209" t="n">
        <v>21.51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M4209" t="n">
        <v>19</v>
      </c>
      <c r="N4209" t="n">
        <v>100</v>
      </c>
      <c r="O4209" t="n">
        <v>27.80373831775701</v>
      </c>
    </row>
    <row r="4210" hidden="1">
      <c r="A4210" s="11" t="n">
        <v>46135</v>
      </c>
      <c r="B4210" t="inlineStr">
        <is>
          <t>Anna Luiza Rezende Tavares</t>
        </is>
      </c>
      <c r="C4210" t="inlineStr">
        <is>
          <t>Estágio</t>
        </is>
      </c>
      <c r="D4210" t="n">
        <v>34</v>
      </c>
      <c r="E4210" t="n">
        <v>29</v>
      </c>
      <c r="F4210" t="n">
        <v>15.51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M4210" t="n">
        <v>30</v>
      </c>
      <c r="N4210" t="n">
        <v>96.73999999999999</v>
      </c>
      <c r="O4210" t="n">
        <v>28.67647058823529</v>
      </c>
    </row>
    <row r="4211" hidden="1">
      <c r="A4211" s="11" t="n">
        <v>46135</v>
      </c>
      <c r="B4211" t="inlineStr">
        <is>
          <t>Brenda de Menezes Silva</t>
        </is>
      </c>
      <c r="C4211" t="inlineStr">
        <is>
          <t>Técnico II</t>
        </is>
      </c>
      <c r="D4211" t="n">
        <v>0</v>
      </c>
      <c r="E4211" t="n">
        <v>0</v>
      </c>
      <c r="F4211" t="n">
        <v>0</v>
      </c>
      <c r="G4211" t="n">
        <v>0</v>
      </c>
      <c r="H4211" t="n">
        <v>0</v>
      </c>
      <c r="I4211" s="3" t="n">
        <v>0</v>
      </c>
      <c r="J4211" s="3" t="n">
        <v>0</v>
      </c>
      <c r="K4211" s="3" t="n">
        <v>0</v>
      </c>
      <c r="L4211" s="3">
        <f>IF(K4211&lt;-5,"CRÍTICO",IF(K4211&lt;0,"ATENÇÃO",IF(K4211&lt;=5,"OPORTUNO","MUITO BOM")))</f>
        <v/>
      </c>
      <c r="M4211" t="n">
        <v>0</v>
      </c>
      <c r="N4211" t="n">
        <v>98.81999999999999</v>
      </c>
      <c r="O4211" t="n">
        <v>30.74141048824593</v>
      </c>
    </row>
    <row r="4212" hidden="1">
      <c r="A4212" s="11" t="n">
        <v>46135</v>
      </c>
      <c r="B4212" t="inlineStr">
        <is>
          <t>Carlos Mateus Cassimiro Nunes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M4212" t="n">
        <v>0</v>
      </c>
      <c r="N4212" t="n">
        <v>98.2</v>
      </c>
      <c r="O4212" t="n">
        <v>27.17086834733893</v>
      </c>
    </row>
    <row r="4213" hidden="1">
      <c r="A4213" s="11" t="n">
        <v>46135</v>
      </c>
      <c r="B4213" t="inlineStr">
        <is>
          <t>Claudio de Sousa Velasco Filho</t>
        </is>
      </c>
      <c r="C4213" t="inlineStr">
        <is>
          <t>Estágio</t>
        </is>
      </c>
      <c r="D4213" t="n">
        <v>9</v>
      </c>
      <c r="E4213" t="n">
        <v>7</v>
      </c>
      <c r="F4213" t="n">
        <v>17.05</v>
      </c>
      <c r="G4213" t="n">
        <v>0</v>
      </c>
      <c r="H4213" t="n">
        <v>0</v>
      </c>
      <c r="I4213" s="3">
        <f>E4213+G4213+H4213</f>
        <v/>
      </c>
      <c r="J4213" s="3">
        <f>ROUND(MIN(IF(C4213="Técnico III",35,IF(C4213="Técnico II",28,IF(C4213="Técnico I",23,IF(C4213="JR",20,IF(C4213="Estágio",10,0))))),IF(C4213="Técnico III",SUMIFS($D:$D,$A:$A,$A4213,$B:$B,"&lt;&gt;Patrícia Karla de Sousa Araújo",$B:$B,"&lt;&gt;Lorena Dias de Araujo",$B:$B,"&lt;&gt;Lucas Luiz Romero")*(35/1083),IF(C4213="Técnico II",SUMIFS($D:$D,$A:$A,$A4213,$B:$B,"&lt;&gt;Patrícia Karla de Sousa Araújo",$B:$B,"&lt;&gt;Lorena Dias de Araujo",$B:$B,"&lt;&gt;Lucas Luiz Romero")*(28/1083),IF(C4213="Técnico I",SUMIFS($D:$D,$A:$A,$A4213,$B:$B,"&lt;&gt;Patrícia Karla de Sousa Araújo",$B:$B,"&lt;&gt;Lorena Dias de Araujo",$B:$B,"&lt;&gt;Lucas Luiz Romero")*(23/1083),IF(C4213="JR",SUMIFS($D:$D,$A:$A,$A4213,$B:$B,"&lt;&gt;Patrícia Karla de Sousa Araújo",$B:$B,"&lt;&gt;Lorena Dias de Araujo",$B:$B,"&lt;&gt;Lucas Luiz Romero")*(20/1083),IF(C4213="Estágio",SUMIFS($D:$D,$A:$A,$A4213,$B:$B,"&lt;&gt;Patrícia Karla de Sousa Araújo",$B:$B,"&lt;&gt;Lorena Dias de Araujo",$B:$B,"&lt;&gt;Lucas Luiz Romero")*(10/1083),0)))))),0)</f>
        <v/>
      </c>
      <c r="K4213" s="3">
        <f>I4213-J4213</f>
        <v/>
      </c>
      <c r="L4213" s="3">
        <f>IF(K4213&lt;-5,"CRÍTICO",IF(K4213&lt;0,"ATENÇÃO",IF(K4213&lt;=5,"OPORTUNO","MUITO BOM")))</f>
        <v/>
      </c>
      <c r="M4213" t="n">
        <v>6</v>
      </c>
      <c r="N4213" t="n">
        <v>100</v>
      </c>
      <c r="O4213" t="n">
        <v>23.13432835820895</v>
      </c>
    </row>
    <row r="4214" hidden="1">
      <c r="A4214" s="11" t="n">
        <v>46135</v>
      </c>
      <c r="B4214" t="inlineStr">
        <is>
          <t>Clessiane Pereira dos Santos</t>
        </is>
      </c>
      <c r="C4214" t="inlineStr">
        <is>
          <t>Técnico I</t>
        </is>
      </c>
      <c r="D4214" t="n">
        <v>13</v>
      </c>
      <c r="E4214" t="n">
        <v>13</v>
      </c>
      <c r="F4214" t="n">
        <v>20.26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M4214" t="n">
        <v>13</v>
      </c>
      <c r="N4214" t="n">
        <v>96.3</v>
      </c>
      <c r="O4214" t="n">
        <v>32.21957040572792</v>
      </c>
    </row>
    <row r="4215" hidden="1">
      <c r="A4215" s="11" t="n">
        <v>46135</v>
      </c>
      <c r="B4215" t="inlineStr">
        <is>
          <t>Cristiane Ramos da Silva Rocha</t>
        </is>
      </c>
      <c r="C4215" t="inlineStr">
        <is>
          <t>Técnico III</t>
        </is>
      </c>
      <c r="D4215" t="n">
        <v>25</v>
      </c>
      <c r="E4215" t="n">
        <v>21</v>
      </c>
      <c r="F4215" t="n">
        <v>12.06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M4215" t="n">
        <v>17</v>
      </c>
      <c r="N4215" t="n">
        <v>93.75</v>
      </c>
      <c r="O4215" t="n">
        <v>26.81992337164751</v>
      </c>
    </row>
    <row r="4216" hidden="1">
      <c r="A4216" s="11" t="n">
        <v>46135</v>
      </c>
      <c r="B4216" t="inlineStr">
        <is>
          <t>Damyllis Lorraine de Oliveira Gonçalves</t>
        </is>
      </c>
      <c r="C4216" t="inlineStr">
        <is>
          <t>Técnico II</t>
        </is>
      </c>
      <c r="D4216" t="n">
        <v>28</v>
      </c>
      <c r="E4216" t="n">
        <v>23</v>
      </c>
      <c r="F4216" t="n">
        <v>18.42</v>
      </c>
      <c r="G4216" t="n">
        <v>0</v>
      </c>
      <c r="H4216" t="n">
        <v>0</v>
      </c>
      <c r="I4216" s="3" t="n">
        <v>0</v>
      </c>
      <c r="J4216" s="3" t="n">
        <v>0</v>
      </c>
      <c r="K4216" s="3" t="n">
        <v>0</v>
      </c>
      <c r="L4216" s="3">
        <f>IF(K4216&lt;-5,"CRÍTICO",IF(K4216&lt;0,"ATENÇÃO",IF(K4216&lt;=5,"OPORTUNO","MUITO BOM")))</f>
        <v/>
      </c>
      <c r="M4216" t="n">
        <v>22</v>
      </c>
      <c r="N4216" t="n">
        <v>97.86</v>
      </c>
      <c r="O4216" t="n">
        <v>31.01851851851852</v>
      </c>
    </row>
    <row r="4217" hidden="1">
      <c r="A4217" s="11" t="n">
        <v>46135</v>
      </c>
      <c r="B4217" t="inlineStr">
        <is>
          <t>Daniel Gomes da Silva</t>
        </is>
      </c>
      <c r="C4217" t="inlineStr">
        <is>
          <t>Técnico I</t>
        </is>
      </c>
      <c r="D4217" t="n">
        <v>18</v>
      </c>
      <c r="E4217" t="n">
        <v>18</v>
      </c>
      <c r="F4217" t="n">
        <v>16.58</v>
      </c>
      <c r="G4217" t="n">
        <v>0</v>
      </c>
      <c r="H4217" t="n">
        <v>0</v>
      </c>
      <c r="I4217" s="3">
        <f>E4217+G4217+H4217</f>
        <v/>
      </c>
      <c r="J4217" s="3">
        <f>ROUND(MIN(IF(C4217="Técnico III",35,IF(C4217="Técnico II",28,IF(C4217="Técnico I",23,IF(C4217="JR",20,IF(C4217="Estágio",10,0))))),IF(C4217="Técnico III",SUMIFS($D:$D,$A:$A,$A4217,$B:$B,"&lt;&gt;Patrícia Karla de Sousa Araújo",$B:$B,"&lt;&gt;Lorena Dias de Araujo",$B:$B,"&lt;&gt;Lucas Luiz Romero")*(35/1083),IF(C4217="Técnico II",SUMIFS($D:$D,$A:$A,$A4217,$B:$B,"&lt;&gt;Patrícia Karla de Sousa Araújo",$B:$B,"&lt;&gt;Lorena Dias de Araujo",$B:$B,"&lt;&gt;Lucas Luiz Romero")*(28/1083),IF(C4217="Técnico I",SUMIFS($D:$D,$A:$A,$A4217,$B:$B,"&lt;&gt;Patrícia Karla de Sousa Araújo",$B:$B,"&lt;&gt;Lorena Dias de Araujo",$B:$B,"&lt;&gt;Lucas Luiz Romero")*(23/1083),IF(C4217="JR",SUMIFS($D:$D,$A:$A,$A4217,$B:$B,"&lt;&gt;Patrícia Karla de Sousa Araújo",$B:$B,"&lt;&gt;Lorena Dias de Araujo",$B:$B,"&lt;&gt;Lucas Luiz Romero")*(20/1083),IF(C4217="Estágio",SUMIFS($D:$D,$A:$A,$A4217,$B:$B,"&lt;&gt;Patrícia Karla de Sousa Araújo",$B:$B,"&lt;&gt;Lorena Dias de Araujo",$B:$B,"&lt;&gt;Lucas Luiz Romero")*(10/1083),0)))))),0)</f>
        <v/>
      </c>
      <c r="K4217" s="3">
        <f>I4217-J4217</f>
        <v/>
      </c>
      <c r="L4217" s="3">
        <f>IF(K4217&lt;-5,"CRÍTICO",IF(K4217&lt;0,"ATENÇÃO",IF(K4217&lt;=5,"OPORTUNO","MUITO BOM")))</f>
        <v/>
      </c>
      <c r="M4217" t="n">
        <v>15</v>
      </c>
      <c r="N4217" t="n">
        <v>100</v>
      </c>
      <c r="O4217" t="n">
        <v>36.59420289855073</v>
      </c>
    </row>
    <row r="4218" hidden="1">
      <c r="A4218" s="11" t="n">
        <v>46135</v>
      </c>
      <c r="B4218" t="inlineStr">
        <is>
          <t>Davylla Rodrigues Freitas Silva</t>
        </is>
      </c>
      <c r="C4218" t="inlineStr">
        <is>
          <t>Técnico III</t>
        </is>
      </c>
      <c r="D4218" t="n">
        <v>16</v>
      </c>
      <c r="E4218" t="n">
        <v>15</v>
      </c>
      <c r="F4218" t="n">
        <v>22.2</v>
      </c>
      <c r="G4218" t="n">
        <v>0</v>
      </c>
      <c r="H4218" t="n">
        <v>0</v>
      </c>
      <c r="I4218" s="3" t="n">
        <v>0</v>
      </c>
      <c r="J4218" s="3" t="n">
        <v>0</v>
      </c>
      <c r="K4218" s="3" t="n">
        <v>0</v>
      </c>
      <c r="L4218" s="3">
        <f>IF(K4218&lt;-5,"CRÍTICO",IF(K4218&lt;0,"ATENÇÃO",IF(K4218&lt;=5,"OPORTUNO","MUITO BOM")))</f>
        <v/>
      </c>
      <c r="M4218" t="n">
        <v>16</v>
      </c>
      <c r="N4218" t="n">
        <v>100</v>
      </c>
      <c r="O4218" t="n">
        <v>38.65384615384615</v>
      </c>
    </row>
    <row r="4219" hidden="1">
      <c r="A4219" s="11" t="n">
        <v>46135</v>
      </c>
      <c r="B4219" t="inlineStr">
        <is>
          <t>Emilly Caylane Costa</t>
        </is>
      </c>
      <c r="C4219" t="inlineStr">
        <is>
          <t>Estágio</t>
        </is>
      </c>
      <c r="D4219" t="n">
        <v>9</v>
      </c>
      <c r="E4219" t="n">
        <v>9</v>
      </c>
      <c r="F4219" t="n">
        <v>34.17</v>
      </c>
      <c r="G4219" t="n">
        <v>0</v>
      </c>
      <c r="H4219" t="n">
        <v>0</v>
      </c>
      <c r="I4219" s="3">
        <f>E4219+G4219+H4219</f>
        <v/>
      </c>
      <c r="J4219" s="3">
        <f>ROUND(MIN(IF(C4219="Técnico III",35,IF(C4219="Técnico II",28,IF(C4219="Técnico I",23,IF(C4219="JR",20,IF(C4219="Estágio",10,0))))),IF(C4219="Técnico III",SUMIFS($D:$D,$A:$A,$A4219,$B:$B,"&lt;&gt;Patrícia Karla de Sousa Araújo",$B:$B,"&lt;&gt;Lorena Dias de Araujo",$B:$B,"&lt;&gt;Lucas Luiz Romero")*(35/1083),IF(C4219="Técnico II",SUMIFS($D:$D,$A:$A,$A4219,$B:$B,"&lt;&gt;Patrícia Karla de Sousa Araújo",$B:$B,"&lt;&gt;Lorena Dias de Araujo",$B:$B,"&lt;&gt;Lucas Luiz Romero")*(28/1083),IF(C4219="Técnico I",SUMIFS($D:$D,$A:$A,$A4219,$B:$B,"&lt;&gt;Patrícia Karla de Sousa Araújo",$B:$B,"&lt;&gt;Lorena Dias de Araujo",$B:$B,"&lt;&gt;Lucas Luiz Romero")*(23/1083),IF(C4219="JR",SUMIFS($D:$D,$A:$A,$A4219,$B:$B,"&lt;&gt;Patrícia Karla de Sousa Araújo",$B:$B,"&lt;&gt;Lorena Dias de Araujo",$B:$B,"&lt;&gt;Lucas Luiz Romero")*(20/1083),IF(C4219="Estágio",SUMIFS($D:$D,$A:$A,$A4219,$B:$B,"&lt;&gt;Patrícia Karla de Sousa Araújo",$B:$B,"&lt;&gt;Lorena Dias de Araujo",$B:$B,"&lt;&gt;Lucas Luiz Romero")*(10/1083),0)))))),0)</f>
        <v/>
      </c>
      <c r="K4219" s="3">
        <f>I4219-J4219</f>
        <v/>
      </c>
      <c r="L4219" s="3">
        <f>IF(K4219&lt;-5,"CRÍTICO",IF(K4219&lt;0,"ATENÇÃO",IF(K4219&lt;=5,"OPORTUNO","MUITO BOM")))</f>
        <v/>
      </c>
      <c r="M4219" t="n">
        <v>8</v>
      </c>
      <c r="N4219" t="n">
        <v>100</v>
      </c>
      <c r="O4219" t="n">
        <v>27.36842105263158</v>
      </c>
    </row>
    <row r="4220" hidden="1">
      <c r="A4220" s="11" t="n">
        <v>46135</v>
      </c>
      <c r="B4220" t="inlineStr">
        <is>
          <t>Emilly Kamilly Medeiros Miranda</t>
        </is>
      </c>
      <c r="C4220" t="inlineStr">
        <is>
          <t>Técnico II</t>
        </is>
      </c>
      <c r="D4220" t="n">
        <v>24</v>
      </c>
      <c r="E4220" t="n">
        <v>22</v>
      </c>
      <c r="F4220" t="n">
        <v>17.34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M4220" t="n">
        <v>24</v>
      </c>
      <c r="N4220" t="n">
        <v>97.83</v>
      </c>
      <c r="O4220" t="n">
        <v>28.35164835164835</v>
      </c>
    </row>
    <row r="4221" hidden="1">
      <c r="A4221" s="11" t="n">
        <v>46135</v>
      </c>
      <c r="B4221" t="inlineStr">
        <is>
          <t>Francielson de Oliveira</t>
        </is>
      </c>
      <c r="C4221" t="inlineStr">
        <is>
          <t>Técnico III</t>
        </is>
      </c>
      <c r="D4221" t="n">
        <v>27</v>
      </c>
      <c r="E4221" t="n">
        <v>25</v>
      </c>
      <c r="F4221" t="n">
        <v>15.16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M4221" t="n">
        <v>25</v>
      </c>
      <c r="N4221" t="n">
        <v>99.26000000000001</v>
      </c>
      <c r="O4221" t="n">
        <v>29.76653696498055</v>
      </c>
    </row>
    <row r="4222" hidden="1">
      <c r="A4222" s="11" t="n">
        <v>46135</v>
      </c>
      <c r="B4222" t="inlineStr">
        <is>
          <t>Francilene Ferreira de Jesus</t>
        </is>
      </c>
      <c r="C4222" t="inlineStr">
        <is>
          <t>Técnico II</t>
        </is>
      </c>
      <c r="D4222" t="n">
        <v>37</v>
      </c>
      <c r="E4222" t="n">
        <v>32</v>
      </c>
      <c r="F4222" t="n">
        <v>15.21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M4222" t="n">
        <v>24</v>
      </c>
      <c r="N4222" t="n">
        <v>99.19</v>
      </c>
      <c r="O4222" t="n">
        <v>29.46236559139785</v>
      </c>
    </row>
    <row r="4223" hidden="1">
      <c r="A4223" s="11" t="n">
        <v>46142</v>
      </c>
      <c r="B4223" t="inlineStr">
        <is>
          <t>Francilene Ferreira de Jesus</t>
        </is>
      </c>
      <c r="C4223" t="inlineStr">
        <is>
          <t>Técnico II</t>
        </is>
      </c>
      <c r="D4223" s="3" t="n">
        <v>42</v>
      </c>
      <c r="E4223" s="3" t="n">
        <v>42</v>
      </c>
      <c r="F4223" s="3" t="n">
        <v>16.41</v>
      </c>
      <c r="G4223" s="3" t="n">
        <v>0</v>
      </c>
      <c r="H4223" s="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M4223" s="3" t="n">
        <v>35</v>
      </c>
      <c r="N4223" s="3" t="n">
        <v>99.19</v>
      </c>
      <c r="O4223" s="3" t="n">
        <v>29.46236559139785</v>
      </c>
    </row>
    <row r="4224" hidden="1">
      <c r="A4224" s="11" t="n">
        <v>46135</v>
      </c>
      <c r="B4224" t="inlineStr">
        <is>
          <t>Isabella Borges de Oliveira</t>
        </is>
      </c>
      <c r="C4224" t="inlineStr">
        <is>
          <t>Técnico II</t>
        </is>
      </c>
      <c r="D4224" t="n">
        <v>20</v>
      </c>
      <c r="E4224" t="n">
        <v>18</v>
      </c>
      <c r="F4224" t="n">
        <v>18.23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M4224" t="n">
        <v>16</v>
      </c>
      <c r="N4224" t="n">
        <v>100</v>
      </c>
      <c r="O4224" t="n">
        <v>28.92156862745098</v>
      </c>
    </row>
    <row r="4225" hidden="1">
      <c r="A4225" s="11" t="n">
        <v>46135</v>
      </c>
      <c r="B4225" t="inlineStr">
        <is>
          <t>Janaina Lima dos Reis Urany</t>
        </is>
      </c>
      <c r="C4225" t="inlineStr">
        <is>
          <t>Técnico III</t>
        </is>
      </c>
      <c r="D4225" t="n">
        <v>29</v>
      </c>
      <c r="E4225" t="n">
        <v>28</v>
      </c>
      <c r="F4225" t="n">
        <v>14.14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M4225" t="n">
        <v>31</v>
      </c>
      <c r="N4225" t="n">
        <v>99.56999999999999</v>
      </c>
      <c r="O4225" t="n">
        <v>30.63583815028902</v>
      </c>
    </row>
    <row r="4226" hidden="1">
      <c r="A4226" s="11" t="n">
        <v>46135</v>
      </c>
      <c r="B4226" t="inlineStr">
        <is>
          <t>Jaqueline Evangelista da Silva Martins</t>
        </is>
      </c>
      <c r="C4226" t="inlineStr">
        <is>
          <t>Técnico III</t>
        </is>
      </c>
      <c r="D4226" t="n">
        <v>0</v>
      </c>
      <c r="E4226" t="n">
        <v>0</v>
      </c>
      <c r="F4226" t="n">
        <v>0</v>
      </c>
      <c r="G4226" t="n">
        <v>0</v>
      </c>
      <c r="H4226" t="n">
        <v>0</v>
      </c>
      <c r="I4226" s="3" t="n">
        <v>0</v>
      </c>
      <c r="J4226" s="3" t="n">
        <v>0</v>
      </c>
      <c r="K4226" s="3" t="n">
        <v>0</v>
      </c>
      <c r="L4226" s="3">
        <f>IF(K4226&lt;-5,"CRÍTICO",IF(K4226&lt;0,"ATENÇÃO",IF(K4226&lt;=5,"OPORTUNO","MUITO BOM")))</f>
        <v/>
      </c>
      <c r="M4226" t="n">
        <v>0</v>
      </c>
      <c r="N4226" t="n">
        <v>95.65000000000001</v>
      </c>
      <c r="O4226" t="n">
        <v>32.43243243243244</v>
      </c>
    </row>
    <row r="4227" hidden="1">
      <c r="A4227" s="11" t="n">
        <v>46135</v>
      </c>
      <c r="B4227" t="inlineStr">
        <is>
          <t>Jessica Faria da Silveira</t>
        </is>
      </c>
      <c r="C4227" t="inlineStr">
        <is>
          <t>Técnico II</t>
        </is>
      </c>
      <c r="D4227" t="n">
        <v>26</v>
      </c>
      <c r="E4227" t="n">
        <v>23</v>
      </c>
      <c r="F4227" t="n">
        <v>12.11</v>
      </c>
      <c r="G4227" t="n">
        <v>0</v>
      </c>
      <c r="H4227" t="n">
        <v>0</v>
      </c>
      <c r="I4227" s="3">
        <f>E4227+G4227+H4227</f>
        <v/>
      </c>
      <c r="J4227" s="3">
        <f>ROUND(MIN(IF(C4227="Técnico III",35,IF(C4227="Técnico II",28,IF(C4227="Técnico I",23,IF(C4227="JR",20,IF(C4227="Estágio",10,0))))),IF(C4227="Técnico III",SUMIFS($D:$D,$A:$A,$A4227,$B:$B,"&lt;&gt;Patrícia Karla de Sousa Araújo",$B:$B,"&lt;&gt;Lorena Dias de Araujo",$B:$B,"&lt;&gt;Lucas Luiz Romero")*(35/1083),IF(C4227="Técnico II",SUMIFS($D:$D,$A:$A,$A4227,$B:$B,"&lt;&gt;Patrícia Karla de Sousa Araújo",$B:$B,"&lt;&gt;Lorena Dias de Araujo",$B:$B,"&lt;&gt;Lucas Luiz Romero")*(28/1083),IF(C4227="Técnico I",SUMIFS($D:$D,$A:$A,$A4227,$B:$B,"&lt;&gt;Patrícia Karla de Sousa Araújo",$B:$B,"&lt;&gt;Lorena Dias de Araujo",$B:$B,"&lt;&gt;Lucas Luiz Romero")*(23/1083),IF(C4227="JR",SUMIFS($D:$D,$A:$A,$A4227,$B:$B,"&lt;&gt;Patrícia Karla de Sousa Araújo",$B:$B,"&lt;&gt;Lorena Dias de Araujo",$B:$B,"&lt;&gt;Lucas Luiz Romero")*(20/1083),IF(C4227="Estágio",SUMIFS($D:$D,$A:$A,$A4227,$B:$B,"&lt;&gt;Patrícia Karla de Sousa Araújo",$B:$B,"&lt;&gt;Lorena Dias de Araujo",$B:$B,"&lt;&gt;Lucas Luiz Romero")*(10/1083),0)))))),0)</f>
        <v/>
      </c>
      <c r="K4227" s="3">
        <f>I4227-J4227</f>
        <v/>
      </c>
      <c r="L4227" s="3">
        <f>IF(K4227&lt;-5,"CRÍTICO",IF(K4227&lt;0,"ATENÇÃO",IF(K4227&lt;=5,"OPORTUNO","MUITO BOM")))</f>
        <v/>
      </c>
      <c r="M4227" t="n">
        <v>20</v>
      </c>
      <c r="N4227" t="n">
        <v>98.81</v>
      </c>
      <c r="O4227" t="n">
        <v>26.25698324022346</v>
      </c>
    </row>
    <row r="4228" hidden="1">
      <c r="A4228" s="11" t="n">
        <v>46135</v>
      </c>
      <c r="B4228" t="inlineStr">
        <is>
          <t>Jéssica Fé Moura</t>
        </is>
      </c>
      <c r="C4228" t="inlineStr">
        <is>
          <t>Técnico III</t>
        </is>
      </c>
      <c r="D4228" t="n">
        <v>0</v>
      </c>
      <c r="E4228" t="n">
        <v>0</v>
      </c>
      <c r="F4228" t="n">
        <v>0</v>
      </c>
      <c r="G4228" t="n">
        <v>0</v>
      </c>
      <c r="H4228" t="n">
        <v>0</v>
      </c>
      <c r="I4228" s="3" t="n">
        <v>0</v>
      </c>
      <c r="J4228" s="3" t="n">
        <v>0</v>
      </c>
      <c r="K4228" s="3" t="n">
        <v>0</v>
      </c>
      <c r="L4228" s="3">
        <f>IF(K4228&lt;-5,"CRÍTICO",IF(K4228&lt;0,"ATENÇÃO",IF(K4228&lt;=5,"OPORTUNO","MUITO BOM")))</f>
        <v/>
      </c>
      <c r="M4228" t="n">
        <v>0</v>
      </c>
      <c r="N4228" t="n">
        <v>0</v>
      </c>
      <c r="O4228" t="n">
        <v>0</v>
      </c>
    </row>
    <row r="4229" hidden="1">
      <c r="A4229" s="11" t="n">
        <v>46135</v>
      </c>
      <c r="B4229" t="inlineStr">
        <is>
          <t>Karina Gonçalves Martins</t>
        </is>
      </c>
      <c r="C4229" t="inlineStr">
        <is>
          <t>JR</t>
        </is>
      </c>
      <c r="D4229" t="n">
        <v>7</v>
      </c>
      <c r="E4229" t="n">
        <v>7</v>
      </c>
      <c r="F4229" t="n">
        <v>32.38</v>
      </c>
      <c r="G4229" t="n">
        <v>0</v>
      </c>
      <c r="H4229" t="n">
        <v>0</v>
      </c>
      <c r="I4229" s="3">
        <f>E4229+G4229+H4229</f>
        <v/>
      </c>
      <c r="J4229" s="3">
        <f>ROUND(MIN(IF(C4229="Técnico III",35,IF(C4229="Técnico II",28,IF(C4229="Técnico I",23,IF(C4229="JR",20,IF(C4229="Estágio",10,0))))),IF(C4229="Técnico III",SUMIFS($D:$D,$A:$A,$A4229,$B:$B,"&lt;&gt;Patrícia Karla de Sousa Araújo",$B:$B,"&lt;&gt;Lorena Dias de Araujo",$B:$B,"&lt;&gt;Lucas Luiz Romero")*(35/1083),IF(C4229="Técnico II",SUMIFS($D:$D,$A:$A,$A4229,$B:$B,"&lt;&gt;Patrícia Karla de Sousa Araújo",$B:$B,"&lt;&gt;Lorena Dias de Araujo",$B:$B,"&lt;&gt;Lucas Luiz Romero")*(28/1083),IF(C4229="Técnico I",SUMIFS($D:$D,$A:$A,$A4229,$B:$B,"&lt;&gt;Patrícia Karla de Sousa Araújo",$B:$B,"&lt;&gt;Lorena Dias de Araujo",$B:$B,"&lt;&gt;Lucas Luiz Romero")*(23/1083),IF(C4229="JR",SUMIFS($D:$D,$A:$A,$A4229,$B:$B,"&lt;&gt;Patrícia Karla de Sousa Araújo",$B:$B,"&lt;&gt;Lorena Dias de Araujo",$B:$B,"&lt;&gt;Lucas Luiz Romero")*(20/1083),IF(C4229="Estágio",SUMIFS($D:$D,$A:$A,$A4229,$B:$B,"&lt;&gt;Patrícia Karla de Sousa Araújo",$B:$B,"&lt;&gt;Lorena Dias de Araujo",$B:$B,"&lt;&gt;Lucas Luiz Romero")*(10/1083),0)))))),0)</f>
        <v/>
      </c>
      <c r="K4229" s="3">
        <f>I4229-J4229</f>
        <v/>
      </c>
      <c r="L4229" s="3">
        <f>IF(K4229&lt;-5,"CRÍTICO",IF(K4229&lt;0,"ATENÇÃO",IF(K4229&lt;=5,"OPORTUNO","MUITO BOM")))</f>
        <v/>
      </c>
      <c r="M4229" t="n">
        <v>7</v>
      </c>
      <c r="N4229" t="n">
        <v>97.17</v>
      </c>
      <c r="O4229" t="n">
        <v>28.81844380403458</v>
      </c>
    </row>
    <row r="4230" hidden="1">
      <c r="A4230" s="11" t="n">
        <v>46135</v>
      </c>
      <c r="B4230" t="inlineStr">
        <is>
          <t>Kerollen Cristielly de Jesus Siqueira</t>
        </is>
      </c>
      <c r="C4230" t="inlineStr">
        <is>
          <t>Técnico III</t>
        </is>
      </c>
      <c r="D4230" t="n">
        <v>0</v>
      </c>
      <c r="E4230" t="n">
        <v>0</v>
      </c>
      <c r="F4230" t="n">
        <v>0</v>
      </c>
      <c r="G4230" t="n">
        <v>0</v>
      </c>
      <c r="H4230" t="n">
        <v>0</v>
      </c>
      <c r="I4230" s="3" t="n">
        <v>0</v>
      </c>
      <c r="J4230" s="3" t="n">
        <v>0</v>
      </c>
      <c r="K4230" s="3" t="n">
        <v>0</v>
      </c>
      <c r="L4230" s="3">
        <f>IF(K4230&lt;-5,"CRÍTICO",IF(K4230&lt;0,"ATENÇÃO",IF(K4230&lt;=5,"OPORTUNO","MUITO BOM")))</f>
        <v/>
      </c>
      <c r="M4230" t="n">
        <v>30</v>
      </c>
      <c r="N4230" t="n">
        <v>96.81</v>
      </c>
      <c r="O4230" t="n">
        <v>48.01864801864802</v>
      </c>
    </row>
    <row r="4231" hidden="1">
      <c r="A4231" s="11" t="n">
        <v>46135</v>
      </c>
      <c r="B4231" t="inlineStr">
        <is>
          <t>Leandro de Souza Silva</t>
        </is>
      </c>
      <c r="C4231" t="inlineStr">
        <is>
          <t>JR</t>
        </is>
      </c>
      <c r="D4231" t="n">
        <v>20</v>
      </c>
      <c r="E4231" t="n">
        <v>18</v>
      </c>
      <c r="F4231" t="n">
        <v>17.09</v>
      </c>
      <c r="G4231" t="n">
        <v>0</v>
      </c>
      <c r="H4231" t="n">
        <v>0</v>
      </c>
      <c r="I4231" s="3">
        <f>E4231+G4231+H4231</f>
        <v/>
      </c>
      <c r="J4231" s="3">
        <f>ROUND(MIN(IF(C4231="Técnico III",35,IF(C4231="Técnico II",28,IF(C4231="Técnico I",23,IF(C4231="JR",20,IF(C4231="Estágio",10,0))))),IF(C4231="Técnico III",SUMIFS($D:$D,$A:$A,$A4231,$B:$B,"&lt;&gt;Patrícia Karla de Sousa Araújo",$B:$B,"&lt;&gt;Lorena Dias de Araujo",$B:$B,"&lt;&gt;Lucas Luiz Romero")*(35/1083),IF(C4231="Técnico II",SUMIFS($D:$D,$A:$A,$A4231,$B:$B,"&lt;&gt;Patrícia Karla de Sousa Araújo",$B:$B,"&lt;&gt;Lorena Dias de Araujo",$B:$B,"&lt;&gt;Lucas Luiz Romero")*(28/1083),IF(C4231="Técnico I",SUMIFS($D:$D,$A:$A,$A4231,$B:$B,"&lt;&gt;Patrícia Karla de Sousa Araújo",$B:$B,"&lt;&gt;Lorena Dias de Araujo",$B:$B,"&lt;&gt;Lucas Luiz Romero")*(23/1083),IF(C4231="JR",SUMIFS($D:$D,$A:$A,$A4231,$B:$B,"&lt;&gt;Patrícia Karla de Sousa Araújo",$B:$B,"&lt;&gt;Lorena Dias de Araujo",$B:$B,"&lt;&gt;Lucas Luiz Romero")*(20/1083),IF(C4231="Estágio",SUMIFS($D:$D,$A:$A,$A4231,$B:$B,"&lt;&gt;Patrícia Karla de Sousa Araújo",$B:$B,"&lt;&gt;Lorena Dias de Araujo",$B:$B,"&lt;&gt;Lucas Luiz Romero")*(10/1083),0)))))),0)</f>
        <v/>
      </c>
      <c r="K4231" s="3">
        <f>I4231-J4231</f>
        <v/>
      </c>
      <c r="L4231" s="3">
        <f>IF(K4231&lt;-5,"CRÍTICO",IF(K4231&lt;0,"ATENÇÃO",IF(K4231&lt;=5,"OPORTUNO","MUITO BOM")))</f>
        <v/>
      </c>
      <c r="M4231" t="n">
        <v>18</v>
      </c>
      <c r="N4231" t="n">
        <v>98.15000000000001</v>
      </c>
      <c r="O4231" t="n">
        <v>27.1551724137931</v>
      </c>
    </row>
    <row r="4232" hidden="1">
      <c r="A4232" s="11" t="n">
        <v>46135</v>
      </c>
      <c r="B4232" t="inlineStr">
        <is>
          <t>Leandro Oliveira de Sousa</t>
        </is>
      </c>
      <c r="C4232" t="inlineStr">
        <is>
          <t>Técnico III</t>
        </is>
      </c>
      <c r="D4232" t="n">
        <v>24</v>
      </c>
      <c r="E4232" t="n">
        <v>22</v>
      </c>
      <c r="F4232" t="n">
        <v>17.04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M4232" t="n">
        <v>20</v>
      </c>
      <c r="N4232" t="n">
        <v>99.15000000000001</v>
      </c>
      <c r="O4232" t="n">
        <v>27.58620689655172</v>
      </c>
    </row>
    <row r="4233" hidden="1">
      <c r="A4233" s="11" t="n">
        <v>46135</v>
      </c>
      <c r="B4233" t="inlineStr">
        <is>
          <t>Lizandra Gomes Duarte</t>
        </is>
      </c>
      <c r="C4233" t="inlineStr">
        <is>
          <t>Técnico II</t>
        </is>
      </c>
      <c r="D4233" t="n">
        <v>23</v>
      </c>
      <c r="E4233" t="n">
        <v>21</v>
      </c>
      <c r="F4233" t="n">
        <v>20.36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M4233" t="n">
        <v>17</v>
      </c>
      <c r="N4233" t="n">
        <v>99.17</v>
      </c>
      <c r="O4233" t="n">
        <v>29.75206611570248</v>
      </c>
    </row>
    <row r="4234" hidden="1">
      <c r="A4234" s="11" t="n">
        <v>46135</v>
      </c>
      <c r="B4234" t="inlineStr">
        <is>
          <t>Lorena Dias de Araujo</t>
        </is>
      </c>
      <c r="C4234" t="inlineStr">
        <is>
          <t>Técnico II</t>
        </is>
      </c>
      <c r="D4234" t="n">
        <v>0</v>
      </c>
      <c r="E4234" t="n">
        <v>0</v>
      </c>
      <c r="F4234" t="n">
        <v>0</v>
      </c>
      <c r="G4234" t="n">
        <v>0</v>
      </c>
      <c r="H4234" t="n">
        <v>0</v>
      </c>
      <c r="I4234" s="3" t="n">
        <v>0</v>
      </c>
      <c r="J4234" s="3" t="n">
        <v>0</v>
      </c>
      <c r="K4234" s="3" t="n">
        <v>0</v>
      </c>
      <c r="L4234" s="3">
        <f>IF(K4234&lt;-5,"CRÍTICO",IF(K4234&lt;0,"ATENÇÃO",IF(K4234&lt;=5,"OPORTUNO","MUITO BOM")))</f>
        <v/>
      </c>
      <c r="M4234" t="n">
        <v>0</v>
      </c>
      <c r="N4234" t="n">
        <v>98.73</v>
      </c>
      <c r="O4234" t="n">
        <v>28.96174863387978</v>
      </c>
    </row>
    <row r="4235" hidden="1">
      <c r="A4235" s="11" t="n">
        <v>46135</v>
      </c>
      <c r="B4235" t="inlineStr">
        <is>
          <t>Lucas Luiz Romero</t>
        </is>
      </c>
      <c r="C4235" t="inlineStr">
        <is>
          <t>Técnico III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M4235" t="n">
        <v>0</v>
      </c>
      <c r="N4235" t="n">
        <v>88.68000000000001</v>
      </c>
      <c r="O4235" t="n">
        <v>22.03389830508474</v>
      </c>
    </row>
    <row r="4236" hidden="1">
      <c r="A4236" s="11" t="n">
        <v>46135</v>
      </c>
      <c r="B4236" t="inlineStr">
        <is>
          <t>Luiz Fernando de Carvalho Junior</t>
        </is>
      </c>
      <c r="C4236" t="inlineStr">
        <is>
          <t>Técnico I</t>
        </is>
      </c>
      <c r="D4236" t="n">
        <v>21</v>
      </c>
      <c r="E4236" t="n">
        <v>20</v>
      </c>
      <c r="F4236" t="n">
        <v>20.13</v>
      </c>
      <c r="G4236" t="n">
        <v>0</v>
      </c>
      <c r="H4236" t="n">
        <v>0</v>
      </c>
      <c r="I4236" s="3">
        <f>E4236+G4236+H4236</f>
        <v/>
      </c>
      <c r="J4236" s="3">
        <f>ROUND(MIN(IF(C4236="Técnico III",35,IF(C4236="Técnico II",28,IF(C4236="Técnico I",23,IF(C4236="JR",20,IF(C4236="Estágio",10,0))))),IF(C4236="Técnico III",SUMIFS($D:$D,$A:$A,$A4236,$B:$B,"&lt;&gt;Patrícia Karla de Sousa Araújo",$B:$B,"&lt;&gt;Lorena Dias de Araujo",$B:$B,"&lt;&gt;Lucas Luiz Romero")*(35/1083),IF(C4236="Técnico II",SUMIFS($D:$D,$A:$A,$A4236,$B:$B,"&lt;&gt;Patrícia Karla de Sousa Araújo",$B:$B,"&lt;&gt;Lorena Dias de Araujo",$B:$B,"&lt;&gt;Lucas Luiz Romero")*(28/1083),IF(C4236="Técnico I",SUMIFS($D:$D,$A:$A,$A4236,$B:$B,"&lt;&gt;Patrícia Karla de Sousa Araújo",$B:$B,"&lt;&gt;Lorena Dias de Araujo",$B:$B,"&lt;&gt;Lucas Luiz Romero")*(23/1083),IF(C4236="JR",SUMIFS($D:$D,$A:$A,$A4236,$B:$B,"&lt;&gt;Patrícia Karla de Sousa Araújo",$B:$B,"&lt;&gt;Lorena Dias de Araujo",$B:$B,"&lt;&gt;Lucas Luiz Romero")*(20/1083),IF(C4236="Estágio",SUMIFS($D:$D,$A:$A,$A4236,$B:$B,"&lt;&gt;Patrícia Karla de Sousa Araújo",$B:$B,"&lt;&gt;Lorena Dias de Araujo",$B:$B,"&lt;&gt;Lucas Luiz Romero")*(10/1083),0)))))),0)</f>
        <v/>
      </c>
      <c r="K4236" s="3">
        <f>I4236-J4236</f>
        <v/>
      </c>
      <c r="L4236" s="3">
        <f>IF(K4236&lt;-5,"CRÍTICO",IF(K4236&lt;0,"ATENÇÃO",IF(K4236&lt;=5,"OPORTUNO","MUITO BOM")))</f>
        <v/>
      </c>
      <c r="M4236" t="n">
        <v>22</v>
      </c>
      <c r="N4236" t="n">
        <v>97.37</v>
      </c>
      <c r="O4236" t="n">
        <v>25.76530612244898</v>
      </c>
    </row>
    <row r="4237" hidden="1">
      <c r="A4237" s="11" t="n">
        <v>46135</v>
      </c>
      <c r="B4237" t="inlineStr">
        <is>
          <t>Maria Eduarda Sousa Costa</t>
        </is>
      </c>
      <c r="C4237" t="inlineStr">
        <is>
          <t>Estágio</t>
        </is>
      </c>
      <c r="D4237" t="n">
        <v>35</v>
      </c>
      <c r="E4237" t="n">
        <v>16</v>
      </c>
      <c r="F4237" t="n">
        <v>3.4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M4237" t="n">
        <v>0</v>
      </c>
      <c r="N4237" t="n">
        <v>100</v>
      </c>
      <c r="O4237" t="n">
        <v>25</v>
      </c>
    </row>
    <row r="4238" hidden="1">
      <c r="A4238" s="11" t="n">
        <v>46135</v>
      </c>
      <c r="B4238" t="inlineStr">
        <is>
          <t>Matheus Farias De Souza</t>
        </is>
      </c>
      <c r="C4238" t="inlineStr">
        <is>
          <t>Técnico III</t>
        </is>
      </c>
      <c r="D4238" t="n">
        <v>19</v>
      </c>
      <c r="E4238" t="n">
        <v>17</v>
      </c>
      <c r="F4238" t="n">
        <v>12.26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M4238" t="n">
        <v>26</v>
      </c>
      <c r="N4238" t="n">
        <v>100</v>
      </c>
      <c r="O4238" t="n">
        <v>23.9870340356564</v>
      </c>
    </row>
    <row r="4239" hidden="1">
      <c r="A4239" s="11" t="n">
        <v>46135</v>
      </c>
      <c r="B4239" t="inlineStr">
        <is>
          <t>Maysa Victoria Dias Moura</t>
        </is>
      </c>
      <c r="C4239" t="inlineStr">
        <is>
          <t>Técnico III</t>
        </is>
      </c>
      <c r="D4239" t="n">
        <v>23</v>
      </c>
      <c r="E4239" t="n">
        <v>23</v>
      </c>
      <c r="F4239" t="n">
        <v>15.14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M4239" t="n">
        <v>20</v>
      </c>
      <c r="N4239" t="n">
        <v>95.48999999999999</v>
      </c>
      <c r="O4239" t="n">
        <v>28.37022132796781</v>
      </c>
    </row>
    <row r="4240" hidden="1">
      <c r="A4240" s="11" t="n">
        <v>46135</v>
      </c>
      <c r="B4240" t="inlineStr">
        <is>
          <t>Michelle G Santos</t>
        </is>
      </c>
      <c r="C4240" t="inlineStr">
        <is>
          <t>Estágio</t>
        </is>
      </c>
      <c r="D4240" t="n">
        <v>12</v>
      </c>
      <c r="E4240" t="n">
        <v>12</v>
      </c>
      <c r="F4240" t="n">
        <v>23.38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M4240" t="n">
        <v>7</v>
      </c>
      <c r="N4240" t="n">
        <v>100</v>
      </c>
      <c r="O4240" t="n">
        <v>23.77622377622378</v>
      </c>
    </row>
    <row r="4241" hidden="1">
      <c r="A4241" s="11" t="n">
        <v>46135</v>
      </c>
      <c r="B4241" t="inlineStr">
        <is>
          <t>Milena Sales</t>
        </is>
      </c>
      <c r="C4241" t="inlineStr">
        <is>
          <t>JR</t>
        </is>
      </c>
      <c r="D4241" t="n">
        <v>34</v>
      </c>
      <c r="E4241" t="n">
        <v>19</v>
      </c>
      <c r="F4241" t="n">
        <v>9.1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M4241" t="n">
        <v>16</v>
      </c>
      <c r="N4241" t="n">
        <v>96.15000000000001</v>
      </c>
      <c r="O4241" t="n">
        <v>24.04580152671756</v>
      </c>
    </row>
    <row r="4242" hidden="1">
      <c r="A4242" s="11" t="n">
        <v>46135</v>
      </c>
      <c r="B4242" t="inlineStr">
        <is>
          <t>Patrícia Karla de Sousa Araújo</t>
        </is>
      </c>
      <c r="C4242" t="inlineStr">
        <is>
          <t>Técnico II</t>
        </is>
      </c>
      <c r="D4242" t="n">
        <v>0</v>
      </c>
      <c r="E4242" t="n">
        <v>0</v>
      </c>
      <c r="F4242" t="n">
        <v>0</v>
      </c>
      <c r="G4242" t="n">
        <v>0</v>
      </c>
      <c r="H4242" t="n">
        <v>0</v>
      </c>
      <c r="I4242" s="3" t="n">
        <v>0</v>
      </c>
      <c r="J4242" s="3" t="n">
        <v>0</v>
      </c>
      <c r="K4242" s="3" t="n">
        <v>0</v>
      </c>
      <c r="L4242" s="3">
        <f>IF(K4242&lt;-5,"CRÍTICO",IF(K4242&lt;0,"ATENÇÃO",IF(K4242&lt;=5,"OPORTUNO","MUITO BOM")))</f>
        <v/>
      </c>
      <c r="M4242" t="n">
        <v>0</v>
      </c>
      <c r="N4242" t="n">
        <v>99.02</v>
      </c>
      <c r="O4242" t="n">
        <v>34.7972972972973</v>
      </c>
    </row>
    <row r="4243" hidden="1">
      <c r="A4243" s="11" t="n">
        <v>46135</v>
      </c>
      <c r="B4243" t="inlineStr">
        <is>
          <t>Paulo Ricardo Santos</t>
        </is>
      </c>
      <c r="C4243" t="inlineStr">
        <is>
          <t>JR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M4243" t="n">
        <v>0</v>
      </c>
      <c r="N4243" t="n">
        <v>98.84</v>
      </c>
      <c r="O4243" t="n">
        <v>31.86813186813187</v>
      </c>
    </row>
    <row r="4244" hidden="1">
      <c r="A4244" s="11" t="n">
        <v>46135</v>
      </c>
      <c r="B4244" t="inlineStr">
        <is>
          <t>Pedro Luiz Mota Sousa</t>
        </is>
      </c>
      <c r="C4244" t="inlineStr">
        <is>
          <t>JR</t>
        </is>
      </c>
      <c r="D4244" t="n">
        <v>12</v>
      </c>
      <c r="E4244" t="n">
        <v>11</v>
      </c>
      <c r="F4244" t="n">
        <v>21.54</v>
      </c>
      <c r="G4244" t="n">
        <v>0</v>
      </c>
      <c r="H4244" t="n">
        <v>0</v>
      </c>
      <c r="I4244" s="3">
        <f>E4244+G4244+H4244</f>
        <v/>
      </c>
      <c r="J4244" s="3">
        <f>ROUND(MIN(IF(C4244="Técnico III",35,IF(C4244="Técnico II",28,IF(C4244="Técnico I",23,IF(C4244="JR",20,IF(C4244="Estágio",10,0))))),IF(C4244="Técnico III",SUMIFS($D:$D,$A:$A,$A4244,$B:$B,"&lt;&gt;Patrícia Karla de Sousa Araújo",$B:$B,"&lt;&gt;Lorena Dias de Araujo",$B:$B,"&lt;&gt;Lucas Luiz Romero")*(35/1083),IF(C4244="Técnico II",SUMIFS($D:$D,$A:$A,$A4244,$B:$B,"&lt;&gt;Patrícia Karla de Sousa Araújo",$B:$B,"&lt;&gt;Lorena Dias de Araujo",$B:$B,"&lt;&gt;Lucas Luiz Romero")*(28/1083),IF(C4244="Técnico I",SUMIFS($D:$D,$A:$A,$A4244,$B:$B,"&lt;&gt;Patrícia Karla de Sousa Araújo",$B:$B,"&lt;&gt;Lorena Dias de Araujo",$B:$B,"&lt;&gt;Lucas Luiz Romero")*(23/1083),IF(C4244="JR",SUMIFS($D:$D,$A:$A,$A4244,$B:$B,"&lt;&gt;Patrícia Karla de Sousa Araújo",$B:$B,"&lt;&gt;Lorena Dias de Araujo",$B:$B,"&lt;&gt;Lucas Luiz Romero")*(20/1083),IF(C4244="Estágio",SUMIFS($D:$D,$A:$A,$A4244,$B:$B,"&lt;&gt;Patrícia Karla de Sousa Araújo",$B:$B,"&lt;&gt;Lorena Dias de Araujo",$B:$B,"&lt;&gt;Lucas Luiz Romero")*(10/1083),0)))))),0)</f>
        <v/>
      </c>
      <c r="K4244" s="3">
        <f>I4244-J4244</f>
        <v/>
      </c>
      <c r="L4244" s="3">
        <f>IF(K4244&lt;-5,"CRÍTICO",IF(K4244&lt;0,"ATENÇÃO",IF(K4244&lt;=5,"OPORTUNO","MUITO BOM")))</f>
        <v/>
      </c>
      <c r="M4244" t="n">
        <v>10</v>
      </c>
      <c r="N4244" t="n">
        <v>100</v>
      </c>
      <c r="O4244" t="n">
        <v>34.66666666666667</v>
      </c>
    </row>
    <row r="4245" hidden="1">
      <c r="A4245" s="11" t="n">
        <v>46135</v>
      </c>
      <c r="B4245" t="inlineStr">
        <is>
          <t>Quirino Diogo Leite Torres</t>
        </is>
      </c>
      <c r="C4245" t="inlineStr">
        <is>
          <t>Estágio</t>
        </is>
      </c>
      <c r="D4245" t="n">
        <v>5</v>
      </c>
      <c r="E4245" t="n">
        <v>5</v>
      </c>
      <c r="F4245" t="n">
        <v>23.21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M4245" t="n">
        <v>4</v>
      </c>
      <c r="N4245" t="n">
        <v>94.12</v>
      </c>
      <c r="O4245" t="n">
        <v>32.8</v>
      </c>
    </row>
    <row r="4246" hidden="1">
      <c r="A4246" s="11" t="n">
        <v>46135</v>
      </c>
      <c r="B4246" t="inlineStr">
        <is>
          <t>Raane Batista Matos</t>
        </is>
      </c>
      <c r="C4246" t="inlineStr">
        <is>
          <t>Técnico I</t>
        </is>
      </c>
      <c r="D4246" t="n">
        <v>30</v>
      </c>
      <c r="E4246" t="n">
        <v>27</v>
      </c>
      <c r="F4246" t="n">
        <v>11.43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M4246" t="n">
        <v>23</v>
      </c>
      <c r="N4246" t="n">
        <v>98.31999999999999</v>
      </c>
      <c r="O4246" t="n">
        <v>26.85851318944844</v>
      </c>
    </row>
    <row r="4247" hidden="1">
      <c r="A4247" s="11" t="n">
        <v>46135</v>
      </c>
      <c r="B4247" t="inlineStr">
        <is>
          <t>Rafael Gomes de Morais</t>
        </is>
      </c>
      <c r="C4247" t="inlineStr">
        <is>
          <t>Técnico III</t>
        </is>
      </c>
      <c r="D4247" t="n">
        <v>32</v>
      </c>
      <c r="E4247" t="n">
        <v>30</v>
      </c>
      <c r="F4247" t="n">
        <v>15.17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M4247" t="n">
        <v>20</v>
      </c>
      <c r="N4247" t="n">
        <v>100</v>
      </c>
      <c r="O4247" t="n">
        <v>31.13553113553114</v>
      </c>
    </row>
    <row r="4248" hidden="1">
      <c r="A4248" s="11" t="n">
        <v>46135</v>
      </c>
      <c r="B4248" t="inlineStr">
        <is>
          <t>Sara Maria Monteiro Lopes</t>
        </is>
      </c>
      <c r="C4248" t="inlineStr">
        <is>
          <t>Técnico I</t>
        </is>
      </c>
      <c r="D4248" t="n">
        <v>21</v>
      </c>
      <c r="E4248" t="n">
        <v>17</v>
      </c>
      <c r="F4248" t="n">
        <v>13.43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M4248" t="n">
        <v>19</v>
      </c>
      <c r="N4248" t="n">
        <v>100</v>
      </c>
      <c r="O4248" t="n">
        <v>26.36986301369863</v>
      </c>
    </row>
    <row r="4249" hidden="1">
      <c r="A4249" s="11" t="n">
        <v>46135</v>
      </c>
      <c r="B4249" t="inlineStr">
        <is>
          <t>Sarah Steffanie de Lima Borges</t>
        </is>
      </c>
      <c r="C4249" t="inlineStr">
        <is>
          <t>Técnico III</t>
        </is>
      </c>
      <c r="D4249" t="n">
        <v>25</v>
      </c>
      <c r="E4249" t="n">
        <v>23</v>
      </c>
      <c r="F4249" t="n">
        <v>23.59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M4249" t="n">
        <v>21</v>
      </c>
      <c r="N4249" t="n">
        <v>99.20999999999999</v>
      </c>
      <c r="O4249" t="n">
        <v>25.18891687657431</v>
      </c>
    </row>
    <row r="4250" hidden="1">
      <c r="A4250" s="11" t="n">
        <v>46136</v>
      </c>
      <c r="B4250" t="inlineStr">
        <is>
          <t>Alisson de Freitas Silva</t>
        </is>
      </c>
      <c r="C4250" t="inlineStr">
        <is>
          <t>Técnico II</t>
        </is>
      </c>
      <c r="D4250" t="n">
        <v>39</v>
      </c>
      <c r="E4250" t="n">
        <v>28</v>
      </c>
      <c r="F4250" t="n">
        <v>10.5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M4250" t="n">
        <v>24</v>
      </c>
      <c r="N4250" t="n">
        <v>100</v>
      </c>
      <c r="O4250" t="n">
        <v>32.76450511945392</v>
      </c>
    </row>
    <row r="4251" hidden="1">
      <c r="A4251" s="11" t="n">
        <v>46136</v>
      </c>
      <c r="B4251" t="inlineStr">
        <is>
          <t>Amanda Moura Ferreira</t>
        </is>
      </c>
      <c r="C4251" t="inlineStr">
        <is>
          <t>Técnico III</t>
        </is>
      </c>
      <c r="D4251" t="n">
        <v>0</v>
      </c>
      <c r="E4251" t="n">
        <v>0</v>
      </c>
      <c r="F4251" t="n">
        <v>0</v>
      </c>
      <c r="G4251" t="n">
        <v>0</v>
      </c>
      <c r="H4251" t="n">
        <v>0</v>
      </c>
      <c r="I4251" s="3" t="n">
        <v>0</v>
      </c>
      <c r="J4251" s="3" t="n">
        <v>0</v>
      </c>
      <c r="K4251" s="3" t="n">
        <v>0</v>
      </c>
      <c r="L4251" s="3">
        <f>IF(K4251&lt;-5,"CRÍTICO",IF(K4251&lt;0,"ATENÇÃO",IF(K4251&lt;=5,"OPORTUNO","MUITO BOM")))</f>
        <v/>
      </c>
      <c r="M4251" t="n">
        <v>14</v>
      </c>
      <c r="N4251" t="n">
        <v>98.66</v>
      </c>
      <c r="O4251" t="n">
        <v>35.41666666666667</v>
      </c>
    </row>
    <row r="4252" hidden="1">
      <c r="A4252" s="11" t="n">
        <v>46136</v>
      </c>
      <c r="B4252" t="inlineStr">
        <is>
          <t>Ana Karollyne Souza Faria</t>
        </is>
      </c>
      <c r="C4252" t="inlineStr">
        <is>
          <t>Técnico I</t>
        </is>
      </c>
      <c r="D4252" t="n">
        <v>23</v>
      </c>
      <c r="E4252" t="n">
        <v>23</v>
      </c>
      <c r="F4252" t="n">
        <v>21.42</v>
      </c>
      <c r="G4252" t="n">
        <v>0</v>
      </c>
      <c r="H4252" t="n">
        <v>0</v>
      </c>
      <c r="I4252" s="3">
        <f>E4252+G4252+H4252</f>
        <v/>
      </c>
      <c r="J4252" s="3">
        <f>ROUND(MIN(IF(C4252="Técnico III",35,IF(C4252="Técnico II",28,IF(C4252="Técnico I",23,IF(C4252="JR",20,IF(C4252="Estágio",10,0))))),IF(C4252="Técnico III",SUMIFS($D:$D,$A:$A,$A4252,$B:$B,"&lt;&gt;Patrícia Karla de Sousa Araújo",$B:$B,"&lt;&gt;Lorena Dias de Araujo",$B:$B,"&lt;&gt;Lucas Luiz Romero")*(35/1083),IF(C4252="Técnico II",SUMIFS($D:$D,$A:$A,$A4252,$B:$B,"&lt;&gt;Patrícia Karla de Sousa Araújo",$B:$B,"&lt;&gt;Lorena Dias de Araujo",$B:$B,"&lt;&gt;Lucas Luiz Romero")*(28/1083),IF(C4252="Técnico I",SUMIFS($D:$D,$A:$A,$A4252,$B:$B,"&lt;&gt;Patrícia Karla de Sousa Araújo",$B:$B,"&lt;&gt;Lorena Dias de Araujo",$B:$B,"&lt;&gt;Lucas Luiz Romero")*(23/1083),IF(C4252="JR",SUMIFS($D:$D,$A:$A,$A4252,$B:$B,"&lt;&gt;Patrícia Karla de Sousa Araújo",$B:$B,"&lt;&gt;Lorena Dias de Araujo",$B:$B,"&lt;&gt;Lucas Luiz Romero")*(20/1083),IF(C4252="Estágio",SUMIFS($D:$D,$A:$A,$A4252,$B:$B,"&lt;&gt;Patrícia Karla de Sousa Araújo",$B:$B,"&lt;&gt;Lorena Dias de Araujo",$B:$B,"&lt;&gt;Lucas Luiz Romero")*(10/1083),0)))))),0)</f>
        <v/>
      </c>
      <c r="K4252" s="3">
        <f>I4252-J4252</f>
        <v/>
      </c>
      <c r="L4252" s="3">
        <f>IF(K4252&lt;-5,"CRÍTICO",IF(K4252&lt;0,"ATENÇÃO",IF(K4252&lt;=5,"OPORTUNO","MUITO BOM")))</f>
        <v/>
      </c>
      <c r="M4252" t="n">
        <v>24</v>
      </c>
      <c r="N4252" t="n">
        <v>99.31999999999999</v>
      </c>
      <c r="O4252" t="n">
        <v>30.6483300589391</v>
      </c>
    </row>
    <row r="4253" hidden="1">
      <c r="A4253" s="11" t="n">
        <v>46136</v>
      </c>
      <c r="B4253" t="inlineStr">
        <is>
          <t>Ana Paula Da Luz Silva Aleixo</t>
        </is>
      </c>
      <c r="C4253" t="inlineStr">
        <is>
          <t>Técnico III</t>
        </is>
      </c>
      <c r="D4253" t="n">
        <v>25</v>
      </c>
      <c r="E4253" t="n">
        <v>22</v>
      </c>
      <c r="F4253" t="n">
        <v>15.15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M4253" t="n">
        <v>21</v>
      </c>
      <c r="N4253" t="n">
        <v>100</v>
      </c>
      <c r="O4253" t="n">
        <v>27.80373831775701</v>
      </c>
    </row>
    <row r="4254" hidden="1">
      <c r="A4254" s="11" t="n">
        <v>46136</v>
      </c>
      <c r="B4254" t="inlineStr">
        <is>
          <t>Anna Luiza Rezende Tavares</t>
        </is>
      </c>
      <c r="C4254" t="inlineStr">
        <is>
          <t>Estágio</t>
        </is>
      </c>
      <c r="D4254" t="n">
        <v>32</v>
      </c>
      <c r="E4254" t="n">
        <v>31</v>
      </c>
      <c r="F4254" t="n">
        <v>13.52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M4254" t="n">
        <v>29</v>
      </c>
      <c r="N4254" t="n">
        <v>96.73999999999999</v>
      </c>
      <c r="O4254" t="n">
        <v>28.67647058823529</v>
      </c>
    </row>
    <row r="4255" hidden="1">
      <c r="A4255" s="11" t="n">
        <v>46136</v>
      </c>
      <c r="B4255" t="inlineStr">
        <is>
          <t>Brenda de Menezes Silva</t>
        </is>
      </c>
      <c r="C4255" t="inlineStr">
        <is>
          <t>Técnico II</t>
        </is>
      </c>
      <c r="D4255" t="n">
        <v>0</v>
      </c>
      <c r="E4255" t="n">
        <v>0</v>
      </c>
      <c r="F4255" t="n">
        <v>0</v>
      </c>
      <c r="G4255" t="n">
        <v>0</v>
      </c>
      <c r="H4255" t="n">
        <v>0</v>
      </c>
      <c r="I4255" s="3" t="n">
        <v>0</v>
      </c>
      <c r="J4255" s="3" t="n">
        <v>0</v>
      </c>
      <c r="K4255" s="3" t="n">
        <v>0</v>
      </c>
      <c r="L4255" s="3">
        <f>IF(K4255&lt;-5,"CRÍTICO",IF(K4255&lt;0,"ATENÇÃO",IF(K4255&lt;=5,"OPORTUNO","MUITO BOM")))</f>
        <v/>
      </c>
      <c r="M4255" t="n">
        <v>0</v>
      </c>
      <c r="N4255" t="n">
        <v>98.81999999999999</v>
      </c>
      <c r="O4255" t="n">
        <v>30.74141048824593</v>
      </c>
    </row>
    <row r="4256" hidden="1">
      <c r="A4256" s="11" t="n">
        <v>46136</v>
      </c>
      <c r="B4256" t="inlineStr">
        <is>
          <t>Carlos Mateus Cassimiro Nunes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M4256" t="n">
        <v>2</v>
      </c>
      <c r="N4256" t="n">
        <v>98.2</v>
      </c>
      <c r="O4256" t="n">
        <v>27.17086834733893</v>
      </c>
    </row>
    <row r="4257" hidden="1">
      <c r="A4257" s="11" t="n">
        <v>46136</v>
      </c>
      <c r="B4257" t="inlineStr">
        <is>
          <t>Claudio de Sousa Velasco Filho</t>
        </is>
      </c>
      <c r="C4257" t="inlineStr">
        <is>
          <t>Estágio</t>
        </is>
      </c>
      <c r="D4257" t="n">
        <v>10</v>
      </c>
      <c r="E4257" t="n">
        <v>10</v>
      </c>
      <c r="F4257" t="n">
        <v>15.43</v>
      </c>
      <c r="G4257" t="n">
        <v>0</v>
      </c>
      <c r="H4257" t="n">
        <v>0</v>
      </c>
      <c r="I4257" s="3">
        <f>E4257+G4257+H4257</f>
        <v/>
      </c>
      <c r="J4257" s="3">
        <f>ROUND(MIN(IF(C4257="Técnico III",35,IF(C4257="Técnico II",28,IF(C4257="Técnico I",23,IF(C4257="JR",20,IF(C4257="Estágio",10,0))))),IF(C4257="Técnico III",SUMIFS($D:$D,$A:$A,$A4257,$B:$B,"&lt;&gt;Patrícia Karla de Sousa Araújo",$B:$B,"&lt;&gt;Lorena Dias de Araujo",$B:$B,"&lt;&gt;Lucas Luiz Romero")*(35/1083),IF(C4257="Técnico II",SUMIFS($D:$D,$A:$A,$A4257,$B:$B,"&lt;&gt;Patrícia Karla de Sousa Araújo",$B:$B,"&lt;&gt;Lorena Dias de Araujo",$B:$B,"&lt;&gt;Lucas Luiz Romero")*(28/1083),IF(C4257="Técnico I",SUMIFS($D:$D,$A:$A,$A4257,$B:$B,"&lt;&gt;Patrícia Karla de Sousa Araújo",$B:$B,"&lt;&gt;Lorena Dias de Araujo",$B:$B,"&lt;&gt;Lucas Luiz Romero")*(23/1083),IF(C4257="JR",SUMIFS($D:$D,$A:$A,$A4257,$B:$B,"&lt;&gt;Patrícia Karla de Sousa Araújo",$B:$B,"&lt;&gt;Lorena Dias de Araujo",$B:$B,"&lt;&gt;Lucas Luiz Romero")*(20/1083),IF(C4257="Estágio",SUMIFS($D:$D,$A:$A,$A4257,$B:$B,"&lt;&gt;Patrícia Karla de Sousa Araújo",$B:$B,"&lt;&gt;Lorena Dias de Araujo",$B:$B,"&lt;&gt;Lucas Luiz Romero")*(10/1083),0)))))),0)</f>
        <v/>
      </c>
      <c r="K4257" s="3">
        <f>I4257-J4257</f>
        <v/>
      </c>
      <c r="L4257" s="3">
        <f>IF(K4257&lt;-5,"CRÍTICO",IF(K4257&lt;0,"ATENÇÃO",IF(K4257&lt;=5,"OPORTUNO","MUITO BOM")))</f>
        <v/>
      </c>
      <c r="M4257" t="n">
        <v>7</v>
      </c>
      <c r="N4257" t="n">
        <v>100</v>
      </c>
      <c r="O4257" t="n">
        <v>23.13432835820895</v>
      </c>
    </row>
    <row r="4258" hidden="1">
      <c r="A4258" s="11" t="n">
        <v>46136</v>
      </c>
      <c r="B4258" t="inlineStr">
        <is>
          <t>Clessiane Pereira dos Santos</t>
        </is>
      </c>
      <c r="C4258" t="inlineStr">
        <is>
          <t>Técnico I</t>
        </is>
      </c>
      <c r="D4258" t="n">
        <v>15</v>
      </c>
      <c r="E4258" t="n">
        <v>12</v>
      </c>
      <c r="F4258" t="n">
        <v>16.5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M4258" t="n">
        <v>14</v>
      </c>
      <c r="N4258" t="n">
        <v>96.3</v>
      </c>
      <c r="O4258" t="n">
        <v>32.21957040572792</v>
      </c>
    </row>
    <row r="4259" hidden="1">
      <c r="A4259" s="11" t="n">
        <v>46136</v>
      </c>
      <c r="B4259" t="inlineStr">
        <is>
          <t>Cristiane Ramos da Silva Rocha</t>
        </is>
      </c>
      <c r="C4259" t="inlineStr">
        <is>
          <t>Técnico III</t>
        </is>
      </c>
      <c r="D4259" t="n">
        <v>23</v>
      </c>
      <c r="E4259" t="n">
        <v>23</v>
      </c>
      <c r="F4259" t="n">
        <v>13.21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M4259" t="n">
        <v>23</v>
      </c>
      <c r="N4259" t="n">
        <v>93.75</v>
      </c>
      <c r="O4259" t="n">
        <v>26.81992337164751</v>
      </c>
    </row>
    <row r="4260" hidden="1">
      <c r="A4260" s="11" t="n">
        <v>46136</v>
      </c>
      <c r="B4260" t="inlineStr">
        <is>
          <t>Damyllis Lorraine de Oliveira Gonçalves</t>
        </is>
      </c>
      <c r="C4260" t="inlineStr">
        <is>
          <t>Técnico II</t>
        </is>
      </c>
      <c r="D4260" t="n">
        <v>0</v>
      </c>
      <c r="E4260" t="n">
        <v>0</v>
      </c>
      <c r="F4260" t="n">
        <v>0</v>
      </c>
      <c r="G4260" t="n">
        <v>0</v>
      </c>
      <c r="H4260" t="n">
        <v>0</v>
      </c>
      <c r="I4260" s="3" t="n">
        <v>0</v>
      </c>
      <c r="J4260" s="3" t="n">
        <v>0</v>
      </c>
      <c r="K4260" s="3" t="n">
        <v>0</v>
      </c>
      <c r="L4260" s="3">
        <f>IF(K4260&lt;-5,"CRÍTICO",IF(K4260&lt;0,"ATENÇÃO",IF(K4260&lt;=5,"OPORTUNO","MUITO BOM")))</f>
        <v/>
      </c>
      <c r="M4260" t="n">
        <v>0</v>
      </c>
      <c r="N4260" t="n">
        <v>97.86</v>
      </c>
      <c r="O4260" t="n">
        <v>31.01851851851852</v>
      </c>
    </row>
    <row r="4261" hidden="1">
      <c r="A4261" s="11" t="n">
        <v>46136</v>
      </c>
      <c r="B4261" t="inlineStr">
        <is>
          <t>Daniel Gomes da Silva</t>
        </is>
      </c>
      <c r="C4261" t="inlineStr">
        <is>
          <t>Técnico I</t>
        </is>
      </c>
      <c r="D4261" t="n">
        <v>25</v>
      </c>
      <c r="E4261" t="n">
        <v>23</v>
      </c>
      <c r="F4261" t="n">
        <v>13.59</v>
      </c>
      <c r="G4261" t="n">
        <v>0</v>
      </c>
      <c r="H4261" t="n">
        <v>0</v>
      </c>
      <c r="I4261" s="3">
        <f>E4261+G4261+H4261</f>
        <v/>
      </c>
      <c r="J4261" s="3">
        <f>ROUND(MIN(IF(C4261="Técnico III",35,IF(C4261="Técnico II",28,IF(C4261="Técnico I",23,IF(C4261="JR",20,IF(C4261="Estágio",10,0))))),IF(C4261="Técnico III",SUMIFS($D:$D,$A:$A,$A4261,$B:$B,"&lt;&gt;Patrícia Karla de Sousa Araújo",$B:$B,"&lt;&gt;Lorena Dias de Araujo",$B:$B,"&lt;&gt;Lucas Luiz Romero")*(35/1083),IF(C4261="Técnico II",SUMIFS($D:$D,$A:$A,$A4261,$B:$B,"&lt;&gt;Patrícia Karla de Sousa Araújo",$B:$B,"&lt;&gt;Lorena Dias de Araujo",$B:$B,"&lt;&gt;Lucas Luiz Romero")*(28/1083),IF(C4261="Técnico I",SUMIFS($D:$D,$A:$A,$A4261,$B:$B,"&lt;&gt;Patrícia Karla de Sousa Araújo",$B:$B,"&lt;&gt;Lorena Dias de Araujo",$B:$B,"&lt;&gt;Lucas Luiz Romero")*(23/1083),IF(C4261="JR",SUMIFS($D:$D,$A:$A,$A4261,$B:$B,"&lt;&gt;Patrícia Karla de Sousa Araújo",$B:$B,"&lt;&gt;Lorena Dias de Araujo",$B:$B,"&lt;&gt;Lucas Luiz Romero")*(20/1083),IF(C4261="Estágio",SUMIFS($D:$D,$A:$A,$A4261,$B:$B,"&lt;&gt;Patrícia Karla de Sousa Araújo",$B:$B,"&lt;&gt;Lorena Dias de Araujo",$B:$B,"&lt;&gt;Lucas Luiz Romero")*(10/1083),0)))))),0)</f>
        <v/>
      </c>
      <c r="K4261" s="3">
        <f>I4261-J4261</f>
        <v/>
      </c>
      <c r="L4261" s="3">
        <f>IF(K4261&lt;-5,"CRÍTICO",IF(K4261&lt;0,"ATENÇÃO",IF(K4261&lt;=5,"OPORTUNO","MUITO BOM")))</f>
        <v/>
      </c>
      <c r="M4261" t="n">
        <v>10</v>
      </c>
      <c r="N4261" t="n">
        <v>100</v>
      </c>
      <c r="O4261" t="n">
        <v>36.59420289855073</v>
      </c>
    </row>
    <row r="4262" hidden="1">
      <c r="A4262" s="11" t="n">
        <v>46136</v>
      </c>
      <c r="B4262" t="inlineStr">
        <is>
          <t>Davylla Rodrigues Freitas Silva</t>
        </is>
      </c>
      <c r="C4262" t="inlineStr">
        <is>
          <t>Técnico III</t>
        </is>
      </c>
      <c r="D4262" t="n">
        <v>22</v>
      </c>
      <c r="E4262" t="n">
        <v>22</v>
      </c>
      <c r="F4262" t="n">
        <v>22.04</v>
      </c>
      <c r="G4262" t="n">
        <v>0</v>
      </c>
      <c r="H4262" t="n">
        <v>0</v>
      </c>
      <c r="I4262" s="3" t="n">
        <v>0</v>
      </c>
      <c r="J4262" s="3" t="n">
        <v>0</v>
      </c>
      <c r="K4262" s="3" t="n">
        <v>0</v>
      </c>
      <c r="L4262" s="3">
        <f>IF(K4262&lt;-5,"CRÍTICO",IF(K4262&lt;0,"ATENÇÃO",IF(K4262&lt;=5,"OPORTUNO","MUITO BOM")))</f>
        <v/>
      </c>
      <c r="M4262" t="n">
        <v>23</v>
      </c>
      <c r="N4262" t="n">
        <v>100</v>
      </c>
      <c r="O4262" t="n">
        <v>38.65384615384615</v>
      </c>
    </row>
    <row r="4263" hidden="1">
      <c r="A4263" s="11" t="n">
        <v>46136</v>
      </c>
      <c r="B4263" t="inlineStr">
        <is>
          <t>Emilly Caylane Costa</t>
        </is>
      </c>
      <c r="C4263" t="inlineStr">
        <is>
          <t>Estágio</t>
        </is>
      </c>
      <c r="D4263" t="n">
        <v>9</v>
      </c>
      <c r="E4263" t="n">
        <v>8</v>
      </c>
      <c r="F4263" t="n">
        <v>23.56</v>
      </c>
      <c r="G4263" t="n">
        <v>0</v>
      </c>
      <c r="H4263" t="n">
        <v>0</v>
      </c>
      <c r="I4263" s="3">
        <f>E4263+G4263+H4263</f>
        <v/>
      </c>
      <c r="J4263" s="3">
        <f>ROUND(MIN(IF(C4263="Técnico III",35,IF(C4263="Técnico II",28,IF(C4263="Técnico I",23,IF(C4263="JR",20,IF(C4263="Estágio",10,0))))),IF(C4263="Técnico III",SUMIFS($D:$D,$A:$A,$A4263,$B:$B,"&lt;&gt;Patrícia Karla de Sousa Araújo",$B:$B,"&lt;&gt;Lorena Dias de Araujo",$B:$B,"&lt;&gt;Lucas Luiz Romero")*(35/1083),IF(C4263="Técnico II",SUMIFS($D:$D,$A:$A,$A4263,$B:$B,"&lt;&gt;Patrícia Karla de Sousa Araújo",$B:$B,"&lt;&gt;Lorena Dias de Araujo",$B:$B,"&lt;&gt;Lucas Luiz Romero")*(28/1083),IF(C4263="Técnico I",SUMIFS($D:$D,$A:$A,$A4263,$B:$B,"&lt;&gt;Patrícia Karla de Sousa Araújo",$B:$B,"&lt;&gt;Lorena Dias de Araujo",$B:$B,"&lt;&gt;Lucas Luiz Romero")*(23/1083),IF(C4263="JR",SUMIFS($D:$D,$A:$A,$A4263,$B:$B,"&lt;&gt;Patrícia Karla de Sousa Araújo",$B:$B,"&lt;&gt;Lorena Dias de Araujo",$B:$B,"&lt;&gt;Lucas Luiz Romero")*(20/1083),IF(C4263="Estágio",SUMIFS($D:$D,$A:$A,$A4263,$B:$B,"&lt;&gt;Patrícia Karla de Sousa Araújo",$B:$B,"&lt;&gt;Lorena Dias de Araujo",$B:$B,"&lt;&gt;Lucas Luiz Romero")*(10/1083),0)))))),0)</f>
        <v/>
      </c>
      <c r="K4263" s="3">
        <f>I4263-J4263</f>
        <v/>
      </c>
      <c r="L4263" s="3">
        <f>IF(K4263&lt;-5,"CRÍTICO",IF(K4263&lt;0,"ATENÇÃO",IF(K4263&lt;=5,"OPORTUNO","MUITO BOM")))</f>
        <v/>
      </c>
      <c r="M4263" t="n">
        <v>5</v>
      </c>
      <c r="N4263" t="n">
        <v>100</v>
      </c>
      <c r="O4263" t="n">
        <v>27.36842105263158</v>
      </c>
    </row>
    <row r="4264" hidden="1">
      <c r="A4264" s="11" t="n">
        <v>46136</v>
      </c>
      <c r="B4264" t="inlineStr">
        <is>
          <t>Emilly Kamilly Medeiros Miranda</t>
        </is>
      </c>
      <c r="C4264" t="inlineStr">
        <is>
          <t>Técnico II</t>
        </is>
      </c>
      <c r="D4264" t="n">
        <v>24</v>
      </c>
      <c r="E4264" t="n">
        <v>23</v>
      </c>
      <c r="F4264" t="n">
        <v>17.21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M4264" t="n">
        <v>19</v>
      </c>
      <c r="N4264" t="n">
        <v>97.83</v>
      </c>
      <c r="O4264" t="n">
        <v>28.35164835164835</v>
      </c>
    </row>
    <row r="4265" hidden="1">
      <c r="A4265" s="11" t="n">
        <v>46136</v>
      </c>
      <c r="B4265" t="inlineStr">
        <is>
          <t>Francielson de Oliveira</t>
        </is>
      </c>
      <c r="C4265" t="inlineStr">
        <is>
          <t>Técnico III</t>
        </is>
      </c>
      <c r="D4265" t="n">
        <v>24</v>
      </c>
      <c r="E4265" t="n">
        <v>23</v>
      </c>
      <c r="F4265" t="n">
        <v>15.15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M4265" t="n">
        <v>22</v>
      </c>
      <c r="N4265" t="n">
        <v>99.26000000000001</v>
      </c>
      <c r="O4265" t="n">
        <v>29.76653696498055</v>
      </c>
    </row>
    <row r="4266" hidden="1">
      <c r="A4266" s="11" t="n">
        <v>46136</v>
      </c>
      <c r="B4266" t="inlineStr">
        <is>
          <t>Francilene Ferreira de Jesus</t>
        </is>
      </c>
      <c r="C4266" t="inlineStr">
        <is>
          <t>Técnico II</t>
        </is>
      </c>
      <c r="D4266" t="n">
        <v>26</v>
      </c>
      <c r="E4266" t="n">
        <v>25</v>
      </c>
      <c r="F4266" t="n">
        <v>18.38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M4266" t="n">
        <v>24</v>
      </c>
      <c r="N4266" t="n">
        <v>99.19</v>
      </c>
      <c r="O4266" t="n">
        <v>29.46236559139785</v>
      </c>
    </row>
    <row r="4267" hidden="1">
      <c r="A4267" s="5" t="n">
        <v>46146</v>
      </c>
      <c r="B4267" s="6" t="inlineStr">
        <is>
          <t>Francilene Ferreira de Jesus</t>
        </is>
      </c>
      <c r="C4267" s="3" t="inlineStr">
        <is>
          <t>Técnico II</t>
        </is>
      </c>
      <c r="D4267" s="3" t="n">
        <v>36</v>
      </c>
      <c r="E4267" s="3" t="n">
        <v>33</v>
      </c>
      <c r="F4267" s="3" t="n">
        <v>18.37</v>
      </c>
      <c r="G4267" s="3" t="n">
        <v>0</v>
      </c>
      <c r="H4267" s="3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IF(K4267&lt;-5,"CRÍTICO",IF(K4267&lt;0,"ATENÇÃO",IF(K4267&lt;=5,"BOM","EXCELENTE")))</f>
        <v/>
      </c>
      <c r="M4267" s="3" t="n">
        <v>29</v>
      </c>
      <c r="N4267" s="3" t="n">
        <v>100</v>
      </c>
      <c r="O4267" s="3" t="n">
        <v>17.24137931034483</v>
      </c>
    </row>
    <row r="4268" hidden="1">
      <c r="A4268" s="11" t="n">
        <v>46136</v>
      </c>
      <c r="B4268" t="inlineStr">
        <is>
          <t>Isabella Borges de Oliveira</t>
        </is>
      </c>
      <c r="C4268" t="inlineStr">
        <is>
          <t>Técnico II</t>
        </is>
      </c>
      <c r="D4268" t="n">
        <v>22</v>
      </c>
      <c r="E4268" t="n">
        <v>19</v>
      </c>
      <c r="F4268" t="n">
        <v>21.45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M4268" t="n">
        <v>19</v>
      </c>
      <c r="N4268" t="n">
        <v>100</v>
      </c>
      <c r="O4268" t="n">
        <v>28.92156862745098</v>
      </c>
    </row>
    <row r="4269" hidden="1">
      <c r="A4269" s="11" t="n">
        <v>46136</v>
      </c>
      <c r="B4269" t="inlineStr">
        <is>
          <t>Janaina Lima dos Reis Urany</t>
        </is>
      </c>
      <c r="C4269" t="inlineStr">
        <is>
          <t>Técnico III</t>
        </is>
      </c>
      <c r="D4269" t="n">
        <v>39</v>
      </c>
      <c r="E4269" t="n">
        <v>35</v>
      </c>
      <c r="F4269" t="n">
        <v>11.57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M4269" t="n">
        <v>28</v>
      </c>
      <c r="N4269" t="n">
        <v>99.56999999999999</v>
      </c>
      <c r="O4269" t="n">
        <v>30.63583815028902</v>
      </c>
    </row>
    <row r="4270" hidden="1">
      <c r="A4270" s="11" t="n">
        <v>46136</v>
      </c>
      <c r="B4270" t="inlineStr">
        <is>
          <t>Jaqueline Evangelista da Silva Martins</t>
        </is>
      </c>
      <c r="C4270" t="inlineStr">
        <is>
          <t>Técnico III</t>
        </is>
      </c>
      <c r="D4270" t="n">
        <v>0</v>
      </c>
      <c r="E4270" t="n">
        <v>0</v>
      </c>
      <c r="F4270" t="n">
        <v>0</v>
      </c>
      <c r="G4270" t="n">
        <v>0</v>
      </c>
      <c r="H4270" t="n">
        <v>0</v>
      </c>
      <c r="I4270" s="3" t="n">
        <v>0</v>
      </c>
      <c r="J4270" s="3" t="n">
        <v>0</v>
      </c>
      <c r="K4270" s="3" t="n">
        <v>0</v>
      </c>
      <c r="L4270" s="3">
        <f>IF(K4270&lt;-5,"CRÍTICO",IF(K4270&lt;0,"ATENÇÃO",IF(K4270&lt;=5,"OPORTUNO","MUITO BOM")))</f>
        <v/>
      </c>
      <c r="M4270" t="n">
        <v>0</v>
      </c>
      <c r="N4270" t="n">
        <v>95.65000000000001</v>
      </c>
      <c r="O4270" t="n">
        <v>32.43243243243244</v>
      </c>
    </row>
    <row r="4271" hidden="1">
      <c r="A4271" s="11" t="n">
        <v>46136</v>
      </c>
      <c r="B4271" t="inlineStr">
        <is>
          <t>Jessica Faria da Silveira</t>
        </is>
      </c>
      <c r="C4271" t="inlineStr">
        <is>
          <t>Técnico II</t>
        </is>
      </c>
      <c r="D4271" t="n">
        <v>24</v>
      </c>
      <c r="E4271" t="n">
        <v>17</v>
      </c>
      <c r="F4271" t="n">
        <v>17.29</v>
      </c>
      <c r="G4271" t="n">
        <v>0</v>
      </c>
      <c r="H4271" t="n">
        <v>0</v>
      </c>
      <c r="I4271" s="3">
        <f>E4271+G4271+H4271</f>
        <v/>
      </c>
      <c r="J4271" s="3">
        <f>ROUND(MIN(IF(C4271="Técnico III",35,IF(C4271="Técnico II",28,IF(C4271="Técnico I",23,IF(C4271="JR",20,IF(C4271="Estágio",10,0))))),IF(C4271="Técnico III",SUMIFS($D:$D,$A:$A,$A4271,$B:$B,"&lt;&gt;Patrícia Karla de Sousa Araújo",$B:$B,"&lt;&gt;Lorena Dias de Araujo",$B:$B,"&lt;&gt;Lucas Luiz Romero")*(35/1083),IF(C4271="Técnico II",SUMIFS($D:$D,$A:$A,$A4271,$B:$B,"&lt;&gt;Patrícia Karla de Sousa Araújo",$B:$B,"&lt;&gt;Lorena Dias de Araujo",$B:$B,"&lt;&gt;Lucas Luiz Romero")*(28/1083),IF(C4271="Técnico I",SUMIFS($D:$D,$A:$A,$A4271,$B:$B,"&lt;&gt;Patrícia Karla de Sousa Araújo",$B:$B,"&lt;&gt;Lorena Dias de Araujo",$B:$B,"&lt;&gt;Lucas Luiz Romero")*(23/1083),IF(C4271="JR",SUMIFS($D:$D,$A:$A,$A4271,$B:$B,"&lt;&gt;Patrícia Karla de Sousa Araújo",$B:$B,"&lt;&gt;Lorena Dias de Araujo",$B:$B,"&lt;&gt;Lucas Luiz Romero")*(20/1083),IF(C4271="Estágio",SUMIFS($D:$D,$A:$A,$A4271,$B:$B,"&lt;&gt;Patrícia Karla de Sousa Araújo",$B:$B,"&lt;&gt;Lorena Dias de Araujo",$B:$B,"&lt;&gt;Lucas Luiz Romero")*(10/1083),0)))))),0)</f>
        <v/>
      </c>
      <c r="K4271" s="3">
        <f>I4271-J4271</f>
        <v/>
      </c>
      <c r="L4271" s="3">
        <f>IF(K4271&lt;-5,"CRÍTICO",IF(K4271&lt;0,"ATENÇÃO",IF(K4271&lt;=5,"OPORTUNO","MUITO BOM")))</f>
        <v/>
      </c>
      <c r="M4271" t="n">
        <v>14</v>
      </c>
      <c r="N4271" t="n">
        <v>98.81</v>
      </c>
      <c r="O4271" t="n">
        <v>26.25698324022346</v>
      </c>
    </row>
    <row r="4272" hidden="1">
      <c r="A4272" s="11" t="n">
        <v>46136</v>
      </c>
      <c r="B4272" t="inlineStr">
        <is>
          <t>Jéssica Fé Moura</t>
        </is>
      </c>
      <c r="C4272" t="inlineStr">
        <is>
          <t>Técnico III</t>
        </is>
      </c>
      <c r="D4272" t="n">
        <v>0</v>
      </c>
      <c r="E4272" t="n">
        <v>0</v>
      </c>
      <c r="F4272" t="n">
        <v>0</v>
      </c>
      <c r="G4272" t="n">
        <v>0</v>
      </c>
      <c r="H4272" t="n">
        <v>0</v>
      </c>
      <c r="I4272" s="3" t="n">
        <v>0</v>
      </c>
      <c r="J4272" s="3" t="n">
        <v>0</v>
      </c>
      <c r="K4272" s="3" t="n">
        <v>0</v>
      </c>
      <c r="L4272" s="3">
        <f>IF(K4272&lt;-5,"CRÍTICO",IF(K4272&lt;0,"ATENÇÃO",IF(K4272&lt;=5,"OPORTUNO","MUITO BOM")))</f>
        <v/>
      </c>
      <c r="M4272" t="n">
        <v>0</v>
      </c>
      <c r="N4272" t="n">
        <v>0</v>
      </c>
      <c r="O4272" t="n">
        <v>0</v>
      </c>
    </row>
    <row r="4273" hidden="1">
      <c r="A4273" s="11" t="n">
        <v>46136</v>
      </c>
      <c r="B4273" t="inlineStr">
        <is>
          <t>Karina Gonçalves Martins</t>
        </is>
      </c>
      <c r="C4273" t="inlineStr">
        <is>
          <t>JR</t>
        </is>
      </c>
      <c r="D4273" t="n">
        <v>15</v>
      </c>
      <c r="E4273" t="n">
        <v>15</v>
      </c>
      <c r="F4273" t="n">
        <v>17.25</v>
      </c>
      <c r="G4273" t="n">
        <v>0</v>
      </c>
      <c r="H4273" t="n">
        <v>0</v>
      </c>
      <c r="I4273" s="3">
        <f>E4273+G4273+H4273</f>
        <v/>
      </c>
      <c r="J4273" s="3">
        <f>ROUND(MIN(IF(C4273="Técnico III",35,IF(C4273="Técnico II",28,IF(C4273="Técnico I",23,IF(C4273="JR",20,IF(C4273="Estágio",10,0))))),IF(C4273="Técnico III",SUMIFS($D:$D,$A:$A,$A4273,$B:$B,"&lt;&gt;Patrícia Karla de Sousa Araújo",$B:$B,"&lt;&gt;Lorena Dias de Araujo",$B:$B,"&lt;&gt;Lucas Luiz Romero")*(35/1083),IF(C4273="Técnico II",SUMIFS($D:$D,$A:$A,$A4273,$B:$B,"&lt;&gt;Patrícia Karla de Sousa Araújo",$B:$B,"&lt;&gt;Lorena Dias de Araujo",$B:$B,"&lt;&gt;Lucas Luiz Romero")*(28/1083),IF(C4273="Técnico I",SUMIFS($D:$D,$A:$A,$A4273,$B:$B,"&lt;&gt;Patrícia Karla de Sousa Araújo",$B:$B,"&lt;&gt;Lorena Dias de Araujo",$B:$B,"&lt;&gt;Lucas Luiz Romero")*(23/1083),IF(C4273="JR",SUMIFS($D:$D,$A:$A,$A4273,$B:$B,"&lt;&gt;Patrícia Karla de Sousa Araújo",$B:$B,"&lt;&gt;Lorena Dias de Araujo",$B:$B,"&lt;&gt;Lucas Luiz Romero")*(20/1083),IF(C4273="Estágio",SUMIFS($D:$D,$A:$A,$A4273,$B:$B,"&lt;&gt;Patrícia Karla de Sousa Araújo",$B:$B,"&lt;&gt;Lorena Dias de Araujo",$B:$B,"&lt;&gt;Lucas Luiz Romero")*(10/1083),0)))))),0)</f>
        <v/>
      </c>
      <c r="K4273" s="3">
        <f>I4273-J4273</f>
        <v/>
      </c>
      <c r="L4273" s="3">
        <f>IF(K4273&lt;-5,"CRÍTICO",IF(K4273&lt;0,"ATENÇÃO",IF(K4273&lt;=5,"OPORTUNO","MUITO BOM")))</f>
        <v/>
      </c>
      <c r="M4273" t="n">
        <v>14</v>
      </c>
      <c r="N4273" t="n">
        <v>97.17</v>
      </c>
      <c r="O4273" t="n">
        <v>28.81844380403458</v>
      </c>
    </row>
    <row r="4274" hidden="1">
      <c r="A4274" s="11" t="n">
        <v>46136</v>
      </c>
      <c r="B4274" t="inlineStr">
        <is>
          <t>Kerollen Cristielly de Jesus Siqueira</t>
        </is>
      </c>
      <c r="C4274" t="inlineStr">
        <is>
          <t>Técnico III</t>
        </is>
      </c>
      <c r="D4274" t="n">
        <v>0</v>
      </c>
      <c r="E4274" t="n">
        <v>0</v>
      </c>
      <c r="F4274" t="n">
        <v>0</v>
      </c>
      <c r="G4274" t="n">
        <v>0</v>
      </c>
      <c r="H4274" t="n">
        <v>0</v>
      </c>
      <c r="I4274" s="3" t="n">
        <v>0</v>
      </c>
      <c r="J4274" s="3" t="n">
        <v>0</v>
      </c>
      <c r="K4274" s="3" t="n">
        <v>0</v>
      </c>
      <c r="L4274" s="3">
        <f>IF(K4274&lt;-5,"CRÍTICO",IF(K4274&lt;0,"ATENÇÃO",IF(K4274&lt;=5,"OPORTUNO","MUITO BOM")))</f>
        <v/>
      </c>
      <c r="M4274" t="n">
        <v>28</v>
      </c>
      <c r="N4274" t="n">
        <v>96.81</v>
      </c>
      <c r="O4274" t="n">
        <v>48.01864801864802</v>
      </c>
    </row>
    <row r="4275" hidden="1">
      <c r="A4275" s="11" t="n">
        <v>46136</v>
      </c>
      <c r="B4275" t="inlineStr">
        <is>
          <t>Leandro de Souza Silva</t>
        </is>
      </c>
      <c r="C4275" t="inlineStr">
        <is>
          <t>JR</t>
        </is>
      </c>
      <c r="D4275" t="n">
        <v>11</v>
      </c>
      <c r="E4275" t="n">
        <v>11</v>
      </c>
      <c r="F4275" t="n">
        <v>42.04</v>
      </c>
      <c r="G4275" t="n">
        <v>0</v>
      </c>
      <c r="H4275" t="n">
        <v>0</v>
      </c>
      <c r="I4275" s="3">
        <f>E4275+G4275+H4275</f>
        <v/>
      </c>
      <c r="J4275" s="3">
        <f>ROUND(MIN(IF(C4275="Técnico III",35,IF(C4275="Técnico II",28,IF(C4275="Técnico I",23,IF(C4275="JR",20,IF(C4275="Estágio",10,0))))),IF(C4275="Técnico III",SUMIFS($D:$D,$A:$A,$A4275,$B:$B,"&lt;&gt;Patrícia Karla de Sousa Araújo",$B:$B,"&lt;&gt;Lorena Dias de Araujo",$B:$B,"&lt;&gt;Lucas Luiz Romero")*(35/1083),IF(C4275="Técnico II",SUMIFS($D:$D,$A:$A,$A4275,$B:$B,"&lt;&gt;Patrícia Karla de Sousa Araújo",$B:$B,"&lt;&gt;Lorena Dias de Araujo",$B:$B,"&lt;&gt;Lucas Luiz Romero")*(28/1083),IF(C4275="Técnico I",SUMIFS($D:$D,$A:$A,$A4275,$B:$B,"&lt;&gt;Patrícia Karla de Sousa Araújo",$B:$B,"&lt;&gt;Lorena Dias de Araujo",$B:$B,"&lt;&gt;Lucas Luiz Romero")*(23/1083),IF(C4275="JR",SUMIFS($D:$D,$A:$A,$A4275,$B:$B,"&lt;&gt;Patrícia Karla de Sousa Araújo",$B:$B,"&lt;&gt;Lorena Dias de Araujo",$B:$B,"&lt;&gt;Lucas Luiz Romero")*(20/1083),IF(C4275="Estágio",SUMIFS($D:$D,$A:$A,$A4275,$B:$B,"&lt;&gt;Patrícia Karla de Sousa Araújo",$B:$B,"&lt;&gt;Lorena Dias de Araujo",$B:$B,"&lt;&gt;Lucas Luiz Romero")*(10/1083),0)))))),0)</f>
        <v/>
      </c>
      <c r="K4275" s="3">
        <f>I4275-J4275</f>
        <v/>
      </c>
      <c r="L4275" s="3">
        <f>IF(K4275&lt;-5,"CRÍTICO",IF(K4275&lt;0,"ATENÇÃO",IF(K4275&lt;=5,"OPORTUNO","MUITO BOM")))</f>
        <v/>
      </c>
      <c r="M4275" t="n">
        <v>11</v>
      </c>
      <c r="N4275" t="n">
        <v>98.15000000000001</v>
      </c>
      <c r="O4275" t="n">
        <v>27.1551724137931</v>
      </c>
    </row>
    <row r="4276" hidden="1">
      <c r="A4276" s="11" t="n">
        <v>46136</v>
      </c>
      <c r="B4276" t="inlineStr">
        <is>
          <t>Leandro Oliveira de Sousa</t>
        </is>
      </c>
      <c r="C4276" t="inlineStr">
        <is>
          <t>Técnico III</t>
        </is>
      </c>
      <c r="D4276" t="n">
        <v>21</v>
      </c>
      <c r="E4276" t="n">
        <v>19</v>
      </c>
      <c r="F4276" t="n">
        <v>25.15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M4276" t="n">
        <v>19</v>
      </c>
      <c r="N4276" t="n">
        <v>99.15000000000001</v>
      </c>
      <c r="O4276" t="n">
        <v>27.58620689655172</v>
      </c>
    </row>
    <row r="4277" hidden="1">
      <c r="A4277" s="11" t="n">
        <v>46136</v>
      </c>
      <c r="B4277" t="inlineStr">
        <is>
          <t>Lizandra Gomes Duarte</t>
        </is>
      </c>
      <c r="C4277" t="inlineStr">
        <is>
          <t>Técnico II</t>
        </is>
      </c>
      <c r="D4277" t="n">
        <v>22</v>
      </c>
      <c r="E4277" t="n">
        <v>19</v>
      </c>
      <c r="F4277" t="n">
        <v>15.3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M4277" t="n">
        <v>9</v>
      </c>
      <c r="N4277" t="n">
        <v>99.17</v>
      </c>
      <c r="O4277" t="n">
        <v>29.75206611570248</v>
      </c>
    </row>
    <row r="4278" hidden="1">
      <c r="A4278" s="11" t="n">
        <v>46136</v>
      </c>
      <c r="B4278" t="inlineStr">
        <is>
          <t>Lorena Dias de Araujo</t>
        </is>
      </c>
      <c r="C4278" t="inlineStr">
        <is>
          <t>Técnico II</t>
        </is>
      </c>
      <c r="D4278" t="n">
        <v>0</v>
      </c>
      <c r="E4278" t="n">
        <v>0</v>
      </c>
      <c r="F4278" t="n">
        <v>0</v>
      </c>
      <c r="G4278" t="n">
        <v>0</v>
      </c>
      <c r="H4278" t="n">
        <v>0</v>
      </c>
      <c r="I4278" s="3" t="n">
        <v>0</v>
      </c>
      <c r="J4278" s="3" t="n">
        <v>0</v>
      </c>
      <c r="K4278" s="3" t="n">
        <v>0</v>
      </c>
      <c r="L4278" s="3">
        <f>IF(K4278&lt;-5,"CRÍTICO",IF(K4278&lt;0,"ATENÇÃO",IF(K4278&lt;=5,"OPORTUNO","MUITO BOM")))</f>
        <v/>
      </c>
      <c r="M4278" t="n">
        <v>0</v>
      </c>
      <c r="N4278" t="n">
        <v>98.73</v>
      </c>
      <c r="O4278" t="n">
        <v>28.96174863387978</v>
      </c>
    </row>
    <row r="4279" hidden="1">
      <c r="A4279" s="11" t="n">
        <v>46136</v>
      </c>
      <c r="B4279" t="inlineStr">
        <is>
          <t>Lucas Luiz Romero</t>
        </is>
      </c>
      <c r="C4279" t="inlineStr">
        <is>
          <t>Técnico III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M4279" t="n">
        <v>0</v>
      </c>
      <c r="N4279" t="n">
        <v>88.68000000000001</v>
      </c>
      <c r="O4279" t="n">
        <v>22.03389830508474</v>
      </c>
    </row>
    <row r="4280" hidden="1">
      <c r="A4280" s="11" t="n">
        <v>46136</v>
      </c>
      <c r="B4280" t="inlineStr">
        <is>
          <t>Luiz Fernando de Carvalho Junior</t>
        </is>
      </c>
      <c r="C4280" t="inlineStr">
        <is>
          <t>Técnico I</t>
        </is>
      </c>
      <c r="D4280" t="n">
        <v>12</v>
      </c>
      <c r="E4280" t="n">
        <v>12</v>
      </c>
      <c r="F4280" t="n">
        <v>27.07</v>
      </c>
      <c r="G4280" t="n">
        <v>0</v>
      </c>
      <c r="H4280" t="n">
        <v>0</v>
      </c>
      <c r="I4280" s="3">
        <f>E4280+G4280+H4280</f>
        <v/>
      </c>
      <c r="J4280" s="3">
        <f>ROUND(MIN(IF(C4280="Técnico III",35,IF(C4280="Técnico II",28,IF(C4280="Técnico I",23,IF(C4280="JR",20,IF(C4280="Estágio",10,0))))),IF(C4280="Técnico III",SUMIFS($D:$D,$A:$A,$A4280,$B:$B,"&lt;&gt;Patrícia Karla de Sousa Araújo",$B:$B,"&lt;&gt;Lorena Dias de Araujo",$B:$B,"&lt;&gt;Lucas Luiz Romero")*(35/1083),IF(C4280="Técnico II",SUMIFS($D:$D,$A:$A,$A4280,$B:$B,"&lt;&gt;Patrícia Karla de Sousa Araújo",$B:$B,"&lt;&gt;Lorena Dias de Araujo",$B:$B,"&lt;&gt;Lucas Luiz Romero")*(28/1083),IF(C4280="Técnico I",SUMIFS($D:$D,$A:$A,$A4280,$B:$B,"&lt;&gt;Patrícia Karla de Sousa Araújo",$B:$B,"&lt;&gt;Lorena Dias de Araujo",$B:$B,"&lt;&gt;Lucas Luiz Romero")*(23/1083),IF(C4280="JR",SUMIFS($D:$D,$A:$A,$A4280,$B:$B,"&lt;&gt;Patrícia Karla de Sousa Araújo",$B:$B,"&lt;&gt;Lorena Dias de Araujo",$B:$B,"&lt;&gt;Lucas Luiz Romero")*(20/1083),IF(C4280="Estágio",SUMIFS($D:$D,$A:$A,$A4280,$B:$B,"&lt;&gt;Patrícia Karla de Sousa Araújo",$B:$B,"&lt;&gt;Lorena Dias de Araujo",$B:$B,"&lt;&gt;Lucas Luiz Romero")*(10/1083),0)))))),0)</f>
        <v/>
      </c>
      <c r="K4280" s="3">
        <f>I4280-J4280</f>
        <v/>
      </c>
      <c r="L4280" s="3">
        <f>IF(K4280&lt;-5,"CRÍTICO",IF(K4280&lt;0,"ATENÇÃO",IF(K4280&lt;=5,"OPORTUNO","MUITO BOM")))</f>
        <v/>
      </c>
      <c r="M4280" t="n">
        <v>14</v>
      </c>
      <c r="N4280" t="n">
        <v>97.37</v>
      </c>
      <c r="O4280" t="n">
        <v>25.76530612244898</v>
      </c>
    </row>
    <row r="4281" hidden="1">
      <c r="A4281" s="11" t="n">
        <v>46136</v>
      </c>
      <c r="B4281" t="inlineStr">
        <is>
          <t>Maria Eduarda Sousa Costa</t>
        </is>
      </c>
      <c r="C4281" t="inlineStr">
        <is>
          <t>Estágio</t>
        </is>
      </c>
      <c r="D4281" t="n">
        <v>25</v>
      </c>
      <c r="E4281" t="n">
        <v>16</v>
      </c>
      <c r="F4281" t="n">
        <v>10.19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M4281" t="n">
        <v>5</v>
      </c>
      <c r="N4281" t="n">
        <v>100</v>
      </c>
      <c r="O4281" t="n">
        <v>25</v>
      </c>
    </row>
    <row r="4282" hidden="1">
      <c r="A4282" s="11" t="n">
        <v>46136</v>
      </c>
      <c r="B4282" t="inlineStr">
        <is>
          <t>Matheus Farias De Souza</t>
        </is>
      </c>
      <c r="C4282" t="inlineStr">
        <is>
          <t>Técnico III</t>
        </is>
      </c>
      <c r="D4282" t="n">
        <v>13</v>
      </c>
      <c r="E4282" t="n">
        <v>12</v>
      </c>
      <c r="F4282" t="n">
        <v>17.18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M4282" t="n">
        <v>10</v>
      </c>
      <c r="N4282" t="n">
        <v>100</v>
      </c>
      <c r="O4282" t="n">
        <v>23.9870340356564</v>
      </c>
    </row>
    <row r="4283" hidden="1">
      <c r="A4283" s="11" t="n">
        <v>46136</v>
      </c>
      <c r="B4283" t="inlineStr">
        <is>
          <t>Maysa Victoria Dias Moura</t>
        </is>
      </c>
      <c r="C4283" t="inlineStr">
        <is>
          <t>Técnico III</t>
        </is>
      </c>
      <c r="D4283" t="n">
        <v>30</v>
      </c>
      <c r="E4283" t="n">
        <v>28</v>
      </c>
      <c r="F4283" t="n">
        <v>10.33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M4283" t="n">
        <v>20</v>
      </c>
      <c r="N4283" t="n">
        <v>95.48999999999999</v>
      </c>
      <c r="O4283" t="n">
        <v>28.37022132796781</v>
      </c>
    </row>
    <row r="4284" hidden="1">
      <c r="A4284" s="11" t="n">
        <v>46136</v>
      </c>
      <c r="B4284" t="inlineStr">
        <is>
          <t>Michelle G Santos</t>
        </is>
      </c>
      <c r="C4284" t="inlineStr">
        <is>
          <t>Estágio</t>
        </is>
      </c>
      <c r="D4284" t="n">
        <v>3</v>
      </c>
      <c r="E4284" t="n">
        <v>3</v>
      </c>
      <c r="F4284" t="n">
        <v>30.4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M4284" t="n">
        <v>3</v>
      </c>
      <c r="N4284" t="n">
        <v>100</v>
      </c>
      <c r="O4284" t="n">
        <v>23.77622377622378</v>
      </c>
    </row>
    <row r="4285" hidden="1">
      <c r="A4285" s="11" t="n">
        <v>46136</v>
      </c>
      <c r="B4285" t="inlineStr">
        <is>
          <t>Milena Sales</t>
        </is>
      </c>
      <c r="C4285" t="inlineStr">
        <is>
          <t>JR</t>
        </is>
      </c>
      <c r="D4285" t="n">
        <v>20</v>
      </c>
      <c r="E4285" t="n">
        <v>13</v>
      </c>
      <c r="F4285" t="n">
        <v>12.31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M4285" t="n">
        <v>12</v>
      </c>
      <c r="N4285" t="n">
        <v>96.15000000000001</v>
      </c>
      <c r="O4285" t="n">
        <v>24.04580152671756</v>
      </c>
    </row>
    <row r="4286" hidden="1">
      <c r="A4286" s="11" t="n">
        <v>46136</v>
      </c>
      <c r="B4286" t="inlineStr">
        <is>
          <t>Patrícia Karla de Sousa Araújo</t>
        </is>
      </c>
      <c r="C4286" t="inlineStr">
        <is>
          <t>Técnico II</t>
        </is>
      </c>
      <c r="D4286" t="n">
        <v>21</v>
      </c>
      <c r="E4286" t="n">
        <v>20</v>
      </c>
      <c r="F4286" t="n">
        <v>17.18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M4286" t="n">
        <v>17</v>
      </c>
      <c r="N4286" t="n">
        <v>99.02</v>
      </c>
      <c r="O4286" t="n">
        <v>34.7972972972973</v>
      </c>
    </row>
    <row r="4287" hidden="1">
      <c r="A4287" s="11" t="n">
        <v>46136</v>
      </c>
      <c r="B4287" t="inlineStr">
        <is>
          <t>Paulo Ricardo Santos</t>
        </is>
      </c>
      <c r="C4287" t="inlineStr">
        <is>
          <t>JR</t>
        </is>
      </c>
      <c r="D4287" t="n">
        <v>18</v>
      </c>
      <c r="E4287" t="n">
        <v>17</v>
      </c>
      <c r="F4287" t="n">
        <v>17.13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M4287" t="n">
        <v>14</v>
      </c>
      <c r="N4287" t="n">
        <v>98.84</v>
      </c>
      <c r="O4287" t="n">
        <v>31.86813186813187</v>
      </c>
    </row>
    <row r="4288" hidden="1">
      <c r="A4288" s="11" t="n">
        <v>46136</v>
      </c>
      <c r="B4288" t="inlineStr">
        <is>
          <t>Pedro Luiz Mota Sousa</t>
        </is>
      </c>
      <c r="C4288" t="inlineStr">
        <is>
          <t>JR</t>
        </is>
      </c>
      <c r="D4288" t="n">
        <v>24</v>
      </c>
      <c r="E4288" t="n">
        <v>23</v>
      </c>
      <c r="F4288" t="n">
        <v>15.09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M4288" t="n">
        <v>18</v>
      </c>
      <c r="N4288" t="n">
        <v>100</v>
      </c>
      <c r="O4288" t="n">
        <v>34.66666666666667</v>
      </c>
    </row>
    <row r="4289" hidden="1">
      <c r="A4289" s="11" t="n">
        <v>46136</v>
      </c>
      <c r="B4289" t="inlineStr">
        <is>
          <t>Quirino Diogo Leite Torres</t>
        </is>
      </c>
      <c r="C4289" t="inlineStr">
        <is>
          <t>Estágio</t>
        </is>
      </c>
      <c r="D4289" t="n">
        <v>9</v>
      </c>
      <c r="E4289" t="n">
        <v>9</v>
      </c>
      <c r="F4289" t="n">
        <v>20.05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M4289" t="n">
        <v>4</v>
      </c>
      <c r="N4289" t="n">
        <v>94.12</v>
      </c>
      <c r="O4289" t="n">
        <v>32.8</v>
      </c>
    </row>
    <row r="4290" hidden="1">
      <c r="A4290" s="11" t="n">
        <v>46136</v>
      </c>
      <c r="B4290" t="inlineStr">
        <is>
          <t>Raane Batista Matos</t>
        </is>
      </c>
      <c r="C4290" t="inlineStr">
        <is>
          <t>Técnico I</t>
        </is>
      </c>
      <c r="D4290" t="n">
        <v>17</v>
      </c>
      <c r="E4290" t="n">
        <v>17</v>
      </c>
      <c r="F4290" t="n">
        <v>13.4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M4290" t="n">
        <v>12</v>
      </c>
      <c r="N4290" t="n">
        <v>98.31999999999999</v>
      </c>
      <c r="O4290" t="n">
        <v>26.85851318944844</v>
      </c>
    </row>
    <row r="4291" hidden="1">
      <c r="A4291" s="11" t="n">
        <v>46136</v>
      </c>
      <c r="B4291" t="inlineStr">
        <is>
          <t>Rafael Gomes de Morais</t>
        </is>
      </c>
      <c r="C4291" t="inlineStr">
        <is>
          <t>Técnico III</t>
        </is>
      </c>
      <c r="D4291" t="n">
        <v>28</v>
      </c>
      <c r="E4291" t="n">
        <v>25</v>
      </c>
      <c r="F4291" t="n">
        <v>12.25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M4291" t="n">
        <v>18</v>
      </c>
      <c r="N4291" t="n">
        <v>100</v>
      </c>
      <c r="O4291" t="n">
        <v>31.13553113553114</v>
      </c>
    </row>
    <row r="4292" hidden="1">
      <c r="A4292" s="11" t="n">
        <v>46136</v>
      </c>
      <c r="B4292" t="inlineStr">
        <is>
          <t>Sara Maria Monteiro Lopes</t>
        </is>
      </c>
      <c r="C4292" t="inlineStr">
        <is>
          <t>Técnico I</t>
        </is>
      </c>
      <c r="D4292" t="n">
        <v>16</v>
      </c>
      <c r="E4292" t="n">
        <v>16</v>
      </c>
      <c r="F4292" t="n">
        <v>22.29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M4292" t="n">
        <v>13</v>
      </c>
      <c r="N4292" t="n">
        <v>100</v>
      </c>
      <c r="O4292" t="n">
        <v>26.36986301369863</v>
      </c>
    </row>
    <row r="4293" hidden="1">
      <c r="A4293" s="11" t="n">
        <v>46136</v>
      </c>
      <c r="B4293" t="inlineStr">
        <is>
          <t>Sarah Steffanie de Lima Borges</t>
        </is>
      </c>
      <c r="C4293" t="inlineStr">
        <is>
          <t>Técnico III</t>
        </is>
      </c>
      <c r="D4293" t="n">
        <v>20</v>
      </c>
      <c r="E4293" t="n">
        <v>18</v>
      </c>
      <c r="F4293" t="n">
        <v>18.34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M4293" t="n">
        <v>11</v>
      </c>
      <c r="N4293" t="n">
        <v>99.20999999999999</v>
      </c>
      <c r="O4293" t="n">
        <v>25.18891687657431</v>
      </c>
    </row>
    <row r="4294" hidden="1">
      <c r="A4294" s="11" t="n">
        <v>46139</v>
      </c>
      <c r="B4294" t="inlineStr">
        <is>
          <t>Alisson de Freitas Silva</t>
        </is>
      </c>
      <c r="C4294" t="inlineStr">
        <is>
          <t>Técnico II</t>
        </is>
      </c>
      <c r="D4294" t="n">
        <v>13</v>
      </c>
      <c r="E4294" t="n">
        <v>11</v>
      </c>
      <c r="F4294" t="n">
        <v>18.33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M4294" t="n">
        <v>9</v>
      </c>
      <c r="N4294" t="n">
        <v>100</v>
      </c>
      <c r="O4294" t="n">
        <v>32.76450511945392</v>
      </c>
    </row>
    <row r="4295" hidden="1">
      <c r="A4295" s="11" t="n">
        <v>46139</v>
      </c>
      <c r="B4295" t="inlineStr">
        <is>
          <t>Amanda Moura Ferreira</t>
        </is>
      </c>
      <c r="C4295" t="inlineStr">
        <is>
          <t>Técnico III</t>
        </is>
      </c>
      <c r="D4295" t="n">
        <v>0</v>
      </c>
      <c r="E4295" t="n">
        <v>0</v>
      </c>
      <c r="F4295" t="n">
        <v>0</v>
      </c>
      <c r="G4295" t="n">
        <v>0</v>
      </c>
      <c r="H4295" t="n">
        <v>0</v>
      </c>
      <c r="I4295" s="3" t="n">
        <v>0</v>
      </c>
      <c r="J4295" s="3" t="n">
        <v>0</v>
      </c>
      <c r="K4295" s="3" t="n">
        <v>0</v>
      </c>
      <c r="L4295" s="3">
        <f>IF(K4295&lt;-5,"CRÍTICO",IF(K4295&lt;0,"ATENÇÃO",IF(K4295&lt;=5,"OPORTUNO","MUITO BOM")))</f>
        <v/>
      </c>
      <c r="M4295" t="n">
        <v>15</v>
      </c>
      <c r="N4295" t="n">
        <v>98.66</v>
      </c>
      <c r="O4295" t="n">
        <v>35.41666666666667</v>
      </c>
    </row>
    <row r="4296" hidden="1">
      <c r="A4296" s="11" t="n">
        <v>46139</v>
      </c>
      <c r="B4296" t="inlineStr">
        <is>
          <t>Ana Karollyne Souza Faria</t>
        </is>
      </c>
      <c r="C4296" t="inlineStr">
        <is>
          <t>Técnico I</t>
        </is>
      </c>
      <c r="D4296" t="n">
        <v>11</v>
      </c>
      <c r="E4296" t="n">
        <v>9</v>
      </c>
      <c r="F4296" t="n">
        <v>17.3</v>
      </c>
      <c r="G4296" t="n">
        <v>0</v>
      </c>
      <c r="H4296" t="n">
        <v>0</v>
      </c>
      <c r="I4296" s="3">
        <f>E4296+G4296+H4296</f>
        <v/>
      </c>
      <c r="J4296" s="3">
        <f>ROUND(MIN(IF(C4296="Técnico III",35,IF(C4296="Técnico II",28,IF(C4296="Técnico I",23,IF(C4296="JR",20,IF(C4296="Estágio",10,0))))),IF(C4296="Técnico III",SUMIFS($D:$D,$A:$A,$A4296,$B:$B,"&lt;&gt;Patrícia Karla de Sousa Araújo",$B:$B,"&lt;&gt;Lorena Dias de Araujo",$B:$B,"&lt;&gt;Lucas Luiz Romero")*(35/1083),IF(C4296="Técnico II",SUMIFS($D:$D,$A:$A,$A4296,$B:$B,"&lt;&gt;Patrícia Karla de Sousa Araújo",$B:$B,"&lt;&gt;Lorena Dias de Araujo",$B:$B,"&lt;&gt;Lucas Luiz Romero")*(28/1083),IF(C4296="Técnico I",SUMIFS($D:$D,$A:$A,$A4296,$B:$B,"&lt;&gt;Patrícia Karla de Sousa Araújo",$B:$B,"&lt;&gt;Lorena Dias de Araujo",$B:$B,"&lt;&gt;Lucas Luiz Romero")*(23/1083),IF(C4296="JR",SUMIFS($D:$D,$A:$A,$A4296,$B:$B,"&lt;&gt;Patrícia Karla de Sousa Araújo",$B:$B,"&lt;&gt;Lorena Dias de Araujo",$B:$B,"&lt;&gt;Lucas Luiz Romero")*(20/1083),IF(C4296="Estágio",SUMIFS($D:$D,$A:$A,$A4296,$B:$B,"&lt;&gt;Patrícia Karla de Sousa Araújo",$B:$B,"&lt;&gt;Lorena Dias de Araujo",$B:$B,"&lt;&gt;Lucas Luiz Romero")*(10/1083),0)))))),0)</f>
        <v/>
      </c>
      <c r="K4296" s="3">
        <f>I4296-J4296</f>
        <v/>
      </c>
      <c r="L4296" s="3">
        <f>IF(K4296&lt;-5,"CRÍTICO",IF(K4296&lt;0,"ATENÇÃO",IF(K4296&lt;=5,"OPORTUNO","MUITO BOM")))</f>
        <v/>
      </c>
      <c r="M4296" t="n">
        <v>12</v>
      </c>
      <c r="N4296" t="n">
        <v>99.31999999999999</v>
      </c>
      <c r="O4296" t="n">
        <v>30.6483300589391</v>
      </c>
    </row>
    <row r="4297" hidden="1">
      <c r="A4297" s="11" t="n">
        <v>46139</v>
      </c>
      <c r="B4297" t="inlineStr">
        <is>
          <t>Ana Paula Da Luz Silva Aleixo</t>
        </is>
      </c>
      <c r="C4297" t="inlineStr">
        <is>
          <t>Técnico III</t>
        </is>
      </c>
      <c r="D4297" t="n">
        <v>12</v>
      </c>
      <c r="E4297" t="n">
        <v>10</v>
      </c>
      <c r="F4297" t="n">
        <v>13.31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M4297" t="n">
        <v>10</v>
      </c>
      <c r="N4297" t="n">
        <v>100</v>
      </c>
      <c r="O4297" t="n">
        <v>27.80373831775701</v>
      </c>
    </row>
    <row r="4298" hidden="1">
      <c r="A4298" s="11" t="n">
        <v>46139</v>
      </c>
      <c r="B4298" t="inlineStr">
        <is>
          <t>Anna Luiza Rezende Tavares</t>
        </is>
      </c>
      <c r="C4298" t="inlineStr">
        <is>
          <t>Estágio</t>
        </is>
      </c>
      <c r="D4298" t="n">
        <v>14</v>
      </c>
      <c r="E4298" t="n">
        <v>14</v>
      </c>
      <c r="F4298" t="n">
        <v>14.02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M4298" t="n">
        <v>14</v>
      </c>
      <c r="N4298" t="n">
        <v>96.73999999999999</v>
      </c>
      <c r="O4298" t="n">
        <v>28.67647058823529</v>
      </c>
    </row>
    <row r="4299" hidden="1">
      <c r="A4299" s="11" t="n">
        <v>46139</v>
      </c>
      <c r="B4299" t="inlineStr">
        <is>
          <t>Brenda de Menezes Silva</t>
        </is>
      </c>
      <c r="C4299" t="inlineStr">
        <is>
          <t>Técnico II</t>
        </is>
      </c>
      <c r="D4299" t="n">
        <v>14</v>
      </c>
      <c r="E4299" t="n">
        <v>13</v>
      </c>
      <c r="F4299" t="n">
        <v>15.11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M4299" t="n">
        <v>11</v>
      </c>
      <c r="N4299" t="n">
        <v>98.81999999999999</v>
      </c>
      <c r="O4299" t="n">
        <v>30.74141048824593</v>
      </c>
    </row>
    <row r="4300" hidden="1">
      <c r="A4300" s="11" t="n">
        <v>46139</v>
      </c>
      <c r="B4300" t="inlineStr">
        <is>
          <t>Carlos Mateus Cassimiro Nunes</t>
        </is>
      </c>
      <c r="C4300" t="inlineStr">
        <is>
          <t>Técnico II</t>
        </is>
      </c>
      <c r="D4300" t="n">
        <v>12</v>
      </c>
      <c r="E4300" t="n">
        <v>12</v>
      </c>
      <c r="F4300" t="n">
        <v>24.05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M4300" t="n">
        <v>11</v>
      </c>
      <c r="N4300" t="n">
        <v>98.2</v>
      </c>
      <c r="O4300" t="n">
        <v>27.17086834733893</v>
      </c>
    </row>
    <row r="4301" hidden="1">
      <c r="A4301" s="11" t="n">
        <v>46139</v>
      </c>
      <c r="B4301" t="inlineStr">
        <is>
          <t>Claudio de Sousa Velasco Filho</t>
        </is>
      </c>
      <c r="C4301" t="inlineStr">
        <is>
          <t>Estágio</t>
        </is>
      </c>
      <c r="D4301" t="n">
        <v>8</v>
      </c>
      <c r="E4301" t="n">
        <v>8</v>
      </c>
      <c r="F4301" t="n">
        <v>22.16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M4301" t="n">
        <v>7</v>
      </c>
      <c r="N4301" t="n">
        <v>100</v>
      </c>
      <c r="O4301" t="n">
        <v>23.13432835820895</v>
      </c>
    </row>
    <row r="4302" hidden="1">
      <c r="A4302" s="11" t="n">
        <v>46139</v>
      </c>
      <c r="B4302" t="inlineStr">
        <is>
          <t>Clessiane Pereira dos Santos</t>
        </is>
      </c>
      <c r="C4302" t="inlineStr">
        <is>
          <t>Técnico I</t>
        </is>
      </c>
      <c r="D4302" t="n">
        <v>3</v>
      </c>
      <c r="E4302" t="n">
        <v>3</v>
      </c>
      <c r="F4302" t="n">
        <v>10.12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M4302" t="n">
        <v>4</v>
      </c>
      <c r="N4302" t="n">
        <v>96.3</v>
      </c>
      <c r="O4302" t="n">
        <v>32.21957040572792</v>
      </c>
    </row>
    <row r="4303" hidden="1">
      <c r="A4303" s="11" t="n">
        <v>46139</v>
      </c>
      <c r="B4303" t="inlineStr">
        <is>
          <t>Cristiane Ramos da Silva Rocha</t>
        </is>
      </c>
      <c r="C4303" t="inlineStr">
        <is>
          <t>Técnico III</t>
        </is>
      </c>
      <c r="D4303" t="n">
        <v>15</v>
      </c>
      <c r="E4303" t="n">
        <v>14</v>
      </c>
      <c r="F4303" t="n">
        <v>10.5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M4303" t="n">
        <v>13</v>
      </c>
      <c r="N4303" t="n">
        <v>93.75</v>
      </c>
      <c r="O4303" t="n">
        <v>26.81992337164751</v>
      </c>
    </row>
    <row r="4304" hidden="1">
      <c r="A4304" s="11" t="n">
        <v>46139</v>
      </c>
      <c r="B4304" t="inlineStr">
        <is>
          <t>Damyllis Lorraine de Oliveira Gonçalves</t>
        </is>
      </c>
      <c r="C4304" t="inlineStr">
        <is>
          <t>Técnico II</t>
        </is>
      </c>
      <c r="D4304" t="n">
        <v>15</v>
      </c>
      <c r="E4304" t="n">
        <v>13</v>
      </c>
      <c r="F4304" t="n">
        <v>12.32</v>
      </c>
      <c r="G4304" t="n">
        <v>0</v>
      </c>
      <c r="H4304" t="n">
        <v>0</v>
      </c>
      <c r="I4304" s="3" t="n">
        <v>0</v>
      </c>
      <c r="J4304" s="3" t="n">
        <v>0</v>
      </c>
      <c r="K4304" s="3" t="n">
        <v>0</v>
      </c>
      <c r="L4304" s="3">
        <f>IF(K4304&lt;-5,"CRÍTICO",IF(K4304&lt;0,"ATENÇÃO",IF(K4304&lt;=5,"OPORTUNO","MUITO BOM")))</f>
        <v/>
      </c>
      <c r="M4304" t="n">
        <v>10</v>
      </c>
      <c r="N4304" t="n">
        <v>97.86</v>
      </c>
      <c r="O4304" t="n">
        <v>31.01851851851852</v>
      </c>
    </row>
    <row r="4305" hidden="1">
      <c r="A4305" s="11" t="n">
        <v>46139</v>
      </c>
      <c r="B4305" t="inlineStr">
        <is>
          <t>Daniel Gomes da Silva</t>
        </is>
      </c>
      <c r="C4305" t="inlineStr">
        <is>
          <t>Técnico I</t>
        </is>
      </c>
      <c r="D4305" t="n">
        <v>12</v>
      </c>
      <c r="E4305" t="n">
        <v>12</v>
      </c>
      <c r="F4305" t="n">
        <v>18.5</v>
      </c>
      <c r="G4305" t="n">
        <v>0</v>
      </c>
      <c r="H4305" t="n">
        <v>0</v>
      </c>
      <c r="I4305" s="3">
        <f>E4305+G4305+H4305</f>
        <v/>
      </c>
      <c r="J4305" s="3">
        <f>ROUND(MIN(IF(C4305="Técnico III",35,IF(C4305="Técnico II",28,IF(C4305="Técnico I",23,IF(C4305="JR",20,IF(C4305="Estágio",10,0))))),IF(C4305="Técnico III",SUMIFS($D:$D,$A:$A,$A4305,$B:$B,"&lt;&gt;Patrícia Karla de Sousa Araújo",$B:$B,"&lt;&gt;Lorena Dias de Araujo",$B:$B,"&lt;&gt;Lucas Luiz Romero")*(35/1083),IF(C4305="Técnico II",SUMIFS($D:$D,$A:$A,$A4305,$B:$B,"&lt;&gt;Patrícia Karla de Sousa Araújo",$B:$B,"&lt;&gt;Lorena Dias de Araujo",$B:$B,"&lt;&gt;Lucas Luiz Romero")*(28/1083),IF(C4305="Técnico I",SUMIFS($D:$D,$A:$A,$A4305,$B:$B,"&lt;&gt;Patrícia Karla de Sousa Araújo",$B:$B,"&lt;&gt;Lorena Dias de Araujo",$B:$B,"&lt;&gt;Lucas Luiz Romero")*(23/1083),IF(C4305="JR",SUMIFS($D:$D,$A:$A,$A4305,$B:$B,"&lt;&gt;Patrícia Karla de Sousa Araújo",$B:$B,"&lt;&gt;Lorena Dias de Araujo",$B:$B,"&lt;&gt;Lucas Luiz Romero")*(20/1083),IF(C4305="Estágio",SUMIFS($D:$D,$A:$A,$A4305,$B:$B,"&lt;&gt;Patrícia Karla de Sousa Araújo",$B:$B,"&lt;&gt;Lorena Dias de Araujo",$B:$B,"&lt;&gt;Lucas Luiz Romero")*(10/1083),0)))))),0)</f>
        <v/>
      </c>
      <c r="K4305" s="3">
        <f>I4305-J4305</f>
        <v/>
      </c>
      <c r="L4305" s="3">
        <f>IF(K4305&lt;-5,"CRÍTICO",IF(K4305&lt;0,"ATENÇÃO",IF(K4305&lt;=5,"OPORTUNO","MUITO BOM")))</f>
        <v/>
      </c>
      <c r="M4305" t="n">
        <v>8</v>
      </c>
      <c r="N4305" t="n">
        <v>100</v>
      </c>
      <c r="O4305" t="n">
        <v>36.59420289855073</v>
      </c>
    </row>
    <row r="4306" hidden="1">
      <c r="A4306" s="11" t="n">
        <v>46139</v>
      </c>
      <c r="B4306" t="inlineStr">
        <is>
          <t>Davylla Rodrigues Freitas Silva</t>
        </is>
      </c>
      <c r="C4306" t="inlineStr">
        <is>
          <t>Técnico III</t>
        </is>
      </c>
      <c r="D4306" t="n">
        <v>13</v>
      </c>
      <c r="E4306" t="n">
        <v>13</v>
      </c>
      <c r="F4306" t="n">
        <v>21.51</v>
      </c>
      <c r="G4306" t="n">
        <v>0</v>
      </c>
      <c r="H4306" t="n">
        <v>0</v>
      </c>
      <c r="I4306" s="3" t="n">
        <v>0</v>
      </c>
      <c r="J4306" s="3" t="n">
        <v>0</v>
      </c>
      <c r="K4306" s="3" t="n">
        <v>0</v>
      </c>
      <c r="L4306" s="3">
        <f>IF(K4306&lt;-5,"CRÍTICO",IF(K4306&lt;0,"ATENÇÃO",IF(K4306&lt;=5,"OPORTUNO","MUITO BOM")))</f>
        <v/>
      </c>
      <c r="M4306" t="n">
        <v>14</v>
      </c>
      <c r="N4306" t="n">
        <v>100</v>
      </c>
      <c r="O4306" t="n">
        <v>38.65384615384615</v>
      </c>
    </row>
    <row r="4307" hidden="1">
      <c r="A4307" s="11" t="n">
        <v>46139</v>
      </c>
      <c r="B4307" t="inlineStr">
        <is>
          <t>Emilly Caylane Costa</t>
        </is>
      </c>
      <c r="C4307" t="inlineStr">
        <is>
          <t>Estágio</t>
        </is>
      </c>
      <c r="D4307" t="n">
        <v>9</v>
      </c>
      <c r="E4307" t="n">
        <v>9</v>
      </c>
      <c r="F4307" t="n">
        <v>25.01</v>
      </c>
      <c r="G4307" t="n">
        <v>0</v>
      </c>
      <c r="H4307" t="n">
        <v>0</v>
      </c>
      <c r="I4307" s="3">
        <f>E4307+G4307+H4307</f>
        <v/>
      </c>
      <c r="J4307" s="3">
        <f>ROUND(MIN(IF(C4307="Técnico III",35,IF(C4307="Técnico II",28,IF(C4307="Técnico I",23,IF(C4307="JR",20,IF(C4307="Estágio",10,0))))),IF(C4307="Técnico III",SUMIFS($D:$D,$A:$A,$A4307,$B:$B,"&lt;&gt;Patrícia Karla de Sousa Araújo",$B:$B,"&lt;&gt;Lorena Dias de Araujo",$B:$B,"&lt;&gt;Lucas Luiz Romero")*(35/1083),IF(C4307="Técnico II",SUMIFS($D:$D,$A:$A,$A4307,$B:$B,"&lt;&gt;Patrícia Karla de Sousa Araújo",$B:$B,"&lt;&gt;Lorena Dias de Araujo",$B:$B,"&lt;&gt;Lucas Luiz Romero")*(28/1083),IF(C4307="Técnico I",SUMIFS($D:$D,$A:$A,$A4307,$B:$B,"&lt;&gt;Patrícia Karla de Sousa Araújo",$B:$B,"&lt;&gt;Lorena Dias de Araujo",$B:$B,"&lt;&gt;Lucas Luiz Romero")*(23/1083),IF(C4307="JR",SUMIFS($D:$D,$A:$A,$A4307,$B:$B,"&lt;&gt;Patrícia Karla de Sousa Araújo",$B:$B,"&lt;&gt;Lorena Dias de Araujo",$B:$B,"&lt;&gt;Lucas Luiz Romero")*(20/1083),IF(C4307="Estágio",SUMIFS($D:$D,$A:$A,$A4307,$B:$B,"&lt;&gt;Patrícia Karla de Sousa Araújo",$B:$B,"&lt;&gt;Lorena Dias de Araujo",$B:$B,"&lt;&gt;Lucas Luiz Romero")*(10/1083),0)))))),0)</f>
        <v/>
      </c>
      <c r="K4307" s="3">
        <f>I4307-J4307</f>
        <v/>
      </c>
      <c r="L4307" s="3">
        <f>IF(K4307&lt;-5,"CRÍTICO",IF(K4307&lt;0,"ATENÇÃO",IF(K4307&lt;=5,"OPORTUNO","MUITO BOM")))</f>
        <v/>
      </c>
      <c r="M4307" t="n">
        <v>8</v>
      </c>
      <c r="N4307" t="n">
        <v>100</v>
      </c>
      <c r="O4307" t="n">
        <v>27.36842105263158</v>
      </c>
    </row>
    <row r="4308" hidden="1">
      <c r="A4308" s="11" t="n">
        <v>46139</v>
      </c>
      <c r="B4308" t="inlineStr">
        <is>
          <t>Emilly Kamilly Medeiros Miranda</t>
        </is>
      </c>
      <c r="C4308" t="inlineStr">
        <is>
          <t>Técnico II</t>
        </is>
      </c>
      <c r="D4308" t="n">
        <v>18</v>
      </c>
      <c r="E4308" t="n">
        <v>16</v>
      </c>
      <c r="F4308" t="n">
        <v>15.02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M4308" t="n">
        <v>12</v>
      </c>
      <c r="N4308" t="n">
        <v>97.83</v>
      </c>
      <c r="O4308" t="n">
        <v>28.35164835164835</v>
      </c>
    </row>
    <row r="4309" hidden="1">
      <c r="A4309" s="11" t="n">
        <v>46139</v>
      </c>
      <c r="B4309" t="inlineStr">
        <is>
          <t>Francielson de Oliveira</t>
        </is>
      </c>
      <c r="C4309" t="inlineStr">
        <is>
          <t>Técnico III</t>
        </is>
      </c>
      <c r="D4309" t="n">
        <v>15</v>
      </c>
      <c r="E4309" t="n">
        <v>15</v>
      </c>
      <c r="F4309" t="n">
        <v>13.5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M4309" t="n">
        <v>15</v>
      </c>
      <c r="N4309" t="n">
        <v>99.26000000000001</v>
      </c>
      <c r="O4309" t="n">
        <v>29.76653696498055</v>
      </c>
    </row>
    <row r="4310" hidden="1">
      <c r="A4310" s="11" t="n">
        <v>46139</v>
      </c>
      <c r="B4310" t="inlineStr">
        <is>
          <t>Francilene Ferreira de Jesus</t>
        </is>
      </c>
      <c r="C4310" t="inlineStr">
        <is>
          <t>Técnico II</t>
        </is>
      </c>
      <c r="D4310" t="n">
        <v>14</v>
      </c>
      <c r="E4310" t="n">
        <v>14</v>
      </c>
      <c r="F4310" t="n">
        <v>15.32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M4310" t="n">
        <v>14</v>
      </c>
      <c r="N4310" t="n">
        <v>99.19</v>
      </c>
      <c r="O4310" t="n">
        <v>29.46236559139785</v>
      </c>
    </row>
    <row r="4311" hidden="1">
      <c r="A4311" s="5" t="n">
        <v>46147</v>
      </c>
      <c r="B4311" s="6" t="inlineStr">
        <is>
          <t>Francilene Ferreira de Jesus</t>
        </is>
      </c>
      <c r="C4311" s="3" t="inlineStr">
        <is>
          <t>Técnico II</t>
        </is>
      </c>
      <c r="D4311" s="3" t="n">
        <v>0</v>
      </c>
      <c r="E4311" s="3" t="n">
        <v>0</v>
      </c>
      <c r="F4311" s="3" t="n">
        <v>0</v>
      </c>
      <c r="G4311" s="3" t="n">
        <v>0</v>
      </c>
      <c r="H4311" s="3" t="n">
        <v>0</v>
      </c>
      <c r="I4311" s="3" t="n">
        <v>0</v>
      </c>
      <c r="J4311" s="3" t="n">
        <v>0</v>
      </c>
      <c r="K4311" s="3" t="n">
        <v>0</v>
      </c>
      <c r="L4311" s="3">
        <f>IF(K4311&lt;-5,"CRÍTICO",IF(K4311&lt;0,"ATENÇÃO",IF(K4311&lt;=5,"BOM","EXCELENTE")))</f>
        <v/>
      </c>
      <c r="M4311" s="3" t="n">
        <v>0</v>
      </c>
      <c r="N4311" s="3" t="n">
        <v>100</v>
      </c>
      <c r="O4311" s="3" t="n">
        <v>17.24137931034483</v>
      </c>
    </row>
    <row r="4312" hidden="1">
      <c r="A4312" s="11" t="n">
        <v>46139</v>
      </c>
      <c r="B4312" t="inlineStr">
        <is>
          <t>Isabella Borges de Oliveira</t>
        </is>
      </c>
      <c r="C4312" t="inlineStr">
        <is>
          <t>Técnico II</t>
        </is>
      </c>
      <c r="D4312" t="n">
        <v>11</v>
      </c>
      <c r="E4312" t="n">
        <v>11</v>
      </c>
      <c r="F4312" t="n">
        <v>14.16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M4312" t="n">
        <v>8</v>
      </c>
      <c r="N4312" t="n">
        <v>100</v>
      </c>
      <c r="O4312" t="n">
        <v>28.92156862745098</v>
      </c>
    </row>
    <row r="4313" hidden="1">
      <c r="A4313" s="11" t="n">
        <v>46139</v>
      </c>
      <c r="B4313" t="inlineStr">
        <is>
          <t>Janaina Lima dos Reis Urany</t>
        </is>
      </c>
      <c r="C4313" t="inlineStr">
        <is>
          <t>Técnico III</t>
        </is>
      </c>
      <c r="D4313" t="n">
        <v>23</v>
      </c>
      <c r="E4313" t="n">
        <v>19</v>
      </c>
      <c r="F4313" t="n">
        <v>15.24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M4313" t="n">
        <v>16</v>
      </c>
      <c r="N4313" t="n">
        <v>99.56999999999999</v>
      </c>
      <c r="O4313" t="n">
        <v>30.63583815028902</v>
      </c>
    </row>
    <row r="4314" hidden="1">
      <c r="A4314" s="11" t="n">
        <v>46139</v>
      </c>
      <c r="B4314" t="inlineStr">
        <is>
          <t>Jaqueline Evangelista da Silva Martins</t>
        </is>
      </c>
      <c r="C4314" t="inlineStr">
        <is>
          <t>Técnico III</t>
        </is>
      </c>
      <c r="D4314" t="n">
        <v>15</v>
      </c>
      <c r="E4314" t="n">
        <v>13</v>
      </c>
      <c r="F4314" t="n">
        <v>12.31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M4314" t="n">
        <v>10</v>
      </c>
      <c r="N4314" t="n">
        <v>95.65000000000001</v>
      </c>
      <c r="O4314" t="n">
        <v>32.43243243243244</v>
      </c>
    </row>
    <row r="4315" hidden="1">
      <c r="A4315" s="11" t="n">
        <v>46139</v>
      </c>
      <c r="B4315" t="inlineStr">
        <is>
          <t>Jessica Faria da Silveira</t>
        </is>
      </c>
      <c r="C4315" t="inlineStr">
        <is>
          <t>Técnico II</t>
        </is>
      </c>
      <c r="D4315" t="n">
        <v>14</v>
      </c>
      <c r="E4315" t="n">
        <v>13</v>
      </c>
      <c r="F4315" t="n">
        <v>13.47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M4315" t="n">
        <v>12</v>
      </c>
      <c r="N4315" t="n">
        <v>98.81</v>
      </c>
      <c r="O4315" t="n">
        <v>26.25698324022346</v>
      </c>
    </row>
    <row r="4316" hidden="1">
      <c r="A4316" s="11" t="n">
        <v>46139</v>
      </c>
      <c r="B4316" t="inlineStr">
        <is>
          <t>Jéssica Fé Moura</t>
        </is>
      </c>
      <c r="C4316" t="inlineStr">
        <is>
          <t>Técnico III</t>
        </is>
      </c>
      <c r="D4316" t="n">
        <v>0</v>
      </c>
      <c r="E4316" t="n">
        <v>0</v>
      </c>
      <c r="F4316" t="n">
        <v>0</v>
      </c>
      <c r="G4316" t="n">
        <v>0</v>
      </c>
      <c r="H4316" t="n">
        <v>0</v>
      </c>
      <c r="I4316" s="3" t="n">
        <v>0</v>
      </c>
      <c r="J4316" s="3" t="n">
        <v>0</v>
      </c>
      <c r="K4316" s="3" t="n">
        <v>0</v>
      </c>
      <c r="L4316" s="3">
        <f>IF(K4316&lt;-5,"CRÍTICO",IF(K4316&lt;0,"ATENÇÃO",IF(K4316&lt;=5,"OPORTUNO","MUITO BOM")))</f>
        <v/>
      </c>
      <c r="M4316" t="n">
        <v>0</v>
      </c>
      <c r="N4316" t="n">
        <v>0</v>
      </c>
      <c r="O4316" t="n">
        <v>0</v>
      </c>
    </row>
    <row r="4317" hidden="1">
      <c r="A4317" s="11" t="n">
        <v>46139</v>
      </c>
      <c r="B4317" t="inlineStr">
        <is>
          <t>Karina Gonçalves Martins</t>
        </is>
      </c>
      <c r="C4317" t="inlineStr">
        <is>
          <t>JR</t>
        </is>
      </c>
      <c r="D4317" t="n">
        <v>8</v>
      </c>
      <c r="E4317" t="n">
        <v>5</v>
      </c>
      <c r="F4317" t="n">
        <v>13.44</v>
      </c>
      <c r="G4317" t="n">
        <v>0</v>
      </c>
      <c r="H4317" t="n">
        <v>0</v>
      </c>
      <c r="I4317" s="3">
        <f>E4317+G4317+H4317</f>
        <v/>
      </c>
      <c r="J4317" s="3">
        <f>ROUND(MIN(IF(C4317="Técnico III",35,IF(C4317="Técnico II",28,IF(C4317="Técnico I",23,IF(C4317="JR",20,IF(C4317="Estágio",10,0))))),IF(C4317="Técnico III",SUMIFS($D:$D,$A:$A,$A4317,$B:$B,"&lt;&gt;Patrícia Karla de Sousa Araújo",$B:$B,"&lt;&gt;Lorena Dias de Araujo",$B:$B,"&lt;&gt;Lucas Luiz Romero")*(35/1083),IF(C4317="Técnico II",SUMIFS($D:$D,$A:$A,$A4317,$B:$B,"&lt;&gt;Patrícia Karla de Sousa Araújo",$B:$B,"&lt;&gt;Lorena Dias de Araujo",$B:$B,"&lt;&gt;Lucas Luiz Romero")*(28/1083),IF(C4317="Técnico I",SUMIFS($D:$D,$A:$A,$A4317,$B:$B,"&lt;&gt;Patrícia Karla de Sousa Araújo",$B:$B,"&lt;&gt;Lorena Dias de Araujo",$B:$B,"&lt;&gt;Lucas Luiz Romero")*(23/1083),IF(C4317="JR",SUMIFS($D:$D,$A:$A,$A4317,$B:$B,"&lt;&gt;Patrícia Karla de Sousa Araújo",$B:$B,"&lt;&gt;Lorena Dias de Araujo",$B:$B,"&lt;&gt;Lucas Luiz Romero")*(20/1083),IF(C4317="Estágio",SUMIFS($D:$D,$A:$A,$A4317,$B:$B,"&lt;&gt;Patrícia Karla de Sousa Araújo",$B:$B,"&lt;&gt;Lorena Dias de Araujo",$B:$B,"&lt;&gt;Lucas Luiz Romero")*(10/1083),0)))))),0)</f>
        <v/>
      </c>
      <c r="K4317" s="3">
        <f>I4317-J4317</f>
        <v/>
      </c>
      <c r="L4317" s="3">
        <f>IF(K4317&lt;-5,"CRÍTICO",IF(K4317&lt;0,"ATENÇÃO",IF(K4317&lt;=5,"OPORTUNO","MUITO BOM")))</f>
        <v/>
      </c>
      <c r="M4317" t="n">
        <v>6</v>
      </c>
      <c r="N4317" t="n">
        <v>97.17</v>
      </c>
      <c r="O4317" t="n">
        <v>28.81844380403458</v>
      </c>
    </row>
    <row r="4318" hidden="1">
      <c r="A4318" s="11" t="n">
        <v>46139</v>
      </c>
      <c r="B4318" t="inlineStr">
        <is>
          <t>Kerollen Cristielly de Jesus Siqueira</t>
        </is>
      </c>
      <c r="C4318" t="inlineStr">
        <is>
          <t>Técnico III</t>
        </is>
      </c>
      <c r="D4318" t="n">
        <v>0</v>
      </c>
      <c r="E4318" t="n">
        <v>0</v>
      </c>
      <c r="F4318" t="n">
        <v>0</v>
      </c>
      <c r="G4318" t="n">
        <v>0</v>
      </c>
      <c r="H4318" t="n">
        <v>0</v>
      </c>
      <c r="I4318" s="3" t="n">
        <v>0</v>
      </c>
      <c r="J4318" s="3" t="n">
        <v>0</v>
      </c>
      <c r="K4318" s="3" t="n">
        <v>0</v>
      </c>
      <c r="L4318" s="3">
        <f>IF(K4318&lt;-5,"CRÍTICO",IF(K4318&lt;0,"ATENÇÃO",IF(K4318&lt;=5,"OPORTUNO","MUITO BOM")))</f>
        <v/>
      </c>
      <c r="M4318" t="n">
        <v>29</v>
      </c>
      <c r="N4318" t="n">
        <v>96.81</v>
      </c>
      <c r="O4318" t="n">
        <v>48.01864801864802</v>
      </c>
    </row>
    <row r="4319" hidden="1">
      <c r="A4319" s="11" t="n">
        <v>46139</v>
      </c>
      <c r="B4319" t="inlineStr">
        <is>
          <t>Leandro de Souza Silva</t>
        </is>
      </c>
      <c r="C4319" t="inlineStr">
        <is>
          <t>JR</t>
        </is>
      </c>
      <c r="D4319" t="n">
        <v>14</v>
      </c>
      <c r="E4319" t="n">
        <v>13</v>
      </c>
      <c r="F4319" t="n">
        <v>10.5</v>
      </c>
      <c r="G4319" t="n">
        <v>0</v>
      </c>
      <c r="H4319" t="n">
        <v>0</v>
      </c>
      <c r="I4319" s="3">
        <f>E4319+G4319+H4319</f>
        <v/>
      </c>
      <c r="J4319" s="3">
        <f>ROUND(MIN(IF(C4319="Técnico III",35,IF(C4319="Técnico II",28,IF(C4319="Técnico I",23,IF(C4319="JR",20,IF(C4319="Estágio",10,0))))),IF(C4319="Técnico III",SUMIFS($D:$D,$A:$A,$A4319,$B:$B,"&lt;&gt;Patrícia Karla de Sousa Araújo",$B:$B,"&lt;&gt;Lorena Dias de Araujo",$B:$B,"&lt;&gt;Lucas Luiz Romero")*(35/1083),IF(C4319="Técnico II",SUMIFS($D:$D,$A:$A,$A4319,$B:$B,"&lt;&gt;Patrícia Karla de Sousa Araújo",$B:$B,"&lt;&gt;Lorena Dias de Araujo",$B:$B,"&lt;&gt;Lucas Luiz Romero")*(28/1083),IF(C4319="Técnico I",SUMIFS($D:$D,$A:$A,$A4319,$B:$B,"&lt;&gt;Patrícia Karla de Sousa Araújo",$B:$B,"&lt;&gt;Lorena Dias de Araujo",$B:$B,"&lt;&gt;Lucas Luiz Romero")*(23/1083),IF(C4319="JR",SUMIFS($D:$D,$A:$A,$A4319,$B:$B,"&lt;&gt;Patrícia Karla de Sousa Araújo",$B:$B,"&lt;&gt;Lorena Dias de Araujo",$B:$B,"&lt;&gt;Lucas Luiz Romero")*(20/1083),IF(C4319="Estágio",SUMIFS($D:$D,$A:$A,$A4319,$B:$B,"&lt;&gt;Patrícia Karla de Sousa Araújo",$B:$B,"&lt;&gt;Lorena Dias de Araujo",$B:$B,"&lt;&gt;Lucas Luiz Romero")*(10/1083),0)))))),0)</f>
        <v/>
      </c>
      <c r="K4319" s="3">
        <f>I4319-J4319</f>
        <v/>
      </c>
      <c r="L4319" s="3">
        <f>IF(K4319&lt;-5,"CRÍTICO",IF(K4319&lt;0,"ATENÇÃO",IF(K4319&lt;=5,"OPORTUNO","MUITO BOM")))</f>
        <v/>
      </c>
      <c r="M4319" t="n">
        <v>10</v>
      </c>
      <c r="N4319" t="n">
        <v>98.15000000000001</v>
      </c>
      <c r="O4319" t="n">
        <v>27.1551724137931</v>
      </c>
    </row>
    <row r="4320" hidden="1">
      <c r="A4320" s="11" t="n">
        <v>46139</v>
      </c>
      <c r="B4320" t="inlineStr">
        <is>
          <t>Leandro Oliveira de Sousa</t>
        </is>
      </c>
      <c r="C4320" t="inlineStr">
        <is>
          <t>Técnico III</t>
        </is>
      </c>
      <c r="D4320" t="n">
        <v>16</v>
      </c>
      <c r="E4320" t="n">
        <v>13</v>
      </c>
      <c r="F4320" t="n">
        <v>16.45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M4320" t="n">
        <v>14</v>
      </c>
      <c r="N4320" t="n">
        <v>99.15000000000001</v>
      </c>
      <c r="O4320" t="n">
        <v>27.58620689655172</v>
      </c>
    </row>
    <row r="4321" hidden="1">
      <c r="A4321" s="11" t="n">
        <v>46139</v>
      </c>
      <c r="B4321" t="inlineStr">
        <is>
          <t>Lizandra Gomes Duarte</t>
        </is>
      </c>
      <c r="C4321" t="inlineStr">
        <is>
          <t>Técnico II</t>
        </is>
      </c>
      <c r="D4321" t="n">
        <v>2</v>
      </c>
      <c r="E4321" t="n">
        <v>2</v>
      </c>
      <c r="F4321" t="n">
        <v>22.04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M4321" t="n">
        <v>8</v>
      </c>
      <c r="N4321" t="n">
        <v>99.17</v>
      </c>
      <c r="O4321" t="n">
        <v>29.75206611570248</v>
      </c>
    </row>
    <row r="4322" hidden="1">
      <c r="A4322" s="11" t="n">
        <v>46139</v>
      </c>
      <c r="B4322" t="inlineStr">
        <is>
          <t>Lorena Dias de Araujo</t>
        </is>
      </c>
      <c r="C4322" t="inlineStr">
        <is>
          <t>Técnico II</t>
        </is>
      </c>
      <c r="D4322" t="n">
        <v>0</v>
      </c>
      <c r="E4322" t="n">
        <v>0</v>
      </c>
      <c r="F4322" t="n">
        <v>0</v>
      </c>
      <c r="G4322" t="n">
        <v>0</v>
      </c>
      <c r="H4322" t="n">
        <v>0</v>
      </c>
      <c r="I4322" s="3" t="n">
        <v>0</v>
      </c>
      <c r="J4322" s="3" t="n">
        <v>0</v>
      </c>
      <c r="K4322" s="3" t="n">
        <v>0</v>
      </c>
      <c r="L4322" s="3">
        <f>IF(K4322&lt;-5,"CRÍTICO",IF(K4322&lt;0,"ATENÇÃO",IF(K4322&lt;=5,"OPORTUNO","MUITO BOM")))</f>
        <v/>
      </c>
      <c r="M4322" t="n">
        <v>0</v>
      </c>
      <c r="N4322" t="n">
        <v>98.73</v>
      </c>
      <c r="O4322" t="n">
        <v>28.96174863387978</v>
      </c>
    </row>
    <row r="4323" hidden="1">
      <c r="A4323" s="11" t="n">
        <v>46139</v>
      </c>
      <c r="B4323" t="inlineStr">
        <is>
          <t>Lucas Luiz Romero</t>
        </is>
      </c>
      <c r="C4323" t="inlineStr">
        <is>
          <t>Técnico III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M4323" t="n">
        <v>0</v>
      </c>
      <c r="N4323" t="n">
        <v>88.68000000000001</v>
      </c>
      <c r="O4323" t="n">
        <v>22.03389830508474</v>
      </c>
    </row>
    <row r="4324" hidden="1">
      <c r="A4324" s="11" t="n">
        <v>46139</v>
      </c>
      <c r="B4324" t="inlineStr">
        <is>
          <t>Luiz Fernando de Carvalho Junior</t>
        </is>
      </c>
      <c r="C4324" t="inlineStr">
        <is>
          <t>Técnico I</t>
        </is>
      </c>
      <c r="D4324" t="n">
        <v>9</v>
      </c>
      <c r="E4324" t="n">
        <v>9</v>
      </c>
      <c r="F4324" t="n">
        <v>22.33</v>
      </c>
      <c r="G4324" t="n">
        <v>0</v>
      </c>
      <c r="H4324" t="n">
        <v>0</v>
      </c>
      <c r="I4324" s="3">
        <f>E4324+G4324+H4324</f>
        <v/>
      </c>
      <c r="J4324" s="3">
        <f>ROUND(MIN(IF(C4324="Técnico III",35,IF(C4324="Técnico II",28,IF(C4324="Técnico I",23,IF(C4324="JR",20,IF(C4324="Estágio",10,0))))),IF(C4324="Técnico III",SUMIFS($D:$D,$A:$A,$A4324,$B:$B,"&lt;&gt;Patrícia Karla de Sousa Araújo",$B:$B,"&lt;&gt;Lorena Dias de Araujo",$B:$B,"&lt;&gt;Lucas Luiz Romero")*(35/1083),IF(C4324="Técnico II",SUMIFS($D:$D,$A:$A,$A4324,$B:$B,"&lt;&gt;Patrícia Karla de Sousa Araújo",$B:$B,"&lt;&gt;Lorena Dias de Araujo",$B:$B,"&lt;&gt;Lucas Luiz Romero")*(28/1083),IF(C4324="Técnico I",SUMIFS($D:$D,$A:$A,$A4324,$B:$B,"&lt;&gt;Patrícia Karla de Sousa Araújo",$B:$B,"&lt;&gt;Lorena Dias de Araujo",$B:$B,"&lt;&gt;Lucas Luiz Romero")*(23/1083),IF(C4324="JR",SUMIFS($D:$D,$A:$A,$A4324,$B:$B,"&lt;&gt;Patrícia Karla de Sousa Araújo",$B:$B,"&lt;&gt;Lorena Dias de Araujo",$B:$B,"&lt;&gt;Lucas Luiz Romero")*(20/1083),IF(C4324="Estágio",SUMIFS($D:$D,$A:$A,$A4324,$B:$B,"&lt;&gt;Patrícia Karla de Sousa Araújo",$B:$B,"&lt;&gt;Lorena Dias de Araujo",$B:$B,"&lt;&gt;Lucas Luiz Romero")*(10/1083),0)))))),0)</f>
        <v/>
      </c>
      <c r="K4324" s="3">
        <f>I4324-J4324</f>
        <v/>
      </c>
      <c r="L4324" s="3">
        <f>IF(K4324&lt;-5,"CRÍTICO",IF(K4324&lt;0,"ATENÇÃO",IF(K4324&lt;=5,"OPORTUNO","MUITO BOM")))</f>
        <v/>
      </c>
      <c r="M4324" t="n">
        <v>8</v>
      </c>
      <c r="N4324" t="n">
        <v>97.37</v>
      </c>
      <c r="O4324" t="n">
        <v>25.76530612244898</v>
      </c>
    </row>
    <row r="4325" hidden="1">
      <c r="A4325" s="11" t="n">
        <v>46139</v>
      </c>
      <c r="B4325" t="inlineStr">
        <is>
          <t>Maria Eduarda Sousa Costa</t>
        </is>
      </c>
      <c r="C4325" t="inlineStr">
        <is>
          <t>Estágio</t>
        </is>
      </c>
      <c r="D4325" t="n">
        <v>0</v>
      </c>
      <c r="E4325" t="n">
        <v>0</v>
      </c>
      <c r="F4325" t="n">
        <v>0</v>
      </c>
      <c r="G4325" t="n">
        <v>0</v>
      </c>
      <c r="H4325" t="n">
        <v>0</v>
      </c>
      <c r="I4325" s="3" t="n">
        <v>0</v>
      </c>
      <c r="J4325" s="3" t="n">
        <v>0</v>
      </c>
      <c r="K4325" s="3" t="n">
        <v>0</v>
      </c>
      <c r="L4325" s="3">
        <f>IF(K4325&lt;-5,"CRÍTICO",IF(K4325&lt;0,"ATENÇÃO",IF(K4325&lt;=5,"OPORTUNO","MUITO BOM")))</f>
        <v/>
      </c>
      <c r="M4325" t="n">
        <v>0</v>
      </c>
      <c r="N4325" t="n">
        <v>100</v>
      </c>
      <c r="O4325" t="n">
        <v>25</v>
      </c>
    </row>
    <row r="4326" hidden="1">
      <c r="A4326" s="11" t="n">
        <v>46139</v>
      </c>
      <c r="B4326" t="inlineStr">
        <is>
          <t>Matheus Farias De Souza</t>
        </is>
      </c>
      <c r="C4326" t="inlineStr">
        <is>
          <t>Técnico III</t>
        </is>
      </c>
      <c r="D4326" t="n">
        <v>14</v>
      </c>
      <c r="E4326" t="n">
        <v>14</v>
      </c>
      <c r="F4326" t="n">
        <v>10.57</v>
      </c>
      <c r="G4326" t="n">
        <v>0</v>
      </c>
      <c r="H4326" t="n">
        <v>0</v>
      </c>
      <c r="I4326" s="3">
        <f>E4326+G4326+H4326</f>
        <v/>
      </c>
      <c r="J4326" s="3">
        <f>ROUND(MIN(IF(C4326="Técnico III",35,IF(C4326="Técnico II",28,IF(C4326="Técnico I",23,IF(C4326="JR",20,IF(C4326="Estágio",10,0))))),IF(C4326="Técnico III",SUMIFS($D:$D,$A:$A,$A4326,$B:$B,"&lt;&gt;Patrícia Karla de Sousa Araújo",$B:$B,"&lt;&gt;Lorena Dias de Araujo",$B:$B,"&lt;&gt;Lucas Luiz Romero")*(35/1083),IF(C4326="Técnico II",SUMIFS($D:$D,$A:$A,$A4326,$B:$B,"&lt;&gt;Patrícia Karla de Sousa Araújo",$B:$B,"&lt;&gt;Lorena Dias de Araujo",$B:$B,"&lt;&gt;Lucas Luiz Romero")*(28/1083),IF(C4326="Técnico I",SUMIFS($D:$D,$A:$A,$A4326,$B:$B,"&lt;&gt;Patrícia Karla de Sousa Araújo",$B:$B,"&lt;&gt;Lorena Dias de Araujo",$B:$B,"&lt;&gt;Lucas Luiz Romero")*(23/1083),IF(C4326="JR",SUMIFS($D:$D,$A:$A,$A4326,$B:$B,"&lt;&gt;Patrícia Karla de Sousa Araújo",$B:$B,"&lt;&gt;Lorena Dias de Araujo",$B:$B,"&lt;&gt;Lucas Luiz Romero")*(20/1083),IF(C4326="Estágio",SUMIFS($D:$D,$A:$A,$A4326,$B:$B,"&lt;&gt;Patrícia Karla de Sousa Araújo",$B:$B,"&lt;&gt;Lorena Dias de Araujo",$B:$B,"&lt;&gt;Lucas Luiz Romero")*(10/1083),0)))))),0)</f>
        <v/>
      </c>
      <c r="K4326" s="3">
        <f>I4326-J4326</f>
        <v/>
      </c>
      <c r="L4326" s="3">
        <f>IF(K4326&lt;-5,"CRÍTICO",IF(K4326&lt;0,"ATENÇÃO",IF(K4326&lt;=5,"OPORTUNO","MUITO BOM")))</f>
        <v/>
      </c>
      <c r="M4326" t="n">
        <v>40</v>
      </c>
      <c r="N4326" t="n">
        <v>100</v>
      </c>
      <c r="O4326" t="n">
        <v>23.9870340356564</v>
      </c>
    </row>
    <row r="4327" hidden="1">
      <c r="A4327" s="11" t="n">
        <v>46139</v>
      </c>
      <c r="B4327" t="inlineStr">
        <is>
          <t>Maysa Victoria Dias Moura</t>
        </is>
      </c>
      <c r="C4327" t="inlineStr">
        <is>
          <t>Técnico III</t>
        </is>
      </c>
      <c r="D4327" t="n">
        <v>20</v>
      </c>
      <c r="E4327" t="n">
        <v>14</v>
      </c>
      <c r="F4327" t="n">
        <v>5.39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M4327" t="n">
        <v>14</v>
      </c>
      <c r="N4327" t="n">
        <v>95.48999999999999</v>
      </c>
      <c r="O4327" t="n">
        <v>28.37022132796781</v>
      </c>
    </row>
    <row r="4328" hidden="1">
      <c r="A4328" s="11" t="n">
        <v>46139</v>
      </c>
      <c r="B4328" t="inlineStr">
        <is>
          <t>Michelle G Santos</t>
        </is>
      </c>
      <c r="C4328" t="inlineStr">
        <is>
          <t>Estágio</t>
        </is>
      </c>
      <c r="D4328" t="n">
        <v>6</v>
      </c>
      <c r="E4328" t="n">
        <v>6</v>
      </c>
      <c r="F4328" t="n">
        <v>26.47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M4328" t="n">
        <v>5</v>
      </c>
      <c r="N4328" t="n">
        <v>100</v>
      </c>
      <c r="O4328" t="n">
        <v>23.77622377622378</v>
      </c>
    </row>
    <row r="4329" hidden="1">
      <c r="A4329" s="11" t="n">
        <v>46139</v>
      </c>
      <c r="B4329" t="inlineStr">
        <is>
          <t>Milena Sales</t>
        </is>
      </c>
      <c r="C4329" t="inlineStr">
        <is>
          <t>JR</t>
        </is>
      </c>
      <c r="D4329" t="n">
        <v>0</v>
      </c>
      <c r="E4329" t="n">
        <v>0</v>
      </c>
      <c r="F4329" t="n">
        <v>0</v>
      </c>
      <c r="G4329" t="n">
        <v>0</v>
      </c>
      <c r="H4329" t="n">
        <v>0</v>
      </c>
      <c r="I4329" s="3" t="n">
        <v>0</v>
      </c>
      <c r="J4329" s="3" t="n">
        <v>0</v>
      </c>
      <c r="K4329" s="3" t="n">
        <v>0</v>
      </c>
      <c r="L4329" s="3">
        <f>IF(K4329&lt;-5,"CRÍTICO",IF(K4329&lt;0,"ATENÇÃO",IF(K4329&lt;=5,"OPORTUNO","MUITO BOM")))</f>
        <v/>
      </c>
      <c r="M4329" t="n">
        <v>0</v>
      </c>
      <c r="N4329" t="n">
        <v>96.15000000000001</v>
      </c>
      <c r="O4329" t="n">
        <v>24.04580152671756</v>
      </c>
    </row>
    <row r="4330" hidden="1">
      <c r="A4330" s="11" t="n">
        <v>46139</v>
      </c>
      <c r="B4330" t="inlineStr">
        <is>
          <t>Patrícia Karla de Sousa Araújo</t>
        </is>
      </c>
      <c r="C4330" t="inlineStr">
        <is>
          <t>Técnico II</t>
        </is>
      </c>
      <c r="D4330" t="n">
        <v>10</v>
      </c>
      <c r="E4330" t="n">
        <v>8</v>
      </c>
      <c r="F4330" t="n">
        <v>13.37</v>
      </c>
      <c r="G4330" t="n">
        <v>0</v>
      </c>
      <c r="H4330" t="n">
        <v>0</v>
      </c>
      <c r="I4330" s="3">
        <f>E4330+G4330+H4330</f>
        <v/>
      </c>
      <c r="J4330" s="3">
        <f>ROUND(MIN(IF(C4330="Técnico III",35,IF(C4330="Técnico II",28,IF(C4330="Técnico I",23,IF(C4330="JR",20,IF(C4330="Estágio",10,0))))),IF(C4330="Técnico III",SUMIFS($D:$D,$A:$A,$A4330,$B:$B,"&lt;&gt;Patrícia Karla de Sousa Araújo",$B:$B,"&lt;&gt;Lorena Dias de Araujo",$B:$B,"&lt;&gt;Lucas Luiz Romero")*(35/1083),IF(C4330="Técnico II",SUMIFS($D:$D,$A:$A,$A4330,$B:$B,"&lt;&gt;Patrícia Karla de Sousa Araújo",$B:$B,"&lt;&gt;Lorena Dias de Araujo",$B:$B,"&lt;&gt;Lucas Luiz Romero")*(28/1083),IF(C4330="Técnico I",SUMIFS($D:$D,$A:$A,$A4330,$B:$B,"&lt;&gt;Patrícia Karla de Sousa Araújo",$B:$B,"&lt;&gt;Lorena Dias de Araujo",$B:$B,"&lt;&gt;Lucas Luiz Romero")*(23/1083),IF(C4330="JR",SUMIFS($D:$D,$A:$A,$A4330,$B:$B,"&lt;&gt;Patrícia Karla de Sousa Araújo",$B:$B,"&lt;&gt;Lorena Dias de Araujo",$B:$B,"&lt;&gt;Lucas Luiz Romero")*(20/1083),IF(C4330="Estágio",SUMIFS($D:$D,$A:$A,$A4330,$B:$B,"&lt;&gt;Patrícia Karla de Sousa Araújo",$B:$B,"&lt;&gt;Lorena Dias de Araujo",$B:$B,"&lt;&gt;Lucas Luiz Romero")*(10/1083),0)))))),0)</f>
        <v/>
      </c>
      <c r="K4330" s="3">
        <f>I4330-J4330</f>
        <v/>
      </c>
      <c r="L4330" s="3">
        <f>IF(K4330&lt;-5,"CRÍTICO",IF(K4330&lt;0,"ATENÇÃO",IF(K4330&lt;=5,"OPORTUNO","MUITO BOM")))</f>
        <v/>
      </c>
      <c r="M4330" t="n">
        <v>7</v>
      </c>
      <c r="N4330" t="n">
        <v>99.02</v>
      </c>
      <c r="O4330" t="n">
        <v>34.7972972972973</v>
      </c>
    </row>
    <row r="4331" hidden="1">
      <c r="A4331" s="11" t="n">
        <v>46139</v>
      </c>
      <c r="B4331" t="inlineStr">
        <is>
          <t>Paulo Ricardo Santos</t>
        </is>
      </c>
      <c r="C4331" t="inlineStr">
        <is>
          <t>JR</t>
        </is>
      </c>
      <c r="D4331" t="n">
        <v>8</v>
      </c>
      <c r="E4331" t="n">
        <v>8</v>
      </c>
      <c r="F4331" t="n">
        <v>17.11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M4331" t="n">
        <v>7</v>
      </c>
      <c r="N4331" t="n">
        <v>98.84</v>
      </c>
      <c r="O4331" t="n">
        <v>31.86813186813187</v>
      </c>
    </row>
    <row r="4332" hidden="1">
      <c r="A4332" s="11" t="n">
        <v>46139</v>
      </c>
      <c r="B4332" t="inlineStr">
        <is>
          <t>Pedro Luiz Mota Sousa</t>
        </is>
      </c>
      <c r="C4332" t="inlineStr">
        <is>
          <t>JR</t>
        </is>
      </c>
      <c r="D4332" t="n">
        <v>11</v>
      </c>
      <c r="E4332" t="n">
        <v>10</v>
      </c>
      <c r="F4332" t="n">
        <v>17.35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M4332" t="n">
        <v>8</v>
      </c>
      <c r="N4332" t="n">
        <v>100</v>
      </c>
      <c r="O4332" t="n">
        <v>34.66666666666667</v>
      </c>
    </row>
    <row r="4333" hidden="1">
      <c r="A4333" s="11" t="n">
        <v>46139</v>
      </c>
      <c r="B4333" t="inlineStr">
        <is>
          <t>Quirino Diogo Leite Torres</t>
        </is>
      </c>
      <c r="C4333" t="inlineStr">
        <is>
          <t>Estágio</t>
        </is>
      </c>
      <c r="D4333" t="n">
        <v>5</v>
      </c>
      <c r="E4333" t="n">
        <v>4</v>
      </c>
      <c r="F4333" t="n">
        <v>21.5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M4333" t="n">
        <v>4</v>
      </c>
      <c r="N4333" t="n">
        <v>94.12</v>
      </c>
      <c r="O4333" t="n">
        <v>32.8</v>
      </c>
    </row>
    <row r="4334" hidden="1">
      <c r="A4334" s="11" t="n">
        <v>46139</v>
      </c>
      <c r="B4334" t="inlineStr">
        <is>
          <t>Raane Batista Matos</t>
        </is>
      </c>
      <c r="C4334" t="inlineStr">
        <is>
          <t>Técnico I</t>
        </is>
      </c>
      <c r="D4334" t="n">
        <v>16</v>
      </c>
      <c r="E4334" t="n">
        <v>14</v>
      </c>
      <c r="F4334" t="n">
        <v>16.46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M4334" t="n">
        <v>11</v>
      </c>
      <c r="N4334" t="n">
        <v>98.31999999999999</v>
      </c>
      <c r="O4334" t="n">
        <v>26.85851318944844</v>
      </c>
    </row>
    <row r="4335" hidden="1">
      <c r="A4335" s="11" t="n">
        <v>46139</v>
      </c>
      <c r="B4335" t="inlineStr">
        <is>
          <t>Rafael Gomes de Morais</t>
        </is>
      </c>
      <c r="C4335" t="inlineStr">
        <is>
          <t>Técnico III</t>
        </is>
      </c>
      <c r="D4335" t="n">
        <v>18</v>
      </c>
      <c r="E4335" t="n">
        <v>16</v>
      </c>
      <c r="F4335" t="n">
        <v>12.28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M4335" t="n">
        <v>17</v>
      </c>
      <c r="N4335" t="n">
        <v>100</v>
      </c>
      <c r="O4335" t="n">
        <v>31.13553113553114</v>
      </c>
    </row>
    <row r="4336" hidden="1">
      <c r="A4336" s="11" t="n">
        <v>46139</v>
      </c>
      <c r="B4336" t="inlineStr">
        <is>
          <t>Sara Maria Monteiro Lopes</t>
        </is>
      </c>
      <c r="C4336" t="inlineStr">
        <is>
          <t>Técnico I</t>
        </is>
      </c>
      <c r="D4336" t="n">
        <v>10</v>
      </c>
      <c r="E4336" t="n">
        <v>10</v>
      </c>
      <c r="F4336" t="n">
        <v>25.09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M4336" t="n">
        <v>9</v>
      </c>
      <c r="N4336" t="n">
        <v>100</v>
      </c>
      <c r="O4336" t="n">
        <v>26.36986301369863</v>
      </c>
    </row>
    <row r="4337" hidden="1">
      <c r="A4337" s="11" t="n">
        <v>46139</v>
      </c>
      <c r="B4337" t="inlineStr">
        <is>
          <t>Sarah Steffanie de Lima Borges</t>
        </is>
      </c>
      <c r="C4337" t="inlineStr">
        <is>
          <t>Técnico III</t>
        </is>
      </c>
      <c r="D4337" t="n">
        <v>16</v>
      </c>
      <c r="E4337" t="n">
        <v>15</v>
      </c>
      <c r="F4337" t="n">
        <v>16.55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M4337" t="n">
        <v>14</v>
      </c>
      <c r="N4337" t="n">
        <v>99.20999999999999</v>
      </c>
      <c r="O4337" t="n">
        <v>25.18891687657431</v>
      </c>
    </row>
    <row r="4338" hidden="1">
      <c r="A4338" s="5" t="n">
        <v>46148</v>
      </c>
      <c r="B4338" s="6" t="inlineStr">
        <is>
          <t>Francilene Ferreira de Jesus</t>
        </is>
      </c>
      <c r="C4338" s="3" t="inlineStr">
        <is>
          <t>Técnico II</t>
        </is>
      </c>
      <c r="D4338" s="3" t="n">
        <v>0</v>
      </c>
      <c r="E4338" s="3" t="n">
        <v>0</v>
      </c>
      <c r="F4338" s="3" t="n">
        <v>0</v>
      </c>
      <c r="G4338" s="3" t="n">
        <v>0</v>
      </c>
      <c r="H4338" s="3" t="n">
        <v>0</v>
      </c>
      <c r="I4338" s="3" t="n">
        <v>0</v>
      </c>
      <c r="J4338" s="3" t="n">
        <v>0</v>
      </c>
      <c r="K4338" s="3" t="n">
        <v>0</v>
      </c>
      <c r="L4338" s="3">
        <f>IF(K4338&lt;-5,"CRÍTICO",IF(K4338&lt;0,"ATENÇÃO",IF(K4338&lt;=5,"BOM","EXCELENTE")))</f>
        <v/>
      </c>
      <c r="M4338" s="3" t="n">
        <v>0</v>
      </c>
      <c r="N4338" s="3" t="n">
        <v>100</v>
      </c>
      <c r="O4338" s="3" t="n">
        <v>17.24137931034483</v>
      </c>
    </row>
    <row r="4339" hidden="1">
      <c r="A4339" s="11" t="n">
        <v>46168</v>
      </c>
      <c r="B4339" t="inlineStr">
        <is>
          <t>Francilene Ferreira de Jesus</t>
        </is>
      </c>
      <c r="C4339" t="inlineStr">
        <is>
          <t>Técnico II</t>
        </is>
      </c>
      <c r="D4339" s="3" t="n">
        <v>0</v>
      </c>
      <c r="E4339" s="3" t="n">
        <v>0</v>
      </c>
      <c r="F4339" s="3" t="n">
        <v>0</v>
      </c>
      <c r="G4339" s="3" t="n">
        <v>0</v>
      </c>
      <c r="H4339" s="3" t="n">
        <v>0</v>
      </c>
      <c r="I4339" s="3" t="n">
        <v>0</v>
      </c>
      <c r="J4339" s="3" t="n">
        <v>0</v>
      </c>
      <c r="K4339" s="3" t="n">
        <v>0</v>
      </c>
      <c r="M4339" s="3" t="n">
        <v>0</v>
      </c>
      <c r="N4339" s="3" t="n">
        <v>100</v>
      </c>
      <c r="O4339" s="3" t="n">
        <v>17.24137931034483</v>
      </c>
    </row>
    <row r="4340" hidden="1">
      <c r="A4340" s="11" t="n">
        <v>46140</v>
      </c>
      <c r="B4340" t="inlineStr">
        <is>
          <t>Isabella Borges de Oliveira</t>
        </is>
      </c>
      <c r="C4340" t="inlineStr">
        <is>
          <t>Técnico II</t>
        </is>
      </c>
      <c r="D4340" s="3" t="n">
        <v>37</v>
      </c>
      <c r="E4340" s="3" t="n">
        <v>36</v>
      </c>
      <c r="F4340" s="3" t="n">
        <v>15.51</v>
      </c>
      <c r="G4340" s="3" t="n">
        <v>0</v>
      </c>
      <c r="H4340" s="3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M4340" s="3" t="n">
        <v>25</v>
      </c>
      <c r="N4340" s="3" t="n">
        <v>100</v>
      </c>
      <c r="O4340" s="3" t="n">
        <v>28.92156862745098</v>
      </c>
    </row>
    <row r="4341" hidden="1">
      <c r="A4341" s="11" t="n">
        <v>46141</v>
      </c>
      <c r="B4341" t="inlineStr">
        <is>
          <t>Isabella Borges de Oliveira</t>
        </is>
      </c>
      <c r="C4341" t="inlineStr">
        <is>
          <t>Técnico II</t>
        </is>
      </c>
      <c r="D4341" s="3" t="n">
        <v>29</v>
      </c>
      <c r="E4341" s="3" t="n">
        <v>26</v>
      </c>
      <c r="F4341" s="3" t="n">
        <v>18.33</v>
      </c>
      <c r="G4341" s="3" t="n">
        <v>0</v>
      </c>
      <c r="H4341" s="3" t="n">
        <v>0</v>
      </c>
      <c r="I4341" s="3">
        <f>E4341+G4341+H4341</f>
        <v/>
      </c>
      <c r="J4341" s="3">
        <f>ROUND(MIN(IF(C4341="Técnico III",35,IF(C4341="Técnico II",28,IF(C4341="Técnico I",23,IF(C4341="JR",20,IF(C4341="Estágio",10,0))))),IF(C4341="Técnico III",SUMIFS($D:$D,$A:$A,$A4341,$B:$B,"&lt;&gt;Patrícia Karla de Sousa Araújo",$B:$B,"&lt;&gt;Lorena Dias de Araujo",$B:$B,"&lt;&gt;Lucas Luiz Romero")*(35/1083),IF(C4341="Técnico II",SUMIFS($D:$D,$A:$A,$A4341,$B:$B,"&lt;&gt;Patrícia Karla de Sousa Araújo",$B:$B,"&lt;&gt;Lorena Dias de Araujo",$B:$B,"&lt;&gt;Lucas Luiz Romero")*(28/1083),IF(C4341="Técnico I",SUMIFS($D:$D,$A:$A,$A4341,$B:$B,"&lt;&gt;Patrícia Karla de Sousa Araújo",$B:$B,"&lt;&gt;Lorena Dias de Araujo",$B:$B,"&lt;&gt;Lucas Luiz Romero")*(23/1083),IF(C4341="JR",SUMIFS($D:$D,$A:$A,$A4341,$B:$B,"&lt;&gt;Patrícia Karla de Sousa Araújo",$B:$B,"&lt;&gt;Lorena Dias de Araujo",$B:$B,"&lt;&gt;Lucas Luiz Romero")*(20/1083),IF(C4341="Estágio",SUMIFS($D:$D,$A:$A,$A4341,$B:$B,"&lt;&gt;Patrícia Karla de Sousa Araújo",$B:$B,"&lt;&gt;Lorena Dias de Araujo",$B:$B,"&lt;&gt;Lucas Luiz Romero")*(10/1083),0)))))),0)</f>
        <v/>
      </c>
      <c r="K4341" s="3">
        <f>I4341-J4341</f>
        <v/>
      </c>
      <c r="L4341" s="3">
        <f>IF(K4341&lt;-5,"CRÍTICO",IF(K4341&lt;0,"ATENÇÃO",IF(K4341&lt;=5,"OPORTUNO","MUITO BOM")))</f>
        <v/>
      </c>
      <c r="M4341" s="3" t="n">
        <v>27</v>
      </c>
      <c r="N4341" s="3" t="n">
        <v>100</v>
      </c>
      <c r="O4341" s="3" t="n">
        <v>28.92156862745098</v>
      </c>
    </row>
    <row r="4342" hidden="1">
      <c r="A4342" s="11" t="n">
        <v>46142</v>
      </c>
      <c r="B4342" t="inlineStr">
        <is>
          <t>Isabella Borges de Oliveira</t>
        </is>
      </c>
      <c r="C4342" t="inlineStr">
        <is>
          <t>Técnico II</t>
        </is>
      </c>
      <c r="D4342" s="3" t="n">
        <v>25</v>
      </c>
      <c r="E4342" s="3" t="n">
        <v>25</v>
      </c>
      <c r="F4342" s="3" t="n">
        <v>18.5</v>
      </c>
      <c r="G4342" s="3" t="n">
        <v>0</v>
      </c>
      <c r="H4342" s="3" t="n">
        <v>0</v>
      </c>
      <c r="I4342" s="3">
        <f>E4342+G4342+H4342</f>
        <v/>
      </c>
      <c r="J4342" s="3">
        <f>ROUND(MIN(IF(C4342="Técnico III",35,IF(C4342="Técnico II",28,IF(C4342="Técnico I",23,IF(C4342="JR",20,IF(C4342="Estágio",10,0))))),IF(C4342="Técnico III",SUMIFS($D:$D,$A:$A,$A4342,$B:$B,"&lt;&gt;Patrícia Karla de Sousa Araújo",$B:$B,"&lt;&gt;Lorena Dias de Araujo",$B:$B,"&lt;&gt;Lucas Luiz Romero")*(35/1083),IF(C4342="Técnico II",SUMIFS($D:$D,$A:$A,$A4342,$B:$B,"&lt;&gt;Patrícia Karla de Sousa Araújo",$B:$B,"&lt;&gt;Lorena Dias de Araujo",$B:$B,"&lt;&gt;Lucas Luiz Romero")*(28/1083),IF(C4342="Técnico I",SUMIFS($D:$D,$A:$A,$A4342,$B:$B,"&lt;&gt;Patrícia Karla de Sousa Araújo",$B:$B,"&lt;&gt;Lorena Dias de Araujo",$B:$B,"&lt;&gt;Lucas Luiz Romero")*(23/1083),IF(C4342="JR",SUMIFS($D:$D,$A:$A,$A4342,$B:$B,"&lt;&gt;Patrícia Karla de Sousa Araújo",$B:$B,"&lt;&gt;Lorena Dias de Araujo",$B:$B,"&lt;&gt;Lucas Luiz Romero")*(20/1083),IF(C4342="Estágio",SUMIFS($D:$D,$A:$A,$A4342,$B:$B,"&lt;&gt;Patrícia Karla de Sousa Araújo",$B:$B,"&lt;&gt;Lorena Dias de Araujo",$B:$B,"&lt;&gt;Lucas Luiz Romero")*(10/1083),0)))))),0)</f>
        <v/>
      </c>
      <c r="K4342" s="3">
        <f>I4342-J4342</f>
        <v/>
      </c>
      <c r="L4342" s="3">
        <f>IF(K4342&lt;-5,"CRÍTICO",IF(K4342&lt;0,"ATENÇÃO",IF(K4342&lt;=5,"OPORTUNO","MUITO BOM")))</f>
        <v/>
      </c>
      <c r="M4342" s="3" t="n">
        <v>26</v>
      </c>
      <c r="N4342" s="3" t="n">
        <v>100</v>
      </c>
      <c r="O4342" s="3" t="n">
        <v>28.92156862745098</v>
      </c>
    </row>
    <row r="4343" hidden="1">
      <c r="A4343" s="5" t="n">
        <v>46146</v>
      </c>
      <c r="B4343" s="6" t="inlineStr">
        <is>
          <t>Isabella Borges de Oliveira</t>
        </is>
      </c>
      <c r="C4343" s="9" t="inlineStr">
        <is>
          <t>Técnico II</t>
        </is>
      </c>
      <c r="D4343" s="3" t="n">
        <v>36</v>
      </c>
      <c r="E4343" s="3" t="n">
        <v>34</v>
      </c>
      <c r="F4343" s="3" t="n">
        <v>14.11</v>
      </c>
      <c r="G4343" s="3" t="n">
        <v>0</v>
      </c>
      <c r="H4343" s="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IF(K4343&lt;-5,"CRÍTICO",IF(K4343&lt;0,"ATENÇÃO",IF(K4343&lt;=5,"BOM","EXCELENTE")))</f>
        <v/>
      </c>
      <c r="M4343" s="3" t="n">
        <v>33</v>
      </c>
      <c r="N4343" s="3" t="n">
        <v>98.98</v>
      </c>
      <c r="O4343" s="3" t="n">
        <v>19.35483870967742</v>
      </c>
    </row>
    <row r="4344" hidden="1">
      <c r="A4344" s="5" t="n">
        <v>46147</v>
      </c>
      <c r="B4344" s="6" t="inlineStr">
        <is>
          <t>Isabella Borges de Oliveira</t>
        </is>
      </c>
      <c r="C4344" s="9" t="inlineStr">
        <is>
          <t>Técnico II</t>
        </is>
      </c>
      <c r="D4344" s="3" t="n">
        <v>26</v>
      </c>
      <c r="E4344" s="3" t="n">
        <v>26</v>
      </c>
      <c r="F4344" s="3" t="n">
        <v>20.01</v>
      </c>
      <c r="G4344" s="3" t="n">
        <v>1</v>
      </c>
      <c r="H4344" s="3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IF(K4344&lt;-5,"CRÍTICO",IF(K4344&lt;0,"ATENÇÃO",IF(K4344&lt;=5,"BOM","EXCELENTE")))</f>
        <v/>
      </c>
      <c r="M4344" s="3" t="n">
        <v>31</v>
      </c>
      <c r="N4344" s="3" t="n">
        <v>98.98</v>
      </c>
      <c r="O4344" s="3" t="n">
        <v>19.35483870967742</v>
      </c>
    </row>
    <row r="4345" hidden="1">
      <c r="A4345" s="5" t="n">
        <v>46148</v>
      </c>
      <c r="B4345" s="6" t="inlineStr">
        <is>
          <t>Isabella Borges de Oliveira</t>
        </is>
      </c>
      <c r="C4345" s="9" t="inlineStr">
        <is>
          <t>Técnico II</t>
        </is>
      </c>
      <c r="D4345" s="3" t="n">
        <v>33</v>
      </c>
      <c r="E4345" s="3" t="n">
        <v>32</v>
      </c>
      <c r="F4345" s="3" t="n">
        <v>20.01</v>
      </c>
      <c r="G4345" s="3" t="n">
        <v>9</v>
      </c>
      <c r="H4345" s="3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IF(K4345&lt;-5,"CRÍTICO",IF(K4345&lt;0,"ATENÇÃO",IF(K4345&lt;=5,"BOM","EXCELENTE")))</f>
        <v/>
      </c>
      <c r="M4345" s="3" t="n">
        <v>30</v>
      </c>
      <c r="N4345" s="3" t="n">
        <v>98.98</v>
      </c>
      <c r="O4345" s="3" t="n">
        <v>19.35483870967742</v>
      </c>
    </row>
    <row r="4346" hidden="1">
      <c r="A4346" s="11" t="n">
        <v>46168</v>
      </c>
      <c r="B4346" t="inlineStr">
        <is>
          <t>Isabella Borges de Oliveira</t>
        </is>
      </c>
      <c r="C4346" t="inlineStr">
        <is>
          <t>Técnico II</t>
        </is>
      </c>
      <c r="D4346" s="3" t="n">
        <v>24</v>
      </c>
      <c r="E4346" s="3" t="n">
        <v>23</v>
      </c>
      <c r="F4346" s="3" t="n">
        <v>15.03</v>
      </c>
      <c r="G4346" s="3" t="n">
        <v>1</v>
      </c>
      <c r="M4346" s="3" t="n">
        <v>20</v>
      </c>
      <c r="N4346" s="3" t="n">
        <v>98.98</v>
      </c>
      <c r="O4346" s="3" t="n">
        <v>21.23655913978495</v>
      </c>
    </row>
    <row r="4347" hidden="1">
      <c r="A4347" s="11" t="n">
        <v>46140</v>
      </c>
      <c r="B4347" t="inlineStr">
        <is>
          <t>Jessica Faria da Silveira</t>
        </is>
      </c>
      <c r="C4347" t="inlineStr">
        <is>
          <t>Técnico II</t>
        </is>
      </c>
      <c r="D4347" s="3" t="n">
        <v>29</v>
      </c>
      <c r="E4347" s="3" t="n">
        <v>25</v>
      </c>
      <c r="F4347" s="3" t="n">
        <v>17.3</v>
      </c>
      <c r="G4347" s="3" t="n">
        <v>0</v>
      </c>
      <c r="H4347" s="3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M4347" s="3" t="n">
        <v>22</v>
      </c>
      <c r="N4347" s="3" t="n">
        <v>98.81</v>
      </c>
      <c r="O4347" s="3" t="n">
        <v>26.25698324022346</v>
      </c>
    </row>
    <row r="4348" hidden="1">
      <c r="A4348" s="11" t="n">
        <v>46141</v>
      </c>
      <c r="B4348" t="inlineStr">
        <is>
          <t>Jessica Faria da Silveira</t>
        </is>
      </c>
      <c r="C4348" t="inlineStr">
        <is>
          <t>Técnico II</t>
        </is>
      </c>
      <c r="D4348" s="3" t="n">
        <v>39</v>
      </c>
      <c r="E4348" s="3" t="n">
        <v>28</v>
      </c>
      <c r="F4348" s="3" t="n">
        <v>10.24</v>
      </c>
      <c r="G4348" s="3" t="n">
        <v>0</v>
      </c>
      <c r="H4348" s="3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M4348" s="3" t="n">
        <v>30</v>
      </c>
      <c r="N4348" s="3" t="n">
        <v>98.81</v>
      </c>
      <c r="O4348" s="3" t="n">
        <v>26.25698324022346</v>
      </c>
    </row>
    <row r="4349" hidden="1">
      <c r="A4349" s="11" t="n">
        <v>46142</v>
      </c>
      <c r="B4349" t="inlineStr">
        <is>
          <t>Jessica Faria da Silveira</t>
        </is>
      </c>
      <c r="C4349" t="inlineStr">
        <is>
          <t>Técnico II</t>
        </is>
      </c>
      <c r="D4349" s="3" t="n">
        <v>21</v>
      </c>
      <c r="E4349" s="3" t="n">
        <v>16</v>
      </c>
      <c r="F4349" s="3" t="n">
        <v>11.48</v>
      </c>
      <c r="G4349" s="3" t="n">
        <v>0</v>
      </c>
      <c r="H4349" s="3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M4349" s="3" t="n">
        <v>13</v>
      </c>
      <c r="N4349" s="3" t="n">
        <v>98.81</v>
      </c>
      <c r="O4349" s="3" t="n">
        <v>26.25698324022346</v>
      </c>
    </row>
    <row r="4350" hidden="1">
      <c r="A4350" s="5" t="n">
        <v>46146</v>
      </c>
      <c r="B4350" s="6" t="inlineStr">
        <is>
          <t>Jessica Faria da Silveira</t>
        </is>
      </c>
      <c r="C4350" s="3" t="inlineStr">
        <is>
          <t>Técnico II</t>
        </is>
      </c>
      <c r="D4350" s="3" t="n">
        <v>32</v>
      </c>
      <c r="E4350" s="3" t="n">
        <v>28</v>
      </c>
      <c r="F4350" s="3" t="n">
        <v>14.15</v>
      </c>
      <c r="G4350" s="3" t="n">
        <v>4</v>
      </c>
      <c r="H4350" s="3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IF(K4350&lt;-5,"CRÍTICO",IF(K4350&lt;0,"ATENÇÃO",IF(K4350&lt;=5,"BOM","EXCELENTE")))</f>
        <v/>
      </c>
      <c r="M4350" s="3" t="n">
        <v>31</v>
      </c>
      <c r="N4350" s="3" t="n">
        <v>98.94</v>
      </c>
      <c r="O4350" s="3" t="n">
        <v>21.2707182320442</v>
      </c>
    </row>
    <row r="4351" hidden="1">
      <c r="A4351" s="5" t="n">
        <v>46147</v>
      </c>
      <c r="B4351" s="6" t="inlineStr">
        <is>
          <t>Jessica Faria da Silveira</t>
        </is>
      </c>
      <c r="C4351" s="3" t="inlineStr">
        <is>
          <t>Técnico II</t>
        </is>
      </c>
      <c r="D4351" s="3" t="n">
        <v>39</v>
      </c>
      <c r="E4351" s="3" t="n">
        <v>30</v>
      </c>
      <c r="F4351" s="3" t="n">
        <v>14.13</v>
      </c>
      <c r="G4351" s="3" t="n">
        <v>0</v>
      </c>
      <c r="H4351" s="3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IF(K4351&lt;-5,"CRÍTICO",IF(K4351&lt;0,"ATENÇÃO",IF(K4351&lt;=5,"BOM","EXCELENTE")))</f>
        <v/>
      </c>
      <c r="M4351" s="3" t="n">
        <v>30</v>
      </c>
      <c r="N4351" s="3" t="n">
        <v>98.94</v>
      </c>
      <c r="O4351" s="3" t="n">
        <v>21.2707182320442</v>
      </c>
    </row>
    <row r="4352" hidden="1">
      <c r="A4352" s="5" t="n">
        <v>46148</v>
      </c>
      <c r="B4352" s="6" t="inlineStr">
        <is>
          <t>Jessica Faria da Silveira</t>
        </is>
      </c>
      <c r="C4352" s="3" t="inlineStr">
        <is>
          <t>Técnico II</t>
        </is>
      </c>
      <c r="D4352" s="3" t="n">
        <v>29</v>
      </c>
      <c r="E4352" s="3" t="n">
        <v>28</v>
      </c>
      <c r="F4352" s="3" t="n">
        <v>10.28</v>
      </c>
      <c r="G4352" s="3" t="n">
        <v>7</v>
      </c>
      <c r="H4352" s="3" t="n">
        <v>0</v>
      </c>
      <c r="I4352" s="3">
        <f>E4352+G4352+H4352</f>
        <v/>
      </c>
      <c r="J4352" s="3">
        <f>ROUND(MIN(IF(C4352="Técnico III",35,IF(C4352="Técnico II",28,IF(C4352="Técnico I",23,IF(C4352="JR",20,IF(C4352="Estágio",10,0))))),IF(C4352="Técnico III",SUMIFS($D:$D,$A:$A,$A4352,$B:$B,"&lt;&gt;Patrícia Karla de Sousa Araújo",$B:$B,"&lt;&gt;Lorena Dias de Araujo",$B:$B,"&lt;&gt;Lucas Luiz Romero")*(35/1083),IF(C4352="Técnico II",SUMIFS($D:$D,$A:$A,$A4352,$B:$B,"&lt;&gt;Patrícia Karla de Sousa Araújo",$B:$B,"&lt;&gt;Lorena Dias de Araujo",$B:$B,"&lt;&gt;Lucas Luiz Romero")*(28/1083),IF(C4352="Técnico I",SUMIFS($D:$D,$A:$A,$A4352,$B:$B,"&lt;&gt;Patrícia Karla de Sousa Araújo",$B:$B,"&lt;&gt;Lorena Dias de Araujo",$B:$B,"&lt;&gt;Lucas Luiz Romero")*(23/1083),IF(C4352="JR",SUMIFS($D:$D,$A:$A,$A4352,$B:$B,"&lt;&gt;Patrícia Karla de Sousa Araújo",$B:$B,"&lt;&gt;Lorena Dias de Araujo",$B:$B,"&lt;&gt;Lucas Luiz Romero")*(20/1083),IF(C4352="Estágio",SUMIFS($D:$D,$A:$A,$A4352,$B:$B,"&lt;&gt;Patrícia Karla de Sousa Araújo",$B:$B,"&lt;&gt;Lorena Dias de Araujo",$B:$B,"&lt;&gt;Lucas Luiz Romero")*(10/1083),0)))))),0)</f>
        <v/>
      </c>
      <c r="K4352" s="3">
        <f>I4352-J4352</f>
        <v/>
      </c>
      <c r="L4352" s="3">
        <f>IF(K4352&lt;-5,"CRÍTICO",IF(K4352&lt;0,"ATENÇÃO",IF(K4352&lt;=5,"BOM","EXCELENTE")))</f>
        <v/>
      </c>
      <c r="M4352" s="3" t="n">
        <v>34</v>
      </c>
      <c r="N4352" s="3" t="n">
        <v>98.94</v>
      </c>
      <c r="O4352" s="3" t="n">
        <v>21.2707182320442</v>
      </c>
    </row>
    <row r="4353" hidden="1">
      <c r="A4353" s="11" t="n">
        <v>46168</v>
      </c>
      <c r="B4353" t="inlineStr">
        <is>
          <t>Jessica Faria da Silveira</t>
        </is>
      </c>
      <c r="C4353" t="inlineStr">
        <is>
          <t>Técnico II</t>
        </is>
      </c>
      <c r="D4353" s="3" t="n">
        <v>34</v>
      </c>
      <c r="E4353" s="3" t="n">
        <v>20</v>
      </c>
      <c r="F4353" s="3" t="n">
        <v>7.25</v>
      </c>
      <c r="G4353" s="3" t="n">
        <v>0</v>
      </c>
      <c r="M4353" s="3" t="n">
        <v>21</v>
      </c>
      <c r="N4353" s="3" t="n">
        <v>98.94</v>
      </c>
      <c r="O4353" s="3" t="n">
        <v>22.92817679558011</v>
      </c>
    </row>
    <row r="4354" hidden="1">
      <c r="A4354" s="11" t="n">
        <v>46140</v>
      </c>
      <c r="B4354" t="inlineStr">
        <is>
          <t>Lizandra Gomes Duarte</t>
        </is>
      </c>
      <c r="C4354" t="inlineStr">
        <is>
          <t>Técnico II</t>
        </is>
      </c>
      <c r="D4354" s="3" t="n">
        <v>20</v>
      </c>
      <c r="E4354" s="3" t="n">
        <v>19</v>
      </c>
      <c r="F4354" s="3" t="n">
        <v>21.45</v>
      </c>
      <c r="G4354" s="3" t="n">
        <v>0</v>
      </c>
      <c r="H4354" s="3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M4354" s="3" t="n">
        <v>4</v>
      </c>
      <c r="N4354" s="3" t="n">
        <v>99.17</v>
      </c>
      <c r="O4354" s="3" t="n">
        <v>29.75206611570248</v>
      </c>
    </row>
    <row r="4355" hidden="1">
      <c r="A4355" s="11" t="n">
        <v>46141</v>
      </c>
      <c r="B4355" t="inlineStr">
        <is>
          <t>Lizandra Gomes Duarte</t>
        </is>
      </c>
      <c r="C4355" t="inlineStr">
        <is>
          <t>Técnico II</t>
        </is>
      </c>
      <c r="D4355" s="3" t="n">
        <v>37</v>
      </c>
      <c r="E4355" s="3" t="n">
        <v>35</v>
      </c>
      <c r="F4355" s="3" t="n">
        <v>15.55</v>
      </c>
      <c r="G4355" s="3" t="n">
        <v>0</v>
      </c>
      <c r="H4355" s="3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M4355" s="3" t="n">
        <v>18</v>
      </c>
      <c r="N4355" s="3" t="n">
        <v>99.17</v>
      </c>
      <c r="O4355" s="3" t="n">
        <v>29.75206611570248</v>
      </c>
    </row>
    <row r="4356" hidden="1">
      <c r="A4356" s="11" t="n">
        <v>46142</v>
      </c>
      <c r="B4356" t="inlineStr">
        <is>
          <t>Lizandra Gomes Duarte</t>
        </is>
      </c>
      <c r="C4356" t="inlineStr">
        <is>
          <t>Técnico II</t>
        </is>
      </c>
      <c r="D4356" s="3" t="n">
        <v>18</v>
      </c>
      <c r="E4356" s="3" t="n">
        <v>17</v>
      </c>
      <c r="F4356" s="3" t="n">
        <v>21.44</v>
      </c>
      <c r="G4356" s="3" t="n">
        <v>0</v>
      </c>
      <c r="H4356" s="3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M4356" s="3" t="n">
        <v>1</v>
      </c>
      <c r="N4356" s="3" t="n">
        <v>99.17</v>
      </c>
      <c r="O4356" s="3" t="n">
        <v>29.75206611570248</v>
      </c>
    </row>
    <row r="4357" hidden="1">
      <c r="A4357" s="5" t="n">
        <v>46146</v>
      </c>
      <c r="B4357" s="6" t="inlineStr">
        <is>
          <t>Lizandra Gomes Duarte</t>
        </is>
      </c>
      <c r="C4357" s="3" t="inlineStr">
        <is>
          <t>Técnico II</t>
        </is>
      </c>
      <c r="D4357" s="3" t="n">
        <v>29</v>
      </c>
      <c r="E4357" s="3" t="n">
        <v>26</v>
      </c>
      <c r="F4357" s="3" t="n">
        <v>15.47</v>
      </c>
      <c r="G4357" s="3" t="n">
        <v>0</v>
      </c>
      <c r="H4357" s="3" t="n">
        <v>0</v>
      </c>
      <c r="I4357" s="3">
        <f>E4357+G4357+H4357</f>
        <v/>
      </c>
      <c r="J4357" s="3">
        <f>ROUND(MIN(IF(C4357="Técnico III",35,IF(C4357="Técnico II",28,IF(C4357="Técnico I",23,IF(C4357="JR",20,IF(C4357="Estágio",10,0))))),IF(C4357="Técnico III",SUMIFS($D:$D,$A:$A,$A4357,$B:$B,"&lt;&gt;Patrícia Karla de Sousa Araújo",$B:$B,"&lt;&gt;Lorena Dias de Araujo",$B:$B,"&lt;&gt;Lucas Luiz Romero")*(35/1083),IF(C4357="Técnico II",SUMIFS($D:$D,$A:$A,$A4357,$B:$B,"&lt;&gt;Patrícia Karla de Sousa Araújo",$B:$B,"&lt;&gt;Lorena Dias de Araujo",$B:$B,"&lt;&gt;Lucas Luiz Romero")*(28/1083),IF(C4357="Técnico I",SUMIFS($D:$D,$A:$A,$A4357,$B:$B,"&lt;&gt;Patrícia Karla de Sousa Araújo",$B:$B,"&lt;&gt;Lorena Dias de Araujo",$B:$B,"&lt;&gt;Lucas Luiz Romero")*(23/1083),IF(C4357="JR",SUMIFS($D:$D,$A:$A,$A4357,$B:$B,"&lt;&gt;Patrícia Karla de Sousa Araújo",$B:$B,"&lt;&gt;Lorena Dias de Araujo",$B:$B,"&lt;&gt;Lucas Luiz Romero")*(20/1083),IF(C4357="Estágio",SUMIFS($D:$D,$A:$A,$A4357,$B:$B,"&lt;&gt;Patrícia Karla de Sousa Araújo",$B:$B,"&lt;&gt;Lorena Dias de Araujo",$B:$B,"&lt;&gt;Lucas Luiz Romero")*(10/1083),0)))))),0)</f>
        <v/>
      </c>
      <c r="K4357" s="3">
        <f>I4357-J4357</f>
        <v/>
      </c>
      <c r="L4357" s="3">
        <f>IF(K4357&lt;-5,"CRÍTICO",IF(K4357&lt;0,"ATENÇÃO",IF(K4357&lt;=5,"BOM","EXCELENTE")))</f>
        <v/>
      </c>
      <c r="M4357" s="3" t="n">
        <v>15</v>
      </c>
      <c r="N4357" s="3" t="n">
        <v>99</v>
      </c>
      <c r="O4357" s="3" t="n">
        <v>22.01086956521739</v>
      </c>
    </row>
    <row r="4358" hidden="1">
      <c r="A4358" s="5" t="n">
        <v>46147</v>
      </c>
      <c r="B4358" s="6" t="inlineStr">
        <is>
          <t>Lizandra Gomes Duarte</t>
        </is>
      </c>
      <c r="C4358" s="3" t="inlineStr">
        <is>
          <t>Técnico II</t>
        </is>
      </c>
      <c r="D4358" s="3" t="n">
        <v>18</v>
      </c>
      <c r="E4358" s="3" t="n">
        <v>18</v>
      </c>
      <c r="F4358" s="3" t="n">
        <v>18.28</v>
      </c>
      <c r="G4358" s="3" t="n">
        <v>4</v>
      </c>
      <c r="H4358" s="3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IF(K4358&lt;-5,"CRÍTICO",IF(K4358&lt;0,"ATENÇÃO",IF(K4358&lt;=5,"BOM","EXCELENTE")))</f>
        <v/>
      </c>
      <c r="M4358" s="3" t="n">
        <v>25</v>
      </c>
      <c r="N4358" s="3" t="n">
        <v>99</v>
      </c>
      <c r="O4358" s="3" t="n">
        <v>22.01086956521739</v>
      </c>
    </row>
    <row r="4359" hidden="1">
      <c r="A4359" s="5" t="n">
        <v>46148</v>
      </c>
      <c r="B4359" s="6" t="inlineStr">
        <is>
          <t>Lizandra Gomes Duarte</t>
        </is>
      </c>
      <c r="C4359" s="3" t="inlineStr">
        <is>
          <t>Técnico II</t>
        </is>
      </c>
      <c r="D4359" s="3" t="n">
        <v>38</v>
      </c>
      <c r="E4359" s="3" t="n">
        <v>36</v>
      </c>
      <c r="F4359" s="3" t="n">
        <v>15.35</v>
      </c>
      <c r="G4359" s="3" t="n">
        <v>2</v>
      </c>
      <c r="H4359" s="3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IF(K4359&lt;-5,"CRÍTICO",IF(K4359&lt;0,"ATENÇÃO",IF(K4359&lt;=5,"BOM","EXCELENTE")))</f>
        <v/>
      </c>
      <c r="M4359" s="3" t="n">
        <v>16</v>
      </c>
      <c r="N4359" s="3" t="n">
        <v>99</v>
      </c>
      <c r="O4359" s="3" t="n">
        <v>22.01086956521739</v>
      </c>
    </row>
    <row r="4360" hidden="1">
      <c r="A4360" s="11" t="n">
        <v>46168</v>
      </c>
      <c r="B4360" t="inlineStr">
        <is>
          <t>Lizandra Gomes Duarte</t>
        </is>
      </c>
      <c r="C4360" t="inlineStr">
        <is>
          <t>Técnico II</t>
        </is>
      </c>
      <c r="D4360" s="3" t="n">
        <v>21</v>
      </c>
      <c r="E4360" s="3" t="n">
        <v>20</v>
      </c>
      <c r="F4360" s="3" t="n">
        <v>20.39</v>
      </c>
      <c r="G4360" s="3" t="n">
        <v>0</v>
      </c>
      <c r="M4360" s="3" t="n">
        <v>17</v>
      </c>
      <c r="N4360" s="3" t="n">
        <v>99</v>
      </c>
      <c r="O4360" s="3" t="n">
        <v>24.52316076294278</v>
      </c>
    </row>
    <row r="4361" hidden="1">
      <c r="A4361" s="11" t="n">
        <v>46140</v>
      </c>
      <c r="B4361" t="inlineStr">
        <is>
          <t>Lorena Dias de Araujo</t>
        </is>
      </c>
      <c r="C4361" t="inlineStr">
        <is>
          <t>Técnico II</t>
        </is>
      </c>
      <c r="D4361" s="3" t="n">
        <v>0</v>
      </c>
      <c r="E4361" s="3" t="n">
        <v>0</v>
      </c>
      <c r="F4361" s="3" t="n">
        <v>0</v>
      </c>
      <c r="G4361" s="3" t="n">
        <v>0</v>
      </c>
      <c r="H4361" s="3" t="n">
        <v>0</v>
      </c>
      <c r="I4361" s="3" t="n">
        <v>0</v>
      </c>
      <c r="J4361" s="3" t="n">
        <v>0</v>
      </c>
      <c r="K4361" s="3" t="n">
        <v>0</v>
      </c>
      <c r="L4361" s="3">
        <f>IF(K4361&lt;-5,"CRÍTICO",IF(K4361&lt;0,"ATENÇÃO",IF(K4361&lt;=5,"OPORTUNO","MUITO BOM")))</f>
        <v/>
      </c>
      <c r="M4361" s="3" t="n">
        <v>0</v>
      </c>
      <c r="N4361" s="3" t="n">
        <v>98.73</v>
      </c>
      <c r="O4361" s="3" t="n">
        <v>28.96174863387978</v>
      </c>
    </row>
    <row r="4362" hidden="1">
      <c r="A4362" s="11" t="n">
        <v>46141</v>
      </c>
      <c r="B4362" t="inlineStr">
        <is>
          <t>Lorena Dias de Araujo</t>
        </is>
      </c>
      <c r="C4362" t="inlineStr">
        <is>
          <t>Técnico II</t>
        </is>
      </c>
      <c r="D4362" s="3" t="n">
        <v>0</v>
      </c>
      <c r="E4362" s="3" t="n">
        <v>0</v>
      </c>
      <c r="F4362" s="3" t="n">
        <v>0</v>
      </c>
      <c r="G4362" s="3" t="n">
        <v>0</v>
      </c>
      <c r="H4362" s="3" t="n">
        <v>0</v>
      </c>
      <c r="I4362" s="3" t="n">
        <v>0</v>
      </c>
      <c r="J4362" s="3" t="n">
        <v>0</v>
      </c>
      <c r="K4362" s="3" t="n">
        <v>0</v>
      </c>
      <c r="L4362" s="3">
        <f>IF(K4362&lt;-5,"CRÍTICO",IF(K4362&lt;0,"ATENÇÃO",IF(K4362&lt;=5,"OPORTUNO","MUITO BOM")))</f>
        <v/>
      </c>
      <c r="M4362" s="3" t="n">
        <v>0</v>
      </c>
      <c r="N4362" s="3" t="n">
        <v>98.73</v>
      </c>
      <c r="O4362" s="3" t="n">
        <v>28.96174863387978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s="3" t="n">
        <v>0</v>
      </c>
      <c r="E4363" s="3" t="n">
        <v>0</v>
      </c>
      <c r="F4363" s="3" t="n">
        <v>0</v>
      </c>
      <c r="G4363" s="3" t="n">
        <v>0</v>
      </c>
      <c r="H4363" s="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M4363" s="3" t="n">
        <v>0</v>
      </c>
      <c r="N4363" s="3" t="n">
        <v>98.73</v>
      </c>
      <c r="O4363" s="3" t="n">
        <v>28.96174863387978</v>
      </c>
    </row>
    <row r="4364" hidden="1">
      <c r="A4364" s="5" t="n">
        <v>46146</v>
      </c>
      <c r="B4364" s="6" t="inlineStr">
        <is>
          <t>Lorena Dias de Araujo</t>
        </is>
      </c>
      <c r="C4364" s="3" t="inlineStr">
        <is>
          <t>Técnico II</t>
        </is>
      </c>
      <c r="D4364" s="3" t="n">
        <v>41</v>
      </c>
      <c r="E4364" s="3" t="n">
        <v>40</v>
      </c>
      <c r="F4364" s="3" t="n">
        <v>15.1</v>
      </c>
      <c r="G4364" s="3" t="n">
        <v>0</v>
      </c>
      <c r="H4364" s="3" t="n">
        <v>0</v>
      </c>
      <c r="I4364" s="3" t="n">
        <v>0</v>
      </c>
      <c r="J4364" s="3" t="n">
        <v>0</v>
      </c>
      <c r="K4364" s="3" t="n">
        <v>0</v>
      </c>
      <c r="L4364" s="3">
        <f>IF(K4364&lt;-5,"CRÍTICO",IF(K4364&lt;0,"ATENÇÃO",IF(K4364&lt;=5,"BOM","EXCELENTE")))</f>
        <v/>
      </c>
      <c r="M4364" s="3" t="n">
        <v>31</v>
      </c>
      <c r="N4364" s="3" t="n">
        <v>100</v>
      </c>
      <c r="O4364" s="3" t="n">
        <v>25</v>
      </c>
    </row>
    <row r="4365" hidden="1">
      <c r="A4365" s="5" t="n">
        <v>46147</v>
      </c>
      <c r="B4365" s="6" t="inlineStr">
        <is>
          <t>Lorena Dias de Araujo</t>
        </is>
      </c>
      <c r="C4365" s="3" t="inlineStr">
        <is>
          <t>Técnico II</t>
        </is>
      </c>
      <c r="D4365" s="3" t="n">
        <v>37</v>
      </c>
      <c r="E4365" s="3" t="n">
        <v>35</v>
      </c>
      <c r="F4365" s="3" t="n">
        <v>15.27</v>
      </c>
      <c r="G4365" s="3" t="n">
        <v>0</v>
      </c>
      <c r="H4365" s="3" t="n">
        <v>0</v>
      </c>
      <c r="I4365" s="3" t="n">
        <v>0</v>
      </c>
      <c r="J4365" s="3" t="n">
        <v>0</v>
      </c>
      <c r="K4365" s="3" t="n">
        <v>0</v>
      </c>
      <c r="L4365" s="3">
        <f>IF(K4365&lt;-5,"CRÍTICO",IF(K4365&lt;0,"ATENÇÃO",IF(K4365&lt;=5,"BOM","EXCELENTE")))</f>
        <v/>
      </c>
      <c r="M4365" s="3" t="n">
        <v>37</v>
      </c>
      <c r="N4365" s="3" t="n">
        <v>100</v>
      </c>
      <c r="O4365" s="3" t="n">
        <v>25</v>
      </c>
    </row>
    <row r="4366" hidden="1">
      <c r="A4366" s="5" t="n">
        <v>46148</v>
      </c>
      <c r="B4366" s="6" t="inlineStr">
        <is>
          <t>Lorena Dias de Araujo</t>
        </is>
      </c>
      <c r="C4366" s="3" t="inlineStr">
        <is>
          <t>Técnico II</t>
        </is>
      </c>
      <c r="D4366" s="3" t="n">
        <v>34</v>
      </c>
      <c r="E4366" s="3" t="n">
        <v>31</v>
      </c>
      <c r="F4366" s="3" t="n">
        <v>16.42</v>
      </c>
      <c r="G4366" s="3" t="n">
        <v>0</v>
      </c>
      <c r="H4366" s="3" t="n">
        <v>0</v>
      </c>
      <c r="I4366" s="3" t="n">
        <v>0</v>
      </c>
      <c r="J4366" s="3" t="n">
        <v>0</v>
      </c>
      <c r="K4366" s="3" t="n">
        <v>0</v>
      </c>
      <c r="L4366" s="3">
        <f>IF(K4366&lt;-5,"CRÍTICO",IF(K4366&lt;0,"ATENÇÃO",IF(K4366&lt;=5,"BOM","EXCELENTE")))</f>
        <v/>
      </c>
      <c r="M4366" s="3" t="n">
        <v>28</v>
      </c>
      <c r="N4366" s="3" t="n">
        <v>100</v>
      </c>
      <c r="O4366" s="3" t="n">
        <v>25</v>
      </c>
    </row>
    <row r="4367" hidden="1">
      <c r="A4367" s="11" t="n">
        <v>46168</v>
      </c>
      <c r="B4367" t="inlineStr">
        <is>
          <t>Lorena Dias de Araujo</t>
        </is>
      </c>
      <c r="C4367" t="inlineStr">
        <is>
          <t>Técnico II</t>
        </is>
      </c>
      <c r="D4367" s="3" t="n">
        <v>18</v>
      </c>
      <c r="E4367" s="3" t="n">
        <v>17</v>
      </c>
      <c r="F4367" s="3" t="n">
        <v>22.25</v>
      </c>
      <c r="G4367" s="3" t="n">
        <v>0</v>
      </c>
      <c r="M4367" s="3" t="n">
        <v>15</v>
      </c>
      <c r="N4367" s="3" t="n">
        <v>100</v>
      </c>
      <c r="O4367" s="3" t="n">
        <v>26.4367816091954</v>
      </c>
    </row>
    <row r="4368" hidden="1">
      <c r="A4368" s="11" t="n">
        <v>46140</v>
      </c>
      <c r="B4368" t="inlineStr">
        <is>
          <t>Patrícia Karla de Sousa Araújo</t>
        </is>
      </c>
      <c r="C4368" t="inlineStr">
        <is>
          <t>Técnico II</t>
        </is>
      </c>
      <c r="D4368" s="3" t="n">
        <v>0</v>
      </c>
      <c r="E4368" s="3" t="n">
        <v>0</v>
      </c>
      <c r="F4368" s="3" t="n">
        <v>0</v>
      </c>
      <c r="G4368" s="3" t="n">
        <v>0</v>
      </c>
      <c r="H4368" s="3" t="n">
        <v>0</v>
      </c>
      <c r="I4368" s="3" t="n">
        <v>0</v>
      </c>
      <c r="J4368" s="3" t="n">
        <v>0</v>
      </c>
      <c r="K4368" s="3" t="n">
        <v>0</v>
      </c>
      <c r="L4368" s="3">
        <f>IF(K4368&lt;-5,"CRÍTICO",IF(K4368&lt;0,"ATENÇÃO",IF(K4368&lt;=5,"OPORTUNO","MUITO BOM")))</f>
        <v/>
      </c>
      <c r="M4368" s="3" t="n">
        <v>0</v>
      </c>
      <c r="N4368" s="3" t="n">
        <v>99.02</v>
      </c>
      <c r="O4368" s="3" t="n">
        <v>34.7972972972973</v>
      </c>
    </row>
    <row r="4369" hidden="1">
      <c r="A4369" s="11" t="n">
        <v>46141</v>
      </c>
      <c r="B4369" t="inlineStr">
        <is>
          <t>Patrícia Karla de Sousa Araújo</t>
        </is>
      </c>
      <c r="C4369" t="inlineStr">
        <is>
          <t>Técnico II</t>
        </is>
      </c>
      <c r="D4369" s="3" t="n">
        <v>0</v>
      </c>
      <c r="E4369" s="3" t="n">
        <v>0</v>
      </c>
      <c r="F4369" s="3" t="n">
        <v>0</v>
      </c>
      <c r="G4369" s="3" t="n">
        <v>0</v>
      </c>
      <c r="H4369" s="3" t="n">
        <v>0</v>
      </c>
      <c r="I4369" s="3" t="n">
        <v>0</v>
      </c>
      <c r="J4369" s="3" t="n">
        <v>0</v>
      </c>
      <c r="K4369" s="3" t="n">
        <v>0</v>
      </c>
      <c r="L4369" s="3">
        <f>IF(K4369&lt;-5,"CRÍTICO",IF(K4369&lt;0,"ATENÇÃO",IF(K4369&lt;=5,"OPORTUNO","MUITO BOM")))</f>
        <v/>
      </c>
      <c r="M4369" s="3" t="n">
        <v>0</v>
      </c>
      <c r="N4369" s="3" t="n">
        <v>99.02</v>
      </c>
      <c r="O4369" s="3" t="n">
        <v>34.7972972972973</v>
      </c>
    </row>
    <row r="4370" hidden="1">
      <c r="A4370" s="11" t="n">
        <v>46142</v>
      </c>
      <c r="B4370" t="inlineStr">
        <is>
          <t>Patrícia Karla de Sousa Araújo</t>
        </is>
      </c>
      <c r="C4370" t="inlineStr">
        <is>
          <t>Técnico II</t>
        </is>
      </c>
      <c r="D4370" s="3" t="n">
        <v>31</v>
      </c>
      <c r="E4370" s="3" t="n">
        <v>27</v>
      </c>
      <c r="F4370" s="3" t="n">
        <v>15.42</v>
      </c>
      <c r="G4370" s="3" t="n">
        <v>0</v>
      </c>
      <c r="H4370" s="3" t="n">
        <v>0</v>
      </c>
      <c r="I4370" s="3">
        <f>E4370+G4370+H4370</f>
        <v/>
      </c>
      <c r="J4370" s="3">
        <f>ROUND(MIN(IF(C4370="Técnico III",35,IF(C4370="Técnico II",28,IF(C4370="Técnico I",23,IF(C4370="JR",20,IF(C4370="Estágio",10,0))))),IF(C4370="Técnico III",SUMIFS($D:$D,$A:$A,$A4370,$B:$B,"&lt;&gt;Patrícia Karla de Sousa Araújo",$B:$B,"&lt;&gt;Lorena Dias de Araujo",$B:$B,"&lt;&gt;Lucas Luiz Romero")*(35/1083),IF(C4370="Técnico II",SUMIFS($D:$D,$A:$A,$A4370,$B:$B,"&lt;&gt;Patrícia Karla de Sousa Araújo",$B:$B,"&lt;&gt;Lorena Dias de Araujo",$B:$B,"&lt;&gt;Lucas Luiz Romero")*(28/1083),IF(C4370="Técnico I",SUMIFS($D:$D,$A:$A,$A4370,$B:$B,"&lt;&gt;Patrícia Karla de Sousa Araújo",$B:$B,"&lt;&gt;Lorena Dias de Araujo",$B:$B,"&lt;&gt;Lucas Luiz Romero")*(23/1083),IF(C4370="JR",SUMIFS($D:$D,$A:$A,$A4370,$B:$B,"&lt;&gt;Patrícia Karla de Sousa Araújo",$B:$B,"&lt;&gt;Lorena Dias de Araujo",$B:$B,"&lt;&gt;Lucas Luiz Romero")*(20/1083),IF(C4370="Estágio",SUMIFS($D:$D,$A:$A,$A4370,$B:$B,"&lt;&gt;Patrícia Karla de Sousa Araújo",$B:$B,"&lt;&gt;Lorena Dias de Araujo",$B:$B,"&lt;&gt;Lucas Luiz Romero")*(10/1083),0)))))),0)</f>
        <v/>
      </c>
      <c r="K4370" s="3">
        <f>I4370-J4370</f>
        <v/>
      </c>
      <c r="L4370" s="3">
        <f>IF(K4370&lt;-5,"CRÍTICO",IF(K4370&lt;0,"ATENÇÃO",IF(K4370&lt;=5,"OPORTUNO","MUITO BOM")))</f>
        <v/>
      </c>
      <c r="M4370" s="3" t="n">
        <v>24</v>
      </c>
      <c r="N4370" s="3" t="n">
        <v>99.02</v>
      </c>
      <c r="O4370" s="3" t="n">
        <v>34.7972972972973</v>
      </c>
    </row>
    <row r="4371" hidden="1">
      <c r="A4371" s="5" t="n">
        <v>46146</v>
      </c>
      <c r="B4371" s="6" t="inlineStr">
        <is>
          <t>Patrícia Karla de Sousa Araújo</t>
        </is>
      </c>
      <c r="C4371" s="3" t="inlineStr">
        <is>
          <t>Técnico II</t>
        </is>
      </c>
      <c r="D4371" s="3" t="n">
        <v>20</v>
      </c>
      <c r="E4371" s="3" t="n">
        <v>16</v>
      </c>
      <c r="F4371" s="3" t="n">
        <v>16.51</v>
      </c>
      <c r="G4371" s="3" t="n">
        <v>0</v>
      </c>
      <c r="H4371" s="3" t="n">
        <v>0</v>
      </c>
      <c r="I4371" s="3">
        <f>E4371+G4371+H4371</f>
        <v/>
      </c>
      <c r="J4371" s="3">
        <f>ROUND(MIN(IF(C4371="Técnico III",35,IF(C4371="Técnico II",28,IF(C4371="Técnico I",23,IF(C4371="JR",20,IF(C4371="Estágio",10,0))))),IF(C4371="Técnico III",SUMIFS($D:$D,$A:$A,$A4371,$B:$B,"&lt;&gt;Patrícia Karla de Sousa Araújo",$B:$B,"&lt;&gt;Lorena Dias de Araujo",$B:$B,"&lt;&gt;Lucas Luiz Romero")*(35/1083),IF(C4371="Técnico II",SUMIFS($D:$D,$A:$A,$A4371,$B:$B,"&lt;&gt;Patrícia Karla de Sousa Araújo",$B:$B,"&lt;&gt;Lorena Dias de Araujo",$B:$B,"&lt;&gt;Lucas Luiz Romero")*(28/1083),IF(C4371="Técnico I",SUMIFS($D:$D,$A:$A,$A4371,$B:$B,"&lt;&gt;Patrícia Karla de Sousa Araújo",$B:$B,"&lt;&gt;Lorena Dias de Araujo",$B:$B,"&lt;&gt;Lucas Luiz Romero")*(23/1083),IF(C4371="JR",SUMIFS($D:$D,$A:$A,$A4371,$B:$B,"&lt;&gt;Patrícia Karla de Sousa Araújo",$B:$B,"&lt;&gt;Lorena Dias de Araujo",$B:$B,"&lt;&gt;Lucas Luiz Romero")*(20/1083),IF(C4371="Estágio",SUMIFS($D:$D,$A:$A,$A4371,$B:$B,"&lt;&gt;Patrícia Karla de Sousa Araújo",$B:$B,"&lt;&gt;Lorena Dias de Araujo",$B:$B,"&lt;&gt;Lucas Luiz Romero")*(10/1083),0)))))),0)</f>
        <v/>
      </c>
      <c r="K4371" s="3">
        <f>I4371-J4371</f>
        <v/>
      </c>
      <c r="L4371" s="3">
        <f>IF(K4371&lt;-5,"CRÍTICO",IF(K4371&lt;0,"ATENÇÃO",IF(K4371&lt;=5,"BOM","EXCELENTE")))</f>
        <v/>
      </c>
      <c r="M4371" s="3" t="n">
        <v>14</v>
      </c>
      <c r="N4371" s="3" t="n">
        <v>100</v>
      </c>
      <c r="O4371" s="3" t="n">
        <v>20.18348623853211</v>
      </c>
    </row>
    <row r="4372" hidden="1">
      <c r="A4372" s="5" t="n">
        <v>46147</v>
      </c>
      <c r="B4372" s="6" t="inlineStr">
        <is>
          <t>Patrícia Karla de Sousa Araújo</t>
        </is>
      </c>
      <c r="C4372" s="3" t="inlineStr">
        <is>
          <t>Técnico II</t>
        </is>
      </c>
      <c r="D4372" s="3" t="n">
        <v>27</v>
      </c>
      <c r="E4372" s="3" t="n">
        <v>25</v>
      </c>
      <c r="F4372" s="3" t="n">
        <v>17.39</v>
      </c>
      <c r="G4372" s="3" t="n">
        <v>0</v>
      </c>
      <c r="H4372" s="3" t="n">
        <v>0</v>
      </c>
      <c r="I4372" s="3">
        <f>E4372+G4372+H4372</f>
        <v/>
      </c>
      <c r="J4372" s="3">
        <f>ROUND(MIN(IF(C4372="Técnico III",35,IF(C4372="Técnico II",28,IF(C4372="Técnico I",23,IF(C4372="JR",20,IF(C4372="Estágio",10,0))))),IF(C4372="Técnico III",SUMIFS($D:$D,$A:$A,$A4372,$B:$B,"&lt;&gt;Patrícia Karla de Sousa Araújo",$B:$B,"&lt;&gt;Lorena Dias de Araujo",$B:$B,"&lt;&gt;Lucas Luiz Romero")*(35/1083),IF(C4372="Técnico II",SUMIFS($D:$D,$A:$A,$A4372,$B:$B,"&lt;&gt;Patrícia Karla de Sousa Araújo",$B:$B,"&lt;&gt;Lorena Dias de Araujo",$B:$B,"&lt;&gt;Lucas Luiz Romero")*(28/1083),IF(C4372="Técnico I",SUMIFS($D:$D,$A:$A,$A4372,$B:$B,"&lt;&gt;Patrícia Karla de Sousa Araújo",$B:$B,"&lt;&gt;Lorena Dias de Araujo",$B:$B,"&lt;&gt;Lucas Luiz Romero")*(23/1083),IF(C4372="JR",SUMIFS($D:$D,$A:$A,$A4372,$B:$B,"&lt;&gt;Patrícia Karla de Sousa Araújo",$B:$B,"&lt;&gt;Lorena Dias de Araujo",$B:$B,"&lt;&gt;Lucas Luiz Romero")*(20/1083),IF(C4372="Estágio",SUMIFS($D:$D,$A:$A,$A4372,$B:$B,"&lt;&gt;Patrícia Karla de Sousa Araújo",$B:$B,"&lt;&gt;Lorena Dias de Araujo",$B:$B,"&lt;&gt;Lucas Luiz Romero")*(10/1083),0)))))),0)</f>
        <v/>
      </c>
      <c r="K4372" s="3">
        <f>I4372-J4372</f>
        <v/>
      </c>
      <c r="L4372" s="3">
        <f>IF(K4372&lt;-5,"CRÍTICO",IF(K4372&lt;0,"ATENÇÃO",IF(K4372&lt;=5,"BOM","EXCELENTE")))</f>
        <v/>
      </c>
      <c r="M4372" s="3" t="n">
        <v>21</v>
      </c>
      <c r="N4372" s="3" t="n">
        <v>100</v>
      </c>
      <c r="O4372" s="3" t="n">
        <v>20.18348623853211</v>
      </c>
    </row>
    <row r="4373" hidden="1">
      <c r="A4373" s="5" t="n">
        <v>46148</v>
      </c>
      <c r="B4373" s="6" t="inlineStr">
        <is>
          <t>Patrícia Karla de Sousa Araújo</t>
        </is>
      </c>
      <c r="C4373" s="3" t="inlineStr">
        <is>
          <t>Técnico II</t>
        </is>
      </c>
      <c r="D4373" s="3" t="n">
        <v>35</v>
      </c>
      <c r="E4373" s="3" t="n">
        <v>33</v>
      </c>
      <c r="F4373" s="3" t="n">
        <v>15.19</v>
      </c>
      <c r="G4373" s="3" t="n">
        <v>0</v>
      </c>
      <c r="H4373" s="3" t="n">
        <v>0</v>
      </c>
      <c r="I4373" s="3">
        <f>E4373+G4373+H4373</f>
        <v/>
      </c>
      <c r="J4373" s="3">
        <f>ROUND(MIN(IF(C4373="Técnico III",35,IF(C4373="Técnico II",28,IF(C4373="Técnico I",23,IF(C4373="JR",20,IF(C4373="Estágio",10,0))))),IF(C4373="Técnico III",SUMIFS($D:$D,$A:$A,$A4373,$B:$B,"&lt;&gt;Patrícia Karla de Sousa Araújo",$B:$B,"&lt;&gt;Lorena Dias de Araujo",$B:$B,"&lt;&gt;Lucas Luiz Romero")*(35/1083),IF(C4373="Técnico II",SUMIFS($D:$D,$A:$A,$A4373,$B:$B,"&lt;&gt;Patrícia Karla de Sousa Araújo",$B:$B,"&lt;&gt;Lorena Dias de Araujo",$B:$B,"&lt;&gt;Lucas Luiz Romero")*(28/1083),IF(C4373="Técnico I",SUMIFS($D:$D,$A:$A,$A4373,$B:$B,"&lt;&gt;Patrícia Karla de Sousa Araújo",$B:$B,"&lt;&gt;Lorena Dias de Araujo",$B:$B,"&lt;&gt;Lucas Luiz Romero")*(23/1083),IF(C4373="JR",SUMIFS($D:$D,$A:$A,$A4373,$B:$B,"&lt;&gt;Patrícia Karla de Sousa Araújo",$B:$B,"&lt;&gt;Lorena Dias de Araujo",$B:$B,"&lt;&gt;Lucas Luiz Romero")*(20/1083),IF(C4373="Estágio",SUMIFS($D:$D,$A:$A,$A4373,$B:$B,"&lt;&gt;Patrícia Karla de Sousa Araújo",$B:$B,"&lt;&gt;Lorena Dias de Araujo",$B:$B,"&lt;&gt;Lucas Luiz Romero")*(10/1083),0)))))),0)</f>
        <v/>
      </c>
      <c r="K4373" s="3">
        <f>I4373-J4373</f>
        <v/>
      </c>
      <c r="L4373" s="3">
        <f>IF(K4373&lt;-5,"CRÍTICO",IF(K4373&lt;0,"ATENÇÃO",IF(K4373&lt;=5,"BOM","EXCELENTE")))</f>
        <v/>
      </c>
      <c r="M4373" s="3" t="n">
        <v>30</v>
      </c>
      <c r="N4373" s="3" t="n">
        <v>100</v>
      </c>
      <c r="O4373" s="3" t="n">
        <v>20.18348623853211</v>
      </c>
    </row>
    <row r="4374" hidden="1">
      <c r="A4374" s="11" t="n">
        <v>46168</v>
      </c>
      <c r="B4374" t="inlineStr">
        <is>
          <t>Patrícia Karla de Sousa Araújo</t>
        </is>
      </c>
      <c r="C4374" t="inlineStr">
        <is>
          <t>Técnico II</t>
        </is>
      </c>
      <c r="D4374" s="3" t="n">
        <v>0</v>
      </c>
      <c r="E4374" s="3" t="n">
        <v>0</v>
      </c>
      <c r="F4374" s="3" t="n">
        <v>0</v>
      </c>
      <c r="G4374" s="3" t="n">
        <v>0</v>
      </c>
      <c r="H4374" s="3" t="n">
        <v>0</v>
      </c>
      <c r="I4374" s="3" t="n">
        <v>0</v>
      </c>
      <c r="J4374" s="3" t="n">
        <v>0</v>
      </c>
      <c r="K4374" s="3" t="n">
        <v>0</v>
      </c>
      <c r="M4374" s="3" t="n">
        <v>0</v>
      </c>
      <c r="N4374" s="3" t="n">
        <v>100</v>
      </c>
      <c r="O4374" s="3" t="n">
        <v>21.10091743119266</v>
      </c>
    </row>
    <row r="4375" hidden="1">
      <c r="A4375" s="11" t="n">
        <v>46140</v>
      </c>
      <c r="B4375" t="inlineStr">
        <is>
          <t>Ana Karollyne Souza Faria</t>
        </is>
      </c>
      <c r="C4375" t="inlineStr">
        <is>
          <t>Técnico I</t>
        </is>
      </c>
      <c r="D4375" s="3" t="n">
        <v>26</v>
      </c>
      <c r="E4375" s="3" t="n">
        <v>24</v>
      </c>
      <c r="F4375" s="3" t="n">
        <v>19.19</v>
      </c>
      <c r="G4375" s="3" t="n">
        <v>0</v>
      </c>
      <c r="H4375" s="3" t="n">
        <v>0</v>
      </c>
      <c r="I4375" s="3">
        <f>E4375+G4375+H4375</f>
        <v/>
      </c>
      <c r="J4375" s="3">
        <f>ROUND(MIN(IF(C4375="Técnico III",35,IF(C4375="Técnico II",28,IF(C4375="Técnico I",23,IF(C4375="JR",20,IF(C4375="Estágio",10,0))))),IF(C4375="Técnico III",SUMIFS($D:$D,$A:$A,$A4375,$B:$B,"&lt;&gt;Patrícia Karla de Sousa Araújo",$B:$B,"&lt;&gt;Lorena Dias de Araujo",$B:$B,"&lt;&gt;Lucas Luiz Romero")*(35/1083),IF(C4375="Técnico II",SUMIFS($D:$D,$A:$A,$A4375,$B:$B,"&lt;&gt;Patrícia Karla de Sousa Araújo",$B:$B,"&lt;&gt;Lorena Dias de Araujo",$B:$B,"&lt;&gt;Lucas Luiz Romero")*(28/1083),IF(C4375="Técnico I",SUMIFS($D:$D,$A:$A,$A4375,$B:$B,"&lt;&gt;Patrícia Karla de Sousa Araújo",$B:$B,"&lt;&gt;Lorena Dias de Araujo",$B:$B,"&lt;&gt;Lucas Luiz Romero")*(23/1083),IF(C4375="JR",SUMIFS($D:$D,$A:$A,$A4375,$B:$B,"&lt;&gt;Patrícia Karla de Sousa Araújo",$B:$B,"&lt;&gt;Lorena Dias de Araujo",$B:$B,"&lt;&gt;Lucas Luiz Romero")*(20/1083),IF(C4375="Estágio",SUMIFS($D:$D,$A:$A,$A4375,$B:$B,"&lt;&gt;Patrícia Karla de Sousa Araújo",$B:$B,"&lt;&gt;Lorena Dias de Araujo",$B:$B,"&lt;&gt;Lucas Luiz Romero")*(10/1083),0)))))),0)</f>
        <v/>
      </c>
      <c r="K4375" s="3">
        <f>I4375-J4375</f>
        <v/>
      </c>
      <c r="L4375" s="3">
        <f>IF(K4375&lt;-5,"CRÍTICO",IF(K4375&lt;0,"ATENÇÃO",IF(K4375&lt;=5,"OPORTUNO","MUITO BOM")))</f>
        <v/>
      </c>
      <c r="M4375" s="3" t="n">
        <v>22</v>
      </c>
      <c r="N4375" s="3" t="n">
        <v>99.31999999999999</v>
      </c>
      <c r="O4375" s="3" t="n">
        <v>30.6483300589391</v>
      </c>
    </row>
    <row r="4376" hidden="1">
      <c r="A4376" s="11" t="n">
        <v>46141</v>
      </c>
      <c r="B4376" t="inlineStr">
        <is>
          <t>Ana Karollyne Souza Faria</t>
        </is>
      </c>
      <c r="C4376" t="inlineStr">
        <is>
          <t>Técnico I</t>
        </is>
      </c>
      <c r="D4376" s="3" t="n">
        <v>33</v>
      </c>
      <c r="E4376" s="3" t="n">
        <v>29</v>
      </c>
      <c r="F4376" s="3" t="n">
        <v>20.25</v>
      </c>
      <c r="G4376" s="3" t="n">
        <v>0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IF(K4376&lt;-5,"CRÍTICO",IF(K4376&lt;0,"ATENÇÃO",IF(K4376&lt;=5,"OPORTUNO","MUITO BOM")))</f>
        <v/>
      </c>
      <c r="M4376" s="3" t="n">
        <v>28</v>
      </c>
      <c r="N4376" s="3" t="n">
        <v>99.31999999999999</v>
      </c>
      <c r="O4376" s="3" t="n">
        <v>30.6483300589391</v>
      </c>
    </row>
    <row r="4377" hidden="1">
      <c r="A4377" s="11" t="n">
        <v>46142</v>
      </c>
      <c r="B4377" t="inlineStr">
        <is>
          <t>Ana Karollyne Souza Faria</t>
        </is>
      </c>
      <c r="C4377" t="inlineStr">
        <is>
          <t>Técnico I</t>
        </is>
      </c>
      <c r="D4377" s="3" t="n">
        <v>26</v>
      </c>
      <c r="E4377" s="3" t="n">
        <v>24</v>
      </c>
      <c r="F4377" s="3" t="n">
        <v>18.24</v>
      </c>
      <c r="G4377" s="3" t="n">
        <v>0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IF(K4377&lt;-5,"CRÍTICO",IF(K4377&lt;0,"ATENÇÃO",IF(K4377&lt;=5,"OPORTUNO","MUITO BOM")))</f>
        <v/>
      </c>
      <c r="M4377" s="3" t="n">
        <v>26</v>
      </c>
      <c r="N4377" s="3" t="n">
        <v>99.31999999999999</v>
      </c>
      <c r="O4377" s="3" t="n">
        <v>30.6483300589391</v>
      </c>
    </row>
    <row r="4378" hidden="1">
      <c r="A4378" s="5" t="n">
        <v>46146</v>
      </c>
      <c r="B4378" s="6" t="inlineStr">
        <is>
          <t>Ana Karollyne Souza Faria</t>
        </is>
      </c>
      <c r="C4378" s="3" t="inlineStr">
        <is>
          <t>Técnico I</t>
        </is>
      </c>
      <c r="D4378" s="3" t="n">
        <v>41</v>
      </c>
      <c r="E4378" s="3" t="n">
        <v>39</v>
      </c>
      <c r="F4378" s="3" t="n">
        <v>17.31</v>
      </c>
      <c r="G4378" s="3" t="n">
        <v>1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3" t="n">
        <v>35</v>
      </c>
      <c r="N4378" s="3" t="n">
        <v>96.25</v>
      </c>
      <c r="O4378" s="3" t="n">
        <v>25.5863539445629</v>
      </c>
    </row>
    <row r="4379" hidden="1">
      <c r="A4379" s="5" t="n">
        <v>46147</v>
      </c>
      <c r="B4379" t="inlineStr">
        <is>
          <t>Ana Karollyne Souza Faria</t>
        </is>
      </c>
      <c r="C4379" s="3" t="inlineStr">
        <is>
          <t>Técnico I</t>
        </is>
      </c>
      <c r="D4379" s="3" t="n">
        <v>30</v>
      </c>
      <c r="E4379" s="3" t="n">
        <v>30</v>
      </c>
      <c r="F4379" s="3" t="n">
        <v>17.01</v>
      </c>
      <c r="G4379" s="3" t="n">
        <v>7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3" t="n">
        <v>36</v>
      </c>
      <c r="N4379" s="3" t="n">
        <v>96.25</v>
      </c>
      <c r="O4379" s="3" t="n">
        <v>25.5863539445629</v>
      </c>
    </row>
    <row r="4380" hidden="1">
      <c r="A4380" s="5" t="n">
        <v>46148</v>
      </c>
      <c r="B4380" s="6" t="inlineStr">
        <is>
          <t>Ana Karollyne Souza Faria</t>
        </is>
      </c>
      <c r="C4380" s="3" t="inlineStr">
        <is>
          <t>Técnico I</t>
        </is>
      </c>
      <c r="D4380" s="3" t="n">
        <v>50</v>
      </c>
      <c r="E4380" s="3" t="n">
        <v>43</v>
      </c>
      <c r="F4380" s="3" t="n">
        <v>14.05</v>
      </c>
      <c r="G4380" s="3" t="n">
        <v>6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3" t="n">
        <v>43</v>
      </c>
      <c r="N4380" s="3" t="n">
        <v>96.25</v>
      </c>
      <c r="O4380" s="3" t="n">
        <v>25.5863539445629</v>
      </c>
    </row>
    <row r="4381" hidden="1">
      <c r="A4381" s="11" t="n">
        <v>46168</v>
      </c>
      <c r="B4381" t="inlineStr">
        <is>
          <t>Ana Karollyne Souza Faria</t>
        </is>
      </c>
      <c r="C4381" t="inlineStr">
        <is>
          <t>Técnico I</t>
        </is>
      </c>
      <c r="D4381" s="3" t="n">
        <v>24</v>
      </c>
      <c r="E4381" s="3" t="n">
        <v>22</v>
      </c>
      <c r="F4381" s="3" t="n">
        <v>18.55</v>
      </c>
      <c r="G4381" s="3" t="n">
        <v>1</v>
      </c>
      <c r="M4381" s="3" t="n">
        <v>21</v>
      </c>
      <c r="N4381" s="3" t="n">
        <v>96.25</v>
      </c>
      <c r="O4381" s="3" t="n">
        <v>27.29211087420043</v>
      </c>
    </row>
    <row r="4382" hidden="1">
      <c r="A4382" s="11" t="n">
        <v>46140</v>
      </c>
      <c r="B4382" t="inlineStr">
        <is>
          <t>Clessiane Pereira dos Santos</t>
        </is>
      </c>
      <c r="C4382" t="inlineStr">
        <is>
          <t>Técnico I</t>
        </is>
      </c>
      <c r="D4382" s="3" t="n">
        <v>27</v>
      </c>
      <c r="E4382" s="3" t="n">
        <v>26</v>
      </c>
      <c r="F4382" s="3" t="n">
        <v>15.4</v>
      </c>
      <c r="G4382" s="3" t="n">
        <v>0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IF(K4382&lt;-5,"CRÍTICO",IF(K4382&lt;0,"ATENÇÃO",IF(K4382&lt;=5,"OPORTUNO","MUITO BOM")))</f>
        <v/>
      </c>
      <c r="M4382" s="3" t="n">
        <v>25</v>
      </c>
      <c r="N4382" s="3" t="n">
        <v>96.3</v>
      </c>
      <c r="O4382" s="3" t="n">
        <v>32.21957040572792</v>
      </c>
    </row>
    <row r="4383" hidden="1">
      <c r="A4383" s="11" t="n">
        <v>46141</v>
      </c>
      <c r="B4383" t="inlineStr">
        <is>
          <t>Clessiane Pereira dos Santos</t>
        </is>
      </c>
      <c r="C4383" t="inlineStr">
        <is>
          <t>Técnico I</t>
        </is>
      </c>
      <c r="D4383" s="3" t="n">
        <v>51</v>
      </c>
      <c r="E4383" s="3" t="n">
        <v>13</v>
      </c>
      <c r="F4383" s="3" t="n">
        <v>3.26</v>
      </c>
      <c r="G4383" s="3" t="n">
        <v>0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IF(K4383&lt;-5,"CRÍTICO",IF(K4383&lt;0,"ATENÇÃO",IF(K4383&lt;=5,"OPORTUNO","MUITO BOM")))</f>
        <v/>
      </c>
      <c r="M4383" s="3" t="n">
        <v>19</v>
      </c>
      <c r="N4383" s="3" t="n">
        <v>96.3</v>
      </c>
      <c r="O4383" s="3" t="n">
        <v>32.21957040572792</v>
      </c>
    </row>
    <row r="4384" hidden="1">
      <c r="A4384" s="11" t="n">
        <v>46142</v>
      </c>
      <c r="B4384" t="inlineStr">
        <is>
          <t>Clessiane Pereira dos Santos</t>
        </is>
      </c>
      <c r="C4384" t="inlineStr">
        <is>
          <t>Técnico I</t>
        </is>
      </c>
      <c r="D4384" s="3" t="n">
        <v>23</v>
      </c>
      <c r="E4384" s="3" t="n">
        <v>23</v>
      </c>
      <c r="F4384" s="3" t="n">
        <v>25.3</v>
      </c>
      <c r="G4384" s="3" t="n">
        <v>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IF(K4384&lt;-5,"CRÍTICO",IF(K4384&lt;0,"ATENÇÃO",IF(K4384&lt;=5,"OPORTUNO","MUITO BOM")))</f>
        <v/>
      </c>
      <c r="M4384" s="3" t="n">
        <v>19</v>
      </c>
      <c r="N4384" s="3" t="n">
        <v>96.3</v>
      </c>
      <c r="O4384" s="3" t="n">
        <v>32.21957040572792</v>
      </c>
    </row>
    <row r="4385" hidden="1">
      <c r="A4385" s="5" t="n">
        <v>46146</v>
      </c>
      <c r="B4385" s="6" t="inlineStr">
        <is>
          <t>Clessiane Pereira dos Santos</t>
        </is>
      </c>
      <c r="C4385" s="3" t="inlineStr">
        <is>
          <t>Técnico I</t>
        </is>
      </c>
      <c r="D4385" s="3" t="n">
        <v>32</v>
      </c>
      <c r="E4385" s="3" t="n">
        <v>26</v>
      </c>
      <c r="F4385" s="3" t="n">
        <v>15.13</v>
      </c>
      <c r="G4385" s="3" t="n">
        <v>6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29</v>
      </c>
      <c r="N4385" s="3" t="n">
        <v>97.48</v>
      </c>
      <c r="O4385" s="3" t="n">
        <v>22.99465240641711</v>
      </c>
    </row>
    <row r="4386" hidden="1">
      <c r="A4386" s="5" t="n">
        <v>46147</v>
      </c>
      <c r="B4386" s="6" t="inlineStr">
        <is>
          <t>Clessiane Pereira dos Santos</t>
        </is>
      </c>
      <c r="C4386" s="3" t="inlineStr">
        <is>
          <t>Técnico I</t>
        </is>
      </c>
      <c r="D4386" s="3" t="n">
        <v>122</v>
      </c>
      <c r="E4386" s="3" t="n">
        <v>28</v>
      </c>
      <c r="F4386" s="3" t="n">
        <v>3.47</v>
      </c>
      <c r="G4386" s="3" t="n">
        <v>1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16</v>
      </c>
      <c r="N4386" s="3" t="n">
        <v>97.48</v>
      </c>
      <c r="O4386" s="3" t="n">
        <v>22.99465240641711</v>
      </c>
    </row>
    <row r="4387" hidden="1">
      <c r="A4387" s="5" t="n">
        <v>46148</v>
      </c>
      <c r="B4387" s="6" t="inlineStr">
        <is>
          <t>Clessiane Pereira dos Santos</t>
        </is>
      </c>
      <c r="C4387" s="3" t="inlineStr">
        <is>
          <t>Técnico I</t>
        </is>
      </c>
      <c r="D4387" s="3" t="n">
        <v>24</v>
      </c>
      <c r="E4387" s="3" t="n">
        <v>23</v>
      </c>
      <c r="F4387" s="3" t="n">
        <v>17.07</v>
      </c>
      <c r="G4387" s="3" t="n">
        <v>9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30</v>
      </c>
      <c r="N4387" s="3" t="n">
        <v>97.48</v>
      </c>
      <c r="O4387" s="3" t="n">
        <v>22.99465240641711</v>
      </c>
    </row>
    <row r="4388" hidden="1">
      <c r="A4388" s="11" t="n">
        <v>46168</v>
      </c>
      <c r="B4388" t="inlineStr">
        <is>
          <t>Clessiane Pereira dos Santos</t>
        </is>
      </c>
      <c r="C4388" t="inlineStr">
        <is>
          <t>Técnico I</t>
        </is>
      </c>
      <c r="D4388" s="3" t="n">
        <v>28</v>
      </c>
      <c r="E4388" s="3" t="n">
        <v>26</v>
      </c>
      <c r="F4388" s="3" t="n">
        <v>15.35</v>
      </c>
      <c r="G4388" s="3" t="n">
        <v>2</v>
      </c>
      <c r="M4388" s="3" t="n">
        <v>25</v>
      </c>
      <c r="N4388" s="3" t="n">
        <v>97.48</v>
      </c>
      <c r="O4388" s="3" t="n">
        <v>25.40106951871658</v>
      </c>
    </row>
    <row r="4389" hidden="1">
      <c r="A4389" s="11" t="n">
        <v>46140</v>
      </c>
      <c r="B4389" t="inlineStr">
        <is>
          <t>Daniel Gomes da Silva</t>
        </is>
      </c>
      <c r="C4389" t="inlineStr">
        <is>
          <t>Técnico I</t>
        </is>
      </c>
      <c r="D4389" s="3" t="n">
        <v>17</v>
      </c>
      <c r="E4389" s="3" t="n">
        <v>17</v>
      </c>
      <c r="F4389" s="3" t="n">
        <v>17.23</v>
      </c>
      <c r="G4389" s="3" t="n">
        <v>0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IF(K4389&lt;-5,"CRÍTICO",IF(K4389&lt;0,"ATENÇÃO",IF(K4389&lt;=5,"OPORTUNO","MUITO BOM")))</f>
        <v/>
      </c>
      <c r="M4389" s="3" t="n">
        <v>15</v>
      </c>
      <c r="N4389" s="3" t="n">
        <v>100</v>
      </c>
      <c r="O4389" s="3" t="n">
        <v>36.59420289855073</v>
      </c>
    </row>
    <row r="4390" hidden="1">
      <c r="A4390" s="11" t="n">
        <v>46141</v>
      </c>
      <c r="B4390" t="inlineStr">
        <is>
          <t>Daniel Gomes da Silva</t>
        </is>
      </c>
      <c r="C4390" t="inlineStr">
        <is>
          <t>Técnico I</t>
        </is>
      </c>
      <c r="D4390" s="3" t="n">
        <v>29</v>
      </c>
      <c r="E4390" s="3" t="n">
        <v>28</v>
      </c>
      <c r="F4390" s="3" t="n">
        <v>18.51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IF(K4390&lt;-5,"CRÍTICO",IF(K4390&lt;0,"ATENÇÃO",IF(K4390&lt;=5,"OPORTUNO","MUITO BOM")))</f>
        <v/>
      </c>
      <c r="M4390" s="3" t="n">
        <v>22</v>
      </c>
      <c r="N4390" s="3" t="n">
        <v>100</v>
      </c>
      <c r="O4390" s="3" t="n">
        <v>36.59420289855073</v>
      </c>
    </row>
    <row r="4391" hidden="1">
      <c r="A4391" s="11" t="n">
        <v>46142</v>
      </c>
      <c r="B4391" t="inlineStr">
        <is>
          <t>Daniel Gomes da Silva</t>
        </is>
      </c>
      <c r="C4391" t="inlineStr">
        <is>
          <t>Técnico I</t>
        </is>
      </c>
      <c r="D4391" s="3" t="n">
        <v>23</v>
      </c>
      <c r="E4391" s="3" t="n">
        <v>23</v>
      </c>
      <c r="F4391" s="3" t="n">
        <v>20.21</v>
      </c>
      <c r="G4391" s="3" t="n">
        <v>0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IF(K4391&lt;-5,"CRÍTICO",IF(K4391&lt;0,"ATENÇÃO",IF(K4391&lt;=5,"OPORTUNO","MUITO BOM")))</f>
        <v/>
      </c>
      <c r="M4391" s="3" t="n">
        <v>17</v>
      </c>
      <c r="N4391" s="3" t="n">
        <v>100</v>
      </c>
      <c r="O4391" s="3" t="n">
        <v>36.59420289855073</v>
      </c>
    </row>
    <row r="4392" hidden="1">
      <c r="A4392" s="5" t="n">
        <v>46146</v>
      </c>
      <c r="B4392" s="6" t="inlineStr">
        <is>
          <t>Daniel Gomes da Silva</t>
        </is>
      </c>
      <c r="C4392" s="3" t="inlineStr">
        <is>
          <t>Técnico I</t>
        </is>
      </c>
      <c r="D4392" s="3" t="n">
        <v>28</v>
      </c>
      <c r="E4392" s="3" t="n">
        <v>27</v>
      </c>
      <c r="F4392" s="3" t="n">
        <v>17.14</v>
      </c>
      <c r="G4392" s="3" t="n">
        <v>0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16</v>
      </c>
      <c r="N4392" s="3" t="n">
        <v>100</v>
      </c>
      <c r="O4392" s="3" t="n">
        <v>20.78853046594982</v>
      </c>
    </row>
    <row r="4393" hidden="1">
      <c r="A4393" s="5" t="n">
        <v>46149</v>
      </c>
      <c r="B4393" s="6" t="inlineStr">
        <is>
          <t>Ana Karollyne Souza Faria</t>
        </is>
      </c>
      <c r="C4393" s="3" t="inlineStr">
        <is>
          <t>Técnico I</t>
        </is>
      </c>
      <c r="D4393" s="3" t="n">
        <v>31</v>
      </c>
      <c r="E4393" s="3" t="n">
        <v>28</v>
      </c>
      <c r="F4393" s="3" t="n">
        <v>15.11</v>
      </c>
      <c r="G4393" s="3" t="n">
        <v>10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36</v>
      </c>
      <c r="N4393" s="3" t="n">
        <v>96.25</v>
      </c>
      <c r="O4393" s="3" t="n">
        <v>25.5863539445629</v>
      </c>
    </row>
    <row r="4394" hidden="1">
      <c r="A4394" s="5" t="n">
        <v>46149</v>
      </c>
      <c r="B4394" s="6" t="inlineStr">
        <is>
          <t>Clessiane Pereira dos Santos</t>
        </is>
      </c>
      <c r="C4394" s="3" t="inlineStr">
        <is>
          <t>Técnico I</t>
        </is>
      </c>
      <c r="D4394" s="3" t="n">
        <v>25</v>
      </c>
      <c r="E4394" s="3" t="n">
        <v>23</v>
      </c>
      <c r="F4394" s="3" t="n">
        <v>16.56</v>
      </c>
      <c r="G4394" s="3" t="n">
        <v>1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22</v>
      </c>
      <c r="N4394" s="3" t="n">
        <v>97.48</v>
      </c>
      <c r="O4394" s="3" t="n">
        <v>22.99465240641711</v>
      </c>
    </row>
    <row r="4395" hidden="1">
      <c r="A4395" s="5" t="n">
        <v>46149</v>
      </c>
      <c r="B4395" s="6" t="inlineStr">
        <is>
          <t>Daniel Gomes da Silva</t>
        </is>
      </c>
      <c r="C4395" s="3" t="inlineStr">
        <is>
          <t>Técnico I</t>
        </is>
      </c>
      <c r="D4395" s="3" t="n">
        <v>17</v>
      </c>
      <c r="E4395" s="3" t="n">
        <v>17</v>
      </c>
      <c r="F4395" s="3" t="n">
        <v>16.5</v>
      </c>
      <c r="G4395" s="3" t="n">
        <v>7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19</v>
      </c>
      <c r="N4395" s="3" t="n">
        <v>100</v>
      </c>
      <c r="O4395" s="3" t="n">
        <v>20.78853046594982</v>
      </c>
    </row>
    <row r="4396" hidden="1">
      <c r="A4396" s="5" t="n">
        <v>46149</v>
      </c>
      <c r="B4396" s="6" t="inlineStr">
        <is>
          <t>Luiz Fernando de Carvalho Junior</t>
        </is>
      </c>
      <c r="C4396" s="3" t="inlineStr">
        <is>
          <t>Técnico I</t>
        </is>
      </c>
      <c r="D4396" s="3" t="n">
        <v>25</v>
      </c>
      <c r="E4396" s="3" t="n">
        <v>25</v>
      </c>
      <c r="F4396" s="3" t="n">
        <v>25.28</v>
      </c>
      <c r="G4396" s="3" t="n">
        <v>1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25</v>
      </c>
      <c r="N4396" s="3" t="n">
        <v>94.55</v>
      </c>
      <c r="O4396" s="3" t="n">
        <v>23.45013477088949</v>
      </c>
    </row>
    <row r="4397" hidden="1">
      <c r="A4397" s="5" t="n">
        <v>46149</v>
      </c>
      <c r="B4397" s="6" t="inlineStr">
        <is>
          <t>Raane Batista Matos</t>
        </is>
      </c>
      <c r="C4397" s="3" t="inlineStr">
        <is>
          <t>Técnico I</t>
        </is>
      </c>
      <c r="D4397" s="3" t="n">
        <v>31</v>
      </c>
      <c r="E4397" s="3" t="n">
        <v>26</v>
      </c>
      <c r="F4397" s="3" t="n">
        <v>11.59</v>
      </c>
      <c r="G4397" s="3" t="n">
        <v>14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23</v>
      </c>
      <c r="N4397" s="3" t="n">
        <v>98</v>
      </c>
      <c r="O4397" s="3" t="n">
        <v>20.73490813648294</v>
      </c>
    </row>
    <row r="4398" hidden="1">
      <c r="A4398" s="5" t="n">
        <v>46149</v>
      </c>
      <c r="B4398" s="6" t="inlineStr">
        <is>
          <t>Sara Maria Monteiro Lopes</t>
        </is>
      </c>
      <c r="C4398" s="3" t="inlineStr">
        <is>
          <t>Técnico I</t>
        </is>
      </c>
      <c r="D4398" s="3" t="n">
        <v>14</v>
      </c>
      <c r="E4398" s="3" t="n">
        <v>14</v>
      </c>
      <c r="F4398" s="3" t="n">
        <v>33.45</v>
      </c>
      <c r="G4398" s="3" t="n">
        <v>6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20</v>
      </c>
      <c r="N4398" s="3" t="n">
        <v>100</v>
      </c>
      <c r="O4398" s="3" t="n">
        <v>18</v>
      </c>
    </row>
    <row r="4399" hidden="1">
      <c r="A4399" s="5" t="n">
        <v>46150</v>
      </c>
      <c r="B4399" s="6" t="inlineStr">
        <is>
          <t>Ana Karollyne Souza Faria</t>
        </is>
      </c>
      <c r="C4399" s="3" t="inlineStr">
        <is>
          <t>Técnico I</t>
        </is>
      </c>
      <c r="D4399" s="3" t="n">
        <v>26</v>
      </c>
      <c r="E4399" s="3" t="n">
        <v>25</v>
      </c>
      <c r="F4399" s="3" t="n">
        <v>22.39</v>
      </c>
      <c r="G4399" s="3" t="n">
        <v>0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24</v>
      </c>
      <c r="N4399" s="3" t="n">
        <v>96.25</v>
      </c>
      <c r="O4399" s="3" t="n">
        <v>25.5863539445629</v>
      </c>
    </row>
    <row r="4400" hidden="1">
      <c r="A4400" s="5" t="n">
        <v>46150</v>
      </c>
      <c r="B4400" s="6" t="inlineStr">
        <is>
          <t>Clessiane Pereira dos Santos</t>
        </is>
      </c>
      <c r="C4400" s="3" t="inlineStr">
        <is>
          <t>Técnico I</t>
        </is>
      </c>
      <c r="D4400" s="3" t="n">
        <v>25</v>
      </c>
      <c r="E4400" s="3" t="n">
        <v>24</v>
      </c>
      <c r="F4400" s="3" t="n">
        <v>17.35</v>
      </c>
      <c r="G4400" s="3" t="n">
        <v>6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27</v>
      </c>
      <c r="N4400" s="3" t="n">
        <v>97.48</v>
      </c>
      <c r="O4400" s="3" t="n">
        <v>22.99465240641711</v>
      </c>
    </row>
    <row r="4401" hidden="1">
      <c r="A4401" s="5" t="n">
        <v>46150</v>
      </c>
      <c r="B4401" s="6" t="inlineStr">
        <is>
          <t>Daniel Gomes da Silva</t>
        </is>
      </c>
      <c r="C4401" s="3" t="inlineStr">
        <is>
          <t>Técnico I</t>
        </is>
      </c>
      <c r="D4401" s="3" t="n">
        <v>16</v>
      </c>
      <c r="E4401" s="3" t="n">
        <v>16</v>
      </c>
      <c r="F4401" s="3" t="n">
        <v>23.51</v>
      </c>
      <c r="G4401" s="3" t="n">
        <v>0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s="3" t="n">
        <v>11</v>
      </c>
      <c r="N4401" s="3" t="n">
        <v>100</v>
      </c>
      <c r="O4401" s="3" t="n">
        <v>20.78853046594982</v>
      </c>
    </row>
    <row r="4402" hidden="1">
      <c r="A4402" s="5" t="n">
        <v>46150</v>
      </c>
      <c r="B4402" s="6" t="inlineStr">
        <is>
          <t>Luiz Fernando de Carvalho Junior</t>
        </is>
      </c>
      <c r="C4402" s="3" t="inlineStr">
        <is>
          <t>Técnico I</t>
        </is>
      </c>
      <c r="D4402" s="3" t="n">
        <v>18</v>
      </c>
      <c r="E4402" s="3" t="n">
        <v>17</v>
      </c>
      <c r="F4402" s="3" t="n">
        <v>25.06</v>
      </c>
      <c r="G4402" s="3" t="n">
        <v>6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s="3" t="n">
        <v>23</v>
      </c>
      <c r="N4402" s="3" t="n">
        <v>94.55</v>
      </c>
      <c r="O4402" s="3" t="n">
        <v>23.45013477088949</v>
      </c>
    </row>
    <row r="4403" hidden="1">
      <c r="A4403" s="5" t="n">
        <v>46150</v>
      </c>
      <c r="B4403" s="6" t="inlineStr">
        <is>
          <t>Raane Batista Matos</t>
        </is>
      </c>
      <c r="C4403" s="3" t="inlineStr">
        <is>
          <t>Técnico I</t>
        </is>
      </c>
      <c r="D4403" s="3" t="n">
        <v>39</v>
      </c>
      <c r="E4403" s="3" t="n">
        <v>34</v>
      </c>
      <c r="F4403" s="3" t="n">
        <v>12.08</v>
      </c>
      <c r="G4403" s="3" t="n">
        <v>2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s="3" t="n">
        <v>32</v>
      </c>
      <c r="N4403" s="3" t="n">
        <v>98</v>
      </c>
      <c r="O4403" s="3" t="n">
        <v>20.73490813648294</v>
      </c>
    </row>
    <row r="4404" hidden="1">
      <c r="A4404" s="5" t="n">
        <v>46150</v>
      </c>
      <c r="B4404" s="6" t="inlineStr">
        <is>
          <t>Sara Maria Monteiro Lopes</t>
        </is>
      </c>
      <c r="C4404" s="3" t="inlineStr">
        <is>
          <t>Técnico I</t>
        </is>
      </c>
      <c r="D4404" s="3" t="n">
        <v>0</v>
      </c>
      <c r="E4404" s="3" t="n">
        <v>0</v>
      </c>
      <c r="F4404" s="3" t="n">
        <v>0</v>
      </c>
      <c r="G4404" s="3" t="n">
        <v>0</v>
      </c>
      <c r="H4404" s="3" t="n">
        <v>0</v>
      </c>
      <c r="I4404" s="3" t="n">
        <v>0</v>
      </c>
      <c r="J4404" s="3" t="n">
        <v>0</v>
      </c>
      <c r="K4404" s="3" t="n">
        <v>0</v>
      </c>
      <c r="L4404" s="3">
        <f>IF(K4404&lt;-5,"CRÍTICO",IF(K4404&lt;0,"ATENÇÃO",IF(K4404&lt;=5,"BOM","EXCELENTE")))</f>
        <v/>
      </c>
      <c r="M4404" s="3" t="n">
        <v>0</v>
      </c>
      <c r="N4404" s="3" t="n">
        <v>100</v>
      </c>
      <c r="O4404" s="3" t="n">
        <v>18</v>
      </c>
    </row>
    <row r="4405" hidden="1">
      <c r="A4405" s="5" t="n">
        <v>46153</v>
      </c>
      <c r="B4405" s="6" t="inlineStr">
        <is>
          <t>Ana Karollyne Souza Faria</t>
        </is>
      </c>
      <c r="C4405" s="3" t="inlineStr">
        <is>
          <t>Técnico I</t>
        </is>
      </c>
      <c r="D4405" s="3" t="n">
        <v>40</v>
      </c>
      <c r="E4405" s="3" t="n">
        <v>38</v>
      </c>
      <c r="F4405" s="3" t="n">
        <v>13.44</v>
      </c>
      <c r="G4405" s="3" t="n">
        <v>8</v>
      </c>
      <c r="H4405" s="3" t="n">
        <v>0</v>
      </c>
      <c r="I4405" s="3">
        <f>E4405+G4405+H4405</f>
        <v/>
      </c>
      <c r="J4405" s="3">
        <f>ROUND(MIN(IF(C4405="Técnico III",35,IF(C4405="Técnico II",28,IF(C4405="Técnico I",23,IF(C4405="JR",20,IF(C4405="Estágio",10,0))))),IF(C4405="Técnico III",SUMIFS($D:$D,$A:$A,$A4405,$B:$B,"&lt;&gt;Patrícia Karla de Sousa Araújo",$B:$B,"&lt;&gt;Lorena Dias de Araujo",$B:$B,"&lt;&gt;Lucas Luiz Romero")*(35/1083),IF(C4405="Técnico II",SUMIFS($D:$D,$A:$A,$A4405,$B:$B,"&lt;&gt;Patrícia Karla de Sousa Araújo",$B:$B,"&lt;&gt;Lorena Dias de Araujo",$B:$B,"&lt;&gt;Lucas Luiz Romero")*(28/1083),IF(C4405="Técnico I",SUMIFS($D:$D,$A:$A,$A4405,$B:$B,"&lt;&gt;Patrícia Karla de Sousa Araújo",$B:$B,"&lt;&gt;Lorena Dias de Araujo",$B:$B,"&lt;&gt;Lucas Luiz Romero")*(23/1083),IF(C4405="JR",SUMIFS($D:$D,$A:$A,$A4405,$B:$B,"&lt;&gt;Patrícia Karla de Sousa Araújo",$B:$B,"&lt;&gt;Lorena Dias de Araujo",$B:$B,"&lt;&gt;Lucas Luiz Romero")*(20/1083),IF(C4405="Estágio",SUMIFS($D:$D,$A:$A,$A4405,$B:$B,"&lt;&gt;Patrícia Karla de Sousa Araújo",$B:$B,"&lt;&gt;Lorena Dias de Araujo",$B:$B,"&lt;&gt;Lucas Luiz Romero")*(10/1083),0)))))),0)</f>
        <v/>
      </c>
      <c r="K4405" s="3">
        <f>I4405-J4405</f>
        <v/>
      </c>
      <c r="L4405" s="3">
        <f>IF(K4405&lt;-5,"CRÍTICO",IF(K4405&lt;0,"ATENÇÃO",IF(K4405&lt;=5,"BOM","EXCELENTE")))</f>
        <v/>
      </c>
      <c r="M4405" s="3" t="n">
        <v>38</v>
      </c>
      <c r="N4405" s="3" t="n">
        <v>96.25</v>
      </c>
      <c r="O4405" s="3" t="n">
        <v>25.5863539445629</v>
      </c>
    </row>
    <row r="4406" hidden="1">
      <c r="A4406" s="5" t="n">
        <v>46153</v>
      </c>
      <c r="B4406" s="6" t="inlineStr">
        <is>
          <t>Clessiane Pereira dos Santos</t>
        </is>
      </c>
      <c r="C4406" s="3" t="inlineStr">
        <is>
          <t>Técnico I</t>
        </is>
      </c>
      <c r="D4406" s="3" t="n">
        <v>24</v>
      </c>
      <c r="E4406" s="3" t="n">
        <v>23</v>
      </c>
      <c r="F4406" s="3" t="n">
        <v>18.57</v>
      </c>
      <c r="G4406" s="3" t="n">
        <v>2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21</v>
      </c>
      <c r="N4406" s="3" t="n">
        <v>97.48</v>
      </c>
      <c r="O4406" s="3" t="n">
        <v>22.99465240641711</v>
      </c>
    </row>
    <row r="4407" hidden="1">
      <c r="A4407" s="5" t="n">
        <v>46153</v>
      </c>
      <c r="B4407" s="6" t="inlineStr">
        <is>
          <t>Daniel Gomes da Silva</t>
        </is>
      </c>
      <c r="C4407" s="3" t="inlineStr">
        <is>
          <t>Técnico I</t>
        </is>
      </c>
      <c r="D4407" s="3" t="n">
        <v>24</v>
      </c>
      <c r="E4407" s="3" t="n">
        <v>20</v>
      </c>
      <c r="F4407" s="3" t="n">
        <v>13.37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s="3" t="n">
        <v>19</v>
      </c>
      <c r="N4407" s="3" t="n">
        <v>100</v>
      </c>
      <c r="O4407" s="3" t="n">
        <v>20.78853046594982</v>
      </c>
    </row>
    <row r="4408" hidden="1">
      <c r="A4408" s="5" t="n">
        <v>46153</v>
      </c>
      <c r="B4408" s="6" t="inlineStr">
        <is>
          <t>Luiz Fernando de Carvalho Junior</t>
        </is>
      </c>
      <c r="C4408" s="3" t="inlineStr">
        <is>
          <t>Técnico I</t>
        </is>
      </c>
      <c r="D4408" s="3" t="n">
        <v>24</v>
      </c>
      <c r="E4408" s="3" t="n">
        <v>23</v>
      </c>
      <c r="F4408" s="3" t="n">
        <v>17.22</v>
      </c>
      <c r="G4408" s="3" t="n">
        <v>1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s="3" t="n">
        <v>25</v>
      </c>
      <c r="N4408" s="3" t="n">
        <v>94.55</v>
      </c>
      <c r="O4408" s="3" t="n">
        <v>23.45013477088949</v>
      </c>
    </row>
    <row r="4409" hidden="1">
      <c r="A4409" s="5" t="n">
        <v>46153</v>
      </c>
      <c r="B4409" s="6" t="inlineStr">
        <is>
          <t>Raane Batista Matos</t>
        </is>
      </c>
      <c r="C4409" s="3" t="inlineStr">
        <is>
          <t>Técnico I</t>
        </is>
      </c>
      <c r="D4409" s="3" t="n">
        <v>29</v>
      </c>
      <c r="E4409" s="3" t="n">
        <v>25</v>
      </c>
      <c r="F4409" s="3" t="n">
        <v>22.14</v>
      </c>
      <c r="G4409" s="3" t="n">
        <v>6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s="3" t="n">
        <v>24</v>
      </c>
      <c r="N4409" s="3" t="n">
        <v>98</v>
      </c>
      <c r="O4409" s="3" t="n">
        <v>20.73490813648294</v>
      </c>
    </row>
    <row r="4410" hidden="1">
      <c r="A4410" s="5" t="n">
        <v>46153</v>
      </c>
      <c r="B4410" s="6" t="inlineStr">
        <is>
          <t>Sara Maria Monteiro Lopes</t>
        </is>
      </c>
      <c r="C4410" s="3" t="inlineStr">
        <is>
          <t>Técnico I</t>
        </is>
      </c>
      <c r="D4410" s="3" t="n">
        <v>16</v>
      </c>
      <c r="E4410" s="3" t="n">
        <v>16</v>
      </c>
      <c r="F4410" s="3" t="n">
        <v>33.21</v>
      </c>
      <c r="G4410" s="3" t="n">
        <v>1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s="3" t="n">
        <v>15</v>
      </c>
      <c r="N4410" s="3" t="n">
        <v>100</v>
      </c>
      <c r="O4410" s="3" t="n">
        <v>18</v>
      </c>
    </row>
    <row r="4411" hidden="1">
      <c r="A4411" s="5" t="n">
        <v>46154</v>
      </c>
      <c r="B4411" s="6" t="inlineStr">
        <is>
          <t>Ana Karollyne Souza Faria</t>
        </is>
      </c>
      <c r="C4411" s="3" t="inlineStr">
        <is>
          <t>Técnico I</t>
        </is>
      </c>
      <c r="D4411" s="3" t="n">
        <v>31</v>
      </c>
      <c r="E4411" s="3" t="n">
        <v>29</v>
      </c>
      <c r="F4411" s="3" t="n">
        <v>17.38</v>
      </c>
      <c r="G4411" s="3" t="n">
        <v>2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s="3" t="n">
        <v>27</v>
      </c>
      <c r="N4411" s="3" t="n">
        <v>96.25</v>
      </c>
      <c r="O4411" s="3" t="n">
        <v>25.5863539445629</v>
      </c>
    </row>
    <row r="4412" hidden="1">
      <c r="A4412" s="5" t="n">
        <v>46154</v>
      </c>
      <c r="B4412" s="6" t="inlineStr">
        <is>
          <t>Clessiane Pereira dos Santos</t>
        </is>
      </c>
      <c r="C4412" s="3" t="inlineStr">
        <is>
          <t>Técnico I</t>
        </is>
      </c>
      <c r="D4412" s="3" t="n">
        <v>24</v>
      </c>
      <c r="E4412" s="3" t="n">
        <v>23</v>
      </c>
      <c r="F4412" s="3" t="n">
        <v>13.58</v>
      </c>
      <c r="G4412" s="3" t="n">
        <v>5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25</v>
      </c>
      <c r="N4412" s="3" t="n">
        <v>97.48</v>
      </c>
      <c r="O4412" s="3" t="n">
        <v>22.99465240641711</v>
      </c>
    </row>
    <row r="4413" hidden="1">
      <c r="A4413" s="5" t="n">
        <v>46154</v>
      </c>
      <c r="B4413" s="6" t="inlineStr">
        <is>
          <t>Daniel Gomes da Silva</t>
        </is>
      </c>
      <c r="C4413" s="3" t="inlineStr">
        <is>
          <t>Técnico I</t>
        </is>
      </c>
      <c r="D4413" s="3" t="n">
        <v>28</v>
      </c>
      <c r="E4413" s="3" t="n">
        <v>26</v>
      </c>
      <c r="F4413" s="3" t="n">
        <v>11.47</v>
      </c>
      <c r="G4413" s="3" t="n">
        <v>0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s="3" t="n">
        <v>17</v>
      </c>
      <c r="N4413" s="3" t="n">
        <v>100</v>
      </c>
      <c r="O4413" s="3" t="n">
        <v>20.78853046594982</v>
      </c>
    </row>
    <row r="4414" hidden="1">
      <c r="A4414" s="5" t="n">
        <v>46154</v>
      </c>
      <c r="B4414" s="6" t="inlineStr">
        <is>
          <t>Luiz Fernando de Carvalho Junior</t>
        </is>
      </c>
      <c r="C4414" s="3" t="inlineStr">
        <is>
          <t>Técnico I</t>
        </is>
      </c>
      <c r="D4414" s="3" t="n">
        <v>24</v>
      </c>
      <c r="E4414" s="3" t="n">
        <v>20</v>
      </c>
      <c r="F4414" s="3" t="n">
        <v>19.15</v>
      </c>
      <c r="G4414" s="3" t="n">
        <v>4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s="3" t="n">
        <v>22</v>
      </c>
      <c r="N4414" s="3" t="n">
        <v>94.55</v>
      </c>
      <c r="O4414" s="3" t="n">
        <v>23.45013477088949</v>
      </c>
    </row>
    <row r="4415" hidden="1">
      <c r="A4415" s="5" t="n">
        <v>46154</v>
      </c>
      <c r="B4415" s="6" t="inlineStr">
        <is>
          <t>Raane Batista Matos</t>
        </is>
      </c>
      <c r="C4415" s="3" t="inlineStr">
        <is>
          <t>Técnico I</t>
        </is>
      </c>
      <c r="D4415" s="3" t="n">
        <v>27</v>
      </c>
      <c r="E4415" s="3" t="n">
        <v>26</v>
      </c>
      <c r="F4415" s="3" t="n">
        <v>17.2</v>
      </c>
      <c r="G4415" s="3" t="n">
        <v>1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s="3" t="n">
        <v>20</v>
      </c>
      <c r="N4415" s="3" t="n">
        <v>98</v>
      </c>
      <c r="O4415" s="3" t="n">
        <v>20.73490813648294</v>
      </c>
    </row>
    <row r="4416" hidden="1">
      <c r="A4416" s="5" t="n">
        <v>46154</v>
      </c>
      <c r="B4416" s="6" t="inlineStr">
        <is>
          <t>Sara Maria Monteiro Lopes</t>
        </is>
      </c>
      <c r="C4416" s="3" t="inlineStr">
        <is>
          <t>Técnico I</t>
        </is>
      </c>
      <c r="D4416" s="3" t="n">
        <v>19</v>
      </c>
      <c r="E4416" s="3" t="n">
        <v>19</v>
      </c>
      <c r="F4416" s="3" t="n">
        <v>30.07</v>
      </c>
      <c r="G4416" s="3" t="n">
        <v>0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s="3" t="n">
        <v>19</v>
      </c>
      <c r="N4416" s="3" t="n">
        <v>100</v>
      </c>
      <c r="O4416" s="3" t="n">
        <v>18</v>
      </c>
    </row>
    <row r="4417" hidden="1">
      <c r="A4417" s="5" t="n">
        <v>46155</v>
      </c>
      <c r="B4417" s="6" t="inlineStr">
        <is>
          <t>Ana Karollyne Souza Faria</t>
        </is>
      </c>
      <c r="C4417" s="3" t="inlineStr">
        <is>
          <t>Técnico I</t>
        </is>
      </c>
      <c r="D4417" s="3" t="n">
        <v>25</v>
      </c>
      <c r="E4417" s="3" t="n">
        <v>21</v>
      </c>
      <c r="F4417" s="3" t="n">
        <v>22.22</v>
      </c>
      <c r="G4417" s="3" t="n">
        <v>7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s="3" t="n">
        <v>26</v>
      </c>
      <c r="N4417" s="3" t="n">
        <v>96.25</v>
      </c>
      <c r="O4417" s="3" t="n">
        <v>25.5863539445629</v>
      </c>
    </row>
    <row r="4418" hidden="1">
      <c r="A4418" s="5" t="n">
        <v>46155</v>
      </c>
      <c r="B4418" s="6" t="inlineStr">
        <is>
          <t>Clessiane Pereira dos Santos</t>
        </is>
      </c>
      <c r="C4418" s="3" t="inlineStr">
        <is>
          <t>Técnico I</t>
        </is>
      </c>
      <c r="D4418" s="3" t="n">
        <v>37</v>
      </c>
      <c r="E4418" s="3" t="n">
        <v>32</v>
      </c>
      <c r="F4418" s="3" t="n">
        <v>15.32</v>
      </c>
      <c r="G4418" s="3" t="n">
        <v>3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97.48</v>
      </c>
      <c r="O4418" s="3" t="n">
        <v>22.99465240641711</v>
      </c>
    </row>
    <row r="4419" hidden="1">
      <c r="A4419" s="5" t="n">
        <v>46155</v>
      </c>
      <c r="B4419" s="6" t="inlineStr">
        <is>
          <t>Daniel Gomes da Silva</t>
        </is>
      </c>
      <c r="C4419" s="3" t="inlineStr">
        <is>
          <t>Técnico I</t>
        </is>
      </c>
      <c r="D4419" s="3" t="n">
        <v>17</v>
      </c>
      <c r="E4419" s="3" t="n">
        <v>16</v>
      </c>
      <c r="F4419" s="3" t="n">
        <v>21.54</v>
      </c>
      <c r="G4419" s="3" t="n">
        <v>5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s="3" t="n">
        <v>19</v>
      </c>
      <c r="N4419" s="3" t="n">
        <v>100</v>
      </c>
      <c r="O4419" s="3" t="n">
        <v>20.78853046594982</v>
      </c>
    </row>
    <row r="4420" hidden="1">
      <c r="A4420" s="5" t="n">
        <v>46155</v>
      </c>
      <c r="B4420" s="6" t="inlineStr">
        <is>
          <t>Luiz Fernando de Carvalho Junior</t>
        </is>
      </c>
      <c r="C4420" s="3" t="inlineStr">
        <is>
          <t>Técnico I</t>
        </is>
      </c>
      <c r="D4420" s="3" t="n">
        <v>24</v>
      </c>
      <c r="E4420" s="3" t="n">
        <v>22</v>
      </c>
      <c r="F4420" s="3" t="n">
        <v>20.17</v>
      </c>
      <c r="G4420" s="3" t="n">
        <v>1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s="3" t="n">
        <v>22</v>
      </c>
      <c r="N4420" s="3" t="n">
        <v>94.55</v>
      </c>
      <c r="O4420" s="3" t="n">
        <v>23.45013477088949</v>
      </c>
    </row>
    <row r="4421" hidden="1">
      <c r="A4421" s="5" t="n">
        <v>46155</v>
      </c>
      <c r="B4421" s="6" t="inlineStr">
        <is>
          <t>Raane Batista Matos</t>
        </is>
      </c>
      <c r="C4421" s="3" t="inlineStr">
        <is>
          <t>Técnico I</t>
        </is>
      </c>
      <c r="D4421" s="3" t="n">
        <v>33</v>
      </c>
      <c r="E4421" s="3" t="n">
        <v>31</v>
      </c>
      <c r="F4421" s="3" t="n">
        <v>13.48</v>
      </c>
      <c r="G4421" s="3" t="n">
        <v>7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s="3" t="n">
        <v>31</v>
      </c>
      <c r="N4421" s="3" t="n">
        <v>98</v>
      </c>
      <c r="O4421" s="3" t="n">
        <v>20.73490813648294</v>
      </c>
    </row>
    <row r="4422" hidden="1">
      <c r="A4422" s="5" t="n">
        <v>46155</v>
      </c>
      <c r="B4422" s="6" t="inlineStr">
        <is>
          <t>Sara Maria Monteiro Lopes</t>
        </is>
      </c>
      <c r="C4422" s="3" t="inlineStr">
        <is>
          <t>Técnico I</t>
        </is>
      </c>
      <c r="D4422" s="3" t="n">
        <v>11</v>
      </c>
      <c r="E4422" s="3" t="n">
        <v>10</v>
      </c>
      <c r="F4422" s="3" t="n">
        <v>33.26</v>
      </c>
      <c r="G4422" s="3" t="n">
        <v>5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s="3" t="n">
        <v>16</v>
      </c>
      <c r="N4422" s="3" t="n">
        <v>100</v>
      </c>
      <c r="O4422" s="3" t="n">
        <v>18</v>
      </c>
    </row>
    <row r="4423" hidden="1">
      <c r="A4423" s="5" t="n">
        <v>46156</v>
      </c>
      <c r="B4423" s="6" t="inlineStr">
        <is>
          <t>Ana Karollyne Souza Faria</t>
        </is>
      </c>
      <c r="C4423" s="3" t="inlineStr">
        <is>
          <t>Técnico I</t>
        </is>
      </c>
      <c r="D4423" s="3" t="n">
        <v>27</v>
      </c>
      <c r="E4423" s="3" t="n">
        <v>25</v>
      </c>
      <c r="F4423" s="3" t="n">
        <v>18.51</v>
      </c>
      <c r="G4423" s="3" t="n">
        <v>1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s="3" t="n">
        <v>23</v>
      </c>
      <c r="N4423" s="3" t="n">
        <v>96.25</v>
      </c>
      <c r="O4423" s="3" t="n">
        <v>25.5863539445629</v>
      </c>
    </row>
    <row r="4424" hidden="1">
      <c r="A4424" s="5" t="n">
        <v>46156</v>
      </c>
      <c r="B4424" s="6" t="inlineStr">
        <is>
          <t>Clessiane Pereira dos Santos</t>
        </is>
      </c>
      <c r="C4424" s="3" t="inlineStr">
        <is>
          <t>Técnico I</t>
        </is>
      </c>
      <c r="D4424" s="3" t="n">
        <v>33</v>
      </c>
      <c r="E4424" s="3" t="n">
        <v>29</v>
      </c>
      <c r="F4424" s="3" t="n">
        <v>11.54</v>
      </c>
      <c r="G4424" s="3" t="n">
        <v>7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30</v>
      </c>
      <c r="N4424" s="3" t="n">
        <v>97.48</v>
      </c>
      <c r="O4424" s="3" t="n">
        <v>22.99465240641711</v>
      </c>
    </row>
    <row r="4425" hidden="1">
      <c r="A4425" s="5" t="n">
        <v>46156</v>
      </c>
      <c r="B4425" s="6" t="inlineStr">
        <is>
          <t>Daniel Gomes da Silva</t>
        </is>
      </c>
      <c r="C4425" s="3" t="inlineStr">
        <is>
          <t>Técnico I</t>
        </is>
      </c>
      <c r="D4425" s="3" t="n">
        <v>30</v>
      </c>
      <c r="E4425" s="3" t="n">
        <v>28</v>
      </c>
      <c r="F4425" s="3" t="n">
        <v>18.25</v>
      </c>
      <c r="G4425" s="3" t="n">
        <v>1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s="3" t="n">
        <v>20</v>
      </c>
      <c r="N4425" s="3" t="n">
        <v>100</v>
      </c>
      <c r="O4425" s="3" t="n">
        <v>20.78853046594982</v>
      </c>
    </row>
    <row r="4426" hidden="1">
      <c r="A4426" s="5" t="n">
        <v>46156</v>
      </c>
      <c r="B4426" s="6" t="inlineStr">
        <is>
          <t>Luiz Fernando de Carvalho Junior</t>
        </is>
      </c>
      <c r="C4426" s="3" t="inlineStr">
        <is>
          <t>Técnico I</t>
        </is>
      </c>
      <c r="D4426" s="3" t="n">
        <v>11</v>
      </c>
      <c r="E4426" s="3" t="n">
        <v>11</v>
      </c>
      <c r="F4426" s="3" t="n">
        <v>33.21</v>
      </c>
      <c r="G4426" s="3" t="n">
        <v>4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s="3" t="n">
        <v>16</v>
      </c>
      <c r="N4426" s="3" t="n">
        <v>94.55</v>
      </c>
      <c r="O4426" s="3" t="n">
        <v>23.45013477088949</v>
      </c>
    </row>
    <row r="4427" hidden="1">
      <c r="A4427" s="5" t="n">
        <v>46156</v>
      </c>
      <c r="B4427" s="6" t="inlineStr">
        <is>
          <t>Raane Batista Matos</t>
        </is>
      </c>
      <c r="C4427" s="3" t="inlineStr">
        <is>
          <t>Técnico I</t>
        </is>
      </c>
      <c r="D4427" s="3" t="n">
        <v>26</v>
      </c>
      <c r="E4427" s="3" t="n">
        <v>25</v>
      </c>
      <c r="F4427" s="3" t="n">
        <v>15.24</v>
      </c>
      <c r="G4427" s="3" t="n">
        <v>1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s="3" t="n">
        <v>24</v>
      </c>
      <c r="N4427" s="3" t="n">
        <v>98</v>
      </c>
      <c r="O4427" s="3" t="n">
        <v>20.73490813648294</v>
      </c>
    </row>
    <row r="4428" hidden="1">
      <c r="A4428" s="5" t="n">
        <v>46156</v>
      </c>
      <c r="B4428" s="6" t="inlineStr">
        <is>
          <t>Sara Maria Monteiro Lopes</t>
        </is>
      </c>
      <c r="C4428" s="3" t="inlineStr">
        <is>
          <t>Técnico I</t>
        </is>
      </c>
      <c r="D4428" s="3" t="n">
        <v>20</v>
      </c>
      <c r="E4428" s="3" t="n">
        <v>19</v>
      </c>
      <c r="F4428" s="3" t="n">
        <v>20.29</v>
      </c>
      <c r="G4428" s="3" t="n">
        <v>0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s="3" t="n">
        <v>17</v>
      </c>
      <c r="N4428" s="3" t="n">
        <v>100</v>
      </c>
      <c r="O4428" s="3" t="n">
        <v>18</v>
      </c>
    </row>
    <row r="4429" hidden="1">
      <c r="A4429" s="5" t="n">
        <v>46157</v>
      </c>
      <c r="B4429" s="6" t="inlineStr">
        <is>
          <t>Ana Karollyne Souza Faria</t>
        </is>
      </c>
      <c r="C4429" s="3" t="inlineStr">
        <is>
          <t>Técnico I</t>
        </is>
      </c>
      <c r="D4429" s="3" t="n">
        <v>40</v>
      </c>
      <c r="E4429" s="3" t="n">
        <v>38</v>
      </c>
      <c r="F4429" s="3" t="n">
        <v>15.24</v>
      </c>
      <c r="G4429" s="3" t="n">
        <v>5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s="3" t="n">
        <v>36</v>
      </c>
      <c r="N4429" s="3" t="n">
        <v>96.25</v>
      </c>
      <c r="O4429" s="3" t="n">
        <v>25.5863539445629</v>
      </c>
    </row>
    <row r="4430" hidden="1">
      <c r="A4430" s="5" t="n">
        <v>46157</v>
      </c>
      <c r="B4430" s="6" t="inlineStr">
        <is>
          <t>Clessiane Pereira dos Santos</t>
        </is>
      </c>
      <c r="C4430" s="3" t="inlineStr">
        <is>
          <t>Técnico I</t>
        </is>
      </c>
      <c r="D4430" s="3" t="n">
        <v>24</v>
      </c>
      <c r="E4430" s="3" t="n">
        <v>20</v>
      </c>
      <c r="F4430" s="3" t="n">
        <v>19.19</v>
      </c>
      <c r="G4430" s="3" t="n">
        <v>3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20</v>
      </c>
      <c r="N4430" s="3" t="n">
        <v>97.48</v>
      </c>
      <c r="O4430" s="3" t="n">
        <v>22.99465240641711</v>
      </c>
    </row>
    <row r="4431" hidden="1">
      <c r="A4431" s="5" t="n">
        <v>46157</v>
      </c>
      <c r="B4431" s="6" t="inlineStr">
        <is>
          <t>Daniel Gomes da Silva</t>
        </is>
      </c>
      <c r="C4431" s="3" t="inlineStr">
        <is>
          <t>Técnico I</t>
        </is>
      </c>
      <c r="D4431" s="3" t="n">
        <v>18</v>
      </c>
      <c r="E4431" s="3" t="n">
        <v>18</v>
      </c>
      <c r="F4431" s="3" t="n">
        <v>25.25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s="3" t="n">
        <v>19</v>
      </c>
      <c r="N4431" s="3" t="n">
        <v>100</v>
      </c>
      <c r="O4431" s="3" t="n">
        <v>20.78853046594982</v>
      </c>
    </row>
    <row r="4432" hidden="1">
      <c r="A4432" s="5" t="n">
        <v>46157</v>
      </c>
      <c r="B4432" s="6" t="inlineStr">
        <is>
          <t>Luiz Fernando de Carvalho Junior</t>
        </is>
      </c>
      <c r="C4432" s="3" t="inlineStr">
        <is>
          <t>Técnico I</t>
        </is>
      </c>
      <c r="D4432" s="3" t="n">
        <v>24</v>
      </c>
      <c r="E4432" s="3" t="n">
        <v>21</v>
      </c>
      <c r="F4432" s="3" t="n">
        <v>20.35</v>
      </c>
      <c r="G4432" s="3" t="n">
        <v>2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s="3" t="n">
        <v>24</v>
      </c>
      <c r="N4432" s="3" t="n">
        <v>94.55</v>
      </c>
      <c r="O4432" s="3" t="n">
        <v>23.45013477088949</v>
      </c>
    </row>
    <row r="4433" hidden="1">
      <c r="A4433" s="5" t="n">
        <v>46157</v>
      </c>
      <c r="B4433" s="6" t="inlineStr">
        <is>
          <t>Raane Batista Matos</t>
        </is>
      </c>
      <c r="C4433" s="3" t="inlineStr">
        <is>
          <t>Técnico I</t>
        </is>
      </c>
      <c r="D4433" s="3" t="n">
        <v>28</v>
      </c>
      <c r="E4433" s="3" t="n">
        <v>25</v>
      </c>
      <c r="F4433" s="3" t="n">
        <v>13.57</v>
      </c>
      <c r="G4433" s="3" t="n">
        <v>5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s="3" t="n">
        <v>23</v>
      </c>
      <c r="N4433" s="3" t="n">
        <v>98</v>
      </c>
      <c r="O4433" s="3" t="n">
        <v>20.73490813648294</v>
      </c>
    </row>
    <row r="4434" hidden="1">
      <c r="A4434" s="5" t="n">
        <v>46157</v>
      </c>
      <c r="B4434" s="6" t="inlineStr">
        <is>
          <t>Sara Maria Monteiro Lopes</t>
        </is>
      </c>
      <c r="C4434" s="3" t="inlineStr">
        <is>
          <t>Técnico I</t>
        </is>
      </c>
      <c r="D4434" s="3" t="n">
        <v>18</v>
      </c>
      <c r="E4434" s="3" t="n">
        <v>17</v>
      </c>
      <c r="F4434" s="3" t="n">
        <v>35.31</v>
      </c>
      <c r="G4434" s="3" t="n">
        <v>3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s="3" t="n">
        <v>14</v>
      </c>
      <c r="N4434" s="3" t="n">
        <v>100</v>
      </c>
      <c r="O4434" s="3" t="n">
        <v>18</v>
      </c>
    </row>
    <row r="4435" hidden="1">
      <c r="A4435" s="5" t="n">
        <v>46160</v>
      </c>
      <c r="B4435" s="6" t="inlineStr">
        <is>
          <t>Ana Karollyne Souza Faria</t>
        </is>
      </c>
      <c r="C4435" s="3" t="inlineStr">
        <is>
          <t>Técnico I</t>
        </is>
      </c>
      <c r="D4435" s="3" t="n">
        <v>18</v>
      </c>
      <c r="E4435" s="3" t="n">
        <v>17</v>
      </c>
      <c r="F4435" s="3" t="n">
        <v>20.19</v>
      </c>
      <c r="G4435" s="3" t="n">
        <v>2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s="3" t="n">
        <v>18</v>
      </c>
      <c r="N4435" s="3" t="n">
        <v>96.25</v>
      </c>
      <c r="O4435" s="3" t="n">
        <v>25.5863539445629</v>
      </c>
    </row>
    <row r="4436" hidden="1">
      <c r="A4436" s="5" t="n">
        <v>46160</v>
      </c>
      <c r="B4436" s="6" t="inlineStr">
        <is>
          <t>Clessiane Pereira dos Santos</t>
        </is>
      </c>
      <c r="C4436" s="3" t="inlineStr">
        <is>
          <t>Técnico I</t>
        </is>
      </c>
      <c r="D4436" s="3" t="n">
        <v>22</v>
      </c>
      <c r="E4436" s="3" t="n">
        <v>21</v>
      </c>
      <c r="F4436" s="3" t="n">
        <v>20.04</v>
      </c>
      <c r="G4436" s="3" t="n">
        <v>3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22</v>
      </c>
      <c r="N4436" s="3" t="n">
        <v>97.48</v>
      </c>
      <c r="O4436" s="3" t="n">
        <v>22.99465240641711</v>
      </c>
    </row>
    <row r="4437" hidden="1">
      <c r="A4437" s="5" t="n">
        <v>46160</v>
      </c>
      <c r="B4437" s="6" t="inlineStr">
        <is>
          <t>Daniel Gomes da Silva</t>
        </is>
      </c>
      <c r="C4437" s="3" t="inlineStr">
        <is>
          <t>Técnico I</t>
        </is>
      </c>
      <c r="D4437" s="3" t="n">
        <v>20</v>
      </c>
      <c r="E4437" s="3" t="n">
        <v>19</v>
      </c>
      <c r="F4437" s="3" t="n">
        <v>18.52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s="3" t="n">
        <v>18</v>
      </c>
      <c r="N4437" s="3" t="n">
        <v>100</v>
      </c>
      <c r="O4437" s="3" t="n">
        <v>20.78853046594982</v>
      </c>
    </row>
    <row r="4438" hidden="1">
      <c r="A4438" s="5" t="n">
        <v>46160</v>
      </c>
      <c r="B4438" s="6" t="inlineStr">
        <is>
          <t>Luiz Fernando de Carvalho Junior</t>
        </is>
      </c>
      <c r="C4438" s="3" t="inlineStr">
        <is>
          <t>Técnico I</t>
        </is>
      </c>
      <c r="D4438" s="3" t="n">
        <v>21</v>
      </c>
      <c r="E4438" s="3" t="n">
        <v>20</v>
      </c>
      <c r="F4438" s="3" t="n">
        <v>17.02</v>
      </c>
      <c r="G4438" s="3" t="n">
        <v>2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s="3" t="n">
        <v>20</v>
      </c>
      <c r="N4438" s="3" t="n">
        <v>94.55</v>
      </c>
      <c r="O4438" s="3" t="n">
        <v>23.45013477088949</v>
      </c>
    </row>
    <row r="4439" hidden="1">
      <c r="A4439" s="5" t="n">
        <v>46160</v>
      </c>
      <c r="B4439" s="6" t="inlineStr">
        <is>
          <t>Raane Batista Matos</t>
        </is>
      </c>
      <c r="C4439" s="3" t="inlineStr">
        <is>
          <t>Técnico I</t>
        </is>
      </c>
      <c r="D4439" s="3" t="n">
        <v>28</v>
      </c>
      <c r="E4439" s="3" t="n">
        <v>25</v>
      </c>
      <c r="F4439" s="3" t="n">
        <v>14.02</v>
      </c>
      <c r="G4439" s="3" t="n">
        <v>1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s="3" t="n">
        <v>20</v>
      </c>
      <c r="N4439" s="3" t="n">
        <v>98</v>
      </c>
      <c r="O4439" s="3" t="n">
        <v>20.73490813648294</v>
      </c>
    </row>
    <row r="4440" hidden="1">
      <c r="A4440" s="5" t="n">
        <v>46160</v>
      </c>
      <c r="B4440" s="6" t="inlineStr">
        <is>
          <t>Sara Maria Monteiro Lopes</t>
        </is>
      </c>
      <c r="C4440" s="3" t="inlineStr">
        <is>
          <t>Técnico I</t>
        </is>
      </c>
      <c r="D4440" s="3" t="n">
        <v>23</v>
      </c>
      <c r="E4440" s="3" t="n">
        <v>19</v>
      </c>
      <c r="F4440" s="3" t="n">
        <v>23.58</v>
      </c>
      <c r="G4440" s="3" t="n">
        <v>3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s="3" t="n">
        <v>18</v>
      </c>
      <c r="N4440" s="3" t="n">
        <v>100</v>
      </c>
      <c r="O4440" s="3" t="n">
        <v>18</v>
      </c>
    </row>
    <row r="4441" hidden="1">
      <c r="A4441" s="7" t="n">
        <v>46161</v>
      </c>
      <c r="B4441" s="8" t="inlineStr">
        <is>
          <t>Ana Karollyne Souza Faria</t>
        </is>
      </c>
      <c r="C4441" s="9" t="inlineStr">
        <is>
          <t>Técnico I</t>
        </is>
      </c>
      <c r="D4441" s="3" t="n">
        <v>30</v>
      </c>
      <c r="E4441" s="3" t="n">
        <v>29</v>
      </c>
      <c r="F4441" s="3" t="n">
        <v>15.36</v>
      </c>
      <c r="G4441" s="3" t="n">
        <v>1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s="3" t="n">
        <v>29</v>
      </c>
      <c r="N4441" s="3" t="n">
        <v>96.25</v>
      </c>
      <c r="O4441" s="3" t="n">
        <v>25.5863539445629</v>
      </c>
    </row>
    <row r="4442" hidden="1">
      <c r="A4442" s="7" t="n">
        <v>46161</v>
      </c>
      <c r="B4442" s="8" t="inlineStr">
        <is>
          <t>Clessiane Pereira dos Santos</t>
        </is>
      </c>
      <c r="C4442" s="9" t="inlineStr">
        <is>
          <t>Técnico I</t>
        </is>
      </c>
      <c r="D4442" s="3" t="n">
        <v>26</v>
      </c>
      <c r="E4442" s="3" t="n">
        <v>25</v>
      </c>
      <c r="F4442" s="3" t="n">
        <v>15.02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19</v>
      </c>
      <c r="N4442" s="3" t="n">
        <v>97.48</v>
      </c>
      <c r="O4442" s="3" t="n">
        <v>22.99465240641711</v>
      </c>
    </row>
    <row r="4443" hidden="1">
      <c r="A4443" s="7" t="n">
        <v>46161</v>
      </c>
      <c r="B4443" s="8" t="inlineStr">
        <is>
          <t>Daniel Gomes da Silva</t>
        </is>
      </c>
      <c r="C4443" s="9" t="inlineStr">
        <is>
          <t>Técnico I</t>
        </is>
      </c>
      <c r="D4443" s="3" t="n">
        <v>21</v>
      </c>
      <c r="E4443" s="3" t="n">
        <v>20</v>
      </c>
      <c r="F4443" s="3" t="n">
        <v>12.3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s="3" t="n">
        <v>15</v>
      </c>
      <c r="N4443" s="3" t="n">
        <v>100</v>
      </c>
      <c r="O4443" s="3" t="n">
        <v>20.78853046594982</v>
      </c>
    </row>
    <row r="4444" hidden="1">
      <c r="A4444" s="7" t="n">
        <v>46161</v>
      </c>
      <c r="B4444" s="8" t="inlineStr">
        <is>
          <t>Luiz Fernando de Carvalho Junior</t>
        </is>
      </c>
      <c r="C4444" s="9" t="inlineStr">
        <is>
          <t>Técnico I</t>
        </is>
      </c>
      <c r="D4444" s="3" t="n">
        <v>18</v>
      </c>
      <c r="E4444" s="3" t="n">
        <v>17</v>
      </c>
      <c r="F4444" s="3" t="n">
        <v>25.09</v>
      </c>
      <c r="G4444" s="3" t="n">
        <v>2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s="3" t="n">
        <v>18</v>
      </c>
      <c r="N4444" s="3" t="n">
        <v>94.55</v>
      </c>
      <c r="O4444" s="3" t="n">
        <v>23.45013477088949</v>
      </c>
    </row>
    <row r="4445" hidden="1">
      <c r="A4445" s="7" t="n">
        <v>46161</v>
      </c>
      <c r="B4445" s="8" t="inlineStr">
        <is>
          <t>Raane Batista Matos</t>
        </is>
      </c>
      <c r="C4445" s="9" t="inlineStr">
        <is>
          <t>Técnico I</t>
        </is>
      </c>
      <c r="D4445" s="3" t="n">
        <v>35</v>
      </c>
      <c r="E4445" s="3" t="n">
        <v>31</v>
      </c>
      <c r="F4445" s="3" t="n">
        <v>13.24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s="3" t="n">
        <v>26</v>
      </c>
      <c r="N4445" s="3" t="n">
        <v>98</v>
      </c>
      <c r="O4445" s="3" t="n">
        <v>20.73490813648294</v>
      </c>
    </row>
    <row r="4446" hidden="1">
      <c r="A4446" s="7" t="n">
        <v>46161</v>
      </c>
      <c r="B4446" s="8" t="inlineStr">
        <is>
          <t>Sara Maria Monteiro Lopes</t>
        </is>
      </c>
      <c r="C4446" s="9" t="inlineStr">
        <is>
          <t>Técnico I</t>
        </is>
      </c>
      <c r="D4446" s="3" t="n">
        <v>18</v>
      </c>
      <c r="E4446" s="3" t="n">
        <v>18</v>
      </c>
      <c r="F4446" s="3" t="n">
        <v>25.39</v>
      </c>
      <c r="G4446" s="3" t="n">
        <v>0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s="3" t="n">
        <v>17</v>
      </c>
      <c r="N4446" s="3" t="n">
        <v>100</v>
      </c>
      <c r="O4446" s="3" t="n">
        <v>18</v>
      </c>
    </row>
    <row r="4447" hidden="1">
      <c r="A4447" s="7" t="n">
        <v>46162</v>
      </c>
      <c r="B4447" s="8" t="inlineStr">
        <is>
          <t>Ana Karollyne Souza Faria</t>
        </is>
      </c>
      <c r="C4447" s="9" t="inlineStr">
        <is>
          <t>Técnico I</t>
        </is>
      </c>
      <c r="D4447" s="3" t="n">
        <v>26</v>
      </c>
      <c r="E4447" s="3" t="n">
        <v>25</v>
      </c>
      <c r="F4447" s="3" t="n">
        <v>15.37</v>
      </c>
      <c r="G4447" s="3" t="n">
        <v>1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IF(K4447&lt;-5,"CRÍTICO",IF(K4447&lt;0,"ATENÇÃO",IF(K4447&lt;=5,"OPORTUNO","MUITO BOM")))</f>
        <v/>
      </c>
      <c r="M4447" s="3" t="n">
        <v>27</v>
      </c>
      <c r="N4447" s="3" t="n">
        <v>96.25</v>
      </c>
      <c r="O4447" s="3" t="n">
        <v>25.5863539445629</v>
      </c>
    </row>
    <row r="4448" hidden="1">
      <c r="A4448" s="7" t="n">
        <v>46162</v>
      </c>
      <c r="B4448" s="8" t="inlineStr">
        <is>
          <t>Clessiane Pereira dos Santos</t>
        </is>
      </c>
      <c r="C4448" s="9" t="inlineStr">
        <is>
          <t>Técnico I</t>
        </is>
      </c>
      <c r="D4448" s="3" t="n">
        <v>23</v>
      </c>
      <c r="E4448" s="3" t="n">
        <v>23</v>
      </c>
      <c r="F4448" s="3" t="n">
        <v>15.5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3" t="n">
        <v>22</v>
      </c>
      <c r="N4448" s="3" t="n">
        <v>97.48</v>
      </c>
      <c r="O4448" s="3" t="n">
        <v>22.99465240641711</v>
      </c>
    </row>
    <row r="4449" hidden="1">
      <c r="A4449" s="7" t="n">
        <v>46162</v>
      </c>
      <c r="B4449" s="8" t="inlineStr">
        <is>
          <t>Daniel Gomes da Silva</t>
        </is>
      </c>
      <c r="C4449" s="9" t="inlineStr">
        <is>
          <t>Técnico I</t>
        </is>
      </c>
      <c r="D4449" s="3" t="n">
        <v>17</v>
      </c>
      <c r="E4449" s="3" t="n">
        <v>14</v>
      </c>
      <c r="F4449" s="3" t="n">
        <v>15.58</v>
      </c>
      <c r="G4449" s="3" t="n">
        <v>2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3" t="n">
        <v>13</v>
      </c>
      <c r="N4449" s="3" t="n">
        <v>100</v>
      </c>
      <c r="O4449" s="3" t="n">
        <v>20.78853046594982</v>
      </c>
    </row>
    <row r="4450" hidden="1">
      <c r="A4450" s="7" t="n">
        <v>46162</v>
      </c>
      <c r="B4450" s="8" t="inlineStr">
        <is>
          <t>Luiz Fernando de Carvalho Junior</t>
        </is>
      </c>
      <c r="C4450" s="9" t="inlineStr">
        <is>
          <t>Técnico I</t>
        </is>
      </c>
      <c r="D4450" s="3" t="n">
        <v>18</v>
      </c>
      <c r="E4450" s="3" t="n">
        <v>17</v>
      </c>
      <c r="F4450" s="3" t="n">
        <v>15.33</v>
      </c>
      <c r="G4450" s="3" t="n">
        <v>1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3" t="n">
        <v>16</v>
      </c>
      <c r="N4450" s="3" t="n">
        <v>94.55</v>
      </c>
      <c r="O4450" s="3" t="n">
        <v>23.45013477088949</v>
      </c>
    </row>
    <row r="4451" hidden="1">
      <c r="A4451" s="7" t="n">
        <v>46162</v>
      </c>
      <c r="B4451" s="8" t="inlineStr">
        <is>
          <t>Raane Batista Matos</t>
        </is>
      </c>
      <c r="C4451" s="9" t="inlineStr">
        <is>
          <t>Técnico I</t>
        </is>
      </c>
      <c r="D4451" s="3" t="n">
        <v>25</v>
      </c>
      <c r="E4451" s="3" t="n">
        <v>24</v>
      </c>
      <c r="F4451" s="3" t="n">
        <v>17.06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3" t="n">
        <v>18</v>
      </c>
      <c r="N4451" s="3" t="n">
        <v>98</v>
      </c>
      <c r="O4451" s="3" t="n">
        <v>20.73490813648294</v>
      </c>
    </row>
    <row r="4452" hidden="1">
      <c r="A4452" s="7" t="n">
        <v>46162</v>
      </c>
      <c r="B4452" s="8" t="inlineStr">
        <is>
          <t>Sara Maria Monteiro Lopes</t>
        </is>
      </c>
      <c r="C4452" s="9" t="inlineStr">
        <is>
          <t>Técnico I</t>
        </is>
      </c>
      <c r="D4452" s="3" t="n">
        <v>17</v>
      </c>
      <c r="E4452" s="3" t="n">
        <v>17</v>
      </c>
      <c r="F4452" s="3" t="n">
        <v>34.04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3" t="n">
        <v>14</v>
      </c>
      <c r="N4452" s="3" t="n">
        <v>100</v>
      </c>
      <c r="O4452" s="3" t="n">
        <v>18</v>
      </c>
    </row>
    <row r="4453" hidden="1">
      <c r="A4453" s="5" t="n">
        <v>46163</v>
      </c>
      <c r="B4453" s="6" t="inlineStr">
        <is>
          <t>Ana Karollyne Souza Faria</t>
        </is>
      </c>
      <c r="C4453" s="3" t="inlineStr">
        <is>
          <t>Técnico I</t>
        </is>
      </c>
      <c r="D4453" s="3" t="n">
        <v>24</v>
      </c>
      <c r="E4453" s="3" t="n">
        <v>23</v>
      </c>
      <c r="F4453" s="3" t="n">
        <v>17.07</v>
      </c>
      <c r="G4453" s="3" t="n">
        <v>0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3" t="n">
        <v>21</v>
      </c>
      <c r="N4453" s="3" t="n">
        <v>96.25</v>
      </c>
      <c r="O4453" s="3" t="n">
        <v>25.5863539445629</v>
      </c>
    </row>
    <row r="4454" hidden="1">
      <c r="A4454" s="5" t="n">
        <v>46163</v>
      </c>
      <c r="B4454" s="6" t="inlineStr">
        <is>
          <t>Clessiane Pereira dos Santos</t>
        </is>
      </c>
      <c r="C4454" s="3" t="inlineStr">
        <is>
          <t>Técnico I</t>
        </is>
      </c>
      <c r="D4454" s="3" t="n">
        <v>23</v>
      </c>
      <c r="E4454" s="3" t="n">
        <v>22</v>
      </c>
      <c r="F4454" s="3" t="n">
        <v>17.08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17</v>
      </c>
      <c r="N4454" s="3" t="n">
        <v>97.48</v>
      </c>
      <c r="O4454" s="3" t="n">
        <v>22.99465240641711</v>
      </c>
    </row>
    <row r="4455" hidden="1">
      <c r="A4455" s="5" t="n">
        <v>46163</v>
      </c>
      <c r="B4455" s="6" t="inlineStr">
        <is>
          <t>Daniel Gomes da Silva</t>
        </is>
      </c>
      <c r="C4455" s="3" t="inlineStr">
        <is>
          <t>Técnico I</t>
        </is>
      </c>
      <c r="D4455" s="3" t="n">
        <v>16</v>
      </c>
      <c r="E4455" s="3" t="n">
        <v>16</v>
      </c>
      <c r="F4455" s="3" t="n">
        <v>26.5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14</v>
      </c>
      <c r="N4455" s="3" t="n">
        <v>100</v>
      </c>
      <c r="O4455" s="3" t="n">
        <v>20.78853046594982</v>
      </c>
    </row>
    <row r="4456" hidden="1">
      <c r="A4456" s="5" t="n">
        <v>46163</v>
      </c>
      <c r="B4456" s="6" t="inlineStr">
        <is>
          <t>Luiz Fernando de Carvalho Junior</t>
        </is>
      </c>
      <c r="C4456" s="3" t="inlineStr">
        <is>
          <t>Técnico I</t>
        </is>
      </c>
      <c r="D4456" s="3" t="n">
        <v>22</v>
      </c>
      <c r="E4456" s="3" t="n">
        <v>20</v>
      </c>
      <c r="F4456" s="3" t="n">
        <v>19.06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21</v>
      </c>
      <c r="N4456" s="3" t="n">
        <v>94.55</v>
      </c>
      <c r="O4456" s="3" t="n">
        <v>23.45013477088949</v>
      </c>
    </row>
    <row r="4457" hidden="1">
      <c r="A4457" s="5" t="n">
        <v>46163</v>
      </c>
      <c r="B4457" s="6" t="inlineStr">
        <is>
          <t>Raane Batista Matos</t>
        </is>
      </c>
      <c r="C4457" s="3" t="inlineStr">
        <is>
          <t>Técnico I</t>
        </is>
      </c>
      <c r="D4457" s="3" t="n">
        <v>27</v>
      </c>
      <c r="E4457" s="3" t="n">
        <v>27</v>
      </c>
      <c r="F4457" s="3" t="n">
        <v>15.1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20</v>
      </c>
      <c r="N4457" s="3" t="n">
        <v>98</v>
      </c>
      <c r="O4457" s="3" t="n">
        <v>20.73490813648294</v>
      </c>
    </row>
    <row r="4458" hidden="1">
      <c r="A4458" s="5" t="n">
        <v>46163</v>
      </c>
      <c r="B4458" s="6" t="inlineStr">
        <is>
          <t>Sara Maria Monteiro Lopes</t>
        </is>
      </c>
      <c r="C4458" s="3" t="inlineStr">
        <is>
          <t>Técnico I</t>
        </is>
      </c>
      <c r="D4458" s="3" t="n">
        <v>12</v>
      </c>
      <c r="E4458" s="3" t="n">
        <v>12</v>
      </c>
      <c r="F4458" s="3" t="n">
        <v>44.02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10</v>
      </c>
      <c r="N4458" s="3" t="n">
        <v>100</v>
      </c>
      <c r="O4458" s="3" t="n">
        <v>18</v>
      </c>
    </row>
    <row r="4459" hidden="1">
      <c r="A4459" s="10" t="n">
        <v>46164</v>
      </c>
      <c r="B4459" s="6" t="inlineStr">
        <is>
          <t>Ana Karollyne Souza Faria</t>
        </is>
      </c>
      <c r="C4459" s="3" t="inlineStr">
        <is>
          <t>Técnico I</t>
        </is>
      </c>
      <c r="D4459" s="3" t="n">
        <v>11</v>
      </c>
      <c r="E4459" s="3" t="n">
        <v>9</v>
      </c>
      <c r="F4459" s="3" t="n">
        <v>15.17</v>
      </c>
      <c r="G4459" s="3" t="n">
        <v>3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96.25</v>
      </c>
      <c r="O4459" s="3" t="n">
        <v>25.5863539445629</v>
      </c>
    </row>
    <row r="4460" hidden="1">
      <c r="A4460" s="10" t="n">
        <v>46164</v>
      </c>
      <c r="B4460" s="6" t="inlineStr">
        <is>
          <t>Clessiane Pereira dos Santos</t>
        </is>
      </c>
      <c r="C4460" s="3" t="inlineStr">
        <is>
          <t>Técnico I</t>
        </is>
      </c>
      <c r="D4460" s="3" t="n">
        <v>15</v>
      </c>
      <c r="E4460" s="3" t="n">
        <v>14</v>
      </c>
      <c r="F4460" s="3" t="n">
        <v>12.06</v>
      </c>
      <c r="G4460" s="3" t="n">
        <v>0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12</v>
      </c>
      <c r="N4460" s="3" t="n">
        <v>97.48</v>
      </c>
      <c r="O4460" s="3" t="n">
        <v>22.99465240641711</v>
      </c>
    </row>
    <row r="4461" hidden="1">
      <c r="A4461" s="10" t="n">
        <v>46164</v>
      </c>
      <c r="B4461" s="6" t="inlineStr">
        <is>
          <t>Daniel Gomes da Silva</t>
        </is>
      </c>
      <c r="C4461" s="3" t="inlineStr">
        <is>
          <t>Técnico I</t>
        </is>
      </c>
      <c r="D4461" s="3" t="n">
        <v>24</v>
      </c>
      <c r="E4461" s="3" t="n">
        <v>23</v>
      </c>
      <c r="F4461" s="3" t="n">
        <v>10.35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18</v>
      </c>
      <c r="N4461" s="3" t="n">
        <v>100</v>
      </c>
      <c r="O4461" s="3" t="n">
        <v>20.78853046594982</v>
      </c>
    </row>
    <row r="4462" hidden="1">
      <c r="A4462" s="10" t="n">
        <v>46164</v>
      </c>
      <c r="B4462" s="6" t="inlineStr">
        <is>
          <t>Luiz Fernando de Carvalho Junior</t>
        </is>
      </c>
      <c r="C4462" s="3" t="inlineStr">
        <is>
          <t>Técnico I</t>
        </is>
      </c>
      <c r="D4462" s="3" t="n">
        <v>8</v>
      </c>
      <c r="E4462" s="3" t="n">
        <v>8</v>
      </c>
      <c r="F4462" s="3" t="n">
        <v>32.37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8</v>
      </c>
      <c r="N4462" s="3" t="n">
        <v>94.55</v>
      </c>
      <c r="O4462" s="3" t="n">
        <v>23.45013477088949</v>
      </c>
    </row>
    <row r="4463" hidden="1">
      <c r="A4463" s="10" t="n">
        <v>46164</v>
      </c>
      <c r="B4463" s="6" t="inlineStr">
        <is>
          <t>Raane Batista Matos</t>
        </is>
      </c>
      <c r="C4463" s="3" t="inlineStr">
        <is>
          <t>Técnico I</t>
        </is>
      </c>
      <c r="D4463" s="3" t="n">
        <v>18</v>
      </c>
      <c r="E4463" s="3" t="n">
        <v>18</v>
      </c>
      <c r="F4463" s="3" t="n">
        <v>20.45</v>
      </c>
      <c r="G4463" s="3" t="n">
        <v>2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12</v>
      </c>
      <c r="N4463" s="3" t="n">
        <v>98</v>
      </c>
      <c r="O4463" s="3" t="n">
        <v>20.73490813648294</v>
      </c>
    </row>
    <row r="4464" hidden="1">
      <c r="A4464" s="10" t="n">
        <v>46164</v>
      </c>
      <c r="B4464" s="6" t="inlineStr">
        <is>
          <t>Sara Maria Monteiro Lopes</t>
        </is>
      </c>
      <c r="C4464" s="3" t="inlineStr">
        <is>
          <t>Técnico I</t>
        </is>
      </c>
      <c r="D4464" s="3" t="n">
        <v>17</v>
      </c>
      <c r="E4464" s="3" t="n">
        <v>16</v>
      </c>
      <c r="F4464" s="3" t="n">
        <v>20.55</v>
      </c>
      <c r="G4464" s="3" t="n">
        <v>1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17</v>
      </c>
      <c r="N4464" s="3" t="n">
        <v>100</v>
      </c>
      <c r="O4464" s="3" t="n">
        <v>18</v>
      </c>
    </row>
    <row r="4465" hidden="1">
      <c r="A4465" s="11" t="n">
        <v>46167</v>
      </c>
      <c r="B4465" t="inlineStr">
        <is>
          <t>Ana Karollyne Souza Faria</t>
        </is>
      </c>
      <c r="C4465" t="inlineStr">
        <is>
          <t>Técnico I</t>
        </is>
      </c>
      <c r="D4465" s="3" t="n">
        <v>25</v>
      </c>
      <c r="E4465" s="3" t="n">
        <v>24</v>
      </c>
      <c r="F4465" s="3" t="n">
        <v>15.25</v>
      </c>
      <c r="G4465" s="3" t="n">
        <v>0</v>
      </c>
      <c r="H4465" s="3" t="n">
        <v>0</v>
      </c>
      <c r="I4465" s="3" t="n">
        <v>0</v>
      </c>
      <c r="J4465" s="3" t="n">
        <v>0</v>
      </c>
      <c r="K4465" s="3" t="n">
        <v>0</v>
      </c>
      <c r="L4465" s="3">
        <f>IF(K4465&lt;-5,"CRÍTICO",IF(K4465&lt;0,"ATENÇÃO",IF(K4465&lt;=5,"OPORTUNO","MUITO BOM")))</f>
        <v/>
      </c>
      <c r="M4465" s="3" t="n">
        <v>21</v>
      </c>
      <c r="N4465" s="3" t="n">
        <v>96.25</v>
      </c>
      <c r="O4465" s="3" t="n">
        <v>25.5863539445629</v>
      </c>
    </row>
    <row r="4466" hidden="1">
      <c r="A4466" s="11" t="n">
        <v>46167</v>
      </c>
      <c r="B4466" t="inlineStr">
        <is>
          <t>Clessiane Pereira dos Santos</t>
        </is>
      </c>
      <c r="C4466" t="inlineStr">
        <is>
          <t>Técnico I</t>
        </is>
      </c>
      <c r="D4466" s="3" t="n">
        <v>11</v>
      </c>
      <c r="E4466" s="3" t="n">
        <v>11</v>
      </c>
      <c r="F4466" s="3" t="n">
        <v>15.57</v>
      </c>
      <c r="G4466" s="3" t="n">
        <v>0</v>
      </c>
      <c r="H4466" s="3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  <c r="M4466" s="3" t="n">
        <v>11</v>
      </c>
      <c r="N4466" s="3" t="n">
        <v>97.48</v>
      </c>
      <c r="O4466" s="3" t="n">
        <v>22.99465240641711</v>
      </c>
    </row>
    <row r="4467" hidden="1">
      <c r="A4467" s="11" t="n">
        <v>46167</v>
      </c>
      <c r="B4467" t="inlineStr">
        <is>
          <t>Daniel Gomes da Silva</t>
        </is>
      </c>
      <c r="C4467" t="inlineStr">
        <is>
          <t>Técnico I</t>
        </is>
      </c>
      <c r="D4467" s="3" t="n">
        <v>28</v>
      </c>
      <c r="E4467" s="3" t="n">
        <v>25</v>
      </c>
      <c r="F4467" s="3" t="n">
        <v>13.29</v>
      </c>
      <c r="G4467" s="3" t="n">
        <v>0</v>
      </c>
      <c r="H4467" s="3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  <c r="M4467" s="3" t="n">
        <v>18</v>
      </c>
      <c r="N4467" s="3" t="n">
        <v>100</v>
      </c>
      <c r="O4467" s="3" t="n">
        <v>20.78853046594982</v>
      </c>
    </row>
    <row r="4468" hidden="1">
      <c r="A4468" s="11" t="n">
        <v>46167</v>
      </c>
      <c r="B4468" t="inlineStr">
        <is>
          <t>Luiz Fernando de Carvalho Junior</t>
        </is>
      </c>
      <c r="C4468" t="inlineStr">
        <is>
          <t>Técnico I</t>
        </is>
      </c>
      <c r="D4468" s="3" t="n">
        <v>14</v>
      </c>
      <c r="E4468" s="3" t="n">
        <v>14</v>
      </c>
      <c r="F4468" s="3" t="n">
        <v>28.35</v>
      </c>
      <c r="G4468" s="3" t="n">
        <v>0</v>
      </c>
      <c r="H4468" s="3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  <c r="M4468" s="3" t="n">
        <v>14</v>
      </c>
      <c r="N4468" s="3" t="n">
        <v>94.55</v>
      </c>
      <c r="O4468" s="3" t="n">
        <v>23.45013477088949</v>
      </c>
    </row>
    <row r="4469" hidden="1">
      <c r="A4469" s="11" t="n">
        <v>46167</v>
      </c>
      <c r="B4469" t="inlineStr">
        <is>
          <t>Raane Batista Matos</t>
        </is>
      </c>
      <c r="C4469" t="inlineStr">
        <is>
          <t>Técnico I</t>
        </is>
      </c>
      <c r="D4469" s="3" t="n">
        <v>28</v>
      </c>
      <c r="E4469" s="3" t="n">
        <v>26</v>
      </c>
      <c r="F4469" s="3" t="n">
        <v>15.04</v>
      </c>
      <c r="G4469" s="3" t="n">
        <v>0</v>
      </c>
      <c r="H4469" s="3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  <c r="M4469" s="3" t="n">
        <v>22</v>
      </c>
      <c r="N4469" s="3" t="n">
        <v>98</v>
      </c>
      <c r="O4469" s="3" t="n">
        <v>20.73490813648294</v>
      </c>
    </row>
    <row r="4470" hidden="1">
      <c r="A4470" s="11" t="n">
        <v>46167</v>
      </c>
      <c r="B4470" t="inlineStr">
        <is>
          <t>Sara Maria Monteiro Lopes</t>
        </is>
      </c>
      <c r="C4470" t="inlineStr">
        <is>
          <t>Técnico I</t>
        </is>
      </c>
      <c r="D4470" s="3" t="n">
        <v>17</v>
      </c>
      <c r="E4470" s="3" t="n">
        <v>17</v>
      </c>
      <c r="F4470" s="3" t="n">
        <v>25.3</v>
      </c>
      <c r="G4470" s="3" t="n">
        <v>0</v>
      </c>
      <c r="H4470" s="3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  <c r="M4470" s="3" t="n">
        <v>18</v>
      </c>
      <c r="N4470" s="3" t="n">
        <v>100</v>
      </c>
      <c r="O4470" s="3" t="n">
        <v>18</v>
      </c>
    </row>
    <row r="4471" hidden="1">
      <c r="A4471" s="5" t="n">
        <v>46147</v>
      </c>
      <c r="B4471" s="6" t="inlineStr">
        <is>
          <t>Daniel Gomes da Silva</t>
        </is>
      </c>
      <c r="C4471" s="3" t="inlineStr">
        <is>
          <t>Técnico I</t>
        </is>
      </c>
      <c r="D4471" s="3" t="n">
        <v>12</v>
      </c>
      <c r="E4471" s="3" t="n">
        <v>12</v>
      </c>
      <c r="F4471" s="3" t="n">
        <v>28.25</v>
      </c>
      <c r="G4471" s="3" t="n">
        <v>10</v>
      </c>
      <c r="H4471" s="3" t="n">
        <v>0</v>
      </c>
      <c r="I4471" s="3">
        <f>E4471+G4471+H4471</f>
        <v/>
      </c>
      <c r="J4471" s="3">
        <f>ROUND(MIN(IF(C4471="Técnico III",35,IF(C4471="Técnico II",28,IF(C4471="Técnico I",23,IF(C4471="JR",20,IF(C4471="Estágio",10,0))))),IF(C4471="Técnico III",SUMIFS($D:$D,$A:$A,$A4471,$B:$B,"&lt;&gt;Patrícia Karla de Sousa Araújo",$B:$B,"&lt;&gt;Lorena Dias de Araujo",$B:$B,"&lt;&gt;Lucas Luiz Romero")*(35/1083),IF(C4471="Técnico II",SUMIFS($D:$D,$A:$A,$A4471,$B:$B,"&lt;&gt;Patrícia Karla de Sousa Araújo",$B:$B,"&lt;&gt;Lorena Dias de Araujo",$B:$B,"&lt;&gt;Lucas Luiz Romero")*(28/1083),IF(C4471="Técnico I",SUMIFS($D:$D,$A:$A,$A4471,$B:$B,"&lt;&gt;Patrícia Karla de Sousa Araújo",$B:$B,"&lt;&gt;Lorena Dias de Araujo",$B:$B,"&lt;&gt;Lucas Luiz Romero")*(23/1083),IF(C4471="JR",SUMIFS($D:$D,$A:$A,$A4471,$B:$B,"&lt;&gt;Patrícia Karla de Sousa Araújo",$B:$B,"&lt;&gt;Lorena Dias de Araujo",$B:$B,"&lt;&gt;Lucas Luiz Romero")*(20/1083),IF(C4471="Estágio",SUMIFS($D:$D,$A:$A,$A4471,$B:$B,"&lt;&gt;Patrícia Karla de Sousa Araújo",$B:$B,"&lt;&gt;Lorena Dias de Araujo",$B:$B,"&lt;&gt;Lucas Luiz Romero")*(10/1083),0)))))),0)</f>
        <v/>
      </c>
      <c r="K4471" s="3">
        <f>I4471-J4471</f>
        <v/>
      </c>
      <c r="L4471" s="3">
        <f>IF(K4471&lt;-5,"CRÍTICO",IF(K4471&lt;0,"ATENÇÃO",IF(K4471&lt;=5,"BOM","EXCELENTE")))</f>
        <v/>
      </c>
      <c r="M4471" s="3" t="n">
        <v>18</v>
      </c>
      <c r="N4471" s="3" t="n">
        <v>100</v>
      </c>
      <c r="O4471" s="3" t="n">
        <v>20.78853046594982</v>
      </c>
    </row>
    <row r="4472" hidden="1">
      <c r="A4472" s="5" t="n">
        <v>46148</v>
      </c>
      <c r="B4472" s="6" t="inlineStr">
        <is>
          <t>Daniel Gomes da Silva</t>
        </is>
      </c>
      <c r="C4472" s="3" t="inlineStr">
        <is>
          <t>Técnico I</t>
        </is>
      </c>
      <c r="D4472" s="3" t="n">
        <v>19</v>
      </c>
      <c r="E4472" s="3" t="n">
        <v>16</v>
      </c>
      <c r="F4472" s="3" t="n">
        <v>16.51</v>
      </c>
      <c r="G4472" s="3" t="n">
        <v>0</v>
      </c>
      <c r="H4472" s="3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IF(K4472&lt;-5,"CRÍTICO",IF(K4472&lt;0,"ATENÇÃO",IF(K4472&lt;=5,"BOM","EXCELENTE")))</f>
        <v/>
      </c>
      <c r="M4472" s="3" t="n">
        <v>13</v>
      </c>
      <c r="N4472" s="3" t="n">
        <v>100</v>
      </c>
      <c r="O4472" s="3" t="n">
        <v>20.78853046594982</v>
      </c>
    </row>
    <row r="4473" hidden="1">
      <c r="A4473" s="11" t="n">
        <v>46168</v>
      </c>
      <c r="B4473" t="inlineStr">
        <is>
          <t>Daniel Gomes da Silva</t>
        </is>
      </c>
      <c r="C4473" t="inlineStr">
        <is>
          <t>Técnico I</t>
        </is>
      </c>
      <c r="D4473" s="3" t="n">
        <v>20</v>
      </c>
      <c r="E4473" s="3" t="n">
        <v>17</v>
      </c>
      <c r="F4473" s="3" t="n">
        <v>16.54</v>
      </c>
      <c r="G4473" s="3" t="n">
        <v>0</v>
      </c>
      <c r="M4473" s="3" t="n">
        <v>13</v>
      </c>
      <c r="N4473" s="3" t="n">
        <v>100</v>
      </c>
      <c r="O4473" s="3" t="n">
        <v>22.58064516129032</v>
      </c>
    </row>
    <row r="4474" hidden="1">
      <c r="A4474" s="11" t="n">
        <v>46140</v>
      </c>
      <c r="B4474" t="inlineStr">
        <is>
          <t>Gabriel Gomes de Andrade</t>
        </is>
      </c>
      <c r="C4474" t="inlineStr">
        <is>
          <t>Técnico I</t>
        </is>
      </c>
      <c r="D4474" s="3" t="n">
        <v>9</v>
      </c>
      <c r="E4474" s="3" t="n">
        <v>5</v>
      </c>
      <c r="F4474" s="3" t="n">
        <v>10.29</v>
      </c>
      <c r="G4474" s="3" t="n">
        <v>0</v>
      </c>
      <c r="H4474" s="3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M4474" s="3" t="n">
        <v>39</v>
      </c>
      <c r="N4474" s="3" t="n">
        <v>99.28</v>
      </c>
      <c r="O4474" s="3" t="n">
        <v>27.68924302788844</v>
      </c>
    </row>
    <row r="4475" hidden="1">
      <c r="A4475" s="11" t="n">
        <v>46141</v>
      </c>
      <c r="B4475" t="inlineStr">
        <is>
          <t>Gabriel Gomes de Andrade</t>
        </is>
      </c>
      <c r="C4475" t="inlineStr">
        <is>
          <t>Técnico I</t>
        </is>
      </c>
      <c r="D4475" s="3" t="n">
        <v>0</v>
      </c>
      <c r="E4475" s="3" t="n">
        <v>0</v>
      </c>
      <c r="F4475" s="3" t="n">
        <v>0</v>
      </c>
      <c r="G4475" s="3" t="n">
        <v>0</v>
      </c>
      <c r="H4475" s="3" t="n">
        <v>0</v>
      </c>
      <c r="I4475" s="3" t="n">
        <v>0</v>
      </c>
      <c r="J4475" s="3" t="n">
        <v>0</v>
      </c>
      <c r="K4475" s="3" t="n">
        <v>0</v>
      </c>
      <c r="L4475" s="3">
        <f>IF(K4475&lt;-5,"CRÍTICO",IF(K4475&lt;0,"ATENÇÃO",IF(K4475&lt;=5,"OPORTUNO","MUITO BOM")))</f>
        <v/>
      </c>
      <c r="M4475" s="3" t="n">
        <v>54</v>
      </c>
      <c r="N4475" s="3" t="n">
        <v>99.28</v>
      </c>
      <c r="O4475" s="3" t="n">
        <v>27.68924302788844</v>
      </c>
    </row>
    <row r="4476" hidden="1">
      <c r="A4476" s="11" t="n">
        <v>46142</v>
      </c>
      <c r="B4476" t="inlineStr">
        <is>
          <t>Gabriel Gomes de Andrade</t>
        </is>
      </c>
      <c r="C4476" t="inlineStr">
        <is>
          <t>Técnico I</t>
        </is>
      </c>
      <c r="D4476" s="3" t="n">
        <v>3</v>
      </c>
      <c r="E4476" s="3" t="n">
        <v>3</v>
      </c>
      <c r="F4476" s="3" t="n">
        <v>15.05</v>
      </c>
      <c r="G4476" s="3" t="n">
        <v>0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24</v>
      </c>
      <c r="N4476" s="3" t="n">
        <v>99.28</v>
      </c>
      <c r="O4476" s="3" t="n">
        <v>27.68924302788844</v>
      </c>
    </row>
    <row r="4477" hidden="1">
      <c r="A4477" s="5" t="n">
        <v>46149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26</v>
      </c>
      <c r="E4477" s="3" t="n">
        <v>26</v>
      </c>
      <c r="F4477" s="3" t="n">
        <v>18.46</v>
      </c>
      <c r="G4477" s="3" t="n">
        <v>2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99.06</v>
      </c>
      <c r="O4477" s="3" t="n">
        <v>19.41747572815534</v>
      </c>
    </row>
    <row r="4478" hidden="1">
      <c r="A4478" s="5" t="n">
        <v>46150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0</v>
      </c>
      <c r="E4478" s="3" t="n">
        <v>0</v>
      </c>
      <c r="F4478" s="3" t="n">
        <v>0</v>
      </c>
      <c r="G4478" s="3" t="n">
        <v>0</v>
      </c>
      <c r="H4478" s="3" t="n">
        <v>0</v>
      </c>
      <c r="I4478" s="3" t="n">
        <v>0</v>
      </c>
      <c r="J4478" s="3" t="n">
        <v>0</v>
      </c>
      <c r="K4478" s="3" t="n">
        <v>0</v>
      </c>
      <c r="L4478" s="3">
        <f>IF(K4478&lt;-5,"CRÍTICO",IF(K4478&lt;0,"ATENÇÃO",IF(K4478&lt;=5,"OPORTUNO","MUITO BOM")))</f>
        <v/>
      </c>
      <c r="M4478" s="3" t="n">
        <v>0</v>
      </c>
      <c r="N4478" s="3" t="n">
        <v>99.06</v>
      </c>
      <c r="O4478" s="3" t="n">
        <v>19.41747572815534</v>
      </c>
    </row>
    <row r="4479" hidden="1">
      <c r="A4479" s="5" t="n">
        <v>46153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25</v>
      </c>
      <c r="E4479" s="3" t="n">
        <v>22</v>
      </c>
      <c r="F4479" s="3" t="n">
        <v>17.3</v>
      </c>
      <c r="G4479" s="3" t="n">
        <v>5</v>
      </c>
      <c r="H4479" s="3" t="n">
        <v>0</v>
      </c>
      <c r="I4479" s="3">
        <f>E4479+G4479+H4479</f>
        <v/>
      </c>
      <c r="J4479" s="3">
        <f>ROUND(MIN(IF(C4479="Técnico III",35,IF(C4479="Técnico II",28,IF(C4479="Técnico I",23,IF(C4479="JR",20,IF(C4479="Estágio",10,0))))),IF(C4479="Técnico III",SUMIFS($D:$D,$A:$A,$A4479,$B:$B,"&lt;&gt;Patrícia Karla de Sousa Araújo",$B:$B,"&lt;&gt;Lorena Dias de Araujo",$B:$B,"&lt;&gt;Lucas Luiz Romero")*(35/1083),IF(C4479="Técnico II",SUMIFS($D:$D,$A:$A,$A4479,$B:$B,"&lt;&gt;Patrícia Karla de Sousa Araújo",$B:$B,"&lt;&gt;Lorena Dias de Araujo",$B:$B,"&lt;&gt;Lucas Luiz Romero")*(28/1083),IF(C4479="Técnico I",SUMIFS($D:$D,$A:$A,$A4479,$B:$B,"&lt;&gt;Patrícia Karla de Sousa Araújo",$B:$B,"&lt;&gt;Lorena Dias de Araujo",$B:$B,"&lt;&gt;Lucas Luiz Romero")*(23/1083),IF(C4479="JR",SUMIFS($D:$D,$A:$A,$A4479,$B:$B,"&lt;&gt;Patrícia Karla de Sousa Araújo",$B:$B,"&lt;&gt;Lorena Dias de Araujo",$B:$B,"&lt;&gt;Lucas Luiz Romero")*(20/1083),IF(C4479="Estágio",SUMIFS($D:$D,$A:$A,$A4479,$B:$B,"&lt;&gt;Patrícia Karla de Sousa Araújo",$B:$B,"&lt;&gt;Lorena Dias de Araujo",$B:$B,"&lt;&gt;Lucas Luiz Romero")*(10/1083),0)))))),0)</f>
        <v/>
      </c>
      <c r="K4479" s="3">
        <f>I4479-J4479</f>
        <v/>
      </c>
      <c r="L4479" s="3">
        <f>IF(K4479&lt;-5,"CRÍTICO",IF(K4479&lt;0,"ATENÇÃO",IF(K4479&lt;=5,"OPORTUNO","MUITO BOM")))</f>
        <v/>
      </c>
      <c r="M4479" s="3" t="n">
        <v>23</v>
      </c>
      <c r="N4479" s="3" t="n">
        <v>99.06</v>
      </c>
      <c r="O4479" s="3" t="n">
        <v>19.41747572815534</v>
      </c>
    </row>
    <row r="4480" hidden="1">
      <c r="A4480" s="5" t="n">
        <v>46154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17</v>
      </c>
      <c r="E4480" s="3" t="n">
        <v>17</v>
      </c>
      <c r="F4480" s="3" t="n">
        <v>17.17</v>
      </c>
      <c r="H4480" s="3" t="n">
        <v>7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s="3" t="n">
        <v>24</v>
      </c>
      <c r="N4480" s="3" t="n">
        <v>99.06</v>
      </c>
      <c r="O4480" s="3" t="n">
        <v>19.41747572815534</v>
      </c>
    </row>
    <row r="4481" hidden="1">
      <c r="A4481" s="5" t="n">
        <v>46155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20</v>
      </c>
      <c r="E4481" s="3" t="n">
        <v>16</v>
      </c>
      <c r="F4481" s="3" t="n">
        <v>23.26</v>
      </c>
      <c r="G4481" s="3" t="n">
        <v>11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s="3" t="n">
        <v>18</v>
      </c>
      <c r="N4481" s="3" t="n">
        <v>99.06</v>
      </c>
      <c r="O4481" s="3" t="n">
        <v>19.41747572815534</v>
      </c>
    </row>
    <row r="4482" hidden="1">
      <c r="A4482" s="5" t="n">
        <v>46156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19</v>
      </c>
      <c r="E4482" s="3" t="n">
        <v>18</v>
      </c>
      <c r="F4482" s="3" t="n">
        <v>22.29</v>
      </c>
      <c r="G4482" s="3" t="n">
        <v>0</v>
      </c>
      <c r="H4482" s="3" t="n">
        <v>5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s="3" t="n">
        <v>23</v>
      </c>
      <c r="N4482" s="3" t="n">
        <v>99.06</v>
      </c>
      <c r="O4482" s="3" t="n">
        <v>19.41747572815534</v>
      </c>
    </row>
    <row r="4483" hidden="1">
      <c r="A4483" s="5" t="n">
        <v>46157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16</v>
      </c>
      <c r="F4483" s="3" t="n">
        <v>16.56</v>
      </c>
      <c r="G4483" s="3" t="n">
        <v>6</v>
      </c>
      <c r="H4483" s="3" t="n">
        <v>1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s="3" t="n">
        <v>15</v>
      </c>
      <c r="N4483" s="3" t="n">
        <v>99.06</v>
      </c>
      <c r="O4483" s="3" t="n">
        <v>19.41747572815534</v>
      </c>
    </row>
    <row r="4484" hidden="1">
      <c r="A4484" s="5" t="n">
        <v>46160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21</v>
      </c>
      <c r="E4484" s="3" t="n">
        <v>18</v>
      </c>
      <c r="F4484" s="3" t="n">
        <v>20.22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s="3" t="n">
        <v>18</v>
      </c>
      <c r="N4484" s="3" t="n">
        <v>99.06</v>
      </c>
      <c r="O4484" s="3" t="n">
        <v>19.41747572815534</v>
      </c>
    </row>
    <row r="4485" hidden="1">
      <c r="A4485" s="7" t="n">
        <v>46161</v>
      </c>
      <c r="B4485" s="8" t="inlineStr">
        <is>
          <t>Gabriel Gomes de Andrade</t>
        </is>
      </c>
      <c r="C4485" s="9" t="inlineStr">
        <is>
          <t>Técnico I</t>
        </is>
      </c>
      <c r="D4485" s="3" t="n">
        <v>19</v>
      </c>
      <c r="E4485" s="3" t="n">
        <v>18</v>
      </c>
      <c r="F4485" s="3" t="n">
        <v>21.58</v>
      </c>
      <c r="G4485" s="3" t="n">
        <v>3</v>
      </c>
      <c r="H4485" s="3" t="n">
        <v>3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s="3" t="n">
        <v>20</v>
      </c>
      <c r="N4485" s="3" t="n">
        <v>99.06</v>
      </c>
      <c r="O4485" s="3" t="n">
        <v>19.41747572815534</v>
      </c>
    </row>
    <row r="4486" hidden="1">
      <c r="A4486" s="7" t="n">
        <v>46162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26</v>
      </c>
      <c r="E4486" s="3" t="n">
        <v>20</v>
      </c>
      <c r="F4486" s="3" t="n">
        <v>15.09</v>
      </c>
      <c r="G4486" s="3" t="n">
        <v>5</v>
      </c>
      <c r="H4486" s="3" t="n">
        <v>2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s="3" t="n">
        <v>21</v>
      </c>
      <c r="N4486" s="3" t="n">
        <v>99.06</v>
      </c>
      <c r="O4486" s="3" t="n">
        <v>19.41747572815534</v>
      </c>
    </row>
    <row r="4487" hidden="1">
      <c r="A4487" s="5" t="n">
        <v>46163</v>
      </c>
      <c r="B4487" s="6" t="inlineStr">
        <is>
          <t>Gabriel Gomes de Andrade</t>
        </is>
      </c>
      <c r="C4487" s="3" t="inlineStr">
        <is>
          <t>Técnico I</t>
        </is>
      </c>
      <c r="D4487" s="3" t="n">
        <v>16</v>
      </c>
      <c r="E4487" s="3" t="n">
        <v>15</v>
      </c>
      <c r="F4487" s="3" t="n">
        <v>25.07</v>
      </c>
      <c r="G4487" s="3" t="n">
        <v>3</v>
      </c>
      <c r="H4487" s="3" t="n">
        <v>0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3" t="n">
        <v>15</v>
      </c>
      <c r="N4487" s="3" t="n">
        <v>99.06</v>
      </c>
      <c r="O4487" s="3" t="n">
        <v>19.41747572815534</v>
      </c>
    </row>
    <row r="4488" hidden="1">
      <c r="A4488" s="5" t="n">
        <v>46146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24</v>
      </c>
      <c r="E4488" s="3" t="n">
        <v>20</v>
      </c>
      <c r="F4488" s="3" t="n">
        <v>21.45</v>
      </c>
      <c r="G4488" s="3" t="n">
        <v>7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22</v>
      </c>
      <c r="N4488" s="3" t="n">
        <v>99.06</v>
      </c>
      <c r="O4488" s="3" t="n">
        <v>19.41747572815534</v>
      </c>
    </row>
    <row r="4489" hidden="1">
      <c r="A4489" s="5" t="n">
        <v>46147</v>
      </c>
      <c r="B4489" s="6" t="inlineStr">
        <is>
          <t>Gabriel Gomes de Andrade</t>
        </is>
      </c>
      <c r="C4489" s="3" t="inlineStr">
        <is>
          <t>Técnico I</t>
        </is>
      </c>
      <c r="D4489" s="3" t="n">
        <v>13</v>
      </c>
      <c r="E4489" s="3" t="n">
        <v>12</v>
      </c>
      <c r="F4489" s="3" t="n">
        <v>17.15</v>
      </c>
      <c r="G4489" s="3" t="n">
        <v>9</v>
      </c>
      <c r="H4489" s="3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M4489" s="3" t="n">
        <v>12</v>
      </c>
      <c r="N4489" s="3" t="n">
        <v>99.06</v>
      </c>
      <c r="O4489" s="3" t="n">
        <v>19.41747572815534</v>
      </c>
    </row>
    <row r="4490" hidden="1">
      <c r="A4490" s="5" t="n">
        <v>46148</v>
      </c>
      <c r="B4490" s="6" t="inlineStr">
        <is>
          <t>Gabriel Gomes de Andrade</t>
        </is>
      </c>
      <c r="C4490" s="3" t="inlineStr">
        <is>
          <t>Técnico I</t>
        </is>
      </c>
      <c r="D4490" s="3" t="n">
        <v>23</v>
      </c>
      <c r="E4490" s="3" t="n">
        <v>22</v>
      </c>
      <c r="F4490" s="3" t="n">
        <v>20.21</v>
      </c>
      <c r="G4490" s="3" t="n">
        <v>9</v>
      </c>
      <c r="H4490" s="3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M4490" s="3" t="n">
        <v>24</v>
      </c>
      <c r="N4490" s="3" t="n">
        <v>99.06</v>
      </c>
      <c r="O4490" s="3" t="n">
        <v>19.41747572815534</v>
      </c>
    </row>
    <row r="4491" hidden="1">
      <c r="A4491" s="10" t="n">
        <v>46164</v>
      </c>
      <c r="B4491" s="6" t="inlineStr">
        <is>
          <t>Gabriel Gomes de Andrade</t>
        </is>
      </c>
      <c r="C4491" s="3" t="inlineStr">
        <is>
          <t>Técnico I</t>
        </is>
      </c>
      <c r="D4491" s="3" t="n">
        <v>8</v>
      </c>
      <c r="E4491" s="3" t="n">
        <v>7</v>
      </c>
      <c r="F4491" s="3" t="n">
        <v>18.34</v>
      </c>
      <c r="G4491" s="3" t="n">
        <v>0</v>
      </c>
      <c r="H4491" s="3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M4491" s="3" t="n">
        <v>7</v>
      </c>
      <c r="N4491" s="3" t="n">
        <v>99.06</v>
      </c>
      <c r="O4491" s="3" t="n">
        <v>19.41747572815534</v>
      </c>
    </row>
    <row r="4492" hidden="1">
      <c r="A4492" s="11" t="n">
        <v>46168</v>
      </c>
      <c r="B4492" t="inlineStr">
        <is>
          <t>Gabriel Gomes de Andrade</t>
        </is>
      </c>
      <c r="C4492" t="inlineStr">
        <is>
          <t>Técnico I</t>
        </is>
      </c>
      <c r="D4492" s="3" t="n">
        <v>20</v>
      </c>
      <c r="E4492" s="3" t="n">
        <v>20</v>
      </c>
      <c r="F4492" s="3" t="n">
        <v>21.49</v>
      </c>
      <c r="G4492" s="3" t="n">
        <v>2</v>
      </c>
      <c r="M4492" s="3" t="n">
        <v>19</v>
      </c>
      <c r="N4492" s="3" t="n">
        <v>99.06</v>
      </c>
      <c r="O4492" s="3" t="n">
        <v>22.33009708737864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s="3" t="n">
        <v>20</v>
      </c>
      <c r="E4493" s="3" t="n">
        <v>19</v>
      </c>
      <c r="F4493" s="3" t="n">
        <v>20.09</v>
      </c>
      <c r="G4493" s="3" t="n">
        <v>0</v>
      </c>
      <c r="H4493" s="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M4493" s="3" t="n">
        <v>18</v>
      </c>
      <c r="N4493" s="3" t="n">
        <v>97.37</v>
      </c>
      <c r="O4493" s="3" t="n">
        <v>25.76530612244898</v>
      </c>
    </row>
    <row r="4494" hidden="1">
      <c r="A4494" s="11" t="n">
        <v>46141</v>
      </c>
      <c r="B4494" t="inlineStr">
        <is>
          <t>Luiz Fernando de Carvalho Junior</t>
        </is>
      </c>
      <c r="C4494" t="inlineStr">
        <is>
          <t>Técnico I</t>
        </is>
      </c>
      <c r="D4494" s="3" t="n">
        <v>20</v>
      </c>
      <c r="E4494" s="3" t="n">
        <v>18</v>
      </c>
      <c r="F4494" s="3" t="n">
        <v>20.37</v>
      </c>
      <c r="G4494" s="3" t="n">
        <v>0</v>
      </c>
      <c r="H4494" s="3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M4494" s="3" t="n">
        <v>20</v>
      </c>
      <c r="N4494" s="3" t="n">
        <v>97.37</v>
      </c>
      <c r="O4494" s="3" t="n">
        <v>25.76530612244898</v>
      </c>
    </row>
    <row r="4495" hidden="1">
      <c r="A4495" s="11" t="n">
        <v>46142</v>
      </c>
      <c r="B4495" t="inlineStr">
        <is>
          <t>Luiz Fernando de Carvalho Junior</t>
        </is>
      </c>
      <c r="C4495" t="inlineStr">
        <is>
          <t>Técnico I</t>
        </is>
      </c>
      <c r="D4495" s="3" t="n">
        <v>30</v>
      </c>
      <c r="E4495" s="3" t="n">
        <v>28</v>
      </c>
      <c r="F4495" s="3" t="n">
        <v>16.54</v>
      </c>
      <c r="G4495" s="3" t="n">
        <v>0</v>
      </c>
      <c r="H4495" s="3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M4495" s="3" t="n">
        <v>26</v>
      </c>
      <c r="N4495" s="3" t="n">
        <v>97.37</v>
      </c>
      <c r="O4495" s="3" t="n">
        <v>25.76530612244898</v>
      </c>
    </row>
    <row r="4496" hidden="1">
      <c r="A4496" s="5" t="n">
        <v>46146</v>
      </c>
      <c r="B4496" s="6" t="inlineStr">
        <is>
          <t>Luiz Fernando de Carvalho Junior</t>
        </is>
      </c>
      <c r="C4496" s="3" t="inlineStr">
        <is>
          <t>Técnico I</t>
        </is>
      </c>
      <c r="D4496" s="3" t="n">
        <v>25</v>
      </c>
      <c r="E4496" s="3" t="n">
        <v>21</v>
      </c>
      <c r="F4496" s="3" t="n">
        <v>17.18</v>
      </c>
      <c r="G4496" s="3" t="n">
        <v>4</v>
      </c>
      <c r="H4496" s="3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IF(K4496&lt;-5,"CRÍTICO",IF(K4496&lt;0,"ATENÇÃO",IF(K4496&lt;=5,"BOM","EXCELENTE")))</f>
        <v/>
      </c>
      <c r="M4496" s="3" t="n">
        <v>26</v>
      </c>
      <c r="N4496" s="3" t="n">
        <v>94.55</v>
      </c>
      <c r="O4496" s="3" t="n">
        <v>23.45013477088949</v>
      </c>
    </row>
    <row r="4497" hidden="1">
      <c r="A4497" s="5" t="n">
        <v>46147</v>
      </c>
      <c r="B4497" s="6" t="inlineStr">
        <is>
          <t>Luiz Fernando de Carvalho Junior</t>
        </is>
      </c>
      <c r="C4497" s="3" t="inlineStr">
        <is>
          <t>Técnico I</t>
        </is>
      </c>
      <c r="D4497" s="3" t="n">
        <v>31</v>
      </c>
      <c r="E4497" s="3" t="n">
        <v>28</v>
      </c>
      <c r="F4497" s="3" t="n">
        <v>17.33</v>
      </c>
      <c r="G4497" s="3" t="n">
        <v>1</v>
      </c>
      <c r="H4497" s="3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IF(K4497&lt;-5,"CRÍTICO",IF(K4497&lt;0,"ATENÇÃO",IF(K4497&lt;=5,"BOM","EXCELENTE")))</f>
        <v/>
      </c>
      <c r="M4497" s="3" t="n">
        <v>30</v>
      </c>
      <c r="N4497" s="3" t="n">
        <v>94.55</v>
      </c>
      <c r="O4497" s="3" t="n">
        <v>23.45013477088949</v>
      </c>
    </row>
    <row r="4498" hidden="1">
      <c r="A4498" s="5" t="n">
        <v>46148</v>
      </c>
      <c r="B4498" s="6" t="inlineStr">
        <is>
          <t>Luiz Fernando de Carvalho Junior</t>
        </is>
      </c>
      <c r="C4498" s="3" t="inlineStr">
        <is>
          <t>Técnico I</t>
        </is>
      </c>
      <c r="D4498" s="3" t="n">
        <v>31</v>
      </c>
      <c r="E4498" s="3" t="n">
        <v>30</v>
      </c>
      <c r="F4498" s="3" t="n">
        <v>17.33</v>
      </c>
      <c r="G4498" s="3" t="n">
        <v>8</v>
      </c>
      <c r="H4498" s="3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IF(K4498&lt;-5,"CRÍTICO",IF(K4498&lt;0,"ATENÇÃO",IF(K4498&lt;=5,"BOM","EXCELENTE")))</f>
        <v/>
      </c>
      <c r="M4498" s="3" t="n">
        <v>36</v>
      </c>
      <c r="N4498" s="3" t="n">
        <v>94.55</v>
      </c>
      <c r="O4498" s="3" t="n">
        <v>23.45013477088949</v>
      </c>
    </row>
    <row r="4499" hidden="1">
      <c r="A4499" s="11" t="n">
        <v>46168</v>
      </c>
      <c r="B4499" t="inlineStr">
        <is>
          <t>Luiz Fernando de Carvalho Junior</t>
        </is>
      </c>
      <c r="C4499" t="inlineStr">
        <is>
          <t>Técnico I</t>
        </is>
      </c>
      <c r="D4499" s="3" t="n">
        <v>28</v>
      </c>
      <c r="E4499" s="3" t="n">
        <v>27</v>
      </c>
      <c r="F4499" s="3" t="n">
        <v>16.45</v>
      </c>
      <c r="G4499" s="3" t="n">
        <v>1</v>
      </c>
      <c r="M4499" s="3" t="n">
        <v>26</v>
      </c>
      <c r="N4499" s="3" t="n">
        <v>94.55</v>
      </c>
      <c r="O4499" s="3" t="n">
        <v>24.25876010781671</v>
      </c>
    </row>
    <row r="4500" hidden="1">
      <c r="A4500" s="11" t="n">
        <v>46140</v>
      </c>
      <c r="B4500" t="inlineStr">
        <is>
          <t>Raane Batista Matos</t>
        </is>
      </c>
      <c r="C4500" t="inlineStr">
        <is>
          <t>Técnico I</t>
        </is>
      </c>
      <c r="D4500" s="3" t="n">
        <v>36</v>
      </c>
      <c r="E4500" s="3" t="n">
        <v>30</v>
      </c>
      <c r="F4500" s="3" t="n">
        <v>13.43</v>
      </c>
      <c r="G4500" s="3" t="n">
        <v>0</v>
      </c>
      <c r="H4500" s="3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M4500" s="3" t="n">
        <v>26</v>
      </c>
      <c r="N4500" s="3" t="n">
        <v>98.31999999999999</v>
      </c>
      <c r="O4500" s="3" t="n">
        <v>26.85851318944844</v>
      </c>
    </row>
    <row r="4501" hidden="1">
      <c r="A4501" s="11" t="n">
        <v>46141</v>
      </c>
      <c r="B4501" t="inlineStr">
        <is>
          <t>Raane Batista Matos</t>
        </is>
      </c>
      <c r="C4501" t="inlineStr">
        <is>
          <t>Técnico I</t>
        </is>
      </c>
      <c r="D4501" s="3" t="n">
        <v>32</v>
      </c>
      <c r="E4501" s="3" t="n">
        <v>28</v>
      </c>
      <c r="F4501" s="3" t="n">
        <v>13.21</v>
      </c>
      <c r="G4501" s="3" t="n">
        <v>0</v>
      </c>
      <c r="H4501" s="3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M4501" s="3" t="n">
        <v>21</v>
      </c>
      <c r="N4501" s="3" t="n">
        <v>98.31999999999999</v>
      </c>
      <c r="O4501" s="3" t="n">
        <v>26.85851318944844</v>
      </c>
    </row>
    <row r="4502" hidden="1">
      <c r="A4502" s="11" t="n">
        <v>46142</v>
      </c>
      <c r="B4502" t="inlineStr">
        <is>
          <t>Raane Batista Matos</t>
        </is>
      </c>
      <c r="C4502" t="inlineStr">
        <is>
          <t>Técnico I</t>
        </is>
      </c>
      <c r="D4502" s="3" t="n">
        <v>27</v>
      </c>
      <c r="E4502" s="3" t="n">
        <v>24</v>
      </c>
      <c r="F4502" s="3" t="n">
        <v>15.08</v>
      </c>
      <c r="G4502" s="3" t="n">
        <v>0</v>
      </c>
      <c r="H4502" s="3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M4502" s="3" t="n">
        <v>22</v>
      </c>
      <c r="N4502" s="3" t="n">
        <v>98.31999999999999</v>
      </c>
      <c r="O4502" s="3" t="n">
        <v>26.85851318944844</v>
      </c>
    </row>
    <row r="4503" hidden="1">
      <c r="A4503" s="5" t="n">
        <v>46146</v>
      </c>
      <c r="B4503" s="6" t="inlineStr">
        <is>
          <t>Raane Batista Matos</t>
        </is>
      </c>
      <c r="C4503" s="3" t="inlineStr">
        <is>
          <t>Técnico I</t>
        </is>
      </c>
      <c r="D4503" s="3" t="n">
        <v>27</v>
      </c>
      <c r="E4503" s="3" t="n">
        <v>23</v>
      </c>
      <c r="F4503" s="3" t="n">
        <v>14.07</v>
      </c>
      <c r="G4503" s="3" t="n">
        <v>4</v>
      </c>
      <c r="H4503" s="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IF(K4503&lt;-5,"CRÍTICO",IF(K4503&lt;0,"ATENÇÃO",IF(K4503&lt;=5,"BOM","EXCELENTE")))</f>
        <v/>
      </c>
      <c r="M4503" s="3" t="n">
        <v>20</v>
      </c>
      <c r="N4503" s="3" t="n">
        <v>98</v>
      </c>
      <c r="O4503" s="3" t="n">
        <v>20.73490813648294</v>
      </c>
    </row>
    <row r="4504" hidden="1">
      <c r="A4504" s="11" t="n">
        <v>46167</v>
      </c>
      <c r="B4504" t="inlineStr">
        <is>
          <t>Gabriel Gomes de Andrade</t>
        </is>
      </c>
      <c r="C4504" t="inlineStr">
        <is>
          <t>Técnico I</t>
        </is>
      </c>
      <c r="D4504" s="3" t="n">
        <v>25</v>
      </c>
      <c r="E4504" s="3" t="n">
        <v>25</v>
      </c>
      <c r="F4504" s="3" t="n">
        <v>12.33</v>
      </c>
      <c r="G4504" s="3" t="n">
        <v>0</v>
      </c>
      <c r="H4504" s="3" t="n">
        <v>0</v>
      </c>
      <c r="I4504" s="3" t="n">
        <v>0</v>
      </c>
      <c r="J4504" s="3" t="n">
        <v>0</v>
      </c>
      <c r="K4504" s="3" t="n">
        <v>0</v>
      </c>
      <c r="L4504" s="3">
        <f>IF(K4504&lt;-5,"CRÍTICO",IF(K4504&lt;0,"ATENÇÃO",IF(K4504&lt;=5,"OPORTUNO","MUITO BOM")))</f>
        <v/>
      </c>
      <c r="M4504" s="3" t="n">
        <v>24</v>
      </c>
      <c r="N4504" s="3" t="n">
        <v>99.06</v>
      </c>
      <c r="O4504" s="3" t="n">
        <v>19.41747572815534</v>
      </c>
    </row>
    <row r="4505" hidden="1">
      <c r="A4505" s="5" t="n">
        <v>46147</v>
      </c>
      <c r="B4505" s="6" t="inlineStr">
        <is>
          <t>Raane Batista Matos</t>
        </is>
      </c>
      <c r="C4505" s="3" t="inlineStr">
        <is>
          <t>Técnico I</t>
        </is>
      </c>
      <c r="D4505" s="3" t="n">
        <v>31</v>
      </c>
      <c r="E4505" s="3" t="n">
        <v>26</v>
      </c>
      <c r="F4505" s="3" t="n">
        <v>13.5</v>
      </c>
      <c r="G4505" s="3" t="n">
        <v>10</v>
      </c>
      <c r="H4505" s="3" t="n">
        <v>0</v>
      </c>
      <c r="I4505" s="3">
        <f>E4505+G4505+H4505</f>
        <v/>
      </c>
      <c r="J4505" s="3">
        <f>ROUND(MIN(IF(C4505="Técnico III",35,IF(C4505="Técnico II",28,IF(C4505="Técnico I",23,IF(C4505="JR",20,IF(C4505="Estágio",10,0))))),IF(C4505="Técnico III",SUMIFS($D:$D,$A:$A,$A4505,$B:$B,"&lt;&gt;Patrícia Karla de Sousa Araújo",$B:$B,"&lt;&gt;Lorena Dias de Araujo",$B:$B,"&lt;&gt;Lucas Luiz Romero")*(35/1083),IF(C4505="Técnico II",SUMIFS($D:$D,$A:$A,$A4505,$B:$B,"&lt;&gt;Patrícia Karla de Sousa Araújo",$B:$B,"&lt;&gt;Lorena Dias de Araujo",$B:$B,"&lt;&gt;Lucas Luiz Romero")*(28/1083),IF(C4505="Técnico I",SUMIFS($D:$D,$A:$A,$A4505,$B:$B,"&lt;&gt;Patrícia Karla de Sousa Araújo",$B:$B,"&lt;&gt;Lorena Dias de Araujo",$B:$B,"&lt;&gt;Lucas Luiz Romero")*(23/1083),IF(C4505="JR",SUMIFS($D:$D,$A:$A,$A4505,$B:$B,"&lt;&gt;Patrícia Karla de Sousa Araújo",$B:$B,"&lt;&gt;Lorena Dias de Araujo",$B:$B,"&lt;&gt;Lucas Luiz Romero")*(20/1083),IF(C4505="Estágio",SUMIFS($D:$D,$A:$A,$A4505,$B:$B,"&lt;&gt;Patrícia Karla de Sousa Araújo",$B:$B,"&lt;&gt;Lorena Dias de Araujo",$B:$B,"&lt;&gt;Lucas Luiz Romero")*(10/1083),0)))))),0)</f>
        <v/>
      </c>
      <c r="K4505" s="3">
        <f>I4505-J4505</f>
        <v/>
      </c>
      <c r="L4505" s="3">
        <f>IF(K4505&lt;-5,"CRÍTICO",IF(K4505&lt;0,"ATENÇÃO",IF(K4505&lt;=5,"BOM","EXCELENTE")))</f>
        <v/>
      </c>
      <c r="M4505" s="3" t="n">
        <v>21</v>
      </c>
      <c r="N4505" s="3" t="n">
        <v>98</v>
      </c>
      <c r="O4505" s="3" t="n">
        <v>20.73490813648294</v>
      </c>
    </row>
    <row r="4506" hidden="1">
      <c r="A4506" s="5" t="n">
        <v>46148</v>
      </c>
      <c r="B4506" s="6" t="inlineStr">
        <is>
          <t>Raane Batista Matos</t>
        </is>
      </c>
      <c r="C4506" s="3" t="inlineStr">
        <is>
          <t>Técnico I</t>
        </is>
      </c>
      <c r="D4506" s="3" t="n">
        <v>34</v>
      </c>
      <c r="E4506" s="3" t="n">
        <v>30</v>
      </c>
      <c r="F4506" s="3" t="n">
        <v>13.25</v>
      </c>
      <c r="G4506" s="3" t="n">
        <v>5</v>
      </c>
      <c r="H4506" s="3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IF(K4506&lt;-5,"CRÍTICO",IF(K4506&lt;0,"ATENÇÃO",IF(K4506&lt;=5,"BOM","EXCELENTE")))</f>
        <v/>
      </c>
      <c r="M4506" s="3" t="n">
        <v>23</v>
      </c>
      <c r="N4506" s="3" t="n">
        <v>98</v>
      </c>
      <c r="O4506" s="3" t="n">
        <v>20.73490813648294</v>
      </c>
    </row>
    <row r="4507" hidden="1">
      <c r="A4507" s="11" t="n">
        <v>46168</v>
      </c>
      <c r="B4507" t="inlineStr">
        <is>
          <t>Raane Batista Matos</t>
        </is>
      </c>
      <c r="C4507" t="inlineStr">
        <is>
          <t>Técnico I</t>
        </is>
      </c>
      <c r="D4507" s="3" t="n">
        <v>29</v>
      </c>
      <c r="E4507" s="3" t="n">
        <v>26</v>
      </c>
      <c r="F4507" s="3" t="n">
        <v>15.57</v>
      </c>
      <c r="G4507" s="3" t="n">
        <v>4</v>
      </c>
      <c r="M4507" s="3" t="n">
        <v>22</v>
      </c>
      <c r="N4507" s="3" t="n">
        <v>98</v>
      </c>
      <c r="O4507" s="3" t="n">
        <v>22.57217847769029</v>
      </c>
    </row>
    <row r="4508" hidden="1">
      <c r="A4508" s="11" t="n">
        <v>46140</v>
      </c>
      <c r="B4508" t="inlineStr">
        <is>
          <t>Sara Maria Monteiro Lopes</t>
        </is>
      </c>
      <c r="C4508" t="inlineStr">
        <is>
          <t>Técnico I</t>
        </is>
      </c>
      <c r="D4508" s="3" t="n">
        <v>25</v>
      </c>
      <c r="E4508" s="3" t="n">
        <v>25</v>
      </c>
      <c r="F4508" s="3" t="n">
        <v>20.47</v>
      </c>
      <c r="G4508" s="3" t="n">
        <v>0</v>
      </c>
      <c r="H4508" s="3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M4508" s="3" t="n">
        <v>23</v>
      </c>
      <c r="N4508" s="3" t="n">
        <v>100</v>
      </c>
      <c r="O4508" s="3" t="n">
        <v>26.36986301369863</v>
      </c>
    </row>
    <row r="4509" hidden="1">
      <c r="A4509" s="11" t="n">
        <v>46141</v>
      </c>
      <c r="B4509" t="inlineStr">
        <is>
          <t>Sara Maria Monteiro Lopes</t>
        </is>
      </c>
      <c r="C4509" t="inlineStr">
        <is>
          <t>Técnico I</t>
        </is>
      </c>
      <c r="D4509" s="3" t="n">
        <v>15</v>
      </c>
      <c r="E4509" s="3" t="n">
        <v>14</v>
      </c>
      <c r="F4509" s="3" t="n">
        <v>23.58</v>
      </c>
      <c r="G4509" s="3" t="n">
        <v>0</v>
      </c>
      <c r="H4509" s="3" t="n">
        <v>0</v>
      </c>
      <c r="I4509" s="3">
        <f>E4509+G4509+H4509</f>
        <v/>
      </c>
      <c r="J4509" s="3">
        <f>ROUND(MIN(IF(C4509="Técnico III",35,IF(C4509="Técnico II",28,IF(C4509="Técnico I",23,IF(C4509="JR",20,IF(C4509="Estágio",10,0))))),IF(C4509="Técnico III",SUMIFS($D:$D,$A:$A,$A4509,$B:$B,"&lt;&gt;Patrícia Karla de Sousa Araújo",$B:$B,"&lt;&gt;Lorena Dias de Araujo",$B:$B,"&lt;&gt;Lucas Luiz Romero")*(35/1083),IF(C4509="Técnico II",SUMIFS($D:$D,$A:$A,$A4509,$B:$B,"&lt;&gt;Patrícia Karla de Sousa Araújo",$B:$B,"&lt;&gt;Lorena Dias de Araujo",$B:$B,"&lt;&gt;Lucas Luiz Romero")*(28/1083),IF(C4509="Técnico I",SUMIFS($D:$D,$A:$A,$A4509,$B:$B,"&lt;&gt;Patrícia Karla de Sousa Araújo",$B:$B,"&lt;&gt;Lorena Dias de Araujo",$B:$B,"&lt;&gt;Lucas Luiz Romero")*(23/1083),IF(C4509="JR",SUMIFS($D:$D,$A:$A,$A4509,$B:$B,"&lt;&gt;Patrícia Karla de Sousa Araújo",$B:$B,"&lt;&gt;Lorena Dias de Araujo",$B:$B,"&lt;&gt;Lucas Luiz Romero")*(20/1083),IF(C4509="Estágio",SUMIFS($D:$D,$A:$A,$A4509,$B:$B,"&lt;&gt;Patrícia Karla de Sousa Araújo",$B:$B,"&lt;&gt;Lorena Dias de Araujo",$B:$B,"&lt;&gt;Lucas Luiz Romero")*(10/1083),0)))))),0)</f>
        <v/>
      </c>
      <c r="K4509" s="3">
        <f>I4509-J4509</f>
        <v/>
      </c>
      <c r="L4509" s="3">
        <f>IF(K4509&lt;-5,"CRÍTICO",IF(K4509&lt;0,"ATENÇÃO",IF(K4509&lt;=5,"OPORTUNO","MUITO BOM")))</f>
        <v/>
      </c>
      <c r="M4509" s="3" t="n">
        <v>13</v>
      </c>
      <c r="N4509" s="3" t="n">
        <v>100</v>
      </c>
      <c r="O4509" s="3" t="n">
        <v>26.36986301369863</v>
      </c>
    </row>
    <row r="4510" hidden="1">
      <c r="A4510" s="11" t="n">
        <v>46142</v>
      </c>
      <c r="B4510" t="inlineStr">
        <is>
          <t>Sara Maria Monteiro Lopes</t>
        </is>
      </c>
      <c r="C4510" t="inlineStr">
        <is>
          <t>Técnico I</t>
        </is>
      </c>
      <c r="D4510" s="3" t="n">
        <v>10</v>
      </c>
      <c r="E4510" s="3" t="n">
        <v>10</v>
      </c>
      <c r="F4510" s="3" t="n">
        <v>23.27</v>
      </c>
      <c r="G4510" s="3" t="n">
        <v>0</v>
      </c>
      <c r="H4510" s="3" t="n">
        <v>0</v>
      </c>
      <c r="I4510" s="3">
        <f>E4510+G4510+H4510</f>
        <v/>
      </c>
      <c r="J4510" s="3">
        <f>ROUND(MIN(IF(C4510="Técnico III",35,IF(C4510="Técnico II",28,IF(C4510="Técnico I",23,IF(C4510="JR",20,IF(C4510="Estágio",10,0))))),IF(C4510="Técnico III",SUMIFS($D:$D,$A:$A,$A4510,$B:$B,"&lt;&gt;Patrícia Karla de Sousa Araújo",$B:$B,"&lt;&gt;Lorena Dias de Araujo",$B:$B,"&lt;&gt;Lucas Luiz Romero")*(35/1083),IF(C4510="Técnico II",SUMIFS($D:$D,$A:$A,$A4510,$B:$B,"&lt;&gt;Patrícia Karla de Sousa Araújo",$B:$B,"&lt;&gt;Lorena Dias de Araujo",$B:$B,"&lt;&gt;Lucas Luiz Romero")*(28/1083),IF(C4510="Técnico I",SUMIFS($D:$D,$A:$A,$A4510,$B:$B,"&lt;&gt;Patrícia Karla de Sousa Araújo",$B:$B,"&lt;&gt;Lorena Dias de Araujo",$B:$B,"&lt;&gt;Lucas Luiz Romero")*(23/1083),IF(C4510="JR",SUMIFS($D:$D,$A:$A,$A4510,$B:$B,"&lt;&gt;Patrícia Karla de Sousa Araújo",$B:$B,"&lt;&gt;Lorena Dias de Araujo",$B:$B,"&lt;&gt;Lucas Luiz Romero")*(20/1083),IF(C4510="Estágio",SUMIFS($D:$D,$A:$A,$A4510,$B:$B,"&lt;&gt;Patrícia Karla de Sousa Araújo",$B:$B,"&lt;&gt;Lorena Dias de Araujo",$B:$B,"&lt;&gt;Lucas Luiz Romero")*(10/1083),0)))))),0)</f>
        <v/>
      </c>
      <c r="K4510" s="3">
        <f>I4510-J4510</f>
        <v/>
      </c>
      <c r="L4510" s="3">
        <f>IF(K4510&lt;-5,"CRÍTICO",IF(K4510&lt;0,"ATENÇÃO",IF(K4510&lt;=5,"OPORTUNO","MUITO BOM")))</f>
        <v/>
      </c>
      <c r="M4510" s="3" t="n">
        <v>10</v>
      </c>
      <c r="N4510" s="3" t="n">
        <v>100</v>
      </c>
      <c r="O4510" s="3" t="n">
        <v>26.36986301369863</v>
      </c>
    </row>
    <row r="4511" hidden="1">
      <c r="A4511" s="5" t="n">
        <v>46146</v>
      </c>
      <c r="B4511" s="6" t="inlineStr">
        <is>
          <t>Sara Maria Monteiro Lopes</t>
        </is>
      </c>
      <c r="C4511" s="3" t="inlineStr">
        <is>
          <t>Técnico I</t>
        </is>
      </c>
      <c r="D4511" s="3" t="n">
        <v>20</v>
      </c>
      <c r="E4511" s="3" t="n">
        <v>20</v>
      </c>
      <c r="F4511" s="3" t="n">
        <v>25.29</v>
      </c>
      <c r="G4511" s="3" t="n">
        <v>0</v>
      </c>
      <c r="H4511" s="3" t="n">
        <v>0</v>
      </c>
      <c r="I4511" s="3">
        <f>E4511+G4511+H4511</f>
        <v/>
      </c>
      <c r="J4511" s="3">
        <f>ROUND(MIN(IF(C4511="Técnico III",35,IF(C4511="Técnico II",28,IF(C4511="Técnico I",23,IF(C4511="JR",20,IF(C4511="Estágio",10,0))))),IF(C4511="Técnico III",SUMIFS($D:$D,$A:$A,$A4511,$B:$B,"&lt;&gt;Patrícia Karla de Sousa Araújo",$B:$B,"&lt;&gt;Lorena Dias de Araujo",$B:$B,"&lt;&gt;Lucas Luiz Romero")*(35/1083),IF(C4511="Técnico II",SUMIFS($D:$D,$A:$A,$A4511,$B:$B,"&lt;&gt;Patrícia Karla de Sousa Araújo",$B:$B,"&lt;&gt;Lorena Dias de Araujo",$B:$B,"&lt;&gt;Lucas Luiz Romero")*(28/1083),IF(C4511="Técnico I",SUMIFS($D:$D,$A:$A,$A4511,$B:$B,"&lt;&gt;Patrícia Karla de Sousa Araújo",$B:$B,"&lt;&gt;Lorena Dias de Araujo",$B:$B,"&lt;&gt;Lucas Luiz Romero")*(23/1083),IF(C4511="JR",SUMIFS($D:$D,$A:$A,$A4511,$B:$B,"&lt;&gt;Patrícia Karla de Sousa Araújo",$B:$B,"&lt;&gt;Lorena Dias de Araujo",$B:$B,"&lt;&gt;Lucas Luiz Romero")*(20/1083),IF(C4511="Estágio",SUMIFS($D:$D,$A:$A,$A4511,$B:$B,"&lt;&gt;Patrícia Karla de Sousa Araújo",$B:$B,"&lt;&gt;Lorena Dias de Araujo",$B:$B,"&lt;&gt;Lucas Luiz Romero")*(10/1083),0)))))),0)</f>
        <v/>
      </c>
      <c r="K4511" s="3">
        <f>I4511-J4511</f>
        <v/>
      </c>
      <c r="L4511" s="3">
        <f>IF(K4511&lt;-5,"CRÍTICO",IF(K4511&lt;0,"ATENÇÃO",IF(K4511&lt;=5,"BOM","EXCELENTE")))</f>
        <v/>
      </c>
      <c r="M4511" s="3" t="n">
        <v>20</v>
      </c>
      <c r="N4511" s="3" t="n">
        <v>100</v>
      </c>
      <c r="O4511" s="3" t="n">
        <v>18</v>
      </c>
    </row>
    <row r="4512" hidden="1">
      <c r="A4512" s="5" t="n">
        <v>46147</v>
      </c>
      <c r="B4512" s="6" t="inlineStr">
        <is>
          <t>Sara Maria Monteiro Lopes</t>
        </is>
      </c>
      <c r="C4512" s="3" t="inlineStr">
        <is>
          <t>Técnico I</t>
        </is>
      </c>
      <c r="D4512" s="3" t="n">
        <v>14</v>
      </c>
      <c r="E4512" s="3" t="n">
        <v>14</v>
      </c>
      <c r="F4512" s="3" t="n">
        <v>35.53</v>
      </c>
      <c r="G4512" s="3" t="n">
        <v>3</v>
      </c>
      <c r="H4512" s="3" t="n">
        <v>0</v>
      </c>
      <c r="I4512" s="3">
        <f>E4512+G4512+H4512</f>
        <v/>
      </c>
      <c r="J4512" s="3">
        <f>ROUND(MIN(IF(C4512="Técnico III",35,IF(C4512="Técnico II",28,IF(C4512="Técnico I",23,IF(C4512="JR",20,IF(C4512="Estágio",10,0))))),IF(C4512="Técnico III",SUMIFS($D:$D,$A:$A,$A4512,$B:$B,"&lt;&gt;Patrícia Karla de Sousa Araújo",$B:$B,"&lt;&gt;Lorena Dias de Araujo",$B:$B,"&lt;&gt;Lucas Luiz Romero")*(35/1083),IF(C4512="Técnico II",SUMIFS($D:$D,$A:$A,$A4512,$B:$B,"&lt;&gt;Patrícia Karla de Sousa Araújo",$B:$B,"&lt;&gt;Lorena Dias de Araujo",$B:$B,"&lt;&gt;Lucas Luiz Romero")*(28/1083),IF(C4512="Técnico I",SUMIFS($D:$D,$A:$A,$A4512,$B:$B,"&lt;&gt;Patrícia Karla de Sousa Araújo",$B:$B,"&lt;&gt;Lorena Dias de Araujo",$B:$B,"&lt;&gt;Lucas Luiz Romero")*(23/1083),IF(C4512="JR",SUMIFS($D:$D,$A:$A,$A4512,$B:$B,"&lt;&gt;Patrícia Karla de Sousa Araújo",$B:$B,"&lt;&gt;Lorena Dias de Araujo",$B:$B,"&lt;&gt;Lucas Luiz Romero")*(20/1083),IF(C4512="Estágio",SUMIFS($D:$D,$A:$A,$A4512,$B:$B,"&lt;&gt;Patrícia Karla de Sousa Araújo",$B:$B,"&lt;&gt;Lorena Dias de Araujo",$B:$B,"&lt;&gt;Lucas Luiz Romero")*(10/1083),0)))))),0)</f>
        <v/>
      </c>
      <c r="K4512" s="3">
        <f>I4512-J4512</f>
        <v/>
      </c>
      <c r="L4512" s="3">
        <f>IF(K4512&lt;-5,"CRÍTICO",IF(K4512&lt;0,"ATENÇÃO",IF(K4512&lt;=5,"BOM","EXCELENTE")))</f>
        <v/>
      </c>
      <c r="M4512" s="3" t="n">
        <v>10</v>
      </c>
      <c r="N4512" s="3" t="n">
        <v>100</v>
      </c>
      <c r="O4512" s="3" t="n">
        <v>18</v>
      </c>
    </row>
    <row r="4513" hidden="1">
      <c r="A4513" s="5" t="n">
        <v>46148</v>
      </c>
      <c r="B4513" s="6" t="inlineStr">
        <is>
          <t>Sara Maria Monteiro Lopes</t>
        </is>
      </c>
      <c r="C4513" s="3" t="inlineStr">
        <is>
          <t>Técnico I</t>
        </is>
      </c>
      <c r="D4513" s="3" t="n">
        <v>19</v>
      </c>
      <c r="E4513" s="3" t="n">
        <v>18</v>
      </c>
      <c r="F4513" s="3" t="n">
        <v>26.43</v>
      </c>
      <c r="G4513" s="3" t="n">
        <v>1</v>
      </c>
      <c r="H4513" s="3" t="n">
        <v>0</v>
      </c>
      <c r="I4513" s="3">
        <f>E4513+G4513+H4513</f>
        <v/>
      </c>
      <c r="J4513" s="3">
        <f>ROUND(MIN(IF(C4513="Técnico III",35,IF(C4513="Técnico II",28,IF(C4513="Técnico I",23,IF(C4513="JR",20,IF(C4513="Estágio",10,0))))),IF(C4513="Técnico III",SUMIFS($D:$D,$A:$A,$A4513,$B:$B,"&lt;&gt;Patrícia Karla de Sousa Araújo",$B:$B,"&lt;&gt;Lorena Dias de Araujo",$B:$B,"&lt;&gt;Lucas Luiz Romero")*(35/1083),IF(C4513="Técnico II",SUMIFS($D:$D,$A:$A,$A4513,$B:$B,"&lt;&gt;Patrícia Karla de Sousa Araújo",$B:$B,"&lt;&gt;Lorena Dias de Araujo",$B:$B,"&lt;&gt;Lucas Luiz Romero")*(28/1083),IF(C4513="Técnico I",SUMIFS($D:$D,$A:$A,$A4513,$B:$B,"&lt;&gt;Patrícia Karla de Sousa Araújo",$B:$B,"&lt;&gt;Lorena Dias de Araujo",$B:$B,"&lt;&gt;Lucas Luiz Romero")*(23/1083),IF(C4513="JR",SUMIFS($D:$D,$A:$A,$A4513,$B:$B,"&lt;&gt;Patrícia Karla de Sousa Araújo",$B:$B,"&lt;&gt;Lorena Dias de Araujo",$B:$B,"&lt;&gt;Lucas Luiz Romero")*(20/1083),IF(C4513="Estágio",SUMIFS($D:$D,$A:$A,$A4513,$B:$B,"&lt;&gt;Patrícia Karla de Sousa Araújo",$B:$B,"&lt;&gt;Lorena Dias de Araujo",$B:$B,"&lt;&gt;Lucas Luiz Romero")*(10/1083),0)))))),0)</f>
        <v/>
      </c>
      <c r="K4513" s="3">
        <f>I4513-J4513</f>
        <v/>
      </c>
      <c r="L4513" s="3">
        <f>IF(K4513&lt;-5,"CRÍTICO",IF(K4513&lt;0,"ATENÇÃO",IF(K4513&lt;=5,"BOM","EXCELENTE")))</f>
        <v/>
      </c>
      <c r="M4513" s="3" t="n">
        <v>18</v>
      </c>
      <c r="N4513" s="3" t="n">
        <v>100</v>
      </c>
      <c r="O4513" s="3" t="n">
        <v>18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s="3" t="n">
        <v>15</v>
      </c>
      <c r="E4514" s="3" t="n">
        <v>15</v>
      </c>
      <c r="F4514" s="3" t="n">
        <v>37</v>
      </c>
      <c r="G4514" s="3" t="n">
        <v>0</v>
      </c>
      <c r="M4514" s="3" t="n">
        <v>14</v>
      </c>
      <c r="N4514" s="3" t="n">
        <v>100</v>
      </c>
      <c r="O4514" s="3" t="n">
        <v>19.35483870967742</v>
      </c>
    </row>
    <row r="4515" hidden="1">
      <c r="A4515" s="11" t="n">
        <v>46133</v>
      </c>
      <c r="B4515" t="inlineStr">
        <is>
          <t>Gabriel Gomes de Andrade</t>
        </is>
      </c>
      <c r="C4515" t="inlineStr">
        <is>
          <t>Técnico I</t>
        </is>
      </c>
      <c r="D4515" t="n">
        <v>0</v>
      </c>
      <c r="E4515" t="n">
        <v>0</v>
      </c>
      <c r="F4515" t="n">
        <v>0</v>
      </c>
      <c r="G4515" t="n">
        <v>0</v>
      </c>
      <c r="H4515" t="n">
        <v>0</v>
      </c>
      <c r="I4515" t="n">
        <v>0</v>
      </c>
      <c r="J4515" t="n">
        <v>0</v>
      </c>
      <c r="K4515" t="n">
        <v>0</v>
      </c>
      <c r="M4515" t="n">
        <v>0</v>
      </c>
      <c r="N4515" t="n">
        <v>99.28</v>
      </c>
      <c r="O4515" t="n">
        <v>27.68924302788844</v>
      </c>
    </row>
    <row r="4516" hidden="1">
      <c r="A4516" s="11" t="n">
        <v>46133</v>
      </c>
      <c r="B4516" t="inlineStr">
        <is>
          <t>Alisson de Freitas Silva</t>
        </is>
      </c>
      <c r="C4516" t="inlineStr">
        <is>
          <t>Técnico II</t>
        </is>
      </c>
      <c r="D4516" t="n">
        <v>0</v>
      </c>
      <c r="E4516" t="n">
        <v>0</v>
      </c>
      <c r="F4516" t="n">
        <v>0</v>
      </c>
      <c r="G4516" t="n">
        <v>0</v>
      </c>
      <c r="H4516" t="n">
        <v>0</v>
      </c>
      <c r="I4516" t="n">
        <v>0</v>
      </c>
      <c r="J4516" t="n">
        <v>0</v>
      </c>
      <c r="K4516" t="n">
        <v>0</v>
      </c>
      <c r="M4516" t="n">
        <v>0</v>
      </c>
      <c r="N4516" t="n">
        <v>100</v>
      </c>
      <c r="O4516" t="n">
        <v>32.76450511945392</v>
      </c>
    </row>
    <row r="4517" hidden="1">
      <c r="A4517" s="11" t="n">
        <v>46133</v>
      </c>
      <c r="B4517" t="inlineStr">
        <is>
          <t>Amanda Moura Ferreira</t>
        </is>
      </c>
      <c r="C4517" t="inlineStr">
        <is>
          <t>Técnico III</t>
        </is>
      </c>
      <c r="D4517" t="n">
        <v>0</v>
      </c>
      <c r="E4517" t="n">
        <v>0</v>
      </c>
      <c r="F4517" t="n">
        <v>0</v>
      </c>
      <c r="G4517" t="n">
        <v>0</v>
      </c>
      <c r="H4517" t="n">
        <v>0</v>
      </c>
      <c r="I4517" t="n">
        <v>0</v>
      </c>
      <c r="J4517" t="n">
        <v>0</v>
      </c>
      <c r="K4517" t="n">
        <v>0</v>
      </c>
      <c r="M4517" t="n">
        <v>0</v>
      </c>
      <c r="N4517" t="n">
        <v>98.66</v>
      </c>
      <c r="O4517" t="n">
        <v>35.41666666666667</v>
      </c>
    </row>
    <row r="4518" hidden="1">
      <c r="A4518" s="11" t="n">
        <v>46133</v>
      </c>
      <c r="B4518" t="inlineStr">
        <is>
          <t>Ana Karollyne Souza Faria</t>
        </is>
      </c>
      <c r="C4518" t="inlineStr">
        <is>
          <t>Técnico I</t>
        </is>
      </c>
      <c r="D4518" t="n">
        <v>0</v>
      </c>
      <c r="E4518" t="n">
        <v>0</v>
      </c>
      <c r="F4518" t="n">
        <v>0</v>
      </c>
      <c r="G4518" t="n">
        <v>0</v>
      </c>
      <c r="H4518" t="n">
        <v>0</v>
      </c>
      <c r="I4518" t="n">
        <v>0</v>
      </c>
      <c r="J4518" t="n">
        <v>0</v>
      </c>
      <c r="K4518" t="n">
        <v>0</v>
      </c>
      <c r="M4518" t="n">
        <v>0</v>
      </c>
      <c r="N4518" t="n">
        <v>99.31999999999999</v>
      </c>
      <c r="O4518" t="n">
        <v>30.6483300589391</v>
      </c>
    </row>
    <row r="4519" hidden="1">
      <c r="A4519" s="11" t="n">
        <v>46133</v>
      </c>
      <c r="B4519" t="inlineStr">
        <is>
          <t>Ana Paula Da Luz Silva Aleixo</t>
        </is>
      </c>
      <c r="C4519" t="inlineStr">
        <is>
          <t>Técnico III</t>
        </is>
      </c>
      <c r="D4519" t="n">
        <v>0</v>
      </c>
      <c r="E4519" t="n">
        <v>0</v>
      </c>
      <c r="F4519" t="n">
        <v>0</v>
      </c>
      <c r="G4519" t="n">
        <v>0</v>
      </c>
      <c r="H4519" t="n">
        <v>0</v>
      </c>
      <c r="I4519" t="n">
        <v>0</v>
      </c>
      <c r="J4519" t="n">
        <v>0</v>
      </c>
      <c r="K4519" t="n">
        <v>0</v>
      </c>
      <c r="M4519" t="n">
        <v>0</v>
      </c>
      <c r="N4519" t="n">
        <v>100</v>
      </c>
      <c r="O4519" t="n">
        <v>27.80373831775701</v>
      </c>
    </row>
    <row r="4520" hidden="1">
      <c r="A4520" s="11" t="n">
        <v>46133</v>
      </c>
      <c r="B4520" t="inlineStr">
        <is>
          <t>Anna Luiza Rezende Tavares</t>
        </is>
      </c>
      <c r="C4520" t="inlineStr">
        <is>
          <t>Estágio</t>
        </is>
      </c>
      <c r="D4520" t="n">
        <v>0</v>
      </c>
      <c r="E4520" t="n">
        <v>0</v>
      </c>
      <c r="F4520" t="n">
        <v>0</v>
      </c>
      <c r="G4520" t="n">
        <v>0</v>
      </c>
      <c r="H4520" t="n">
        <v>0</v>
      </c>
      <c r="I4520" t="n">
        <v>0</v>
      </c>
      <c r="J4520" t="n">
        <v>0</v>
      </c>
      <c r="K4520" t="n">
        <v>0</v>
      </c>
      <c r="M4520" t="n">
        <v>0</v>
      </c>
      <c r="N4520" t="n">
        <v>96.73999999999999</v>
      </c>
      <c r="O4520" t="n">
        <v>28.67647058823529</v>
      </c>
    </row>
    <row r="4521" hidden="1">
      <c r="A4521" s="11" t="n">
        <v>46133</v>
      </c>
      <c r="B4521" t="inlineStr">
        <is>
          <t>Brenda de Menezes Silva</t>
        </is>
      </c>
      <c r="C4521" t="inlineStr">
        <is>
          <t>Técnico II</t>
        </is>
      </c>
      <c r="D4521" t="n">
        <v>0</v>
      </c>
      <c r="E4521" t="n">
        <v>0</v>
      </c>
      <c r="F4521" t="n">
        <v>0</v>
      </c>
      <c r="G4521" t="n">
        <v>0</v>
      </c>
      <c r="H4521" t="n">
        <v>0</v>
      </c>
      <c r="I4521" t="n">
        <v>0</v>
      </c>
      <c r="J4521" t="n">
        <v>0</v>
      </c>
      <c r="K4521" t="n">
        <v>0</v>
      </c>
      <c r="M4521" t="n">
        <v>0</v>
      </c>
      <c r="N4521" t="n">
        <v>98.81999999999999</v>
      </c>
      <c r="O4521" t="n">
        <v>30.74141048824593</v>
      </c>
    </row>
    <row r="4522" hidden="1">
      <c r="A4522" s="11" t="n">
        <v>46133</v>
      </c>
      <c r="B4522" t="inlineStr">
        <is>
          <t>Carlos Mateus Cassimiro Nunes</t>
        </is>
      </c>
      <c r="C4522" t="inlineStr">
        <is>
          <t>Técnico II</t>
        </is>
      </c>
      <c r="D4522" t="n">
        <v>0</v>
      </c>
      <c r="E4522" t="n">
        <v>0</v>
      </c>
      <c r="F4522" t="n">
        <v>0</v>
      </c>
      <c r="G4522" t="n">
        <v>0</v>
      </c>
      <c r="H4522" t="n">
        <v>0</v>
      </c>
      <c r="I4522" t="n">
        <v>0</v>
      </c>
      <c r="J4522" t="n">
        <v>0</v>
      </c>
      <c r="K4522" t="n">
        <v>0</v>
      </c>
      <c r="M4522" t="n">
        <v>0</v>
      </c>
      <c r="N4522" t="n">
        <v>98.2</v>
      </c>
      <c r="O4522" t="n">
        <v>27.17086834733893</v>
      </c>
    </row>
    <row r="4523" hidden="1">
      <c r="A4523" s="11" t="n">
        <v>46133</v>
      </c>
      <c r="B4523" t="inlineStr">
        <is>
          <t>Claudio de Sousa Velasco Filho</t>
        </is>
      </c>
      <c r="C4523" t="inlineStr">
        <is>
          <t>Estágio</t>
        </is>
      </c>
      <c r="D4523" t="n">
        <v>0</v>
      </c>
      <c r="E4523" t="n">
        <v>0</v>
      </c>
      <c r="F4523" t="n">
        <v>0</v>
      </c>
      <c r="G4523" t="n">
        <v>0</v>
      </c>
      <c r="H4523" t="n">
        <v>0</v>
      </c>
      <c r="I4523" t="n">
        <v>0</v>
      </c>
      <c r="J4523" t="n">
        <v>0</v>
      </c>
      <c r="K4523" t="n">
        <v>0</v>
      </c>
      <c r="M4523" t="n">
        <v>0</v>
      </c>
      <c r="N4523" t="n">
        <v>100</v>
      </c>
      <c r="O4523" t="n">
        <v>23.13432835820895</v>
      </c>
    </row>
    <row r="4524" hidden="1">
      <c r="A4524" s="11" t="n">
        <v>46133</v>
      </c>
      <c r="B4524" t="inlineStr">
        <is>
          <t>Clessiane Pereira dos Santos</t>
        </is>
      </c>
      <c r="C4524" t="inlineStr">
        <is>
          <t>Técnico I</t>
        </is>
      </c>
      <c r="D4524" t="n">
        <v>0</v>
      </c>
      <c r="E4524" t="n">
        <v>0</v>
      </c>
      <c r="F4524" t="n">
        <v>0</v>
      </c>
      <c r="G4524" t="n">
        <v>0</v>
      </c>
      <c r="H4524" t="n">
        <v>0</v>
      </c>
      <c r="I4524" t="n">
        <v>0</v>
      </c>
      <c r="J4524" t="n">
        <v>0</v>
      </c>
      <c r="K4524" t="n">
        <v>0</v>
      </c>
      <c r="M4524" t="n">
        <v>0</v>
      </c>
      <c r="N4524" t="n">
        <v>96.3</v>
      </c>
      <c r="O4524" t="n">
        <v>32.21957040572792</v>
      </c>
    </row>
    <row r="4525" hidden="1">
      <c r="A4525" s="11" t="n">
        <v>46133</v>
      </c>
      <c r="B4525" t="inlineStr">
        <is>
          <t>Cristiane Ramos da Silva Rocha</t>
        </is>
      </c>
      <c r="C4525" t="inlineStr">
        <is>
          <t>Técnico III</t>
        </is>
      </c>
      <c r="D4525" t="n">
        <v>0</v>
      </c>
      <c r="E4525" t="n">
        <v>0</v>
      </c>
      <c r="F4525" t="n">
        <v>0</v>
      </c>
      <c r="G4525" t="n">
        <v>0</v>
      </c>
      <c r="H4525" t="n">
        <v>0</v>
      </c>
      <c r="I4525" t="n">
        <v>0</v>
      </c>
      <c r="J4525" t="n">
        <v>0</v>
      </c>
      <c r="K4525" t="n">
        <v>0</v>
      </c>
      <c r="M4525" t="n">
        <v>0</v>
      </c>
      <c r="N4525" t="n">
        <v>93.75</v>
      </c>
      <c r="O4525" t="n">
        <v>26.81992337164751</v>
      </c>
    </row>
    <row r="4526" hidden="1">
      <c r="A4526" s="11" t="n">
        <v>46133</v>
      </c>
      <c r="B4526" t="inlineStr">
        <is>
          <t>Damyllis Lorraine de Oliveira Gonçalves</t>
        </is>
      </c>
      <c r="C4526" t="inlineStr">
        <is>
          <t>Técnico II</t>
        </is>
      </c>
      <c r="D4526" t="n">
        <v>0</v>
      </c>
      <c r="E4526" t="n">
        <v>0</v>
      </c>
      <c r="F4526" t="n">
        <v>0</v>
      </c>
      <c r="G4526" t="n">
        <v>0</v>
      </c>
      <c r="H4526" t="n">
        <v>0</v>
      </c>
      <c r="I4526" t="n">
        <v>0</v>
      </c>
      <c r="J4526" t="n">
        <v>0</v>
      </c>
      <c r="K4526" t="n">
        <v>0</v>
      </c>
      <c r="M4526" t="n">
        <v>0</v>
      </c>
      <c r="N4526" t="n">
        <v>97.86</v>
      </c>
      <c r="O4526" t="n">
        <v>31.01851851851852</v>
      </c>
    </row>
    <row r="4527" hidden="1">
      <c r="A4527" s="11" t="n">
        <v>46133</v>
      </c>
      <c r="B4527" t="inlineStr">
        <is>
          <t>Daniel Gomes da Silva</t>
        </is>
      </c>
      <c r="C4527" t="inlineStr">
        <is>
          <t>Técnico I</t>
        </is>
      </c>
      <c r="D4527" t="n">
        <v>0</v>
      </c>
      <c r="E4527" t="n">
        <v>0</v>
      </c>
      <c r="F4527" t="n">
        <v>0</v>
      </c>
      <c r="G4527" t="n">
        <v>0</v>
      </c>
      <c r="H4527" t="n">
        <v>0</v>
      </c>
      <c r="I4527" t="n">
        <v>0</v>
      </c>
      <c r="J4527" t="n">
        <v>0</v>
      </c>
      <c r="K4527" t="n">
        <v>0</v>
      </c>
      <c r="M4527" t="n">
        <v>0</v>
      </c>
      <c r="N4527" t="n">
        <v>100</v>
      </c>
      <c r="O4527" t="n">
        <v>36.59420289855073</v>
      </c>
    </row>
    <row r="4528" hidden="1">
      <c r="A4528" s="11" t="n">
        <v>46133</v>
      </c>
      <c r="B4528" t="inlineStr">
        <is>
          <t>Davylla Rodrigues Freitas Silva</t>
        </is>
      </c>
      <c r="C4528" t="inlineStr">
        <is>
          <t>Técnico III</t>
        </is>
      </c>
      <c r="D4528" t="n">
        <v>0</v>
      </c>
      <c r="E4528" t="n">
        <v>0</v>
      </c>
      <c r="F4528" t="n">
        <v>0</v>
      </c>
      <c r="G4528" t="n">
        <v>0</v>
      </c>
      <c r="H4528" t="n">
        <v>0</v>
      </c>
      <c r="I4528" t="n">
        <v>0</v>
      </c>
      <c r="J4528" t="n">
        <v>0</v>
      </c>
      <c r="K4528" t="n">
        <v>0</v>
      </c>
      <c r="M4528" t="n">
        <v>0</v>
      </c>
      <c r="N4528" t="n">
        <v>100</v>
      </c>
      <c r="O4528" t="n">
        <v>38.65384615384615</v>
      </c>
    </row>
    <row r="4529" hidden="1">
      <c r="A4529" s="11" t="n">
        <v>46133</v>
      </c>
      <c r="B4529" t="inlineStr">
        <is>
          <t>Emilly Caylane Costa</t>
        </is>
      </c>
      <c r="C4529" t="inlineStr">
        <is>
          <t>Estágio</t>
        </is>
      </c>
      <c r="D4529" t="n">
        <v>0</v>
      </c>
      <c r="E4529" t="n">
        <v>0</v>
      </c>
      <c r="F4529" t="n">
        <v>0</v>
      </c>
      <c r="G4529" t="n">
        <v>0</v>
      </c>
      <c r="H4529" t="n">
        <v>0</v>
      </c>
      <c r="I4529" t="n">
        <v>0</v>
      </c>
      <c r="J4529" t="n">
        <v>0</v>
      </c>
      <c r="K4529" t="n">
        <v>0</v>
      </c>
      <c r="M4529" t="n">
        <v>0</v>
      </c>
      <c r="N4529" t="n">
        <v>100</v>
      </c>
      <c r="O4529" t="n">
        <v>27.36842105263158</v>
      </c>
    </row>
    <row r="4530" hidden="1">
      <c r="A4530" s="11" t="n">
        <v>46133</v>
      </c>
      <c r="B4530" t="inlineStr">
        <is>
          <t>Emilly Kamilly Medeiros Miranda</t>
        </is>
      </c>
      <c r="C4530" t="inlineStr">
        <is>
          <t>Técnico II</t>
        </is>
      </c>
      <c r="D4530" t="n">
        <v>0</v>
      </c>
      <c r="E4530" t="n">
        <v>0</v>
      </c>
      <c r="F4530" t="n">
        <v>0</v>
      </c>
      <c r="G4530" t="n">
        <v>0</v>
      </c>
      <c r="H4530" t="n">
        <v>0</v>
      </c>
      <c r="I4530" t="n">
        <v>0</v>
      </c>
      <c r="J4530" t="n">
        <v>0</v>
      </c>
      <c r="K4530" t="n">
        <v>0</v>
      </c>
      <c r="M4530" t="n">
        <v>0</v>
      </c>
      <c r="N4530" t="n">
        <v>97.83</v>
      </c>
      <c r="O4530" t="n">
        <v>28.35164835164835</v>
      </c>
    </row>
    <row r="4531" hidden="1">
      <c r="A4531" s="11" t="n">
        <v>46133</v>
      </c>
      <c r="B4531" t="inlineStr">
        <is>
          <t>Francielson de Oliveira</t>
        </is>
      </c>
      <c r="C4531" t="inlineStr">
        <is>
          <t>Técnico III</t>
        </is>
      </c>
      <c r="D4531" t="n">
        <v>0</v>
      </c>
      <c r="E4531" t="n">
        <v>0</v>
      </c>
      <c r="F4531" t="n">
        <v>0</v>
      </c>
      <c r="G4531" t="n">
        <v>0</v>
      </c>
      <c r="H4531" t="n">
        <v>0</v>
      </c>
      <c r="I4531" t="n">
        <v>0</v>
      </c>
      <c r="J4531" t="n">
        <v>0</v>
      </c>
      <c r="K4531" t="n">
        <v>0</v>
      </c>
      <c r="M4531" t="n">
        <v>0</v>
      </c>
      <c r="N4531" t="n">
        <v>99.26000000000001</v>
      </c>
      <c r="O4531" t="n">
        <v>29.76653696498055</v>
      </c>
    </row>
    <row r="4532" hidden="1">
      <c r="A4532" s="11" t="n">
        <v>46133</v>
      </c>
      <c r="B4532" t="inlineStr">
        <is>
          <t>Francilene Ferreira de Jesus</t>
        </is>
      </c>
      <c r="C4532" t="inlineStr">
        <is>
          <t>Técnico II</t>
        </is>
      </c>
      <c r="D4532" t="n">
        <v>0</v>
      </c>
      <c r="E4532" t="n">
        <v>0</v>
      </c>
      <c r="F4532" t="n">
        <v>0</v>
      </c>
      <c r="G4532" t="n">
        <v>0</v>
      </c>
      <c r="H4532" t="n">
        <v>0</v>
      </c>
      <c r="I4532" t="n">
        <v>0</v>
      </c>
      <c r="J4532" t="n">
        <v>0</v>
      </c>
      <c r="K4532" t="n">
        <v>0</v>
      </c>
      <c r="M4532" t="n">
        <v>0</v>
      </c>
      <c r="N4532" t="n">
        <v>99.19</v>
      </c>
      <c r="O4532" t="n">
        <v>29.46236559139785</v>
      </c>
    </row>
    <row r="4533" hidden="1">
      <c r="A4533" s="11" t="n">
        <v>46133</v>
      </c>
      <c r="B4533" t="inlineStr">
        <is>
          <t>Isabella Borges de Oliveira</t>
        </is>
      </c>
      <c r="C4533" t="inlineStr">
        <is>
          <t>Técnico II</t>
        </is>
      </c>
      <c r="D4533" t="n">
        <v>0</v>
      </c>
      <c r="E4533" t="n">
        <v>0</v>
      </c>
      <c r="F4533" t="n">
        <v>0</v>
      </c>
      <c r="G4533" t="n">
        <v>0</v>
      </c>
      <c r="H4533" t="n">
        <v>0</v>
      </c>
      <c r="I4533" t="n">
        <v>0</v>
      </c>
      <c r="J4533" t="n">
        <v>0</v>
      </c>
      <c r="K4533" t="n">
        <v>0</v>
      </c>
      <c r="M4533" t="n">
        <v>0</v>
      </c>
      <c r="N4533" t="n">
        <v>100</v>
      </c>
      <c r="O4533" t="n">
        <v>28.92156862745098</v>
      </c>
    </row>
    <row r="4534" hidden="1">
      <c r="A4534" s="11" t="n">
        <v>46133</v>
      </c>
      <c r="B4534" t="inlineStr">
        <is>
          <t>Janaina Lima dos Reis Urany</t>
        </is>
      </c>
      <c r="C4534" t="inlineStr">
        <is>
          <t>Técnico III</t>
        </is>
      </c>
      <c r="D4534" t="n">
        <v>0</v>
      </c>
      <c r="E4534" t="n">
        <v>0</v>
      </c>
      <c r="F4534" t="n">
        <v>0</v>
      </c>
      <c r="G4534" t="n">
        <v>0</v>
      </c>
      <c r="H4534" t="n">
        <v>0</v>
      </c>
      <c r="I4534" t="n">
        <v>0</v>
      </c>
      <c r="J4534" t="n">
        <v>0</v>
      </c>
      <c r="K4534" t="n">
        <v>0</v>
      </c>
      <c r="M4534" t="n">
        <v>0</v>
      </c>
      <c r="N4534" t="n">
        <v>99.56999999999999</v>
      </c>
      <c r="O4534" t="n">
        <v>30.63583815028902</v>
      </c>
    </row>
    <row r="4535" hidden="1">
      <c r="A4535" s="11" t="n">
        <v>46133</v>
      </c>
      <c r="B4535" t="inlineStr">
        <is>
          <t>Jaqueline Evangelista da Silva Martins</t>
        </is>
      </c>
      <c r="C4535" t="inlineStr">
        <is>
          <t>Técnico III</t>
        </is>
      </c>
      <c r="D4535" t="n">
        <v>0</v>
      </c>
      <c r="E4535" t="n">
        <v>0</v>
      </c>
      <c r="F4535" t="n">
        <v>0</v>
      </c>
      <c r="G4535" t="n">
        <v>0</v>
      </c>
      <c r="H4535" t="n">
        <v>0</v>
      </c>
      <c r="I4535" t="n">
        <v>0</v>
      </c>
      <c r="J4535" t="n">
        <v>0</v>
      </c>
      <c r="K4535" t="n">
        <v>0</v>
      </c>
      <c r="M4535" t="n">
        <v>0</v>
      </c>
      <c r="N4535" t="n">
        <v>95.65000000000001</v>
      </c>
      <c r="O4535" t="n">
        <v>32.43243243243244</v>
      </c>
    </row>
    <row r="4536" hidden="1">
      <c r="A4536" s="11" t="n">
        <v>46133</v>
      </c>
      <c r="B4536" t="inlineStr">
        <is>
          <t>Jessica Faria da Silveira</t>
        </is>
      </c>
      <c r="C4536" t="inlineStr">
        <is>
          <t>Técnico II</t>
        </is>
      </c>
      <c r="D4536" t="n">
        <v>0</v>
      </c>
      <c r="E4536" t="n">
        <v>0</v>
      </c>
      <c r="F4536" t="n">
        <v>0</v>
      </c>
      <c r="G4536" t="n">
        <v>0</v>
      </c>
      <c r="H4536" t="n">
        <v>0</v>
      </c>
      <c r="I4536" t="n">
        <v>0</v>
      </c>
      <c r="J4536" t="n">
        <v>0</v>
      </c>
      <c r="K4536" t="n">
        <v>0</v>
      </c>
      <c r="M4536" t="n">
        <v>0</v>
      </c>
      <c r="N4536" t="n">
        <v>98.81</v>
      </c>
      <c r="O4536" t="n">
        <v>26.25698324022346</v>
      </c>
    </row>
    <row r="4537" hidden="1">
      <c r="A4537" s="11" t="n">
        <v>46133</v>
      </c>
      <c r="B4537" t="inlineStr">
        <is>
          <t>Jéssica Fé Moura</t>
        </is>
      </c>
      <c r="C4537" t="inlineStr">
        <is>
          <t>Técnico III</t>
        </is>
      </c>
      <c r="D4537" t="n">
        <v>0</v>
      </c>
      <c r="E4537" t="n">
        <v>0</v>
      </c>
      <c r="F4537" t="n">
        <v>0</v>
      </c>
      <c r="G4537" t="n">
        <v>0</v>
      </c>
      <c r="H4537" t="n">
        <v>0</v>
      </c>
      <c r="I4537" t="n">
        <v>0</v>
      </c>
      <c r="J4537" t="n">
        <v>0</v>
      </c>
      <c r="K4537" t="n">
        <v>0</v>
      </c>
      <c r="M4537" t="n">
        <v>0</v>
      </c>
      <c r="N4537" t="n">
        <v>0</v>
      </c>
      <c r="O4537" t="n">
        <v>0</v>
      </c>
    </row>
    <row r="4538" hidden="1">
      <c r="A4538" s="11" t="n">
        <v>46133</v>
      </c>
      <c r="B4538" t="inlineStr">
        <is>
          <t>Karina Gonçalves Martins</t>
        </is>
      </c>
      <c r="C4538" t="inlineStr">
        <is>
          <t>JR</t>
        </is>
      </c>
      <c r="D4538" t="n">
        <v>0</v>
      </c>
      <c r="E4538" t="n">
        <v>0</v>
      </c>
      <c r="F4538" t="n">
        <v>0</v>
      </c>
      <c r="G4538" t="n">
        <v>0</v>
      </c>
      <c r="H4538" t="n">
        <v>0</v>
      </c>
      <c r="I4538" t="n">
        <v>0</v>
      </c>
      <c r="J4538" t="n">
        <v>0</v>
      </c>
      <c r="K4538" t="n">
        <v>0</v>
      </c>
      <c r="M4538" t="n">
        <v>0</v>
      </c>
      <c r="N4538" t="n">
        <v>97.17</v>
      </c>
      <c r="O4538" t="n">
        <v>28.81844380403458</v>
      </c>
    </row>
    <row r="4539" hidden="1">
      <c r="A4539" s="11" t="n">
        <v>46133</v>
      </c>
      <c r="B4539" t="inlineStr">
        <is>
          <t>Kerollen Cristielly de Jesus Siqueira</t>
        </is>
      </c>
      <c r="C4539" t="inlineStr">
        <is>
          <t>Técnico III</t>
        </is>
      </c>
      <c r="D4539" t="n">
        <v>0</v>
      </c>
      <c r="E4539" t="n">
        <v>0</v>
      </c>
      <c r="F4539" t="n">
        <v>0</v>
      </c>
      <c r="G4539" t="n">
        <v>0</v>
      </c>
      <c r="H4539" t="n">
        <v>0</v>
      </c>
      <c r="I4539" t="n">
        <v>0</v>
      </c>
      <c r="J4539" t="n">
        <v>0</v>
      </c>
      <c r="K4539" t="n">
        <v>0</v>
      </c>
      <c r="M4539" t="n">
        <v>0</v>
      </c>
      <c r="N4539" t="n">
        <v>96.81</v>
      </c>
      <c r="O4539" t="n">
        <v>48.01864801864802</v>
      </c>
    </row>
    <row r="4540" hidden="1">
      <c r="A4540" s="11" t="n">
        <v>46133</v>
      </c>
      <c r="B4540" t="inlineStr">
        <is>
          <t>Leandro de Souza Silva</t>
        </is>
      </c>
      <c r="C4540" t="inlineStr">
        <is>
          <t>JR</t>
        </is>
      </c>
      <c r="D4540" t="n">
        <v>0</v>
      </c>
      <c r="E4540" t="n">
        <v>0</v>
      </c>
      <c r="F4540" t="n">
        <v>0</v>
      </c>
      <c r="G4540" t="n">
        <v>0</v>
      </c>
      <c r="H4540" t="n">
        <v>0</v>
      </c>
      <c r="I4540" t="n">
        <v>0</v>
      </c>
      <c r="J4540" t="n">
        <v>0</v>
      </c>
      <c r="K4540" t="n">
        <v>0</v>
      </c>
      <c r="M4540" t="n">
        <v>0</v>
      </c>
      <c r="N4540" t="n">
        <v>98.15000000000001</v>
      </c>
      <c r="O4540" t="n">
        <v>27.1551724137931</v>
      </c>
    </row>
    <row r="4541" hidden="1">
      <c r="A4541" s="11" t="n">
        <v>46133</v>
      </c>
      <c r="B4541" t="inlineStr">
        <is>
          <t>Leandro Oliveira de Sousa</t>
        </is>
      </c>
      <c r="C4541" t="inlineStr">
        <is>
          <t>Técnico III</t>
        </is>
      </c>
      <c r="D4541" t="n">
        <v>0</v>
      </c>
      <c r="E4541" t="n">
        <v>0</v>
      </c>
      <c r="F4541" t="n">
        <v>0</v>
      </c>
      <c r="G4541" t="n">
        <v>0</v>
      </c>
      <c r="H4541" t="n">
        <v>0</v>
      </c>
      <c r="I4541" t="n">
        <v>0</v>
      </c>
      <c r="J4541" t="n">
        <v>0</v>
      </c>
      <c r="K4541" t="n">
        <v>0</v>
      </c>
      <c r="M4541" t="n">
        <v>0</v>
      </c>
      <c r="N4541" t="n">
        <v>99.15000000000001</v>
      </c>
      <c r="O4541" t="n">
        <v>27.58620689655172</v>
      </c>
    </row>
    <row r="4542" hidden="1">
      <c r="A4542" s="11" t="n">
        <v>46133</v>
      </c>
      <c r="B4542" t="inlineStr">
        <is>
          <t>Lizandra Gomes Duarte</t>
        </is>
      </c>
      <c r="C4542" t="inlineStr">
        <is>
          <t>Técnico II</t>
        </is>
      </c>
      <c r="D4542" t="n">
        <v>0</v>
      </c>
      <c r="E4542" t="n">
        <v>0</v>
      </c>
      <c r="F4542" t="n">
        <v>0</v>
      </c>
      <c r="G4542" t="n">
        <v>0</v>
      </c>
      <c r="H4542" t="n">
        <v>0</v>
      </c>
      <c r="I4542" t="n">
        <v>0</v>
      </c>
      <c r="J4542" t="n">
        <v>0</v>
      </c>
      <c r="K4542" t="n">
        <v>0</v>
      </c>
      <c r="M4542" t="n">
        <v>0</v>
      </c>
      <c r="N4542" t="n">
        <v>99.17</v>
      </c>
      <c r="O4542" t="n">
        <v>29.75206611570248</v>
      </c>
    </row>
    <row r="4543" hidden="1">
      <c r="A4543" s="11" t="n">
        <v>46133</v>
      </c>
      <c r="B4543" t="inlineStr">
        <is>
          <t>Lorena Dias de Araujo</t>
        </is>
      </c>
      <c r="C4543" t="inlineStr">
        <is>
          <t>Técnico II</t>
        </is>
      </c>
      <c r="D4543" t="n">
        <v>0</v>
      </c>
      <c r="E4543" t="n">
        <v>0</v>
      </c>
      <c r="F4543" t="n">
        <v>0</v>
      </c>
      <c r="G4543" t="n">
        <v>0</v>
      </c>
      <c r="H4543" t="n">
        <v>0</v>
      </c>
      <c r="I4543" t="n">
        <v>0</v>
      </c>
      <c r="J4543" t="n">
        <v>0</v>
      </c>
      <c r="K4543" t="n">
        <v>0</v>
      </c>
      <c r="M4543" t="n">
        <v>0</v>
      </c>
      <c r="N4543" t="n">
        <v>98.73</v>
      </c>
      <c r="O4543" t="n">
        <v>28.96174863387978</v>
      </c>
    </row>
    <row r="4544" hidden="1">
      <c r="A4544" s="11" t="n">
        <v>46133</v>
      </c>
      <c r="B4544" t="inlineStr">
        <is>
          <t>Lucas Luiz Romero</t>
        </is>
      </c>
      <c r="C4544" t="inlineStr">
        <is>
          <t>Técnico III</t>
        </is>
      </c>
      <c r="D4544" t="n">
        <v>0</v>
      </c>
      <c r="E4544" t="n">
        <v>0</v>
      </c>
      <c r="F4544" t="n">
        <v>0</v>
      </c>
      <c r="G4544" t="n">
        <v>0</v>
      </c>
      <c r="H4544" t="n">
        <v>0</v>
      </c>
      <c r="I4544" t="n">
        <v>0</v>
      </c>
      <c r="J4544" t="n">
        <v>0</v>
      </c>
      <c r="K4544" t="n">
        <v>0</v>
      </c>
      <c r="M4544" t="n">
        <v>0</v>
      </c>
      <c r="N4544" t="n">
        <v>88.68000000000001</v>
      </c>
      <c r="O4544" t="n">
        <v>22.03389830508474</v>
      </c>
    </row>
    <row r="4545" hidden="1">
      <c r="A4545" s="11" t="n">
        <v>46133</v>
      </c>
      <c r="B4545" t="inlineStr">
        <is>
          <t>Luiz Fernando de Carvalho Junior</t>
        </is>
      </c>
      <c r="C4545" t="inlineStr">
        <is>
          <t>Técnico I</t>
        </is>
      </c>
      <c r="D4545" t="n">
        <v>0</v>
      </c>
      <c r="E4545" t="n">
        <v>0</v>
      </c>
      <c r="F4545" t="n">
        <v>0</v>
      </c>
      <c r="G4545" t="n">
        <v>0</v>
      </c>
      <c r="H4545" t="n">
        <v>0</v>
      </c>
      <c r="I4545" t="n">
        <v>0</v>
      </c>
      <c r="J4545" t="n">
        <v>0</v>
      </c>
      <c r="K4545" t="n">
        <v>0</v>
      </c>
      <c r="M4545" t="n">
        <v>0</v>
      </c>
      <c r="N4545" t="n">
        <v>97.37</v>
      </c>
      <c r="O4545" t="n">
        <v>25.76530612244898</v>
      </c>
    </row>
    <row r="4546" hidden="1">
      <c r="A4546" s="11" t="n">
        <v>46133</v>
      </c>
      <c r="B4546" t="inlineStr">
        <is>
          <t>Maria Eduarda Sousa Costa</t>
        </is>
      </c>
      <c r="C4546" t="inlineStr">
        <is>
          <t>Estágio</t>
        </is>
      </c>
      <c r="D4546" t="n">
        <v>0</v>
      </c>
      <c r="E4546" t="n">
        <v>0</v>
      </c>
      <c r="F4546" t="n">
        <v>0</v>
      </c>
      <c r="G4546" t="n">
        <v>0</v>
      </c>
      <c r="H4546" t="n">
        <v>0</v>
      </c>
      <c r="I4546" t="n">
        <v>0</v>
      </c>
      <c r="J4546" t="n">
        <v>0</v>
      </c>
      <c r="K4546" t="n">
        <v>0</v>
      </c>
      <c r="M4546" t="n">
        <v>0</v>
      </c>
      <c r="N4546" t="n">
        <v>100</v>
      </c>
      <c r="O4546" t="n">
        <v>25</v>
      </c>
    </row>
    <row r="4547" hidden="1">
      <c r="A4547" s="11" t="n">
        <v>46133</v>
      </c>
      <c r="B4547" t="inlineStr">
        <is>
          <t>Matheus Farias De Souza</t>
        </is>
      </c>
      <c r="C4547" t="inlineStr">
        <is>
          <t>Técnico III</t>
        </is>
      </c>
      <c r="D4547" t="n">
        <v>0</v>
      </c>
      <c r="E4547" t="n">
        <v>0</v>
      </c>
      <c r="F4547" t="n">
        <v>0</v>
      </c>
      <c r="G4547" t="n">
        <v>0</v>
      </c>
      <c r="H4547" t="n">
        <v>0</v>
      </c>
      <c r="I4547" t="n">
        <v>0</v>
      </c>
      <c r="J4547" t="n">
        <v>0</v>
      </c>
      <c r="K4547" t="n">
        <v>0</v>
      </c>
      <c r="M4547" t="n">
        <v>0</v>
      </c>
      <c r="N4547" t="n">
        <v>100</v>
      </c>
      <c r="O4547" t="n">
        <v>23.9870340356564</v>
      </c>
    </row>
    <row r="4548" hidden="1">
      <c r="A4548" s="11" t="n">
        <v>46133</v>
      </c>
      <c r="B4548" t="inlineStr">
        <is>
          <t>Maysa Victoria Dias Moura</t>
        </is>
      </c>
      <c r="C4548" t="inlineStr">
        <is>
          <t>Técnico III</t>
        </is>
      </c>
      <c r="D4548" t="n">
        <v>0</v>
      </c>
      <c r="E4548" t="n">
        <v>0</v>
      </c>
      <c r="F4548" t="n">
        <v>0</v>
      </c>
      <c r="G4548" t="n">
        <v>0</v>
      </c>
      <c r="H4548" t="n">
        <v>0</v>
      </c>
      <c r="I4548" t="n">
        <v>0</v>
      </c>
      <c r="J4548" t="n">
        <v>0</v>
      </c>
      <c r="K4548" t="n">
        <v>0</v>
      </c>
      <c r="M4548" t="n">
        <v>0</v>
      </c>
      <c r="N4548" t="n">
        <v>95.48999999999999</v>
      </c>
      <c r="O4548" t="n">
        <v>28.37022132796781</v>
      </c>
    </row>
    <row r="4549" hidden="1">
      <c r="A4549" s="11" t="n">
        <v>46133</v>
      </c>
      <c r="B4549" t="inlineStr">
        <is>
          <t>Michelle G Santos</t>
        </is>
      </c>
      <c r="C4549" t="inlineStr">
        <is>
          <t>Estágio</t>
        </is>
      </c>
      <c r="D4549" t="n">
        <v>0</v>
      </c>
      <c r="E4549" t="n">
        <v>0</v>
      </c>
      <c r="F4549" t="n">
        <v>0</v>
      </c>
      <c r="G4549" t="n">
        <v>0</v>
      </c>
      <c r="H4549" t="n">
        <v>0</v>
      </c>
      <c r="I4549" t="n">
        <v>0</v>
      </c>
      <c r="J4549" t="n">
        <v>0</v>
      </c>
      <c r="K4549" t="n">
        <v>0</v>
      </c>
      <c r="M4549" t="n">
        <v>0</v>
      </c>
      <c r="N4549" t="n">
        <v>100</v>
      </c>
      <c r="O4549" t="n">
        <v>23.77622377622378</v>
      </c>
    </row>
    <row r="4550" hidden="1">
      <c r="A4550" s="11" t="n">
        <v>46133</v>
      </c>
      <c r="B4550" t="inlineStr">
        <is>
          <t>Milena Sales</t>
        </is>
      </c>
      <c r="C4550" t="inlineStr">
        <is>
          <t>JR</t>
        </is>
      </c>
      <c r="D4550" t="n">
        <v>0</v>
      </c>
      <c r="E4550" t="n">
        <v>0</v>
      </c>
      <c r="F4550" t="n">
        <v>0</v>
      </c>
      <c r="G4550" t="n">
        <v>0</v>
      </c>
      <c r="H4550" t="n">
        <v>0</v>
      </c>
      <c r="I4550" t="n">
        <v>0</v>
      </c>
      <c r="J4550" t="n">
        <v>0</v>
      </c>
      <c r="K4550" t="n">
        <v>0</v>
      </c>
      <c r="M4550" t="n">
        <v>0</v>
      </c>
      <c r="N4550" t="n">
        <v>96.15000000000001</v>
      </c>
      <c r="O4550" t="n">
        <v>24.04580152671756</v>
      </c>
    </row>
    <row r="4551" hidden="1">
      <c r="A4551" s="11" t="n">
        <v>46133</v>
      </c>
      <c r="B4551" t="inlineStr">
        <is>
          <t>Patrícia Karla de Sousa Araújo</t>
        </is>
      </c>
      <c r="C4551" t="inlineStr">
        <is>
          <t>Técnico II</t>
        </is>
      </c>
      <c r="D4551" t="n">
        <v>0</v>
      </c>
      <c r="E4551" t="n">
        <v>0</v>
      </c>
      <c r="F4551" t="n">
        <v>0</v>
      </c>
      <c r="G4551" t="n">
        <v>0</v>
      </c>
      <c r="H4551" t="n">
        <v>0</v>
      </c>
      <c r="I4551" t="n">
        <v>0</v>
      </c>
      <c r="J4551" t="n">
        <v>0</v>
      </c>
      <c r="K4551" t="n">
        <v>0</v>
      </c>
      <c r="M4551" t="n">
        <v>0</v>
      </c>
      <c r="N4551" t="n">
        <v>99.02</v>
      </c>
      <c r="O4551" t="n">
        <v>34.7972972972973</v>
      </c>
    </row>
    <row r="4552" hidden="1">
      <c r="A4552" s="11" t="n">
        <v>46133</v>
      </c>
      <c r="B4552" t="inlineStr">
        <is>
          <t>Paulo Ricardo Santos</t>
        </is>
      </c>
      <c r="C4552" t="inlineStr">
        <is>
          <t>JR</t>
        </is>
      </c>
      <c r="D4552" t="n">
        <v>0</v>
      </c>
      <c r="E4552" t="n">
        <v>0</v>
      </c>
      <c r="F4552" t="n">
        <v>0</v>
      </c>
      <c r="G4552" t="n">
        <v>0</v>
      </c>
      <c r="H4552" t="n">
        <v>0</v>
      </c>
      <c r="I4552" t="n">
        <v>0</v>
      </c>
      <c r="J4552" t="n">
        <v>0</v>
      </c>
      <c r="K4552" t="n">
        <v>0</v>
      </c>
      <c r="M4552" t="n">
        <v>0</v>
      </c>
      <c r="N4552" t="n">
        <v>98.84</v>
      </c>
      <c r="O4552" t="n">
        <v>31.86813186813187</v>
      </c>
    </row>
    <row r="4553" hidden="1">
      <c r="A4553" s="11" t="n">
        <v>46133</v>
      </c>
      <c r="B4553" t="inlineStr">
        <is>
          <t>Pedro Luiz Mota Sousa</t>
        </is>
      </c>
      <c r="C4553" t="inlineStr">
        <is>
          <t>JR</t>
        </is>
      </c>
      <c r="D4553" t="n">
        <v>0</v>
      </c>
      <c r="E4553" t="n">
        <v>0</v>
      </c>
      <c r="F4553" t="n">
        <v>0</v>
      </c>
      <c r="G4553" t="n">
        <v>0</v>
      </c>
      <c r="H4553" t="n">
        <v>0</v>
      </c>
      <c r="I4553" t="n">
        <v>0</v>
      </c>
      <c r="J4553" t="n">
        <v>0</v>
      </c>
      <c r="K4553" t="n">
        <v>0</v>
      </c>
      <c r="M4553" t="n">
        <v>0</v>
      </c>
      <c r="N4553" t="n">
        <v>100</v>
      </c>
      <c r="O4553" t="n">
        <v>34.66666666666667</v>
      </c>
    </row>
    <row r="4554" hidden="1">
      <c r="A4554" s="11" t="n">
        <v>46133</v>
      </c>
      <c r="B4554" t="inlineStr">
        <is>
          <t>Quirino Diogo Leite Torres</t>
        </is>
      </c>
      <c r="C4554" t="inlineStr">
        <is>
          <t>Estágio</t>
        </is>
      </c>
      <c r="D4554" t="n">
        <v>0</v>
      </c>
      <c r="E4554" t="n">
        <v>0</v>
      </c>
      <c r="F4554" t="n">
        <v>0</v>
      </c>
      <c r="G4554" t="n">
        <v>0</v>
      </c>
      <c r="H4554" t="n">
        <v>0</v>
      </c>
      <c r="I4554" t="n">
        <v>0</v>
      </c>
      <c r="J4554" t="n">
        <v>0</v>
      </c>
      <c r="K4554" t="n">
        <v>0</v>
      </c>
      <c r="M4554" t="n">
        <v>0</v>
      </c>
      <c r="N4554" t="n">
        <v>94.12</v>
      </c>
      <c r="O4554" t="n">
        <v>32.8</v>
      </c>
    </row>
    <row r="4555" hidden="1">
      <c r="A4555" s="11" t="n">
        <v>46133</v>
      </c>
      <c r="B4555" t="inlineStr">
        <is>
          <t>Raane Batista Matos</t>
        </is>
      </c>
      <c r="C4555" t="inlineStr">
        <is>
          <t>Técnico I</t>
        </is>
      </c>
      <c r="D4555" t="n">
        <v>0</v>
      </c>
      <c r="E4555" t="n">
        <v>0</v>
      </c>
      <c r="F4555" t="n">
        <v>0</v>
      </c>
      <c r="G4555" t="n">
        <v>0</v>
      </c>
      <c r="H4555" t="n">
        <v>0</v>
      </c>
      <c r="I4555" t="n">
        <v>0</v>
      </c>
      <c r="J4555" t="n">
        <v>0</v>
      </c>
      <c r="K4555" t="n">
        <v>0</v>
      </c>
      <c r="M4555" t="n">
        <v>0</v>
      </c>
      <c r="N4555" t="n">
        <v>98.31999999999999</v>
      </c>
      <c r="O4555" t="n">
        <v>26.85851318944844</v>
      </c>
    </row>
    <row r="4556" hidden="1">
      <c r="A4556" s="11" t="n">
        <v>46133</v>
      </c>
      <c r="B4556" t="inlineStr">
        <is>
          <t>Rafael Gomes de Morais</t>
        </is>
      </c>
      <c r="C4556" t="inlineStr">
        <is>
          <t>Técnico III</t>
        </is>
      </c>
      <c r="D4556" t="n">
        <v>0</v>
      </c>
      <c r="E4556" t="n">
        <v>0</v>
      </c>
      <c r="F4556" t="n">
        <v>0</v>
      </c>
      <c r="G4556" t="n">
        <v>0</v>
      </c>
      <c r="H4556" t="n">
        <v>0</v>
      </c>
      <c r="I4556" t="n">
        <v>0</v>
      </c>
      <c r="J4556" t="n">
        <v>0</v>
      </c>
      <c r="K4556" t="n">
        <v>0</v>
      </c>
      <c r="M4556" t="n">
        <v>0</v>
      </c>
      <c r="N4556" t="n">
        <v>100</v>
      </c>
      <c r="O4556" t="n">
        <v>31.13553113553114</v>
      </c>
    </row>
    <row r="4557" hidden="1">
      <c r="A4557" s="11" t="n">
        <v>46133</v>
      </c>
      <c r="B4557" t="inlineStr">
        <is>
          <t>Sara Maria Monteiro Lopes</t>
        </is>
      </c>
      <c r="C4557" t="inlineStr">
        <is>
          <t>Técnico I</t>
        </is>
      </c>
      <c r="D4557" t="n">
        <v>0</v>
      </c>
      <c r="E4557" t="n">
        <v>0</v>
      </c>
      <c r="F4557" t="n">
        <v>0</v>
      </c>
      <c r="G4557" t="n">
        <v>0</v>
      </c>
      <c r="H4557" t="n">
        <v>0</v>
      </c>
      <c r="I4557" t="n">
        <v>0</v>
      </c>
      <c r="J4557" t="n">
        <v>0</v>
      </c>
      <c r="K4557" t="n">
        <v>0</v>
      </c>
      <c r="M4557" t="n">
        <v>0</v>
      </c>
      <c r="N4557" t="n">
        <v>100</v>
      </c>
      <c r="O4557" t="n">
        <v>26.36986301369863</v>
      </c>
    </row>
    <row r="4558" hidden="1">
      <c r="A4558" s="11" t="n">
        <v>46133</v>
      </c>
      <c r="B4558" t="inlineStr">
        <is>
          <t>Sarah Steffanie de Lima Borges</t>
        </is>
      </c>
      <c r="C4558" t="inlineStr">
        <is>
          <t>Técnico III</t>
        </is>
      </c>
      <c r="D4558" t="n">
        <v>0</v>
      </c>
      <c r="E4558" t="n">
        <v>0</v>
      </c>
      <c r="F4558" t="n">
        <v>0</v>
      </c>
      <c r="G4558" t="n">
        <v>0</v>
      </c>
      <c r="H4558" t="n">
        <v>0</v>
      </c>
      <c r="I4558" t="n">
        <v>0</v>
      </c>
      <c r="J4558" t="n">
        <v>0</v>
      </c>
      <c r="K4558" t="n">
        <v>0</v>
      </c>
      <c r="M4558" t="n">
        <v>0</v>
      </c>
      <c r="N4558" t="n">
        <v>99.20999999999999</v>
      </c>
      <c r="O4558" t="n">
        <v>25.18891687657431</v>
      </c>
    </row>
    <row r="4559" hidden="1">
      <c r="A4559" s="11" t="n">
        <v>46143</v>
      </c>
      <c r="B4559" t="inlineStr">
        <is>
          <t>Anna Luiza Rezende Tavares</t>
        </is>
      </c>
      <c r="C4559" t="inlineStr">
        <is>
          <t>Estágio</t>
        </is>
      </c>
      <c r="D4559" t="n">
        <v>0</v>
      </c>
      <c r="E4559" t="n">
        <v>0</v>
      </c>
      <c r="F4559" t="n">
        <v>0</v>
      </c>
      <c r="G4559" t="n">
        <v>0</v>
      </c>
      <c r="H4559" t="n">
        <v>0</v>
      </c>
      <c r="I4559" t="n">
        <v>0</v>
      </c>
      <c r="J4559" t="n">
        <v>0</v>
      </c>
      <c r="K4559" t="n">
        <v>0</v>
      </c>
      <c r="M4559" t="n">
        <v>0</v>
      </c>
      <c r="N4559" t="n">
        <v>99.25</v>
      </c>
      <c r="O4559" t="n">
        <v>20.40816326530612</v>
      </c>
    </row>
    <row r="4560" hidden="1">
      <c r="A4560" s="11" t="n">
        <v>46143</v>
      </c>
      <c r="B4560" t="inlineStr">
        <is>
          <t>Claudio de Sousa Velasco Filho</t>
        </is>
      </c>
      <c r="C4560" t="inlineStr">
        <is>
          <t>Estágio</t>
        </is>
      </c>
      <c r="D4560" t="n">
        <v>0</v>
      </c>
      <c r="E4560" t="n">
        <v>0</v>
      </c>
      <c r="F4560" t="n">
        <v>0</v>
      </c>
      <c r="G4560" t="n">
        <v>0</v>
      </c>
      <c r="H4560" t="n">
        <v>0</v>
      </c>
      <c r="I4560" t="n">
        <v>0</v>
      </c>
      <c r="J4560" t="n">
        <v>0</v>
      </c>
      <c r="K4560" t="n">
        <v>0</v>
      </c>
      <c r="M4560" t="n">
        <v>0</v>
      </c>
      <c r="N4560" t="n">
        <v>97.14</v>
      </c>
      <c r="O4560" t="n">
        <v>24.76190476190476</v>
      </c>
    </row>
    <row r="4561" hidden="1">
      <c r="A4561" s="11" t="n">
        <v>46143</v>
      </c>
      <c r="B4561" t="inlineStr">
        <is>
          <t>Emilly Caylane Costa</t>
        </is>
      </c>
      <c r="C4561" t="inlineStr">
        <is>
          <t>Estágio</t>
        </is>
      </c>
      <c r="D4561" t="n">
        <v>0</v>
      </c>
      <c r="E4561" t="n">
        <v>0</v>
      </c>
      <c r="F4561" t="n">
        <v>0</v>
      </c>
      <c r="G4561" t="n">
        <v>0</v>
      </c>
      <c r="H4561" t="n">
        <v>0</v>
      </c>
      <c r="I4561" t="n">
        <v>0</v>
      </c>
      <c r="J4561" t="n">
        <v>0</v>
      </c>
      <c r="K4561" t="n">
        <v>0</v>
      </c>
      <c r="M4561" t="n">
        <v>0</v>
      </c>
      <c r="N4561" t="n">
        <v>100</v>
      </c>
      <c r="O4561" t="n">
        <v>28.94736842105263</v>
      </c>
    </row>
    <row r="4562" hidden="1">
      <c r="A4562" s="11" t="n">
        <v>46143</v>
      </c>
      <c r="B4562" t="inlineStr">
        <is>
          <t>Maria Eduarda Sousa Costa</t>
        </is>
      </c>
      <c r="C4562" t="inlineStr">
        <is>
          <t>Estágio</t>
        </is>
      </c>
      <c r="D4562" t="n">
        <v>0</v>
      </c>
      <c r="E4562" t="n">
        <v>0</v>
      </c>
      <c r="F4562" t="n">
        <v>0</v>
      </c>
      <c r="G4562" t="n">
        <v>0</v>
      </c>
      <c r="H4562" t="n">
        <v>0</v>
      </c>
      <c r="I4562" t="n">
        <v>0</v>
      </c>
      <c r="J4562" t="n">
        <v>0</v>
      </c>
      <c r="K4562" t="n">
        <v>0</v>
      </c>
      <c r="M4562" t="n">
        <v>0</v>
      </c>
      <c r="N4562" t="n">
        <v>100</v>
      </c>
      <c r="O4562" t="n">
        <v>12.94117647058824</v>
      </c>
    </row>
    <row r="4563" hidden="1">
      <c r="A4563" s="11" t="n">
        <v>46143</v>
      </c>
      <c r="B4563" t="inlineStr">
        <is>
          <t>Michelle G Santos</t>
        </is>
      </c>
      <c r="C4563" t="inlineStr">
        <is>
          <t>Estágio</t>
        </is>
      </c>
      <c r="D4563" t="n">
        <v>0</v>
      </c>
      <c r="E4563" t="n">
        <v>0</v>
      </c>
      <c r="F4563" t="n">
        <v>0</v>
      </c>
      <c r="G4563" t="n">
        <v>0</v>
      </c>
      <c r="H4563" t="n">
        <v>0</v>
      </c>
      <c r="I4563" t="n">
        <v>0</v>
      </c>
      <c r="J4563" t="n">
        <v>0</v>
      </c>
      <c r="K4563" t="n">
        <v>0</v>
      </c>
      <c r="M4563" t="n">
        <v>0</v>
      </c>
      <c r="N4563" t="n">
        <v>100</v>
      </c>
      <c r="O4563" t="n">
        <v>17.1875</v>
      </c>
    </row>
    <row r="4564" hidden="1">
      <c r="A4564" s="11" t="n">
        <v>46143</v>
      </c>
      <c r="B4564" t="inlineStr">
        <is>
          <t>Quirino Diogo Leite Torres</t>
        </is>
      </c>
      <c r="C4564" t="inlineStr">
        <is>
          <t>Estágio</t>
        </is>
      </c>
      <c r="D4564" t="n">
        <v>0</v>
      </c>
      <c r="E4564" t="n">
        <v>0</v>
      </c>
      <c r="F4564" t="n">
        <v>0</v>
      </c>
      <c r="G4564" t="n">
        <v>0</v>
      </c>
      <c r="H4564" t="n">
        <v>0</v>
      </c>
      <c r="I4564" t="n">
        <v>0</v>
      </c>
      <c r="J4564" t="n">
        <v>0</v>
      </c>
      <c r="K4564" t="n">
        <v>0</v>
      </c>
      <c r="M4564" t="n">
        <v>0</v>
      </c>
      <c r="N4564" t="n">
        <v>98.36</v>
      </c>
      <c r="O4564" t="n">
        <v>21.91780821917808</v>
      </c>
    </row>
    <row r="4565" hidden="1">
      <c r="A4565" s="11" t="n">
        <v>46143</v>
      </c>
      <c r="B4565" t="inlineStr">
        <is>
          <t>Karina Gonçalves Martins</t>
        </is>
      </c>
      <c r="C4565" t="inlineStr">
        <is>
          <t>JR</t>
        </is>
      </c>
      <c r="D4565" t="n">
        <v>0</v>
      </c>
      <c r="E4565" t="n">
        <v>0</v>
      </c>
      <c r="F4565" t="n">
        <v>0</v>
      </c>
      <c r="G4565" t="n">
        <v>0</v>
      </c>
      <c r="H4565" t="n">
        <v>0</v>
      </c>
      <c r="I4565" t="n">
        <v>0</v>
      </c>
      <c r="J4565" t="n">
        <v>0</v>
      </c>
      <c r="K4565" t="n">
        <v>0</v>
      </c>
      <c r="M4565" t="n">
        <v>0</v>
      </c>
      <c r="N4565" t="n">
        <v>97.62</v>
      </c>
      <c r="O4565" t="n">
        <v>17.82477341389728</v>
      </c>
    </row>
    <row r="4566" hidden="1">
      <c r="A4566" s="11" t="n">
        <v>46143</v>
      </c>
      <c r="B4566" t="inlineStr">
        <is>
          <t>Leandro de Souza Silva</t>
        </is>
      </c>
      <c r="C4566" t="inlineStr">
        <is>
          <t>JR</t>
        </is>
      </c>
      <c r="D4566" t="n">
        <v>0</v>
      </c>
      <c r="E4566" t="n">
        <v>0</v>
      </c>
      <c r="F4566" t="n">
        <v>0</v>
      </c>
      <c r="G4566" t="n">
        <v>0</v>
      </c>
      <c r="H4566" t="n">
        <v>0</v>
      </c>
      <c r="I4566" t="n">
        <v>0</v>
      </c>
      <c r="J4566" t="n">
        <v>0</v>
      </c>
      <c r="K4566" t="n">
        <v>0</v>
      </c>
      <c r="M4566" t="n">
        <v>0</v>
      </c>
      <c r="N4566" t="n">
        <v>100</v>
      </c>
      <c r="O4566" t="n">
        <v>19.07216494845361</v>
      </c>
    </row>
    <row r="4567" hidden="1">
      <c r="A4567" s="11" t="n">
        <v>46143</v>
      </c>
      <c r="B4567" t="inlineStr">
        <is>
          <t>Milena Sales</t>
        </is>
      </c>
      <c r="C4567" t="inlineStr">
        <is>
          <t>JR</t>
        </is>
      </c>
      <c r="D4567" t="n">
        <v>0</v>
      </c>
      <c r="E4567" t="n">
        <v>0</v>
      </c>
      <c r="F4567" t="n">
        <v>0</v>
      </c>
      <c r="G4567" t="n">
        <v>0</v>
      </c>
      <c r="H4567" t="n">
        <v>0</v>
      </c>
      <c r="I4567" t="n">
        <v>0</v>
      </c>
      <c r="J4567" t="n">
        <v>0</v>
      </c>
      <c r="K4567" t="n">
        <v>0</v>
      </c>
      <c r="M4567" t="n">
        <v>0</v>
      </c>
      <c r="N4567" t="n">
        <v>96.83</v>
      </c>
      <c r="O4567" t="n">
        <v>20.94017094017094</v>
      </c>
    </row>
    <row r="4568" hidden="1">
      <c r="A4568" s="11" t="n">
        <v>46143</v>
      </c>
      <c r="B4568" t="inlineStr">
        <is>
          <t>Paulo Ricardo Santos</t>
        </is>
      </c>
      <c r="C4568" t="inlineStr">
        <is>
          <t>JR</t>
        </is>
      </c>
      <c r="D4568" t="n">
        <v>0</v>
      </c>
      <c r="E4568" t="n">
        <v>0</v>
      </c>
      <c r="F4568" t="n">
        <v>0</v>
      </c>
      <c r="G4568" t="n">
        <v>0</v>
      </c>
      <c r="H4568" t="n">
        <v>0</v>
      </c>
      <c r="I4568" t="n">
        <v>0</v>
      </c>
      <c r="J4568" t="n">
        <v>0</v>
      </c>
      <c r="K4568" t="n">
        <v>0</v>
      </c>
      <c r="M4568" t="n">
        <v>0</v>
      </c>
      <c r="N4568" t="n">
        <v>100</v>
      </c>
      <c r="O4568" t="n">
        <v>20.0836820083682</v>
      </c>
    </row>
    <row r="4569" hidden="1">
      <c r="A4569" s="11" t="n">
        <v>46143</v>
      </c>
      <c r="B4569" t="inlineStr">
        <is>
          <t>Pedro Luiz Mota Sousa</t>
        </is>
      </c>
      <c r="C4569" t="inlineStr">
        <is>
          <t>JR</t>
        </is>
      </c>
      <c r="D4569" t="n">
        <v>0</v>
      </c>
      <c r="E4569" t="n">
        <v>0</v>
      </c>
      <c r="F4569" t="n">
        <v>0</v>
      </c>
      <c r="G4569" t="n">
        <v>0</v>
      </c>
      <c r="H4569" t="n">
        <v>0</v>
      </c>
      <c r="I4569" t="n">
        <v>0</v>
      </c>
      <c r="J4569" t="n">
        <v>0</v>
      </c>
      <c r="K4569" t="n">
        <v>0</v>
      </c>
      <c r="M4569" t="n">
        <v>0</v>
      </c>
      <c r="N4569" t="n">
        <v>100</v>
      </c>
      <c r="O4569" t="n">
        <v>16.34241245136187</v>
      </c>
    </row>
    <row r="4570" hidden="1">
      <c r="A4570" s="11" t="n">
        <v>46143</v>
      </c>
      <c r="B4570" t="inlineStr">
        <is>
          <t>Amanda Moura Ferreira</t>
        </is>
      </c>
      <c r="C4570" t="inlineStr">
        <is>
          <t>Técnico III</t>
        </is>
      </c>
      <c r="D4570" s="3" t="n">
        <v>0</v>
      </c>
      <c r="E4570" s="3" t="n">
        <v>0</v>
      </c>
      <c r="F4570" s="3" t="n">
        <v>0</v>
      </c>
      <c r="G4570" s="3" t="n">
        <v>0</v>
      </c>
      <c r="H4570" s="3" t="n">
        <v>0</v>
      </c>
      <c r="I4570" s="3" t="n">
        <v>0</v>
      </c>
      <c r="J4570" s="3" t="n">
        <v>0</v>
      </c>
      <c r="K4570" s="3" t="n">
        <v>0</v>
      </c>
      <c r="M4570" s="3" t="n">
        <v>0</v>
      </c>
      <c r="N4570" s="3" t="n">
        <v>100</v>
      </c>
      <c r="O4570" s="3" t="n">
        <v>0</v>
      </c>
    </row>
    <row r="4571" hidden="1">
      <c r="A4571" s="11" t="n">
        <v>46143</v>
      </c>
      <c r="B4571" t="inlineStr">
        <is>
          <t>Ana Paula Da Luz Silva Aleixo</t>
        </is>
      </c>
      <c r="C4571" t="inlineStr">
        <is>
          <t>Técnico III</t>
        </is>
      </c>
      <c r="D4571" s="3" t="n">
        <v>0</v>
      </c>
      <c r="E4571" s="3" t="n">
        <v>0</v>
      </c>
      <c r="F4571" s="3" t="n">
        <v>0</v>
      </c>
      <c r="G4571" s="3" t="n">
        <v>0</v>
      </c>
      <c r="H4571" s="3" t="n">
        <v>0</v>
      </c>
      <c r="I4571" s="3" t="n">
        <v>0</v>
      </c>
      <c r="J4571" s="3" t="n">
        <v>0</v>
      </c>
      <c r="K4571" s="3" t="n">
        <v>0</v>
      </c>
      <c r="M4571" s="3" t="n">
        <v>0</v>
      </c>
      <c r="N4571" s="3" t="n">
        <v>96.94</v>
      </c>
      <c r="O4571" s="3" t="n">
        <v>19.61325966850829</v>
      </c>
    </row>
    <row r="4572" hidden="1">
      <c r="A4572" s="11" t="n">
        <v>46143</v>
      </c>
      <c r="B4572" t="inlineStr">
        <is>
          <t>Cristiane Ramos da Silva Rocha</t>
        </is>
      </c>
      <c r="C4572" t="inlineStr">
        <is>
          <t>Técnico III</t>
        </is>
      </c>
      <c r="D4572" s="3" t="n">
        <v>0</v>
      </c>
      <c r="E4572" s="3" t="n">
        <v>0</v>
      </c>
      <c r="F4572" s="3" t="n">
        <v>0</v>
      </c>
      <c r="G4572" s="3" t="n">
        <v>0</v>
      </c>
      <c r="H4572" s="3" t="n">
        <v>0</v>
      </c>
      <c r="I4572" s="3" t="n">
        <v>0</v>
      </c>
      <c r="J4572" s="3" t="n">
        <v>0</v>
      </c>
      <c r="K4572" s="3" t="n">
        <v>0</v>
      </c>
      <c r="M4572" s="3" t="n">
        <v>0</v>
      </c>
      <c r="N4572" s="3" t="n">
        <v>92.81</v>
      </c>
      <c r="O4572" s="3" t="n">
        <v>25.47770700636943</v>
      </c>
    </row>
    <row r="4573" hidden="1">
      <c r="A4573" s="11" t="n">
        <v>46143</v>
      </c>
      <c r="B4573" t="inlineStr">
        <is>
          <t>Davylla Rodrigues Freitas Silva</t>
        </is>
      </c>
      <c r="C4573" t="inlineStr">
        <is>
          <t>Técnico III</t>
        </is>
      </c>
      <c r="D4573" s="3" t="n">
        <v>0</v>
      </c>
      <c r="E4573" s="3" t="n">
        <v>0</v>
      </c>
      <c r="F4573" s="3" t="n">
        <v>0</v>
      </c>
      <c r="G4573" s="3" t="n">
        <v>0</v>
      </c>
      <c r="H4573" s="3" t="n">
        <v>0</v>
      </c>
      <c r="I4573" s="3" t="n">
        <v>0</v>
      </c>
      <c r="J4573" s="3" t="n">
        <v>0</v>
      </c>
      <c r="K4573" s="3" t="n">
        <v>0</v>
      </c>
      <c r="M4573" s="3" t="n">
        <v>0</v>
      </c>
      <c r="N4573" s="3" t="n">
        <v>99.19</v>
      </c>
      <c r="O4573" s="3" t="n">
        <v>28.40466926070039</v>
      </c>
    </row>
    <row r="4574" hidden="1">
      <c r="A4574" s="11" t="n">
        <v>46143</v>
      </c>
      <c r="B4574" t="inlineStr">
        <is>
          <t>Francielson de Oliveira</t>
        </is>
      </c>
      <c r="C4574" t="inlineStr">
        <is>
          <t>Técnico III</t>
        </is>
      </c>
      <c r="D4574" s="3" t="n">
        <v>0</v>
      </c>
      <c r="E4574" s="3" t="n">
        <v>0</v>
      </c>
      <c r="F4574" s="3" t="n">
        <v>0</v>
      </c>
      <c r="G4574" s="3" t="n">
        <v>0</v>
      </c>
      <c r="H4574" s="3" t="n">
        <v>0</v>
      </c>
      <c r="I4574" s="3" t="n">
        <v>0</v>
      </c>
      <c r="J4574" s="3" t="n">
        <v>0</v>
      </c>
      <c r="K4574" s="3" t="n">
        <v>0</v>
      </c>
      <c r="M4574" s="3" t="n">
        <v>0</v>
      </c>
      <c r="N4574" s="3" t="n">
        <v>100</v>
      </c>
      <c r="O4574" s="3" t="n">
        <v>13.51351351351351</v>
      </c>
    </row>
    <row r="4575" hidden="1">
      <c r="A4575" s="11" t="n">
        <v>46143</v>
      </c>
      <c r="B4575" t="inlineStr">
        <is>
          <t>Janaina Lima dos Reis Urany</t>
        </is>
      </c>
      <c r="C4575" t="inlineStr">
        <is>
          <t>Técnico III</t>
        </is>
      </c>
      <c r="D4575" s="3" t="n">
        <v>0</v>
      </c>
      <c r="E4575" s="3" t="n">
        <v>0</v>
      </c>
      <c r="F4575" s="3" t="n">
        <v>0</v>
      </c>
      <c r="G4575" s="3" t="n">
        <v>0</v>
      </c>
      <c r="H4575" s="3" t="n">
        <v>0</v>
      </c>
      <c r="I4575" s="3" t="n">
        <v>0</v>
      </c>
      <c r="J4575" s="3" t="n">
        <v>0</v>
      </c>
      <c r="K4575" s="3" t="n">
        <v>0</v>
      </c>
      <c r="M4575" s="3" t="n">
        <v>0</v>
      </c>
      <c r="N4575" s="3" t="n">
        <v>99</v>
      </c>
      <c r="O4575" s="3" t="n">
        <v>22.27414330218069</v>
      </c>
    </row>
    <row r="4576" hidden="1">
      <c r="A4576" s="11" t="n">
        <v>46143</v>
      </c>
      <c r="B4576" t="inlineStr">
        <is>
          <t>Jaqueline Evangelista da Silva Martins</t>
        </is>
      </c>
      <c r="C4576" t="inlineStr">
        <is>
          <t>Técnico III</t>
        </is>
      </c>
      <c r="D4576" s="3" t="n">
        <v>0</v>
      </c>
      <c r="E4576" s="3" t="n">
        <v>0</v>
      </c>
      <c r="F4576" s="3" t="n">
        <v>0</v>
      </c>
      <c r="G4576" s="3" t="n">
        <v>0</v>
      </c>
      <c r="H4576" s="3" t="n">
        <v>0</v>
      </c>
      <c r="I4576" s="3" t="n">
        <v>0</v>
      </c>
      <c r="J4576" s="3" t="n">
        <v>0</v>
      </c>
      <c r="K4576" s="3" t="n">
        <v>0</v>
      </c>
      <c r="M4576" s="3" t="n">
        <v>0</v>
      </c>
      <c r="N4576" s="3" t="n">
        <v>97.04000000000001</v>
      </c>
      <c r="O4576" s="3" t="n">
        <v>29.82885085574572</v>
      </c>
    </row>
    <row r="4577" hidden="1">
      <c r="A4577" s="11" t="n">
        <v>46143</v>
      </c>
      <c r="B4577" t="inlineStr">
        <is>
          <t>Jéssica Fé Moura</t>
        </is>
      </c>
      <c r="C4577" t="inlineStr">
        <is>
          <t>Técnico III</t>
        </is>
      </c>
      <c r="D4577" s="3" t="n">
        <v>0</v>
      </c>
      <c r="E4577" s="3" t="n">
        <v>0</v>
      </c>
      <c r="F4577" s="3" t="n">
        <v>0</v>
      </c>
      <c r="G4577" s="3" t="n">
        <v>0</v>
      </c>
      <c r="H4577" s="3" t="n">
        <v>0</v>
      </c>
      <c r="I4577" s="3" t="n">
        <v>0</v>
      </c>
      <c r="J4577" s="3" t="n">
        <v>0</v>
      </c>
      <c r="K4577" s="3" t="n">
        <v>0</v>
      </c>
      <c r="M4577" s="3" t="n">
        <v>0</v>
      </c>
      <c r="N4577" s="3" t="n">
        <v>0</v>
      </c>
      <c r="O4577" s="3" t="n">
        <v>0</v>
      </c>
    </row>
    <row r="4578" hidden="1">
      <c r="A4578" s="11" t="n">
        <v>46143</v>
      </c>
      <c r="B4578" t="inlineStr">
        <is>
          <t>Kerollen Cristielly de Jesus Siqueira</t>
        </is>
      </c>
      <c r="C4578" t="inlineStr">
        <is>
          <t>Técnico III</t>
        </is>
      </c>
      <c r="D4578" s="3" t="n">
        <v>0</v>
      </c>
      <c r="E4578" s="3" t="n">
        <v>0</v>
      </c>
      <c r="F4578" s="3" t="n">
        <v>0</v>
      </c>
      <c r="G4578" s="3" t="n">
        <v>0</v>
      </c>
      <c r="H4578" s="3" t="n">
        <v>0</v>
      </c>
      <c r="I4578" s="3" t="n">
        <v>0</v>
      </c>
      <c r="J4578" s="3" t="n">
        <v>0</v>
      </c>
      <c r="K4578" s="3" t="n">
        <v>0</v>
      </c>
      <c r="M4578" s="3" t="n">
        <v>0</v>
      </c>
      <c r="N4578" s="3" t="n">
        <v>96.84</v>
      </c>
      <c r="O4578" s="3" t="n">
        <v>16.33802816901408</v>
      </c>
    </row>
    <row r="4579" hidden="1">
      <c r="A4579" s="11" t="n">
        <v>46143</v>
      </c>
      <c r="B4579" t="inlineStr">
        <is>
          <t>Leandro Oliveira de Sousa</t>
        </is>
      </c>
      <c r="C4579" t="inlineStr">
        <is>
          <t>Técnico III</t>
        </is>
      </c>
      <c r="D4579" s="3" t="n">
        <v>0</v>
      </c>
      <c r="E4579" s="3" t="n">
        <v>0</v>
      </c>
      <c r="F4579" s="3" t="n">
        <v>0</v>
      </c>
      <c r="G4579" s="3" t="n">
        <v>0</v>
      </c>
      <c r="H4579" s="3" t="n">
        <v>0</v>
      </c>
      <c r="I4579" s="3" t="n">
        <v>0</v>
      </c>
      <c r="J4579" s="3" t="n">
        <v>0</v>
      </c>
      <c r="K4579" s="3" t="n">
        <v>0</v>
      </c>
      <c r="M4579" s="3" t="n">
        <v>0</v>
      </c>
      <c r="N4579" s="3" t="n">
        <v>100</v>
      </c>
      <c r="O4579" s="3" t="n">
        <v>18.24480369515012</v>
      </c>
    </row>
    <row r="4580" hidden="1">
      <c r="A4580" s="11" t="n">
        <v>46143</v>
      </c>
      <c r="B4580" t="inlineStr">
        <is>
          <t>Lucas Luiz Romero</t>
        </is>
      </c>
      <c r="C4580" t="inlineStr">
        <is>
          <t>Técnico III</t>
        </is>
      </c>
      <c r="D4580" s="3" t="n">
        <v>0</v>
      </c>
      <c r="E4580" s="3" t="n">
        <v>0</v>
      </c>
      <c r="F4580" s="3" t="n">
        <v>0</v>
      </c>
      <c r="G4580" s="3" t="n">
        <v>0</v>
      </c>
      <c r="H4580" s="3" t="n">
        <v>0</v>
      </c>
      <c r="I4580" s="3" t="n">
        <v>0</v>
      </c>
      <c r="J4580" s="3" t="n">
        <v>0</v>
      </c>
      <c r="K4580" s="3" t="n">
        <v>0</v>
      </c>
      <c r="M4580" s="3" t="n">
        <v>0</v>
      </c>
      <c r="N4580" s="3" t="n">
        <v>100</v>
      </c>
      <c r="O4580" s="3" t="n">
        <v>15.78947368421053</v>
      </c>
    </row>
    <row r="4581" hidden="1">
      <c r="A4581" s="11" t="n">
        <v>46143</v>
      </c>
      <c r="B4581" t="inlineStr">
        <is>
          <t>Matheus Farias De Souza</t>
        </is>
      </c>
      <c r="C4581" t="inlineStr">
        <is>
          <t>Técnico III</t>
        </is>
      </c>
      <c r="D4581" s="3" t="n">
        <v>0</v>
      </c>
      <c r="E4581" s="3" t="n">
        <v>0</v>
      </c>
      <c r="F4581" s="3" t="n">
        <v>0</v>
      </c>
      <c r="G4581" s="3" t="n">
        <v>0</v>
      </c>
      <c r="H4581" s="3" t="n">
        <v>0</v>
      </c>
      <c r="I4581" s="3" t="n">
        <v>0</v>
      </c>
      <c r="J4581" s="3" t="n">
        <v>0</v>
      </c>
      <c r="K4581" s="3" t="n">
        <v>0</v>
      </c>
      <c r="M4581" s="3" t="n">
        <v>0</v>
      </c>
      <c r="N4581" s="3" t="n">
        <v>98.39</v>
      </c>
      <c r="O4581" s="3" t="n">
        <v>8.799999999999999</v>
      </c>
    </row>
    <row r="4582" hidden="1">
      <c r="A4582" s="11" t="n">
        <v>46143</v>
      </c>
      <c r="B4582" t="inlineStr">
        <is>
          <t>Maysa Victoria Dias Moura</t>
        </is>
      </c>
      <c r="C4582" t="inlineStr">
        <is>
          <t>Técnico III</t>
        </is>
      </c>
      <c r="D4582" s="3" t="n">
        <v>0</v>
      </c>
      <c r="E4582" s="3" t="n">
        <v>0</v>
      </c>
      <c r="F4582" s="3" t="n">
        <v>0</v>
      </c>
      <c r="G4582" s="3" t="n">
        <v>0</v>
      </c>
      <c r="H4582" s="3" t="n">
        <v>0</v>
      </c>
      <c r="I4582" s="3" t="n">
        <v>0</v>
      </c>
      <c r="J4582" s="3" t="n">
        <v>0</v>
      </c>
      <c r="K4582" s="3" t="n">
        <v>0</v>
      </c>
      <c r="M4582" s="3" t="n">
        <v>0</v>
      </c>
      <c r="N4582" s="3" t="n">
        <v>96.38</v>
      </c>
      <c r="O4582" s="3" t="n">
        <v>23.1981981981982</v>
      </c>
    </row>
    <row r="4583" hidden="1">
      <c r="A4583" s="11" t="n">
        <v>46143</v>
      </c>
      <c r="B4583" t="inlineStr">
        <is>
          <t>Rafael Gomes de Morais</t>
        </is>
      </c>
      <c r="C4583" t="inlineStr">
        <is>
          <t>Técnico III</t>
        </is>
      </c>
      <c r="D4583" s="3" t="n">
        <v>0</v>
      </c>
      <c r="E4583" s="3" t="n">
        <v>0</v>
      </c>
      <c r="F4583" s="3" t="n">
        <v>0</v>
      </c>
      <c r="G4583" s="3" t="n">
        <v>0</v>
      </c>
      <c r="H4583" s="3" t="n">
        <v>0</v>
      </c>
      <c r="I4583" s="3" t="n">
        <v>0</v>
      </c>
      <c r="J4583" s="3" t="n">
        <v>0</v>
      </c>
      <c r="K4583" s="3" t="n">
        <v>0</v>
      </c>
      <c r="M4583" s="3" t="n">
        <v>0</v>
      </c>
      <c r="N4583" s="3" t="n">
        <v>99.39</v>
      </c>
      <c r="O4583" s="3" t="n">
        <v>25.20325203252033</v>
      </c>
    </row>
    <row r="4584" hidden="1">
      <c r="A4584" s="11" t="n">
        <v>46143</v>
      </c>
      <c r="B4584" t="inlineStr">
        <is>
          <t>Sarah Steffanie de Lima Borges</t>
        </is>
      </c>
      <c r="C4584" t="inlineStr">
        <is>
          <t>Técnico III</t>
        </is>
      </c>
      <c r="D4584" s="3" t="n">
        <v>0</v>
      </c>
      <c r="E4584" s="3" t="n">
        <v>0</v>
      </c>
      <c r="F4584" s="3" t="n">
        <v>0</v>
      </c>
      <c r="G4584" s="3" t="n">
        <v>0</v>
      </c>
      <c r="H4584" s="3" t="n">
        <v>0</v>
      </c>
      <c r="I4584" s="3" t="n">
        <v>0</v>
      </c>
      <c r="J4584" s="3" t="n">
        <v>0</v>
      </c>
      <c r="K4584" s="3" t="n">
        <v>0</v>
      </c>
      <c r="M4584" s="3" t="n">
        <v>0</v>
      </c>
      <c r="N4584" s="3" t="n">
        <v>97</v>
      </c>
      <c r="O4584" s="3" t="n">
        <v>20.32520325203252</v>
      </c>
    </row>
    <row r="4585">
      <c r="A4585" s="13" t="n">
        <v>46168</v>
      </c>
      <c r="B4585" t="inlineStr">
        <is>
          <t>Alisson de Freitas Silva</t>
        </is>
      </c>
      <c r="C4585" t="inlineStr">
        <is>
          <t>Técnico II</t>
        </is>
      </c>
      <c r="D4585" s="3" t="n">
        <v>28</v>
      </c>
      <c r="E4585" s="3" t="n">
        <v>21</v>
      </c>
      <c r="F4585" s="3" t="n">
        <v>15.57</v>
      </c>
      <c r="G4585" s="3" t="n">
        <v>2</v>
      </c>
      <c r="H4585" s="3" t="n">
        <v>0</v>
      </c>
      <c r="I4585" s="3">
        <f>E4585+G4585+H4585</f>
        <v/>
      </c>
      <c r="J4585" s="3">
        <f>ROUND(MIN(IF(C4585="Técnico III",35,IF(C4585="Técnico II",28,IF(C4585="Técnico I",23,IF(C4585="JR",20,IF(C4585="Estágio",10,0))))),IF(C4585="Técnico III",SUMIFS($D:$D,$A:$A,$A4585,$B:$B,"&lt;&gt;Patrícia Karla de Sousa Araújo",$B:$B,"&lt;&gt;Lorena Dias de Araujo",$B:$B,"&lt;&gt;Lucas Luiz Romero")*(35/1083),IF(C4585="Técnico II",SUMIFS($D:$D,$A:$A,$A4585,$B:$B,"&lt;&gt;Patrícia Karla de Sousa Araújo",$B:$B,"&lt;&gt;Lorena Dias de Araujo",$B:$B,"&lt;&gt;Lucas Luiz Romero")*(28/1083),IF(C4585="Técnico I",SUMIFS($D:$D,$A:$A,$A4585,$B:$B,"&lt;&gt;Patrícia Karla de Sousa Araújo",$B:$B,"&lt;&gt;Lorena Dias de Araujo",$B:$B,"&lt;&gt;Lucas Luiz Romero")*(23/1083),IF(C4585="JR",SUMIFS($D:$D,$A:$A,$A4585,$B:$B,"&lt;&gt;Patrícia Karla de Sousa Araújo",$B:$B,"&lt;&gt;Lorena Dias de Araujo",$B:$B,"&lt;&gt;Lucas Luiz Romero")*(20/1083),IF(C4585="Estágio",SUMIFS($D:$D,$A:$A,$A4585,$B:$B,"&lt;&gt;Patrícia Karla de Sousa Araújo",$B:$B,"&lt;&gt;Lorena Dias de Araujo",$B:$B,"&lt;&gt;Lucas Luiz Romero")*(10/1083),0)))))),0)</f>
        <v/>
      </c>
      <c r="K4585" s="3">
        <f>I4585-J4585</f>
        <v/>
      </c>
      <c r="L4585" s="3">
        <f>IF(K4585&lt;-5,"CRÍTICO",IF(K4585&lt;0,"ATENÇÃO",IF(K4585&lt;=5,"OPORTUNO","MUITO BOM")))</f>
        <v/>
      </c>
      <c r="M4585" s="3" t="n">
        <v>17</v>
      </c>
      <c r="N4585" s="3" t="n">
        <v>99.18000000000001</v>
      </c>
      <c r="O4585" s="3" t="n">
        <v>25.64102564102564</v>
      </c>
    </row>
    <row r="4586" hidden="1">
      <c r="A4586" s="11" t="n">
        <v>46143</v>
      </c>
      <c r="B4586" t="inlineStr">
        <is>
          <t>Brenda de Menezes Silva</t>
        </is>
      </c>
      <c r="C4586" t="inlineStr">
        <is>
          <t>Técnico II</t>
        </is>
      </c>
      <c r="D4586" s="3" t="n">
        <v>0</v>
      </c>
      <c r="E4586" s="3" t="n">
        <v>0</v>
      </c>
      <c r="F4586" s="3" t="n">
        <v>0</v>
      </c>
      <c r="G4586" s="3" t="n">
        <v>0</v>
      </c>
      <c r="H4586" s="3" t="n">
        <v>0</v>
      </c>
      <c r="I4586" s="3" t="n">
        <v>0</v>
      </c>
      <c r="J4586" s="3" t="n">
        <v>0</v>
      </c>
      <c r="K4586" s="3" t="n">
        <v>0</v>
      </c>
      <c r="M4586" s="3" t="n">
        <v>0</v>
      </c>
      <c r="N4586" s="3" t="n">
        <v>99.34999999999999</v>
      </c>
      <c r="O4586" s="3" t="n">
        <v>19.85294117647059</v>
      </c>
    </row>
    <row r="4587" hidden="1">
      <c r="A4587" s="11" t="n">
        <v>46143</v>
      </c>
      <c r="B4587" t="inlineStr">
        <is>
          <t>Carlos Mateus Cassimiro Nunes</t>
        </is>
      </c>
      <c r="C4587" t="inlineStr">
        <is>
          <t>Técnico II</t>
        </is>
      </c>
      <c r="D4587" s="3" t="n">
        <v>0</v>
      </c>
      <c r="E4587" s="3" t="n">
        <v>0</v>
      </c>
      <c r="F4587" s="3" t="n">
        <v>0</v>
      </c>
      <c r="G4587" s="3" t="n">
        <v>0</v>
      </c>
      <c r="H4587" s="3" t="n">
        <v>0</v>
      </c>
      <c r="I4587" s="3" t="n">
        <v>0</v>
      </c>
      <c r="J4587" s="3" t="n">
        <v>0</v>
      </c>
      <c r="K4587" s="3" t="n">
        <v>0</v>
      </c>
      <c r="M4587" s="3" t="n">
        <v>0</v>
      </c>
      <c r="N4587" s="3" t="n">
        <v>99.06999999999999</v>
      </c>
      <c r="O4587" s="3" t="n">
        <v>20.09803921568627</v>
      </c>
    </row>
    <row r="4588" hidden="1">
      <c r="A4588" s="11" t="n">
        <v>46143</v>
      </c>
      <c r="B4588" t="inlineStr">
        <is>
          <t>Damyllis Lorraine de Oliveira Gonçalves</t>
        </is>
      </c>
      <c r="C4588" t="inlineStr">
        <is>
          <t>Técnico II</t>
        </is>
      </c>
      <c r="D4588" s="3" t="n">
        <v>0</v>
      </c>
      <c r="E4588" s="3" t="n">
        <v>0</v>
      </c>
      <c r="F4588" s="3" t="n">
        <v>0</v>
      </c>
      <c r="G4588" s="3" t="n">
        <v>0</v>
      </c>
      <c r="H4588" s="3" t="n">
        <v>0</v>
      </c>
      <c r="I4588" s="3" t="n">
        <v>0</v>
      </c>
      <c r="J4588" s="3" t="n">
        <v>0</v>
      </c>
      <c r="K4588" s="3" t="n">
        <v>0</v>
      </c>
      <c r="M4588" s="3" t="n">
        <v>0</v>
      </c>
      <c r="N4588" s="3" t="n">
        <v>98.81</v>
      </c>
      <c r="O4588" s="3" t="n">
        <v>22.76785714285714</v>
      </c>
    </row>
    <row r="4589" hidden="1">
      <c r="A4589" s="11" t="n">
        <v>46143</v>
      </c>
      <c r="B4589" t="inlineStr">
        <is>
          <t>Emilly Kamilly Medeiros Miranda</t>
        </is>
      </c>
      <c r="C4589" t="inlineStr">
        <is>
          <t>Técnico II</t>
        </is>
      </c>
      <c r="D4589" s="3" t="n">
        <v>0</v>
      </c>
      <c r="E4589" s="3" t="n">
        <v>0</v>
      </c>
      <c r="F4589" s="3" t="n">
        <v>0</v>
      </c>
      <c r="G4589" s="3" t="n">
        <v>0</v>
      </c>
      <c r="H4589" s="3" t="n">
        <v>0</v>
      </c>
      <c r="I4589" s="3" t="n">
        <v>0</v>
      </c>
      <c r="J4589" s="3" t="n">
        <v>0</v>
      </c>
      <c r="K4589" s="3" t="n">
        <v>0</v>
      </c>
      <c r="M4589" s="3" t="n">
        <v>0</v>
      </c>
      <c r="N4589" s="3" t="n">
        <v>99.01000000000001</v>
      </c>
      <c r="O4589" s="3" t="n">
        <v>17.76649746192894</v>
      </c>
    </row>
    <row r="4590" hidden="1">
      <c r="A4590" s="11" t="n">
        <v>46143</v>
      </c>
      <c r="B4590" t="inlineStr">
        <is>
          <t>Francilene Ferreira de Jesus</t>
        </is>
      </c>
      <c r="C4590" t="inlineStr">
        <is>
          <t>Técnico II</t>
        </is>
      </c>
      <c r="D4590" s="3" t="n">
        <v>0</v>
      </c>
      <c r="E4590" s="3" t="n">
        <v>0</v>
      </c>
      <c r="F4590" s="3" t="n">
        <v>0</v>
      </c>
      <c r="G4590" s="3" t="n">
        <v>0</v>
      </c>
      <c r="H4590" s="3" t="n">
        <v>0</v>
      </c>
      <c r="I4590" s="3" t="n">
        <v>0</v>
      </c>
      <c r="J4590" s="3" t="n">
        <v>0</v>
      </c>
      <c r="K4590" s="3" t="n">
        <v>0</v>
      </c>
      <c r="M4590" s="3" t="n">
        <v>0</v>
      </c>
      <c r="N4590" s="3" t="n">
        <v>100</v>
      </c>
      <c r="O4590" s="3" t="n">
        <v>17.24137931034483</v>
      </c>
    </row>
    <row r="4591" hidden="1">
      <c r="A4591" s="11" t="n">
        <v>46143</v>
      </c>
      <c r="B4591" t="inlineStr">
        <is>
          <t>Isabella Borges de Oliveira</t>
        </is>
      </c>
      <c r="C4591" t="inlineStr">
        <is>
          <t>Técnico II</t>
        </is>
      </c>
      <c r="D4591" s="3" t="n">
        <v>0</v>
      </c>
      <c r="E4591" s="3" t="n">
        <v>0</v>
      </c>
      <c r="F4591" s="3" t="n">
        <v>0</v>
      </c>
      <c r="G4591" s="3" t="n">
        <v>0</v>
      </c>
      <c r="H4591" s="3" t="n">
        <v>0</v>
      </c>
      <c r="I4591" s="3" t="n">
        <v>0</v>
      </c>
      <c r="J4591" s="3" t="n">
        <v>0</v>
      </c>
      <c r="K4591" s="3" t="n">
        <v>0</v>
      </c>
      <c r="M4591" s="3" t="n">
        <v>0</v>
      </c>
      <c r="N4591" s="3" t="n">
        <v>98.98</v>
      </c>
      <c r="O4591" s="3" t="n">
        <v>19.35483870967742</v>
      </c>
    </row>
    <row r="4592" hidden="1">
      <c r="A4592" s="11" t="n">
        <v>46143</v>
      </c>
      <c r="B4592" t="inlineStr">
        <is>
          <t>Jessica Faria da Silveira</t>
        </is>
      </c>
      <c r="C4592" t="inlineStr">
        <is>
          <t>Técnico II</t>
        </is>
      </c>
      <c r="D4592" s="3" t="n">
        <v>0</v>
      </c>
      <c r="E4592" s="3" t="n">
        <v>0</v>
      </c>
      <c r="F4592" s="3" t="n">
        <v>0</v>
      </c>
      <c r="G4592" s="3" t="n">
        <v>0</v>
      </c>
      <c r="H4592" s="3" t="n">
        <v>0</v>
      </c>
      <c r="I4592" s="3" t="n">
        <v>0</v>
      </c>
      <c r="J4592" s="3" t="n">
        <v>0</v>
      </c>
      <c r="K4592" s="3" t="n">
        <v>0</v>
      </c>
      <c r="M4592" s="3" t="n">
        <v>0</v>
      </c>
      <c r="N4592" s="3" t="n">
        <v>98.94</v>
      </c>
      <c r="O4592" s="3" t="n">
        <v>21.2707182320442</v>
      </c>
    </row>
    <row r="4593" hidden="1">
      <c r="A4593" s="11" t="n">
        <v>46143</v>
      </c>
      <c r="B4593" t="inlineStr">
        <is>
          <t>Lizandra Gomes Duarte</t>
        </is>
      </c>
      <c r="C4593" t="inlineStr">
        <is>
          <t>Técnico II</t>
        </is>
      </c>
      <c r="D4593" s="3" t="n">
        <v>0</v>
      </c>
      <c r="E4593" s="3" t="n">
        <v>0</v>
      </c>
      <c r="F4593" s="3" t="n">
        <v>0</v>
      </c>
      <c r="G4593" s="3" t="n">
        <v>0</v>
      </c>
      <c r="H4593" s="3" t="n">
        <v>0</v>
      </c>
      <c r="I4593" s="3" t="n">
        <v>0</v>
      </c>
      <c r="J4593" s="3" t="n">
        <v>0</v>
      </c>
      <c r="K4593" s="3" t="n">
        <v>0</v>
      </c>
      <c r="M4593" s="3" t="n">
        <v>0</v>
      </c>
      <c r="N4593" s="3" t="n">
        <v>99</v>
      </c>
      <c r="O4593" s="3" t="n">
        <v>22.01086956521739</v>
      </c>
    </row>
    <row r="4594" hidden="1">
      <c r="A4594" s="11" t="n">
        <v>46143</v>
      </c>
      <c r="B4594" t="inlineStr">
        <is>
          <t>Lorena Dias de Araujo</t>
        </is>
      </c>
      <c r="C4594" t="inlineStr">
        <is>
          <t>Técnico II</t>
        </is>
      </c>
      <c r="D4594" s="3" t="n">
        <v>0</v>
      </c>
      <c r="E4594" s="3" t="n">
        <v>0</v>
      </c>
      <c r="F4594" s="3" t="n">
        <v>0</v>
      </c>
      <c r="G4594" s="3" t="n">
        <v>0</v>
      </c>
      <c r="H4594" s="3" t="n">
        <v>0</v>
      </c>
      <c r="I4594" s="3" t="n">
        <v>0</v>
      </c>
      <c r="J4594" s="3" t="n">
        <v>0</v>
      </c>
      <c r="K4594" s="3" t="n">
        <v>0</v>
      </c>
      <c r="M4594" s="3" t="n">
        <v>0</v>
      </c>
      <c r="N4594" s="3" t="n">
        <v>100</v>
      </c>
      <c r="O4594" s="3" t="n">
        <v>25</v>
      </c>
    </row>
    <row r="4595" hidden="1">
      <c r="A4595" s="11" t="n">
        <v>46143</v>
      </c>
      <c r="B4595" t="inlineStr">
        <is>
          <t>Patrícia Karla de Sousa Araújo</t>
        </is>
      </c>
      <c r="C4595" t="inlineStr">
        <is>
          <t>Técnico II</t>
        </is>
      </c>
      <c r="D4595" s="3" t="n">
        <v>0</v>
      </c>
      <c r="E4595" s="3" t="n">
        <v>0</v>
      </c>
      <c r="F4595" s="3" t="n">
        <v>0</v>
      </c>
      <c r="G4595" s="3" t="n">
        <v>0</v>
      </c>
      <c r="H4595" s="3" t="n">
        <v>0</v>
      </c>
      <c r="I4595" s="3" t="n">
        <v>0</v>
      </c>
      <c r="J4595" s="3" t="n">
        <v>0</v>
      </c>
      <c r="K4595" s="3" t="n">
        <v>0</v>
      </c>
      <c r="M4595" s="3" t="n">
        <v>0</v>
      </c>
      <c r="N4595" s="3" t="n">
        <v>100</v>
      </c>
      <c r="O4595" s="3" t="n">
        <v>20.18348623853211</v>
      </c>
    </row>
    <row r="4596" hidden="1">
      <c r="A4596" s="11" t="n">
        <v>46143</v>
      </c>
      <c r="B4596" t="inlineStr">
        <is>
          <t>Gabriel Gomes de Andrade</t>
        </is>
      </c>
      <c r="C4596" t="inlineStr">
        <is>
          <t>Técnico I</t>
        </is>
      </c>
      <c r="D4596" s="3" t="n">
        <v>0</v>
      </c>
      <c r="E4596" s="3" t="n">
        <v>0</v>
      </c>
      <c r="F4596" s="3" t="n">
        <v>0</v>
      </c>
      <c r="G4596" s="3" t="n">
        <v>0</v>
      </c>
      <c r="H4596" s="3" t="n">
        <v>0</v>
      </c>
      <c r="I4596" s="3" t="n">
        <v>0</v>
      </c>
      <c r="J4596" s="3" t="n">
        <v>0</v>
      </c>
      <c r="K4596" s="3" t="n">
        <v>0</v>
      </c>
      <c r="M4596" s="3" t="n">
        <v>0</v>
      </c>
      <c r="N4596" s="3" t="n">
        <v>99.06</v>
      </c>
      <c r="O4596" s="3" t="n">
        <v>19.41747572815534</v>
      </c>
    </row>
    <row r="4597" hidden="1">
      <c r="A4597" s="11" t="n">
        <v>46143</v>
      </c>
      <c r="B4597" t="inlineStr">
        <is>
          <t>Ana Karollyne Souza Faria</t>
        </is>
      </c>
      <c r="C4597" t="inlineStr">
        <is>
          <t>Técnico I</t>
        </is>
      </c>
      <c r="D4597" s="3" t="n">
        <v>0</v>
      </c>
      <c r="E4597" s="3" t="n">
        <v>0</v>
      </c>
      <c r="F4597" s="3" t="n">
        <v>0</v>
      </c>
      <c r="G4597" s="3" t="n">
        <v>0</v>
      </c>
      <c r="H4597" s="3" t="n">
        <v>0</v>
      </c>
      <c r="I4597" s="3" t="n">
        <v>0</v>
      </c>
      <c r="J4597" s="3" t="n">
        <v>0</v>
      </c>
      <c r="K4597" s="3" t="n">
        <v>0</v>
      </c>
      <c r="M4597" s="3" t="n">
        <v>0</v>
      </c>
      <c r="N4597" s="3" t="n">
        <v>96.25</v>
      </c>
      <c r="O4597" s="3" t="n">
        <v>25.5863539445629</v>
      </c>
    </row>
    <row r="4598" hidden="1">
      <c r="A4598" s="11" t="n">
        <v>46143</v>
      </c>
      <c r="B4598" t="inlineStr">
        <is>
          <t>Clessiane Pereira dos Santos</t>
        </is>
      </c>
      <c r="C4598" t="inlineStr">
        <is>
          <t>Técnico I</t>
        </is>
      </c>
      <c r="D4598" s="3" t="n">
        <v>0</v>
      </c>
      <c r="E4598" s="3" t="n">
        <v>0</v>
      </c>
      <c r="F4598" s="3" t="n">
        <v>0</v>
      </c>
      <c r="G4598" s="3" t="n">
        <v>0</v>
      </c>
      <c r="H4598" s="3" t="n">
        <v>0</v>
      </c>
      <c r="I4598" s="3" t="n">
        <v>0</v>
      </c>
      <c r="J4598" s="3" t="n">
        <v>0</v>
      </c>
      <c r="K4598" s="3" t="n">
        <v>0</v>
      </c>
      <c r="M4598" s="3" t="n">
        <v>0</v>
      </c>
      <c r="N4598" s="3" t="n">
        <v>97.48</v>
      </c>
      <c r="O4598" s="3" t="n">
        <v>22.99465240641711</v>
      </c>
    </row>
    <row r="4599" hidden="1">
      <c r="A4599" s="11" t="n">
        <v>46143</v>
      </c>
      <c r="B4599" t="inlineStr">
        <is>
          <t>Daniel Gomes da Silva</t>
        </is>
      </c>
      <c r="C4599" t="inlineStr">
        <is>
          <t>Técnico I</t>
        </is>
      </c>
      <c r="D4599" s="3" t="n">
        <v>0</v>
      </c>
      <c r="E4599" s="3" t="n">
        <v>0</v>
      </c>
      <c r="F4599" s="3" t="n">
        <v>0</v>
      </c>
      <c r="G4599" s="3" t="n">
        <v>0</v>
      </c>
      <c r="H4599" s="3" t="n">
        <v>0</v>
      </c>
      <c r="I4599" s="3" t="n">
        <v>0</v>
      </c>
      <c r="J4599" s="3" t="n">
        <v>0</v>
      </c>
      <c r="K4599" s="3" t="n">
        <v>0</v>
      </c>
      <c r="M4599" s="3" t="n">
        <v>0</v>
      </c>
      <c r="N4599" s="3" t="n">
        <v>100</v>
      </c>
      <c r="O4599" s="3" t="n">
        <v>20.78853046594982</v>
      </c>
    </row>
    <row r="4600" hidden="1">
      <c r="A4600" s="11" t="n">
        <v>46143</v>
      </c>
      <c r="B4600" t="inlineStr">
        <is>
          <t>Luiz Fernando de Carvalho Junior</t>
        </is>
      </c>
      <c r="C4600" t="inlineStr">
        <is>
          <t>Técnico I</t>
        </is>
      </c>
      <c r="D4600" s="3" t="n">
        <v>0</v>
      </c>
      <c r="E4600" s="3" t="n">
        <v>0</v>
      </c>
      <c r="F4600" s="3" t="n">
        <v>0</v>
      </c>
      <c r="G4600" s="3" t="n">
        <v>0</v>
      </c>
      <c r="H4600" s="3" t="n">
        <v>0</v>
      </c>
      <c r="I4600" s="3" t="n">
        <v>0</v>
      </c>
      <c r="J4600" s="3" t="n">
        <v>0</v>
      </c>
      <c r="K4600" s="3" t="n">
        <v>0</v>
      </c>
      <c r="M4600" s="3" t="n">
        <v>0</v>
      </c>
      <c r="N4600" s="3" t="n">
        <v>94.55</v>
      </c>
      <c r="O4600" s="3" t="n">
        <v>23.45013477088949</v>
      </c>
    </row>
    <row r="4601" hidden="1">
      <c r="A4601" s="11" t="n">
        <v>46143</v>
      </c>
      <c r="B4601" t="inlineStr">
        <is>
          <t>Raane Batista Matos</t>
        </is>
      </c>
      <c r="C4601" t="inlineStr">
        <is>
          <t>Técnico I</t>
        </is>
      </c>
      <c r="D4601" s="3" t="n">
        <v>0</v>
      </c>
      <c r="E4601" s="3" t="n">
        <v>0</v>
      </c>
      <c r="F4601" s="3" t="n">
        <v>0</v>
      </c>
      <c r="G4601" s="3" t="n">
        <v>0</v>
      </c>
      <c r="H4601" s="3" t="n">
        <v>0</v>
      </c>
      <c r="I4601" s="3" t="n">
        <v>0</v>
      </c>
      <c r="J4601" s="3" t="n">
        <v>0</v>
      </c>
      <c r="K4601" s="3" t="n">
        <v>0</v>
      </c>
      <c r="M4601" s="3" t="n">
        <v>0</v>
      </c>
      <c r="N4601" s="3" t="n">
        <v>98</v>
      </c>
      <c r="O4601" s="3" t="n">
        <v>20.73490813648294</v>
      </c>
    </row>
    <row r="4602" hidden="1">
      <c r="A4602" s="11" t="n">
        <v>46143</v>
      </c>
      <c r="B4602" t="inlineStr">
        <is>
          <t>Sara Maria Monteiro Lopes</t>
        </is>
      </c>
      <c r="C4602" t="inlineStr">
        <is>
          <t>Técnico I</t>
        </is>
      </c>
      <c r="D4602" s="3" t="n">
        <v>0</v>
      </c>
      <c r="E4602" s="3" t="n">
        <v>0</v>
      </c>
      <c r="F4602" s="3" t="n">
        <v>0</v>
      </c>
      <c r="G4602" s="3" t="n">
        <v>0</v>
      </c>
      <c r="H4602" s="3" t="n">
        <v>0</v>
      </c>
      <c r="I4602" s="3" t="n">
        <v>0</v>
      </c>
      <c r="J4602" s="3" t="n">
        <v>0</v>
      </c>
      <c r="K4602" s="3" t="n">
        <v>0</v>
      </c>
      <c r="M4602" s="3" t="n">
        <v>0</v>
      </c>
      <c r="N4602" s="3" t="n">
        <v>100</v>
      </c>
      <c r="O4602" s="3" t="n">
        <v>18</v>
      </c>
    </row>
    <row r="4603" hidden="1">
      <c r="A4603" s="11" t="n">
        <v>46169</v>
      </c>
      <c r="B4603" t="inlineStr">
        <is>
          <t>Claudio de Sousa Velasco Filho</t>
        </is>
      </c>
      <c r="C4603" t="inlineStr">
        <is>
          <t>Estágio</t>
        </is>
      </c>
      <c r="D4603" t="n">
        <v>8</v>
      </c>
      <c r="E4603" t="n">
        <v>8</v>
      </c>
      <c r="F4603" t="n">
        <v>23.25</v>
      </c>
      <c r="G4603" s="12" t="n">
        <v>0</v>
      </c>
      <c r="H4603" s="12" t="n"/>
      <c r="I4603" s="12" t="n"/>
      <c r="J4603" s="12" t="n"/>
      <c r="K4603" s="12" t="n"/>
      <c r="L4603" s="12" t="n"/>
      <c r="M4603" s="12" t="n">
        <v>8</v>
      </c>
      <c r="N4603" s="12" t="n">
        <v>97.14</v>
      </c>
      <c r="O4603" s="12" t="n">
        <v>23.00884955752212</v>
      </c>
    </row>
    <row r="4604" hidden="1">
      <c r="A4604" s="11" t="n">
        <v>46169</v>
      </c>
      <c r="B4604" t="inlineStr">
        <is>
          <t>Emilly Caylane Costa</t>
        </is>
      </c>
      <c r="C4604" t="inlineStr">
        <is>
          <t>Estágio</t>
        </is>
      </c>
      <c r="D4604" t="n">
        <v>5</v>
      </c>
      <c r="E4604" t="n">
        <v>5</v>
      </c>
      <c r="F4604" t="n">
        <v>57</v>
      </c>
      <c r="G4604" s="12" t="n">
        <v>0</v>
      </c>
      <c r="H4604" s="12" t="n"/>
      <c r="I4604" s="12" t="n"/>
      <c r="J4604" s="12" t="n"/>
      <c r="K4604" s="12" t="n"/>
      <c r="L4604" s="12" t="n"/>
      <c r="M4604" s="12" t="n">
        <v>5</v>
      </c>
      <c r="N4604" s="12" t="n">
        <v>100</v>
      </c>
      <c r="O4604" s="12" t="n">
        <v>30.23255813953488</v>
      </c>
    </row>
    <row r="4605" hidden="1">
      <c r="A4605" s="11" t="n">
        <v>46169</v>
      </c>
      <c r="B4605" t="inlineStr">
        <is>
          <t>Maria Eduarda Sousa Costa</t>
        </is>
      </c>
      <c r="C4605" t="inlineStr">
        <is>
          <t>Estágio</t>
        </is>
      </c>
      <c r="D4605" t="n">
        <v>23</v>
      </c>
      <c r="E4605" t="n">
        <v>22</v>
      </c>
      <c r="F4605" t="n">
        <v>18.3</v>
      </c>
      <c r="G4605" s="12" t="n">
        <v>0</v>
      </c>
      <c r="H4605" s="12" t="n"/>
      <c r="I4605" s="12" t="n"/>
      <c r="J4605" s="12" t="n"/>
      <c r="K4605" s="12" t="n"/>
      <c r="L4605" s="12" t="n"/>
      <c r="M4605" s="12" t="n">
        <v>20</v>
      </c>
      <c r="N4605" s="12" t="n">
        <v>94.44</v>
      </c>
      <c r="O4605" s="12" t="n">
        <v>13.46153846153846</v>
      </c>
    </row>
    <row r="4606" hidden="1">
      <c r="A4606" s="11" t="n">
        <v>46169</v>
      </c>
      <c r="B4606" t="inlineStr">
        <is>
          <t>Michelle G Santos</t>
        </is>
      </c>
      <c r="C4606" t="inlineStr">
        <is>
          <t>Estágio</t>
        </is>
      </c>
      <c r="D4606" t="n">
        <v>17</v>
      </c>
      <c r="E4606" t="n">
        <v>16</v>
      </c>
      <c r="F4606" t="n">
        <v>27.24</v>
      </c>
      <c r="G4606" s="12" t="n">
        <v>0</v>
      </c>
      <c r="H4606" s="12" t="n"/>
      <c r="I4606" s="12" t="n"/>
      <c r="J4606" s="12" t="n"/>
      <c r="K4606" s="12" t="n"/>
      <c r="L4606" s="12" t="n"/>
      <c r="M4606" s="12" t="n">
        <v>11</v>
      </c>
      <c r="N4606" s="12" t="n">
        <v>100</v>
      </c>
      <c r="O4606" s="12" t="n">
        <v>16.54676258992806</v>
      </c>
    </row>
    <row r="4607" hidden="1">
      <c r="A4607" s="11" t="n">
        <v>46169</v>
      </c>
      <c r="B4607" t="inlineStr">
        <is>
          <t>Quirino Diogo Leite Torres</t>
        </is>
      </c>
      <c r="C4607" t="inlineStr">
        <is>
          <t>Estágio</t>
        </is>
      </c>
      <c r="D4607" t="n">
        <v>19</v>
      </c>
      <c r="E4607" t="n">
        <v>16</v>
      </c>
      <c r="F4607" t="n">
        <v>27.02</v>
      </c>
      <c r="G4607" s="12" t="n">
        <v>0</v>
      </c>
      <c r="H4607" s="12" t="n"/>
      <c r="I4607" s="12" t="n"/>
      <c r="J4607" s="12" t="n"/>
      <c r="K4607" s="12" t="n"/>
      <c r="L4607" s="12" t="n"/>
      <c r="M4607" s="12" t="n">
        <v>15</v>
      </c>
      <c r="N4607" s="12" t="n">
        <v>97.06</v>
      </c>
      <c r="O4607" s="12" t="n">
        <v>23.5042735042735</v>
      </c>
    </row>
    <row r="4608" hidden="1">
      <c r="A4608" s="11" t="n">
        <v>46169</v>
      </c>
      <c r="B4608" t="inlineStr">
        <is>
          <t>Gabriel Alves</t>
        </is>
      </c>
      <c r="C4608" t="inlineStr">
        <is>
          <t>Estágio</t>
        </is>
      </c>
      <c r="D4608" t="n">
        <v>7</v>
      </c>
      <c r="E4608" t="n">
        <v>7</v>
      </c>
      <c r="F4608" t="n">
        <v>46.44</v>
      </c>
      <c r="G4608" s="12" t="n">
        <v>0</v>
      </c>
      <c r="H4608" s="12" t="n"/>
      <c r="I4608" s="12" t="n"/>
      <c r="J4608" s="12" t="n"/>
      <c r="K4608" s="12" t="n"/>
      <c r="L4608" s="12" t="n"/>
      <c r="M4608" s="12" t="n">
        <v>7</v>
      </c>
      <c r="N4608" s="12" t="n">
        <v>100</v>
      </c>
      <c r="O4608" s="12" t="n">
        <v>27.27272727272727</v>
      </c>
    </row>
    <row r="4609" hidden="1">
      <c r="A4609" s="11" t="n">
        <v>46169</v>
      </c>
      <c r="B4609" t="inlineStr">
        <is>
          <t>Anna Luiza Rezende Tavares</t>
        </is>
      </c>
      <c r="C4609" t="inlineStr">
        <is>
          <t>JR</t>
        </is>
      </c>
      <c r="D4609" t="n">
        <v>40</v>
      </c>
      <c r="E4609" t="n">
        <v>38</v>
      </c>
      <c r="F4609" t="n">
        <v>12.23</v>
      </c>
      <c r="G4609" s="12" t="n">
        <v>0</v>
      </c>
      <c r="H4609" s="12" t="n"/>
      <c r="I4609" s="12" t="n"/>
      <c r="J4609" s="12" t="n"/>
      <c r="K4609" s="12" t="n"/>
      <c r="L4609" s="12" t="n"/>
      <c r="M4609" s="12" t="n">
        <v>32</v>
      </c>
      <c r="N4609" s="12" t="n">
        <v>99.3</v>
      </c>
      <c r="O4609" s="12" t="n">
        <v>20.93023255813954</v>
      </c>
    </row>
    <row r="4610" hidden="1">
      <c r="A4610" s="11" t="n">
        <v>46169</v>
      </c>
      <c r="B4610" t="inlineStr">
        <is>
          <t>Karina Gonçalves Martins</t>
        </is>
      </c>
      <c r="C4610" t="inlineStr">
        <is>
          <t>JR</t>
        </is>
      </c>
      <c r="D4610" t="n">
        <v>17</v>
      </c>
      <c r="E4610" t="n">
        <v>17</v>
      </c>
      <c r="F4610" t="n">
        <v>22.23</v>
      </c>
      <c r="G4610" s="12" t="n">
        <v>0</v>
      </c>
      <c r="H4610" s="12" t="n"/>
      <c r="I4610" s="12" t="n"/>
      <c r="J4610" s="12" t="n"/>
      <c r="K4610" s="12" t="n"/>
      <c r="L4610" s="12" t="n"/>
      <c r="M4610" s="12" t="n">
        <v>17</v>
      </c>
      <c r="N4610" s="12" t="n">
        <v>97.83</v>
      </c>
      <c r="O4610" s="12" t="n">
        <v>19.25287356321839</v>
      </c>
    </row>
    <row r="4611" hidden="1">
      <c r="A4611" s="11" t="n">
        <v>46169</v>
      </c>
      <c r="B4611" t="inlineStr">
        <is>
          <t>Leandro de Souza Silva</t>
        </is>
      </c>
      <c r="C4611" t="inlineStr">
        <is>
          <t>JR</t>
        </is>
      </c>
      <c r="D4611" t="n">
        <v>10</v>
      </c>
      <c r="E4611" t="n">
        <v>7</v>
      </c>
      <c r="F4611" t="n">
        <v>35.46</v>
      </c>
      <c r="G4611" s="12" t="n">
        <v>2</v>
      </c>
      <c r="H4611" s="12" t="n"/>
      <c r="I4611" s="12" t="n"/>
      <c r="J4611" s="12" t="n"/>
      <c r="K4611" s="12" t="n"/>
      <c r="L4611" s="12" t="n"/>
      <c r="M4611" s="12" t="n">
        <v>6</v>
      </c>
      <c r="N4611" s="12" t="n">
        <v>100</v>
      </c>
      <c r="O4611" s="12" t="n">
        <v>20.5</v>
      </c>
    </row>
    <row r="4612" hidden="1">
      <c r="A4612" s="11" t="n">
        <v>46169</v>
      </c>
      <c r="B4612" t="inlineStr">
        <is>
          <t>Milena Sales</t>
        </is>
      </c>
      <c r="C4612" t="inlineStr">
        <is>
          <t>JR</t>
        </is>
      </c>
      <c r="D4612" t="n">
        <v>30</v>
      </c>
      <c r="E4612" t="n">
        <v>20</v>
      </c>
      <c r="F4612" t="n">
        <v>8.57</v>
      </c>
      <c r="G4612" s="12" t="n">
        <v>1</v>
      </c>
      <c r="H4612" s="12" t="n"/>
      <c r="I4612" s="12" t="n"/>
      <c r="J4612" s="12" t="n"/>
      <c r="K4612" s="12" t="n"/>
      <c r="L4612" s="12" t="n"/>
      <c r="M4612" s="12" t="n">
        <v>18</v>
      </c>
      <c r="N4612" s="12" t="n">
        <v>97.22</v>
      </c>
      <c r="O4612" s="12" t="n">
        <v>23.01587301587302</v>
      </c>
    </row>
    <row r="4613" hidden="1">
      <c r="A4613" s="11" t="n">
        <v>46169</v>
      </c>
      <c r="B4613" t="inlineStr">
        <is>
          <t>Paulo Ricardo Santos</t>
        </is>
      </c>
      <c r="C4613" t="inlineStr">
        <is>
          <t>JR</t>
        </is>
      </c>
      <c r="D4613" t="n">
        <v>14</v>
      </c>
      <c r="E4613" t="n">
        <v>14</v>
      </c>
      <c r="F4613" t="n">
        <v>23.31</v>
      </c>
      <c r="G4613" s="12" t="n">
        <v>1</v>
      </c>
      <c r="H4613" s="12" t="n"/>
      <c r="I4613" s="12" t="n"/>
      <c r="J4613" s="12" t="n"/>
      <c r="K4613" s="12" t="n"/>
      <c r="L4613" s="12" t="n"/>
      <c r="M4613" s="12" t="n">
        <v>12</v>
      </c>
      <c r="N4613" s="12" t="n">
        <v>100</v>
      </c>
      <c r="O4613" s="12" t="n">
        <v>20.31872509960159</v>
      </c>
    </row>
    <row r="4614" hidden="1">
      <c r="A4614" s="11" t="n">
        <v>46169</v>
      </c>
      <c r="B4614" t="inlineStr">
        <is>
          <t>Pedro Luiz Mota Sousa</t>
        </is>
      </c>
      <c r="C4614" t="inlineStr">
        <is>
          <t>JR</t>
        </is>
      </c>
      <c r="D4614" t="n">
        <v>21</v>
      </c>
      <c r="E4614" t="n">
        <v>19</v>
      </c>
      <c r="F4614" t="n">
        <v>15.53</v>
      </c>
      <c r="G4614" s="12" t="n">
        <v>2</v>
      </c>
      <c r="H4614" s="12" t="n"/>
      <c r="I4614" s="12" t="n"/>
      <c r="J4614" s="12" t="n"/>
      <c r="K4614" s="12" t="n"/>
      <c r="L4614" s="12" t="n"/>
      <c r="M4614" s="12" t="n">
        <v>17</v>
      </c>
      <c r="N4614" s="12" t="n">
        <v>100</v>
      </c>
      <c r="O4614" s="12" t="n">
        <v>18.24817518248175</v>
      </c>
    </row>
    <row r="4615">
      <c r="A4615" s="13" t="n">
        <v>46169</v>
      </c>
      <c r="B4615" t="inlineStr">
        <is>
          <t>Alisson de Freitas Silva</t>
        </is>
      </c>
      <c r="C4615" t="inlineStr">
        <is>
          <t>Técnico II</t>
        </is>
      </c>
      <c r="D4615" s="3" t="n">
        <v>35</v>
      </c>
      <c r="E4615" s="3" t="n">
        <v>28</v>
      </c>
      <c r="F4615" s="3" t="n">
        <v>7.36</v>
      </c>
      <c r="G4615" s="3" t="n">
        <v>1</v>
      </c>
      <c r="H4615" s="3" t="n">
        <v>0</v>
      </c>
      <c r="I4615" s="3">
        <f>E4615+G4615+H4615</f>
        <v/>
      </c>
      <c r="J4615" s="3">
        <f>ROUND(MIN(IF(C4615="Técnico III",35,IF(C4615="Técnico II",28,IF(C4615="Técnico I",23,IF(C4615="JR",20,IF(C4615="Estágio",10,0))))),IF(C4615="Técnico III",SUMIFS($D:$D,$A:$A,$A4615,$B:$B,"&lt;&gt;Patrícia Karla de Sousa Araújo",$B:$B,"&lt;&gt;Lorena Dias de Araujo",$B:$B,"&lt;&gt;Lucas Luiz Romero")*(35/1083),IF(C4615="Técnico II",SUMIFS($D:$D,$A:$A,$A4615,$B:$B,"&lt;&gt;Patrícia Karla de Sousa Araújo",$B:$B,"&lt;&gt;Lorena Dias de Araujo",$B:$B,"&lt;&gt;Lucas Luiz Romero")*(28/1083),IF(C4615="Técnico I",SUMIFS($D:$D,$A:$A,$A4615,$B:$B,"&lt;&gt;Patrícia Karla de Sousa Araújo",$B:$B,"&lt;&gt;Lorena Dias de Araujo",$B:$B,"&lt;&gt;Lucas Luiz Romero")*(23/1083),IF(C4615="JR",SUMIFS($D:$D,$A:$A,$A4615,$B:$B,"&lt;&gt;Patrícia Karla de Sousa Araújo",$B:$B,"&lt;&gt;Lorena Dias de Araujo",$B:$B,"&lt;&gt;Lucas Luiz Romero")*(20/1083),IF(C4615="Estágio",SUMIFS($D:$D,$A:$A,$A4615,$B:$B,"&lt;&gt;Patrícia Karla de Sousa Araújo",$B:$B,"&lt;&gt;Lorena Dias de Araujo",$B:$B,"&lt;&gt;Lucas Luiz Romero")*(10/1083),0)))))),0)</f>
        <v/>
      </c>
      <c r="K4615" s="3">
        <f>I4615-J4615</f>
        <v/>
      </c>
      <c r="L4615" s="3">
        <f>IF(K4615&lt;-5,"CRÍTICO",IF(K4615&lt;0,"ATENÇÃO",IF(K4615&lt;=5,"OPORTUNO","MUITO BOM")))</f>
        <v/>
      </c>
      <c r="M4615" t="n">
        <v>24</v>
      </c>
      <c r="N4615" t="n">
        <v>99.22</v>
      </c>
      <c r="O4615" t="n">
        <v>24.26666666666667</v>
      </c>
    </row>
    <row r="4616" hidden="1">
      <c r="A4616" s="11" t="n">
        <v>46169</v>
      </c>
      <c r="B4616" t="inlineStr">
        <is>
          <t>Amanda Moura Ferreira</t>
        </is>
      </c>
      <c r="C4616" t="inlineStr">
        <is>
          <t>Técnico III</t>
        </is>
      </c>
      <c r="D4616" s="3" t="n">
        <v>0</v>
      </c>
      <c r="E4616" s="3" t="n">
        <v>0</v>
      </c>
      <c r="F4616" s="3" t="n">
        <v>0</v>
      </c>
      <c r="G4616" s="3" t="n">
        <v>0</v>
      </c>
      <c r="H4616" s="3" t="n">
        <v>0</v>
      </c>
      <c r="I4616" s="3" t="n">
        <v>0</v>
      </c>
      <c r="J4616" s="3" t="n">
        <v>0</v>
      </c>
      <c r="K4616" s="3" t="n">
        <v>0</v>
      </c>
      <c r="M4616" t="n">
        <v>0</v>
      </c>
      <c r="N4616" t="n">
        <v>100</v>
      </c>
      <c r="O4616" t="n">
        <v>0</v>
      </c>
    </row>
    <row r="4617" hidden="1">
      <c r="A4617" s="11" t="n">
        <v>46169</v>
      </c>
      <c r="B4617" t="inlineStr">
        <is>
          <t>Ana Karollyne Souza Faria</t>
        </is>
      </c>
      <c r="C4617" t="inlineStr">
        <is>
          <t>Técnico I</t>
        </is>
      </c>
      <c r="D4617" s="3" t="n">
        <v>24</v>
      </c>
      <c r="E4617" s="3" t="n">
        <v>24</v>
      </c>
      <c r="F4617" s="3" t="n">
        <v>17.36</v>
      </c>
      <c r="G4617" t="n">
        <v>2</v>
      </c>
      <c r="M4617" t="n">
        <v>23</v>
      </c>
      <c r="N4617" t="n">
        <v>96.43000000000001</v>
      </c>
      <c r="O4617" t="n">
        <v>26.01626016260163</v>
      </c>
    </row>
    <row r="4618" hidden="1">
      <c r="A4618" s="11" t="n">
        <v>46169</v>
      </c>
      <c r="B4618" t="inlineStr">
        <is>
          <t>Ana Paula Da Luz Silva Aleixo</t>
        </is>
      </c>
      <c r="C4618" t="inlineStr">
        <is>
          <t>Técnico III</t>
        </is>
      </c>
      <c r="D4618" s="3" t="n">
        <v>34</v>
      </c>
      <c r="E4618" s="3" t="n">
        <v>33</v>
      </c>
      <c r="F4618" s="3" t="n">
        <v>12.31</v>
      </c>
      <c r="G4618" t="n">
        <v>4</v>
      </c>
      <c r="M4618" t="n">
        <v>29</v>
      </c>
      <c r="N4618" t="n">
        <v>97.14</v>
      </c>
      <c r="O4618" t="n">
        <v>20</v>
      </c>
    </row>
    <row r="4619" hidden="1">
      <c r="A4619" s="11" t="n">
        <v>46169</v>
      </c>
      <c r="B4619" t="inlineStr">
        <is>
          <t>Brenda de Menezes Silva</t>
        </is>
      </c>
      <c r="C4619" t="inlineStr">
        <is>
          <t>Técnico II</t>
        </is>
      </c>
      <c r="D4619" s="3" t="n">
        <v>28</v>
      </c>
      <c r="E4619" s="3" t="n">
        <v>27</v>
      </c>
      <c r="F4619" s="3" t="n">
        <v>15.42</v>
      </c>
      <c r="G4619" t="n">
        <v>4</v>
      </c>
      <c r="M4619" t="n">
        <v>23</v>
      </c>
      <c r="N4619" t="n">
        <v>99.38</v>
      </c>
      <c r="O4619" t="n">
        <v>20.45855379188712</v>
      </c>
    </row>
    <row r="4620" hidden="1">
      <c r="A4620" s="11" t="n">
        <v>46169</v>
      </c>
      <c r="B4620" t="inlineStr">
        <is>
          <t>Carlos Mateus Cassimiro Nunes</t>
        </is>
      </c>
      <c r="C4620" t="inlineStr">
        <is>
          <t>Técnico II</t>
        </is>
      </c>
      <c r="D4620" s="3" t="n">
        <v>29</v>
      </c>
      <c r="E4620" s="3" t="n">
        <v>28</v>
      </c>
      <c r="F4620" s="3" t="n">
        <v>17.26</v>
      </c>
      <c r="G4620" t="n">
        <v>0</v>
      </c>
      <c r="M4620" t="n">
        <v>27</v>
      </c>
      <c r="N4620" t="n">
        <v>99.15000000000001</v>
      </c>
      <c r="O4620" t="n">
        <v>21.19815668202765</v>
      </c>
    </row>
    <row r="4621" hidden="1">
      <c r="A4621" s="11" t="n">
        <v>46169</v>
      </c>
      <c r="B4621" t="inlineStr">
        <is>
          <t>Clessiane Pereira dos Santos</t>
        </is>
      </c>
      <c r="C4621" t="inlineStr">
        <is>
          <t>Técnico I</t>
        </is>
      </c>
      <c r="D4621" s="3" t="n">
        <v>19</v>
      </c>
      <c r="E4621" s="3" t="n">
        <v>17</v>
      </c>
      <c r="F4621" s="3" t="n">
        <v>18.58</v>
      </c>
      <c r="G4621" t="n">
        <v>2</v>
      </c>
      <c r="M4621" t="n">
        <v>20</v>
      </c>
      <c r="N4621" t="n">
        <v>96.92</v>
      </c>
      <c r="O4621" t="n">
        <v>24.61928934010152</v>
      </c>
    </row>
    <row r="4622" hidden="1">
      <c r="A4622" s="11" t="n">
        <v>46169</v>
      </c>
      <c r="B4622" t="inlineStr">
        <is>
          <t>Cristiane Ramos da Silva Rocha</t>
        </is>
      </c>
      <c r="C4622" t="inlineStr">
        <is>
          <t>Técnico III</t>
        </is>
      </c>
      <c r="D4622" s="3" t="n">
        <v>31</v>
      </c>
      <c r="E4622" s="3" t="n">
        <v>23</v>
      </c>
      <c r="F4622" s="3" t="n">
        <v>10.12</v>
      </c>
      <c r="G4622" t="n">
        <v>0</v>
      </c>
      <c r="M4622" t="n">
        <v>21</v>
      </c>
      <c r="N4622" t="n">
        <v>93.02</v>
      </c>
      <c r="O4622" t="n">
        <v>25.25458248472505</v>
      </c>
    </row>
    <row r="4623" hidden="1">
      <c r="A4623" s="11" t="n">
        <v>46169</v>
      </c>
      <c r="B4623" t="inlineStr">
        <is>
          <t>Damyllis Lorraine de Oliveira Gonçalves</t>
        </is>
      </c>
      <c r="C4623" t="inlineStr">
        <is>
          <t>Técnico II</t>
        </is>
      </c>
      <c r="D4623" s="3" t="n">
        <v>0</v>
      </c>
      <c r="E4623" s="3" t="n">
        <v>0</v>
      </c>
      <c r="F4623" s="3" t="n">
        <v>0</v>
      </c>
      <c r="G4623" s="3" t="n">
        <v>0</v>
      </c>
      <c r="H4623" s="3" t="n">
        <v>0</v>
      </c>
      <c r="I4623" s="3" t="n">
        <v>0</v>
      </c>
      <c r="J4623" s="3" t="n">
        <v>0</v>
      </c>
      <c r="K4623" s="3" t="n">
        <v>0</v>
      </c>
      <c r="M4623" t="n">
        <v>0</v>
      </c>
      <c r="N4623" t="n">
        <v>98.88</v>
      </c>
      <c r="O4623" t="n">
        <v>25</v>
      </c>
    </row>
    <row r="4624" hidden="1">
      <c r="A4624" s="11" t="n">
        <v>46169</v>
      </c>
      <c r="B4624" t="inlineStr">
        <is>
          <t>Daniel Gomes da Silva</t>
        </is>
      </c>
      <c r="C4624" t="inlineStr">
        <is>
          <t>Técnico I</t>
        </is>
      </c>
      <c r="D4624" s="3" t="n">
        <v>27</v>
      </c>
      <c r="E4624" s="3" t="n">
        <v>25</v>
      </c>
      <c r="F4624" s="3" t="n">
        <v>12.26</v>
      </c>
      <c r="G4624" t="n">
        <v>0</v>
      </c>
      <c r="M4624" t="n">
        <v>17</v>
      </c>
      <c r="N4624" t="n">
        <v>100</v>
      </c>
      <c r="O4624" t="n">
        <v>22.2972972972973</v>
      </c>
    </row>
    <row r="4625" hidden="1">
      <c r="A4625" s="11" t="n">
        <v>46169</v>
      </c>
      <c r="B4625" t="inlineStr">
        <is>
          <t>Davylla Rodrigues Freitas Silva</t>
        </is>
      </c>
      <c r="C4625" t="inlineStr">
        <is>
          <t>Técnico III</t>
        </is>
      </c>
      <c r="D4625" s="3" t="n">
        <v>0</v>
      </c>
      <c r="E4625" s="3" t="n">
        <v>0</v>
      </c>
      <c r="F4625" s="3" t="n">
        <v>0</v>
      </c>
      <c r="G4625" s="3" t="n">
        <v>0</v>
      </c>
      <c r="H4625" s="3" t="n">
        <v>0</v>
      </c>
      <c r="I4625" s="3" t="n">
        <v>0</v>
      </c>
      <c r="J4625" s="3" t="n">
        <v>0</v>
      </c>
      <c r="K4625" s="3" t="n">
        <v>0</v>
      </c>
      <c r="M4625" t="n">
        <v>0</v>
      </c>
      <c r="N4625" t="n">
        <v>99.20999999999999</v>
      </c>
      <c r="O4625" t="n">
        <v>29.57198443579767</v>
      </c>
    </row>
    <row r="4626" hidden="1">
      <c r="A4626" s="11" t="n">
        <v>46169</v>
      </c>
      <c r="B4626" t="inlineStr">
        <is>
          <t>Emilly Kamilly Medeiros Miranda</t>
        </is>
      </c>
      <c r="C4626" t="inlineStr">
        <is>
          <t>Técnico II</t>
        </is>
      </c>
      <c r="D4626" s="3" t="n">
        <v>32</v>
      </c>
      <c r="E4626" s="3" t="n">
        <v>31</v>
      </c>
      <c r="F4626" s="3" t="n">
        <v>17.24</v>
      </c>
      <c r="G4626" t="n">
        <v>2</v>
      </c>
      <c r="M4626" t="n">
        <v>27</v>
      </c>
      <c r="N4626" t="n">
        <v>99.09</v>
      </c>
      <c r="O4626" t="n">
        <v>18.52731591448931</v>
      </c>
    </row>
    <row r="4627" hidden="1">
      <c r="A4627" s="11" t="n">
        <v>46169</v>
      </c>
      <c r="B4627" t="inlineStr">
        <is>
          <t>Francielson de Oliveira</t>
        </is>
      </c>
      <c r="C4627" t="inlineStr">
        <is>
          <t>Técnico III</t>
        </is>
      </c>
      <c r="D4627" s="3" t="n">
        <v>32</v>
      </c>
      <c r="E4627" s="3" t="n">
        <v>31</v>
      </c>
      <c r="F4627" s="3" t="n">
        <v>14</v>
      </c>
      <c r="G4627" t="n">
        <v>3</v>
      </c>
      <c r="M4627" t="n">
        <v>31</v>
      </c>
      <c r="N4627" t="n">
        <v>100</v>
      </c>
      <c r="O4627" t="n">
        <v>11.53846153846154</v>
      </c>
    </row>
    <row r="4628" hidden="1">
      <c r="A4628" s="11" t="n">
        <v>46169</v>
      </c>
      <c r="B4628" t="inlineStr">
        <is>
          <t>Francilene Ferreira de Jesus</t>
        </is>
      </c>
      <c r="C4628" t="inlineStr">
        <is>
          <t>Técnico II</t>
        </is>
      </c>
      <c r="D4628" s="3" t="n">
        <v>0</v>
      </c>
      <c r="E4628" s="3" t="n">
        <v>0</v>
      </c>
      <c r="F4628" s="3" t="n">
        <v>0</v>
      </c>
      <c r="G4628" s="3" t="n">
        <v>0</v>
      </c>
      <c r="H4628" s="3" t="n">
        <v>0</v>
      </c>
      <c r="I4628" s="3" t="n">
        <v>0</v>
      </c>
      <c r="J4628" s="3" t="n">
        <v>0</v>
      </c>
      <c r="K4628" s="3" t="n">
        <v>0</v>
      </c>
      <c r="M4628" t="n">
        <v>0</v>
      </c>
      <c r="N4628" t="n">
        <v>100</v>
      </c>
      <c r="O4628" t="n">
        <v>17.24137931034483</v>
      </c>
    </row>
    <row r="4629" hidden="1">
      <c r="A4629" s="11" t="n">
        <v>46169</v>
      </c>
      <c r="B4629" t="inlineStr">
        <is>
          <t>Gabriel Gomes de Andrade</t>
        </is>
      </c>
      <c r="C4629" t="inlineStr">
        <is>
          <t>Técnico I</t>
        </is>
      </c>
      <c r="D4629" s="3" t="n">
        <v>22</v>
      </c>
      <c r="E4629" s="3" t="n">
        <v>18</v>
      </c>
      <c r="F4629" s="3" t="n">
        <v>13.48</v>
      </c>
      <c r="G4629" t="n">
        <v>3</v>
      </c>
      <c r="M4629" t="n">
        <v>20</v>
      </c>
      <c r="N4629" t="n">
        <v>99.14</v>
      </c>
      <c r="O4629" t="n">
        <v>21.27659574468085</v>
      </c>
    </row>
    <row r="4630" hidden="1">
      <c r="A4630" s="11" t="n">
        <v>46169</v>
      </c>
      <c r="B4630" t="inlineStr">
        <is>
          <t>Isabella Borges de Oliveira</t>
        </is>
      </c>
      <c r="C4630" t="inlineStr">
        <is>
          <t>Técnico II</t>
        </is>
      </c>
      <c r="D4630" s="3" t="n">
        <v>20</v>
      </c>
      <c r="E4630" s="3" t="n">
        <v>19</v>
      </c>
      <c r="F4630" s="3" t="n">
        <v>23.31</v>
      </c>
      <c r="G4630" t="n">
        <v>1</v>
      </c>
      <c r="M4630" t="n">
        <v>18</v>
      </c>
      <c r="N4630" t="n">
        <v>99.06999999999999</v>
      </c>
      <c r="O4630" t="n">
        <v>20.51282051282051</v>
      </c>
    </row>
    <row r="4631" hidden="1">
      <c r="A4631" s="11" t="n">
        <v>46169</v>
      </c>
      <c r="B4631" t="inlineStr">
        <is>
          <t>Janaina Lima dos Reis Urany</t>
        </is>
      </c>
      <c r="C4631" t="inlineStr">
        <is>
          <t>Técnico III</t>
        </is>
      </c>
      <c r="D4631" s="3" t="n">
        <v>38</v>
      </c>
      <c r="E4631" s="3" t="n">
        <v>34</v>
      </c>
      <c r="F4631" s="3" t="n">
        <v>15</v>
      </c>
      <c r="G4631" t="n">
        <v>4</v>
      </c>
      <c r="M4631" t="n">
        <v>35</v>
      </c>
      <c r="N4631" t="n">
        <v>99.05</v>
      </c>
      <c r="O4631" t="n">
        <v>22.15657311669129</v>
      </c>
    </row>
    <row r="4632" hidden="1">
      <c r="A4632" s="11" t="n">
        <v>46169</v>
      </c>
      <c r="B4632" t="inlineStr">
        <is>
          <t>Jaqueline Evangelista da Silva Martins</t>
        </is>
      </c>
      <c r="C4632" t="inlineStr">
        <is>
          <t>Técnico III</t>
        </is>
      </c>
      <c r="D4632" s="3" t="n">
        <v>20</v>
      </c>
      <c r="E4632" s="3" t="n">
        <v>15</v>
      </c>
      <c r="F4632" s="3" t="n">
        <v>10.47</v>
      </c>
      <c r="G4632" t="n">
        <v>1</v>
      </c>
      <c r="M4632" t="n">
        <v>17</v>
      </c>
      <c r="N4632" t="n">
        <v>97.62</v>
      </c>
      <c r="O4632" t="n">
        <v>36.15023474178404</v>
      </c>
    </row>
    <row r="4633" hidden="1">
      <c r="A4633" s="11" t="n">
        <v>46169</v>
      </c>
      <c r="B4633" t="inlineStr">
        <is>
          <t>Jessica Faria da Silveira</t>
        </is>
      </c>
      <c r="C4633" t="inlineStr">
        <is>
          <t>Técnico II</t>
        </is>
      </c>
      <c r="D4633" s="3" t="n">
        <v>8</v>
      </c>
      <c r="E4633" s="3" t="n">
        <v>5</v>
      </c>
      <c r="F4633" s="3" t="n">
        <v>12.02</v>
      </c>
      <c r="G4633" t="n">
        <v>0</v>
      </c>
      <c r="M4633" t="n">
        <v>5</v>
      </c>
      <c r="N4633" t="n">
        <v>99.02</v>
      </c>
      <c r="O4633" t="n">
        <v>22.88828337874659</v>
      </c>
    </row>
    <row r="4634" hidden="1">
      <c r="A4634" s="11" t="n">
        <v>46169</v>
      </c>
      <c r="B4634" t="inlineStr">
        <is>
          <t>Jéssica Fé Moura</t>
        </is>
      </c>
      <c r="C4634" t="inlineStr">
        <is>
          <t>Técnico III</t>
        </is>
      </c>
      <c r="D4634" s="3" t="n">
        <v>0</v>
      </c>
      <c r="E4634" s="3" t="n">
        <v>0</v>
      </c>
      <c r="F4634" s="3" t="n">
        <v>0</v>
      </c>
      <c r="G4634" s="3" t="n">
        <v>0</v>
      </c>
      <c r="H4634" s="3" t="n">
        <v>0</v>
      </c>
      <c r="I4634" s="3" t="n">
        <v>0</v>
      </c>
      <c r="J4634" s="3" t="n">
        <v>0</v>
      </c>
      <c r="K4634" s="3" t="n">
        <v>0</v>
      </c>
      <c r="M4634" t="n">
        <v>0</v>
      </c>
      <c r="N4634" t="n">
        <v>0</v>
      </c>
      <c r="O4634" t="n">
        <v>0</v>
      </c>
    </row>
    <row r="4635" hidden="1">
      <c r="A4635" s="11" t="n">
        <v>46169</v>
      </c>
      <c r="B4635" t="inlineStr">
        <is>
          <t>Kerollen Cristielly de Jesus Siqueira</t>
        </is>
      </c>
      <c r="C4635" t="inlineStr">
        <is>
          <t>Técnico III</t>
        </is>
      </c>
      <c r="D4635" s="3" t="n">
        <v>26</v>
      </c>
      <c r="E4635" s="3" t="n">
        <v>26</v>
      </c>
      <c r="F4635" s="3" t="n">
        <v>16.55</v>
      </c>
      <c r="G4635" t="n">
        <v>0</v>
      </c>
      <c r="M4635" t="n">
        <v>25</v>
      </c>
      <c r="N4635" t="n">
        <v>97.03</v>
      </c>
      <c r="O4635" t="n">
        <v>16.84210526315789</v>
      </c>
    </row>
    <row r="4636" hidden="1">
      <c r="A4636" s="11" t="n">
        <v>46169</v>
      </c>
      <c r="B4636" t="inlineStr">
        <is>
          <t>Leandro Oliveira de Sousa</t>
        </is>
      </c>
      <c r="C4636" t="inlineStr">
        <is>
          <t>Técnico III</t>
        </is>
      </c>
      <c r="D4636" s="3" t="n">
        <v>28</v>
      </c>
      <c r="E4636" s="3" t="n">
        <v>27</v>
      </c>
      <c r="F4636" s="3" t="n">
        <v>18.32</v>
      </c>
      <c r="G4636" t="n">
        <v>0</v>
      </c>
      <c r="M4636" t="n">
        <v>23</v>
      </c>
      <c r="N4636" t="n">
        <v>100</v>
      </c>
      <c r="O4636" t="n">
        <v>18.64035087719298</v>
      </c>
    </row>
    <row r="4637" hidden="1">
      <c r="A4637" s="11" t="n">
        <v>46169</v>
      </c>
      <c r="B4637" t="inlineStr">
        <is>
          <t>Lizandra Gomes Duarte</t>
        </is>
      </c>
      <c r="C4637" t="inlineStr">
        <is>
          <t>Técnico II</t>
        </is>
      </c>
      <c r="D4637" s="3" t="n">
        <v>27</v>
      </c>
      <c r="E4637" s="3" t="n">
        <v>25</v>
      </c>
      <c r="F4637" s="3" t="n">
        <v>18.3</v>
      </c>
      <c r="G4637" t="n">
        <v>5</v>
      </c>
      <c r="M4637" t="n">
        <v>23</v>
      </c>
      <c r="N4637" t="n">
        <v>99.09999999999999</v>
      </c>
      <c r="O4637" t="n">
        <v>23.58974358974359</v>
      </c>
    </row>
    <row r="4638" hidden="1">
      <c r="A4638" s="11" t="n">
        <v>46169</v>
      </c>
      <c r="B4638" t="inlineStr">
        <is>
          <t>Lorena Dias de Araujo</t>
        </is>
      </c>
      <c r="C4638" t="inlineStr">
        <is>
          <t>Técnico II</t>
        </is>
      </c>
      <c r="D4638" s="3" t="n">
        <v>26</v>
      </c>
      <c r="E4638" s="3" t="n">
        <v>23</v>
      </c>
      <c r="F4638" s="3" t="n">
        <v>15.44</v>
      </c>
      <c r="G4638" t="n">
        <v>0</v>
      </c>
      <c r="M4638" t="n">
        <v>21</v>
      </c>
      <c r="N4638" t="n">
        <v>100</v>
      </c>
      <c r="O4638" t="n">
        <v>25.47425474254743</v>
      </c>
    </row>
    <row r="4639" hidden="1">
      <c r="A4639" s="11" t="n">
        <v>46169</v>
      </c>
      <c r="B4639" t="inlineStr">
        <is>
          <t>Lucas Luiz Romero</t>
        </is>
      </c>
      <c r="C4639" t="inlineStr">
        <is>
          <t>Técnico III</t>
        </is>
      </c>
      <c r="D4639" s="3" t="n">
        <v>0</v>
      </c>
      <c r="E4639" s="3" t="n">
        <v>0</v>
      </c>
      <c r="F4639" s="3" t="n">
        <v>0</v>
      </c>
      <c r="G4639" s="3" t="n">
        <v>0</v>
      </c>
      <c r="H4639" s="3" t="n">
        <v>0</v>
      </c>
      <c r="I4639" s="3" t="n">
        <v>0</v>
      </c>
      <c r="J4639" s="3" t="n">
        <v>0</v>
      </c>
      <c r="K4639" s="3" t="n">
        <v>0</v>
      </c>
      <c r="M4639" t="n">
        <v>2</v>
      </c>
      <c r="N4639" t="n">
        <v>100</v>
      </c>
      <c r="O4639" t="n">
        <v>22.91666666666666</v>
      </c>
    </row>
    <row r="4640" hidden="1">
      <c r="A4640" s="11" t="n">
        <v>46169</v>
      </c>
      <c r="B4640" t="inlineStr">
        <is>
          <t>Luiz Fernando de Carvalho Junior</t>
        </is>
      </c>
      <c r="C4640" t="inlineStr">
        <is>
          <t>Técnico I</t>
        </is>
      </c>
      <c r="D4640" s="3" t="n">
        <v>20</v>
      </c>
      <c r="E4640" s="3" t="n">
        <v>18</v>
      </c>
      <c r="F4640" s="3" t="n">
        <v>19.09</v>
      </c>
      <c r="G4640" t="n">
        <v>0</v>
      </c>
      <c r="M4640" t="n">
        <v>21</v>
      </c>
      <c r="N4640" t="n">
        <v>94.83</v>
      </c>
      <c r="O4640" t="n">
        <v>23.72448979591837</v>
      </c>
    </row>
    <row r="4641" hidden="1">
      <c r="A4641" s="11" t="n">
        <v>46169</v>
      </c>
      <c r="B4641" t="inlineStr">
        <is>
          <t>Matheus Farias De Souza</t>
        </is>
      </c>
      <c r="C4641" t="inlineStr">
        <is>
          <t>Técnico III</t>
        </is>
      </c>
      <c r="D4641" s="3" t="n">
        <v>0</v>
      </c>
      <c r="E4641" s="3" t="n">
        <v>0</v>
      </c>
      <c r="F4641" s="3" t="n">
        <v>0</v>
      </c>
      <c r="G4641" s="3" t="n">
        <v>0</v>
      </c>
      <c r="H4641" s="3" t="n">
        <v>0</v>
      </c>
      <c r="I4641" s="3" t="n">
        <v>0</v>
      </c>
      <c r="J4641" s="3" t="n">
        <v>0</v>
      </c>
      <c r="K4641" s="3" t="n">
        <v>0</v>
      </c>
      <c r="M4641" t="n">
        <v>23</v>
      </c>
      <c r="N4641" t="n">
        <v>98.44</v>
      </c>
      <c r="O4641" t="n">
        <v>8.542713567839195</v>
      </c>
    </row>
    <row r="4642" hidden="1">
      <c r="A4642" s="11" t="n">
        <v>46169</v>
      </c>
      <c r="B4642" t="inlineStr">
        <is>
          <t>Maysa Victoria Dias Moura</t>
        </is>
      </c>
      <c r="C4642" t="inlineStr">
        <is>
          <t>Técnico III</t>
        </is>
      </c>
      <c r="D4642" s="3" t="n">
        <v>36</v>
      </c>
      <c r="E4642" s="3" t="n">
        <v>29</v>
      </c>
      <c r="F4642" s="3" t="n">
        <v>10.09</v>
      </c>
      <c r="G4642" t="n">
        <v>7</v>
      </c>
      <c r="M4642" t="n">
        <v>25</v>
      </c>
      <c r="N4642" t="n">
        <v>96.62</v>
      </c>
      <c r="O4642" t="n">
        <v>24.09381663113006</v>
      </c>
    </row>
    <row r="4643" hidden="1">
      <c r="A4643" s="11" t="n">
        <v>46169</v>
      </c>
      <c r="B4643" t="inlineStr">
        <is>
          <t>Patrícia Karla de Sousa Araújo</t>
        </is>
      </c>
      <c r="C4643" t="inlineStr">
        <is>
          <t>Técnico II</t>
        </is>
      </c>
      <c r="D4643" s="3" t="n">
        <v>0</v>
      </c>
      <c r="E4643" s="3" t="n">
        <v>0</v>
      </c>
      <c r="F4643" s="3" t="n">
        <v>0</v>
      </c>
      <c r="G4643" s="3" t="n">
        <v>0</v>
      </c>
      <c r="H4643" s="3" t="n">
        <v>0</v>
      </c>
      <c r="I4643" s="3" t="n">
        <v>0</v>
      </c>
      <c r="J4643" s="3" t="n">
        <v>0</v>
      </c>
      <c r="K4643" s="3" t="n">
        <v>0</v>
      </c>
      <c r="M4643" t="n">
        <v>0</v>
      </c>
      <c r="N4643" t="n">
        <v>100</v>
      </c>
      <c r="O4643" t="n">
        <v>21.10091743119266</v>
      </c>
    </row>
    <row r="4644" hidden="1">
      <c r="A4644" s="11" t="n">
        <v>46169</v>
      </c>
      <c r="B4644" t="inlineStr">
        <is>
          <t>Raane Batista Matos</t>
        </is>
      </c>
      <c r="C4644" t="inlineStr">
        <is>
          <t>Técnico I</t>
        </is>
      </c>
      <c r="D4644" s="3" t="n">
        <v>31</v>
      </c>
      <c r="E4644" s="3" t="n">
        <v>27</v>
      </c>
      <c r="F4644" s="3" t="n">
        <v>15.47</v>
      </c>
      <c r="G4644" t="n">
        <v>4</v>
      </c>
      <c r="M4644" t="n">
        <v>23</v>
      </c>
      <c r="N4644" t="n">
        <v>98.25</v>
      </c>
      <c r="O4644" t="n">
        <v>22.52475247524752</v>
      </c>
    </row>
    <row r="4645" hidden="1">
      <c r="A4645" s="11" t="n">
        <v>46169</v>
      </c>
      <c r="B4645" t="inlineStr">
        <is>
          <t>Rafael Gomes de Morais</t>
        </is>
      </c>
      <c r="C4645" t="inlineStr">
        <is>
          <t>Técnico III</t>
        </is>
      </c>
      <c r="D4645" s="3" t="n">
        <v>41</v>
      </c>
      <c r="E4645" s="3" t="n">
        <v>35</v>
      </c>
      <c r="F4645" s="3" t="n">
        <v>10.39</v>
      </c>
      <c r="G4645" t="n">
        <v>1</v>
      </c>
      <c r="M4645" t="n">
        <v>27</v>
      </c>
      <c r="N4645" t="n">
        <v>99.43000000000001</v>
      </c>
      <c r="O4645" t="n">
        <v>26.01156069364162</v>
      </c>
    </row>
    <row r="4646" hidden="1">
      <c r="A4646" s="11" t="n">
        <v>46169</v>
      </c>
      <c r="B4646" t="inlineStr">
        <is>
          <t>Sara Maria Monteiro Lopes</t>
        </is>
      </c>
      <c r="C4646" t="inlineStr">
        <is>
          <t>Técnico I</t>
        </is>
      </c>
      <c r="D4646" s="3" t="n">
        <v>20</v>
      </c>
      <c r="E4646" s="3" t="n">
        <v>19</v>
      </c>
      <c r="F4646" s="3" t="n">
        <v>23.5</v>
      </c>
      <c r="G4646" t="n">
        <v>3</v>
      </c>
      <c r="M4646" t="n">
        <v>16</v>
      </c>
      <c r="N4646" t="n">
        <v>100</v>
      </c>
      <c r="O4646" t="n">
        <v>19.31818181818182</v>
      </c>
    </row>
    <row r="4647" hidden="1">
      <c r="A4647" s="11" t="n">
        <v>46169</v>
      </c>
      <c r="B4647" t="inlineStr">
        <is>
          <t>Sarah Steffanie de Lima Borges</t>
        </is>
      </c>
      <c r="C4647" t="inlineStr">
        <is>
          <t>Técnico III</t>
        </is>
      </c>
      <c r="D4647" s="3" t="n">
        <v>22</v>
      </c>
      <c r="E4647" s="3" t="n">
        <v>21</v>
      </c>
      <c r="F4647" s="3" t="n">
        <v>24.18</v>
      </c>
      <c r="G4647" t="n">
        <v>0</v>
      </c>
      <c r="M4647" t="n">
        <v>17</v>
      </c>
      <c r="N4647" t="n">
        <v>97.17</v>
      </c>
      <c r="O4647" t="n">
        <v>20.98445595854922</v>
      </c>
    </row>
    <row r="4648" hidden="1">
      <c r="A4648" s="11" t="n">
        <v>46170</v>
      </c>
      <c r="B4648" t="inlineStr">
        <is>
          <t>Claudio de Sousa Velasco Filho</t>
        </is>
      </c>
      <c r="C4648" t="inlineStr">
        <is>
          <t>Estágio</t>
        </is>
      </c>
      <c r="D4648" t="n">
        <v>0</v>
      </c>
      <c r="E4648" t="n">
        <v>0</v>
      </c>
      <c r="F4648" t="n">
        <v>0</v>
      </c>
      <c r="G4648" t="n">
        <v>0</v>
      </c>
      <c r="H4648" t="n">
        <v>0</v>
      </c>
      <c r="I4648" t="n">
        <v>0</v>
      </c>
      <c r="J4648" t="n">
        <v>0</v>
      </c>
      <c r="K4648" t="n">
        <v>0</v>
      </c>
      <c r="L4648" s="12" t="n"/>
      <c r="M4648" s="12" t="n"/>
      <c r="N4648" s="12" t="n"/>
      <c r="O4648" s="12" t="n"/>
    </row>
    <row r="4649" hidden="1">
      <c r="A4649" s="11" t="n">
        <v>46170</v>
      </c>
      <c r="B4649" t="inlineStr">
        <is>
          <t>Emilly Caylane Costa</t>
        </is>
      </c>
      <c r="C4649" t="inlineStr">
        <is>
          <t>Estágio</t>
        </is>
      </c>
      <c r="D4649" t="n">
        <v>0</v>
      </c>
      <c r="E4649" t="n">
        <v>0</v>
      </c>
      <c r="F4649" t="n">
        <v>0</v>
      </c>
      <c r="G4649" t="n">
        <v>0</v>
      </c>
      <c r="H4649" t="n">
        <v>0</v>
      </c>
      <c r="I4649" t="n">
        <v>0</v>
      </c>
      <c r="J4649" t="n">
        <v>0</v>
      </c>
      <c r="K4649" t="n">
        <v>0</v>
      </c>
      <c r="L4649" s="12" t="n"/>
      <c r="M4649" s="12" t="n"/>
      <c r="N4649" s="12" t="n"/>
      <c r="O4649" s="12" t="n"/>
    </row>
    <row r="4650" hidden="1">
      <c r="A4650" s="11" t="n">
        <v>46170</v>
      </c>
      <c r="B4650" t="inlineStr">
        <is>
          <t>Maria Eduarda Sousa Costa</t>
        </is>
      </c>
      <c r="C4650" t="inlineStr">
        <is>
          <t>Estágio</t>
        </is>
      </c>
      <c r="D4650" t="n">
        <v>0</v>
      </c>
      <c r="E4650" t="n">
        <v>0</v>
      </c>
      <c r="F4650" t="n">
        <v>0</v>
      </c>
      <c r="G4650" t="n">
        <v>0</v>
      </c>
      <c r="H4650" t="n">
        <v>0</v>
      </c>
      <c r="I4650" t="n">
        <v>0</v>
      </c>
      <c r="J4650" t="n">
        <v>0</v>
      </c>
      <c r="K4650" t="n">
        <v>0</v>
      </c>
      <c r="L4650" s="12" t="n"/>
      <c r="M4650" s="12" t="n"/>
      <c r="N4650" s="12" t="n"/>
      <c r="O4650" s="12" t="n"/>
    </row>
    <row r="4651" hidden="1">
      <c r="A4651" s="11" t="n">
        <v>46170</v>
      </c>
      <c r="B4651" t="inlineStr">
        <is>
          <t>Michelle G Santos</t>
        </is>
      </c>
      <c r="C4651" t="inlineStr">
        <is>
          <t>Estágio</t>
        </is>
      </c>
      <c r="D4651" t="n">
        <v>0</v>
      </c>
      <c r="E4651" t="n">
        <v>0</v>
      </c>
      <c r="F4651" t="n">
        <v>0</v>
      </c>
      <c r="G4651" t="n">
        <v>0</v>
      </c>
      <c r="H4651" t="n">
        <v>0</v>
      </c>
      <c r="I4651" t="n">
        <v>0</v>
      </c>
      <c r="J4651" t="n">
        <v>0</v>
      </c>
      <c r="K4651" t="n">
        <v>0</v>
      </c>
      <c r="L4651" s="12" t="n"/>
      <c r="M4651" s="12" t="n"/>
      <c r="N4651" s="12" t="n"/>
      <c r="O4651" s="12" t="n"/>
    </row>
    <row r="4652" hidden="1">
      <c r="A4652" s="11" t="n">
        <v>46170</v>
      </c>
      <c r="B4652" t="inlineStr">
        <is>
          <t>Quirino Diogo Leite Torres</t>
        </is>
      </c>
      <c r="C4652" t="inlineStr">
        <is>
          <t>Estágio</t>
        </is>
      </c>
      <c r="D4652" t="n">
        <v>0</v>
      </c>
      <c r="E4652" t="n">
        <v>0</v>
      </c>
      <c r="F4652" t="n">
        <v>0</v>
      </c>
      <c r="G4652" t="n">
        <v>0</v>
      </c>
      <c r="H4652" t="n">
        <v>0</v>
      </c>
      <c r="I4652" t="n">
        <v>0</v>
      </c>
      <c r="J4652" t="n">
        <v>0</v>
      </c>
      <c r="K4652" t="n">
        <v>0</v>
      </c>
      <c r="L4652" s="12" t="n"/>
      <c r="M4652" s="12" t="n"/>
      <c r="N4652" s="12" t="n"/>
      <c r="O4652" s="12" t="n"/>
    </row>
    <row r="4653" hidden="1">
      <c r="A4653" s="11" t="n">
        <v>46170</v>
      </c>
      <c r="B4653" t="inlineStr">
        <is>
          <t>Gabriel Alves</t>
        </is>
      </c>
      <c r="C4653" t="inlineStr">
        <is>
          <t>Estágio</t>
        </is>
      </c>
      <c r="D4653" t="n">
        <v>0</v>
      </c>
      <c r="E4653" t="n">
        <v>0</v>
      </c>
      <c r="F4653" t="n">
        <v>0</v>
      </c>
      <c r="G4653" t="n">
        <v>0</v>
      </c>
      <c r="H4653" t="n">
        <v>0</v>
      </c>
      <c r="I4653" t="n">
        <v>0</v>
      </c>
      <c r="J4653" t="n">
        <v>0</v>
      </c>
      <c r="K4653" t="n">
        <v>0</v>
      </c>
      <c r="L4653" s="12" t="n"/>
      <c r="M4653" s="12" t="n"/>
      <c r="N4653" s="12" t="n"/>
      <c r="O4653" s="12" t="n"/>
    </row>
    <row r="4654" hidden="1">
      <c r="A4654" s="11" t="n">
        <v>46170</v>
      </c>
      <c r="B4654" t="inlineStr">
        <is>
          <t>Anna Luiza Rezende Tavares</t>
        </is>
      </c>
      <c r="C4654" t="inlineStr">
        <is>
          <t>JR</t>
        </is>
      </c>
      <c r="D4654" t="n">
        <v>0</v>
      </c>
      <c r="E4654" t="n">
        <v>0</v>
      </c>
      <c r="F4654" t="n">
        <v>0</v>
      </c>
      <c r="G4654" t="n">
        <v>0</v>
      </c>
      <c r="H4654" t="n">
        <v>0</v>
      </c>
      <c r="I4654" t="n">
        <v>0</v>
      </c>
      <c r="J4654" t="n">
        <v>0</v>
      </c>
      <c r="K4654" t="n">
        <v>0</v>
      </c>
      <c r="L4654" s="12" t="n"/>
      <c r="M4654" s="12" t="n"/>
      <c r="N4654" s="12" t="n"/>
      <c r="O4654" s="12" t="n"/>
    </row>
    <row r="4655" hidden="1">
      <c r="A4655" s="11" t="n">
        <v>46170</v>
      </c>
      <c r="B4655" t="inlineStr">
        <is>
          <t>Karina Gonçalves Martins</t>
        </is>
      </c>
      <c r="C4655" t="inlineStr">
        <is>
          <t>JR</t>
        </is>
      </c>
      <c r="D4655" t="n">
        <v>0</v>
      </c>
      <c r="E4655" t="n">
        <v>0</v>
      </c>
      <c r="F4655" t="n">
        <v>0</v>
      </c>
      <c r="G4655" t="n">
        <v>0</v>
      </c>
      <c r="H4655" t="n">
        <v>0</v>
      </c>
      <c r="I4655" t="n">
        <v>0</v>
      </c>
      <c r="J4655" t="n">
        <v>0</v>
      </c>
      <c r="K4655" t="n">
        <v>0</v>
      </c>
      <c r="L4655" s="12" t="n"/>
      <c r="M4655" s="12" t="n"/>
      <c r="N4655" s="12" t="n"/>
      <c r="O4655" s="12" t="n"/>
    </row>
    <row r="4656" hidden="1">
      <c r="A4656" s="11" t="n">
        <v>46170</v>
      </c>
      <c r="B4656" t="inlineStr">
        <is>
          <t>Leandro de Souza Silva</t>
        </is>
      </c>
      <c r="C4656" t="inlineStr">
        <is>
          <t>JR</t>
        </is>
      </c>
      <c r="D4656" t="n">
        <v>0</v>
      </c>
      <c r="E4656" t="n">
        <v>0</v>
      </c>
      <c r="F4656" t="n">
        <v>0</v>
      </c>
      <c r="G4656" t="n">
        <v>0</v>
      </c>
      <c r="H4656" t="n">
        <v>0</v>
      </c>
      <c r="I4656" t="n">
        <v>0</v>
      </c>
      <c r="J4656" t="n">
        <v>0</v>
      </c>
      <c r="K4656" t="n">
        <v>0</v>
      </c>
      <c r="L4656" s="12" t="n"/>
      <c r="M4656" s="12" t="n"/>
      <c r="N4656" s="12" t="n"/>
      <c r="O4656" s="12" t="n"/>
    </row>
    <row r="4657" hidden="1">
      <c r="A4657" s="11" t="n">
        <v>46170</v>
      </c>
      <c r="B4657" t="inlineStr">
        <is>
          <t>Milena Sales</t>
        </is>
      </c>
      <c r="C4657" t="inlineStr">
        <is>
          <t>JR</t>
        </is>
      </c>
      <c r="D4657" t="n">
        <v>0</v>
      </c>
      <c r="E4657" t="n">
        <v>0</v>
      </c>
      <c r="F4657" t="n">
        <v>0</v>
      </c>
      <c r="G4657" t="n">
        <v>0</v>
      </c>
      <c r="H4657" t="n">
        <v>0</v>
      </c>
      <c r="I4657" t="n">
        <v>0</v>
      </c>
      <c r="J4657" t="n">
        <v>0</v>
      </c>
      <c r="K4657" t="n">
        <v>0</v>
      </c>
      <c r="L4657" s="12" t="n"/>
      <c r="M4657" s="12" t="n"/>
      <c r="N4657" s="12" t="n"/>
      <c r="O4657" s="12" t="n"/>
    </row>
    <row r="4658" hidden="1">
      <c r="A4658" s="11" t="n">
        <v>46170</v>
      </c>
      <c r="B4658" t="inlineStr">
        <is>
          <t>Paulo Ricardo Santos</t>
        </is>
      </c>
      <c r="C4658" t="inlineStr">
        <is>
          <t>JR</t>
        </is>
      </c>
      <c r="D4658" t="n">
        <v>0</v>
      </c>
      <c r="E4658" t="n">
        <v>0</v>
      </c>
      <c r="F4658" t="n">
        <v>0</v>
      </c>
      <c r="G4658" t="n">
        <v>0</v>
      </c>
      <c r="H4658" t="n">
        <v>0</v>
      </c>
      <c r="I4658" t="n">
        <v>0</v>
      </c>
      <c r="J4658" t="n">
        <v>0</v>
      </c>
      <c r="K4658" t="n">
        <v>0</v>
      </c>
      <c r="L4658" s="12" t="n"/>
      <c r="M4658" s="12" t="n"/>
      <c r="N4658" s="12" t="n"/>
      <c r="O4658" s="12" t="n"/>
    </row>
    <row r="4659" hidden="1">
      <c r="A4659" s="11" t="n">
        <v>46170</v>
      </c>
      <c r="B4659" t="inlineStr">
        <is>
          <t>Pedro Luiz Mota Sousa</t>
        </is>
      </c>
      <c r="C4659" t="inlineStr">
        <is>
          <t>JR</t>
        </is>
      </c>
      <c r="D4659" t="n">
        <v>0</v>
      </c>
      <c r="E4659" t="n">
        <v>0</v>
      </c>
      <c r="F4659" t="n">
        <v>0</v>
      </c>
      <c r="G4659" t="n">
        <v>0</v>
      </c>
      <c r="H4659" t="n">
        <v>0</v>
      </c>
      <c r="I4659" t="n">
        <v>0</v>
      </c>
      <c r="J4659" t="n">
        <v>0</v>
      </c>
      <c r="K4659" t="n">
        <v>0</v>
      </c>
      <c r="L4659" s="12" t="n"/>
      <c r="M4659" s="12" t="n"/>
      <c r="N4659" s="12" t="n"/>
      <c r="O4659" s="12" t="n"/>
    </row>
    <row r="4660" hidden="1">
      <c r="A4660" s="11" t="n">
        <v>46170</v>
      </c>
      <c r="B4660" t="inlineStr">
        <is>
          <t>Alisson de Freitas Silva</t>
        </is>
      </c>
      <c r="C4660" t="inlineStr">
        <is>
          <t>Técnico II</t>
        </is>
      </c>
      <c r="D4660" t="n">
        <v>0</v>
      </c>
      <c r="E4660" t="n">
        <v>0</v>
      </c>
      <c r="F4660" t="n">
        <v>0</v>
      </c>
      <c r="G4660" t="n">
        <v>0</v>
      </c>
      <c r="H4660" t="n">
        <v>0</v>
      </c>
      <c r="I4660" t="n">
        <v>0</v>
      </c>
      <c r="J4660" t="n">
        <v>0</v>
      </c>
      <c r="K4660" t="n">
        <v>0</v>
      </c>
      <c r="L4660" s="12" t="n"/>
      <c r="M4660" s="12" t="n"/>
      <c r="N4660" s="12" t="n"/>
      <c r="O4660" s="12" t="n"/>
    </row>
    <row r="4661" hidden="1">
      <c r="A4661" s="11" t="n">
        <v>46170</v>
      </c>
      <c r="B4661" t="inlineStr">
        <is>
          <t>Amanda Moura Ferreira</t>
        </is>
      </c>
      <c r="C4661" t="inlineStr">
        <is>
          <t>Técnico III</t>
        </is>
      </c>
      <c r="D4661" t="n">
        <v>0</v>
      </c>
      <c r="E4661" t="n">
        <v>0</v>
      </c>
      <c r="F4661" t="n">
        <v>0</v>
      </c>
      <c r="G4661" t="n">
        <v>0</v>
      </c>
      <c r="H4661" t="n">
        <v>0</v>
      </c>
      <c r="I4661" t="n">
        <v>0</v>
      </c>
      <c r="J4661" t="n">
        <v>0</v>
      </c>
      <c r="K4661" t="n">
        <v>0</v>
      </c>
      <c r="L4661" s="12" t="n"/>
      <c r="M4661" s="12" t="n"/>
      <c r="N4661" s="12" t="n"/>
      <c r="O4661" s="12" t="n"/>
    </row>
    <row r="4662" hidden="1">
      <c r="A4662" s="11" t="n">
        <v>46170</v>
      </c>
      <c r="B4662" t="inlineStr">
        <is>
          <t>Ana Karollyne Souza Faria</t>
        </is>
      </c>
      <c r="C4662" t="inlineStr">
        <is>
          <t>Técnico I</t>
        </is>
      </c>
      <c r="D4662" t="n">
        <v>0</v>
      </c>
      <c r="E4662" t="n">
        <v>0</v>
      </c>
      <c r="F4662" t="n">
        <v>0</v>
      </c>
      <c r="G4662" t="n">
        <v>0</v>
      </c>
      <c r="H4662" t="n">
        <v>0</v>
      </c>
      <c r="I4662" t="n">
        <v>0</v>
      </c>
      <c r="J4662" t="n">
        <v>0</v>
      </c>
      <c r="K4662" t="n">
        <v>0</v>
      </c>
      <c r="L4662" s="12" t="n"/>
      <c r="M4662" s="12" t="n"/>
      <c r="N4662" s="12" t="n"/>
      <c r="O4662" s="12" t="n"/>
    </row>
    <row r="4663" hidden="1">
      <c r="A4663" s="11" t="n">
        <v>46170</v>
      </c>
      <c r="B4663" t="inlineStr">
        <is>
          <t>Ana Paula Da Luz Silva Aleixo</t>
        </is>
      </c>
      <c r="C4663" t="inlineStr">
        <is>
          <t>Técnico III</t>
        </is>
      </c>
      <c r="D4663" t="n">
        <v>0</v>
      </c>
      <c r="E4663" t="n">
        <v>0</v>
      </c>
      <c r="F4663" t="n">
        <v>0</v>
      </c>
      <c r="G4663" t="n">
        <v>0</v>
      </c>
      <c r="H4663" t="n">
        <v>0</v>
      </c>
      <c r="I4663" t="n">
        <v>0</v>
      </c>
      <c r="J4663" t="n">
        <v>0</v>
      </c>
      <c r="K4663" t="n">
        <v>0</v>
      </c>
      <c r="L4663" s="12" t="n"/>
      <c r="M4663" s="12" t="n"/>
      <c r="N4663" s="12" t="n"/>
      <c r="O4663" s="12" t="n"/>
    </row>
    <row r="4664" hidden="1">
      <c r="A4664" s="11" t="n">
        <v>46170</v>
      </c>
      <c r="B4664" t="inlineStr">
        <is>
          <t>Brenda de Menezes Silva</t>
        </is>
      </c>
      <c r="C4664" t="inlineStr">
        <is>
          <t>Técnico II</t>
        </is>
      </c>
      <c r="D4664" t="n">
        <v>0</v>
      </c>
      <c r="E4664" t="n">
        <v>0</v>
      </c>
      <c r="F4664" t="n">
        <v>0</v>
      </c>
      <c r="G4664" t="n">
        <v>0</v>
      </c>
      <c r="H4664" t="n">
        <v>0</v>
      </c>
      <c r="I4664" t="n">
        <v>0</v>
      </c>
      <c r="J4664" t="n">
        <v>0</v>
      </c>
      <c r="K4664" t="n">
        <v>0</v>
      </c>
      <c r="L4664" s="12" t="n"/>
      <c r="M4664" s="12" t="n"/>
      <c r="N4664" s="12" t="n"/>
      <c r="O4664" s="12" t="n"/>
    </row>
    <row r="4665" hidden="1">
      <c r="A4665" s="11" t="n">
        <v>46170</v>
      </c>
      <c r="B4665" t="inlineStr">
        <is>
          <t>Carlos Mateus Cassimiro Nunes</t>
        </is>
      </c>
      <c r="C4665" t="inlineStr">
        <is>
          <t>Técnico II</t>
        </is>
      </c>
      <c r="D4665" t="n">
        <v>0</v>
      </c>
      <c r="E4665" t="n">
        <v>0</v>
      </c>
      <c r="F4665" t="n">
        <v>0</v>
      </c>
      <c r="G4665" t="n">
        <v>0</v>
      </c>
      <c r="H4665" t="n">
        <v>0</v>
      </c>
      <c r="I4665" t="n">
        <v>0</v>
      </c>
      <c r="J4665" t="n">
        <v>0</v>
      </c>
      <c r="K4665" t="n">
        <v>0</v>
      </c>
      <c r="L4665" s="12" t="n"/>
      <c r="M4665" s="12" t="n"/>
      <c r="N4665" s="12" t="n"/>
      <c r="O4665" s="12" t="n"/>
    </row>
    <row r="4666" hidden="1">
      <c r="A4666" s="11" t="n">
        <v>46170</v>
      </c>
      <c r="B4666" t="inlineStr">
        <is>
          <t>Clessiane Pereira dos Santos</t>
        </is>
      </c>
      <c r="C4666" t="inlineStr">
        <is>
          <t>Técnico I</t>
        </is>
      </c>
      <c r="D4666" t="n">
        <v>0</v>
      </c>
      <c r="E4666" t="n">
        <v>0</v>
      </c>
      <c r="F4666" t="n">
        <v>0</v>
      </c>
      <c r="G4666" t="n">
        <v>0</v>
      </c>
      <c r="H4666" t="n">
        <v>0</v>
      </c>
      <c r="I4666" t="n">
        <v>0</v>
      </c>
      <c r="J4666" t="n">
        <v>0</v>
      </c>
      <c r="K4666" t="n">
        <v>0</v>
      </c>
      <c r="L4666" s="12" t="n"/>
      <c r="M4666" s="12" t="n"/>
      <c r="N4666" s="12" t="n"/>
      <c r="O4666" s="12" t="n"/>
    </row>
    <row r="4667" hidden="1">
      <c r="A4667" s="11" t="n">
        <v>46170</v>
      </c>
      <c r="B4667" t="inlineStr">
        <is>
          <t>Cristiane Ramos da Silva Rocha</t>
        </is>
      </c>
      <c r="C4667" t="inlineStr">
        <is>
          <t>Técnico III</t>
        </is>
      </c>
      <c r="D4667" t="n">
        <v>0</v>
      </c>
      <c r="E4667" t="n">
        <v>0</v>
      </c>
      <c r="F4667" t="n">
        <v>0</v>
      </c>
      <c r="G4667" t="n">
        <v>0</v>
      </c>
      <c r="H4667" t="n">
        <v>0</v>
      </c>
      <c r="I4667" t="n">
        <v>0</v>
      </c>
      <c r="J4667" t="n">
        <v>0</v>
      </c>
      <c r="K4667" t="n">
        <v>0</v>
      </c>
      <c r="L4667" s="12" t="n"/>
      <c r="M4667" s="12" t="n"/>
      <c r="N4667" s="12" t="n"/>
      <c r="O4667" s="12" t="n"/>
    </row>
    <row r="4668" hidden="1">
      <c r="A4668" s="11" t="n">
        <v>46170</v>
      </c>
      <c r="B4668" t="inlineStr">
        <is>
          <t>Damyllis Lorraine de Oliveira Gonçalves</t>
        </is>
      </c>
      <c r="C4668" t="inlineStr">
        <is>
          <t>Técnico II</t>
        </is>
      </c>
      <c r="D4668" t="n">
        <v>0</v>
      </c>
      <c r="E4668" t="n">
        <v>0</v>
      </c>
      <c r="F4668" t="n">
        <v>0</v>
      </c>
      <c r="G4668" t="n">
        <v>0</v>
      </c>
      <c r="H4668" t="n">
        <v>0</v>
      </c>
      <c r="I4668" t="n">
        <v>0</v>
      </c>
      <c r="J4668" t="n">
        <v>0</v>
      </c>
      <c r="K4668" t="n">
        <v>0</v>
      </c>
      <c r="L4668" s="12" t="n"/>
      <c r="M4668" s="12" t="n"/>
      <c r="N4668" s="12" t="n"/>
      <c r="O4668" s="12" t="n"/>
    </row>
    <row r="4669" hidden="1">
      <c r="A4669" s="11" t="n">
        <v>46170</v>
      </c>
      <c r="B4669" t="inlineStr">
        <is>
          <t>Daniel Gomes da Silva</t>
        </is>
      </c>
      <c r="C4669" t="inlineStr">
        <is>
          <t>Técnico I</t>
        </is>
      </c>
      <c r="D4669" t="n">
        <v>0</v>
      </c>
      <c r="E4669" t="n">
        <v>0</v>
      </c>
      <c r="F4669" t="n">
        <v>0</v>
      </c>
      <c r="G4669" t="n">
        <v>0</v>
      </c>
      <c r="H4669" t="n">
        <v>0</v>
      </c>
      <c r="I4669" t="n">
        <v>0</v>
      </c>
      <c r="J4669" t="n">
        <v>0</v>
      </c>
      <c r="K4669" t="n">
        <v>0</v>
      </c>
      <c r="L4669" s="12" t="n"/>
      <c r="M4669" s="12" t="n"/>
      <c r="N4669" s="12" t="n"/>
      <c r="O4669" s="12" t="n"/>
    </row>
    <row r="4670" hidden="1">
      <c r="A4670" s="11" t="n">
        <v>46170</v>
      </c>
      <c r="B4670" t="inlineStr">
        <is>
          <t>Davylla Rodrigues Freitas Silva</t>
        </is>
      </c>
      <c r="C4670" t="inlineStr">
        <is>
          <t>Técnico III</t>
        </is>
      </c>
      <c r="D4670" t="n">
        <v>0</v>
      </c>
      <c r="E4670" t="n">
        <v>0</v>
      </c>
      <c r="F4670" t="n">
        <v>0</v>
      </c>
      <c r="G4670" t="n">
        <v>0</v>
      </c>
      <c r="H4670" t="n">
        <v>0</v>
      </c>
      <c r="I4670" t="n">
        <v>0</v>
      </c>
      <c r="J4670" t="n">
        <v>0</v>
      </c>
      <c r="K4670" t="n">
        <v>0</v>
      </c>
      <c r="L4670" s="12" t="n"/>
      <c r="M4670" s="12" t="n"/>
      <c r="N4670" s="12" t="n"/>
      <c r="O4670" s="12" t="n"/>
    </row>
    <row r="4671" hidden="1">
      <c r="A4671" s="11" t="n">
        <v>46170</v>
      </c>
      <c r="B4671" t="inlineStr">
        <is>
          <t>Emilly Kamilly Medeiros Miranda</t>
        </is>
      </c>
      <c r="C4671" t="inlineStr">
        <is>
          <t>Técnico II</t>
        </is>
      </c>
      <c r="D4671" t="n">
        <v>0</v>
      </c>
      <c r="E4671" t="n">
        <v>0</v>
      </c>
      <c r="F4671" t="n">
        <v>0</v>
      </c>
      <c r="G4671" t="n">
        <v>0</v>
      </c>
      <c r="H4671" t="n">
        <v>0</v>
      </c>
      <c r="I4671" t="n">
        <v>0</v>
      </c>
      <c r="J4671" t="n">
        <v>0</v>
      </c>
      <c r="K4671" t="n">
        <v>0</v>
      </c>
      <c r="L4671" s="12" t="n"/>
      <c r="M4671" s="12" t="n"/>
      <c r="N4671" s="12" t="n"/>
      <c r="O4671" s="12" t="n"/>
    </row>
    <row r="4672" hidden="1">
      <c r="A4672" s="11" t="n">
        <v>46170</v>
      </c>
      <c r="B4672" t="inlineStr">
        <is>
          <t>Francielson de Oliveira</t>
        </is>
      </c>
      <c r="C4672" t="inlineStr">
        <is>
          <t>Técnico III</t>
        </is>
      </c>
      <c r="D4672" t="n">
        <v>0</v>
      </c>
      <c r="E4672" t="n">
        <v>0</v>
      </c>
      <c r="F4672" t="n">
        <v>0</v>
      </c>
      <c r="G4672" t="n">
        <v>0</v>
      </c>
      <c r="H4672" t="n">
        <v>0</v>
      </c>
      <c r="I4672" t="n">
        <v>0</v>
      </c>
      <c r="J4672" t="n">
        <v>0</v>
      </c>
      <c r="K4672" t="n">
        <v>0</v>
      </c>
      <c r="L4672" s="12" t="n"/>
      <c r="M4672" s="12" t="n"/>
      <c r="N4672" s="12" t="n"/>
      <c r="O4672" s="12" t="n"/>
    </row>
    <row r="4673" hidden="1">
      <c r="A4673" s="11" t="n">
        <v>46170</v>
      </c>
      <c r="B4673" t="inlineStr">
        <is>
          <t>Francilene Ferreira de Jesus</t>
        </is>
      </c>
      <c r="C4673" t="inlineStr">
        <is>
          <t>Técnico II</t>
        </is>
      </c>
      <c r="D4673" t="n">
        <v>0</v>
      </c>
      <c r="E4673" t="n">
        <v>0</v>
      </c>
      <c r="F4673" t="n">
        <v>0</v>
      </c>
      <c r="G4673" t="n">
        <v>0</v>
      </c>
      <c r="H4673" t="n">
        <v>0</v>
      </c>
      <c r="I4673" t="n">
        <v>0</v>
      </c>
      <c r="J4673" t="n">
        <v>0</v>
      </c>
      <c r="K4673" t="n">
        <v>0</v>
      </c>
      <c r="L4673" s="12" t="n"/>
      <c r="M4673" s="12" t="n"/>
      <c r="N4673" s="12" t="n"/>
      <c r="O4673" s="12" t="n"/>
    </row>
    <row r="4674" hidden="1">
      <c r="A4674" s="11" t="n">
        <v>46170</v>
      </c>
      <c r="B4674" t="inlineStr">
        <is>
          <t>Gabriel Gomes de Andrade</t>
        </is>
      </c>
      <c r="C4674" t="inlineStr">
        <is>
          <t>Técnico I</t>
        </is>
      </c>
      <c r="D4674" t="n">
        <v>0</v>
      </c>
      <c r="E4674" t="n">
        <v>0</v>
      </c>
      <c r="F4674" t="n">
        <v>0</v>
      </c>
      <c r="G4674" t="n">
        <v>0</v>
      </c>
      <c r="H4674" t="n">
        <v>0</v>
      </c>
      <c r="I4674" t="n">
        <v>0</v>
      </c>
      <c r="J4674" t="n">
        <v>0</v>
      </c>
      <c r="K4674" t="n">
        <v>0</v>
      </c>
      <c r="L4674" s="12" t="n"/>
      <c r="M4674" s="12" t="n"/>
      <c r="N4674" s="12" t="n"/>
      <c r="O4674" s="12" t="n"/>
    </row>
    <row r="4675" hidden="1">
      <c r="A4675" s="11" t="n">
        <v>46170</v>
      </c>
      <c r="B4675" t="inlineStr">
        <is>
          <t>Isabella Borges de Oliveira</t>
        </is>
      </c>
      <c r="C4675" t="inlineStr">
        <is>
          <t>Técnico II</t>
        </is>
      </c>
      <c r="D4675" t="n">
        <v>0</v>
      </c>
      <c r="E4675" t="n">
        <v>0</v>
      </c>
      <c r="F4675" t="n">
        <v>0</v>
      </c>
      <c r="G4675" t="n">
        <v>0</v>
      </c>
      <c r="H4675" t="n">
        <v>0</v>
      </c>
      <c r="I4675" t="n">
        <v>0</v>
      </c>
      <c r="J4675" t="n">
        <v>0</v>
      </c>
      <c r="K4675" t="n">
        <v>0</v>
      </c>
      <c r="L4675" s="12" t="n"/>
      <c r="M4675" s="12" t="n"/>
      <c r="N4675" s="12" t="n"/>
      <c r="O4675" s="12" t="n"/>
    </row>
    <row r="4676" hidden="1">
      <c r="A4676" s="11" t="n">
        <v>46170</v>
      </c>
      <c r="B4676" t="inlineStr">
        <is>
          <t>Janaina Lima dos Reis Urany</t>
        </is>
      </c>
      <c r="C4676" t="inlineStr">
        <is>
          <t>Técnico III</t>
        </is>
      </c>
      <c r="D4676" t="n">
        <v>0</v>
      </c>
      <c r="E4676" t="n">
        <v>0</v>
      </c>
      <c r="F4676" t="n">
        <v>0</v>
      </c>
      <c r="G4676" t="n">
        <v>0</v>
      </c>
      <c r="H4676" t="n">
        <v>0</v>
      </c>
      <c r="I4676" t="n">
        <v>0</v>
      </c>
      <c r="J4676" t="n">
        <v>0</v>
      </c>
      <c r="K4676" t="n">
        <v>0</v>
      </c>
      <c r="L4676" s="12" t="n"/>
      <c r="M4676" s="12" t="n"/>
      <c r="N4676" s="12" t="n"/>
      <c r="O4676" s="12" t="n"/>
    </row>
    <row r="4677" hidden="1">
      <c r="A4677" s="11" t="n">
        <v>46170</v>
      </c>
      <c r="B4677" t="inlineStr">
        <is>
          <t>Jaqueline Evangelista da Silva Martins</t>
        </is>
      </c>
      <c r="C4677" t="inlineStr">
        <is>
          <t>Técnico III</t>
        </is>
      </c>
      <c r="D4677" t="n">
        <v>0</v>
      </c>
      <c r="E4677" t="n">
        <v>0</v>
      </c>
      <c r="F4677" t="n">
        <v>0</v>
      </c>
      <c r="G4677" t="n">
        <v>0</v>
      </c>
      <c r="H4677" t="n">
        <v>0</v>
      </c>
      <c r="I4677" t="n">
        <v>0</v>
      </c>
      <c r="J4677" t="n">
        <v>0</v>
      </c>
      <c r="K4677" t="n">
        <v>0</v>
      </c>
      <c r="L4677" s="12" t="n"/>
      <c r="M4677" s="12" t="n"/>
      <c r="N4677" s="12" t="n"/>
      <c r="O4677" s="12" t="n"/>
    </row>
    <row r="4678" hidden="1">
      <c r="A4678" s="11" t="n">
        <v>46170</v>
      </c>
      <c r="B4678" t="inlineStr">
        <is>
          <t>Jessica Faria da Silveira</t>
        </is>
      </c>
      <c r="C4678" t="inlineStr">
        <is>
          <t>Técnico II</t>
        </is>
      </c>
      <c r="D4678" t="n">
        <v>0</v>
      </c>
      <c r="E4678" t="n">
        <v>0</v>
      </c>
      <c r="F4678" t="n">
        <v>0</v>
      </c>
      <c r="G4678" t="n">
        <v>0</v>
      </c>
      <c r="H4678" t="n">
        <v>0</v>
      </c>
      <c r="I4678" t="n">
        <v>0</v>
      </c>
      <c r="J4678" t="n">
        <v>0</v>
      </c>
      <c r="K4678" t="n">
        <v>0</v>
      </c>
      <c r="L4678" s="12" t="n"/>
      <c r="M4678" s="12" t="n"/>
      <c r="N4678" s="12" t="n"/>
      <c r="O4678" s="12" t="n"/>
    </row>
    <row r="4679" hidden="1">
      <c r="A4679" s="11" t="n">
        <v>46170</v>
      </c>
      <c r="B4679" t="inlineStr">
        <is>
          <t>Jéssica Fé Moura</t>
        </is>
      </c>
      <c r="C4679" t="inlineStr">
        <is>
          <t>Técnico III</t>
        </is>
      </c>
      <c r="D4679" t="n">
        <v>0</v>
      </c>
      <c r="E4679" t="n">
        <v>0</v>
      </c>
      <c r="F4679" t="n">
        <v>0</v>
      </c>
      <c r="G4679" t="n">
        <v>0</v>
      </c>
      <c r="H4679" t="n">
        <v>0</v>
      </c>
      <c r="I4679" t="n">
        <v>0</v>
      </c>
      <c r="J4679" t="n">
        <v>0</v>
      </c>
      <c r="K4679" t="n">
        <v>0</v>
      </c>
      <c r="L4679" s="12" t="n"/>
      <c r="M4679" s="12" t="n"/>
      <c r="N4679" s="12" t="n"/>
      <c r="O4679" s="12" t="n"/>
    </row>
    <row r="4680" hidden="1">
      <c r="A4680" s="11" t="n">
        <v>46170</v>
      </c>
      <c r="B4680" t="inlineStr">
        <is>
          <t>Kerollen Cristielly de Jesus Siqueira</t>
        </is>
      </c>
      <c r="C4680" t="inlineStr">
        <is>
          <t>Técnico III</t>
        </is>
      </c>
      <c r="D4680" t="n">
        <v>0</v>
      </c>
      <c r="E4680" t="n">
        <v>0</v>
      </c>
      <c r="F4680" t="n">
        <v>0</v>
      </c>
      <c r="G4680" t="n">
        <v>0</v>
      </c>
      <c r="H4680" t="n">
        <v>0</v>
      </c>
      <c r="I4680" t="n">
        <v>0</v>
      </c>
      <c r="J4680" t="n">
        <v>0</v>
      </c>
      <c r="K4680" t="n">
        <v>0</v>
      </c>
      <c r="L4680" s="12" t="n"/>
      <c r="M4680" s="12" t="n"/>
      <c r="N4680" s="12" t="n"/>
      <c r="O4680" s="12" t="n"/>
    </row>
    <row r="4681" hidden="1">
      <c r="A4681" s="11" t="n">
        <v>46170</v>
      </c>
      <c r="B4681" t="inlineStr">
        <is>
          <t>Leandro Oliveira de Sousa</t>
        </is>
      </c>
      <c r="C4681" t="inlineStr">
        <is>
          <t>Técnico III</t>
        </is>
      </c>
      <c r="D4681" t="n">
        <v>0</v>
      </c>
      <c r="E4681" t="n">
        <v>0</v>
      </c>
      <c r="F4681" t="n">
        <v>0</v>
      </c>
      <c r="G4681" t="n">
        <v>0</v>
      </c>
      <c r="H4681" t="n">
        <v>0</v>
      </c>
      <c r="I4681" t="n">
        <v>0</v>
      </c>
      <c r="J4681" t="n">
        <v>0</v>
      </c>
      <c r="K4681" t="n">
        <v>0</v>
      </c>
      <c r="L4681" s="12" t="n"/>
      <c r="M4681" s="12" t="n"/>
      <c r="N4681" s="12" t="n"/>
      <c r="O4681" s="12" t="n"/>
    </row>
    <row r="4682" hidden="1">
      <c r="A4682" s="11" t="n">
        <v>46170</v>
      </c>
      <c r="B4682" t="inlineStr">
        <is>
          <t>Lizandra Gomes Duarte</t>
        </is>
      </c>
      <c r="C4682" t="inlineStr">
        <is>
          <t>Técnico II</t>
        </is>
      </c>
      <c r="D4682" t="n">
        <v>0</v>
      </c>
      <c r="E4682" t="n">
        <v>0</v>
      </c>
      <c r="F4682" t="n">
        <v>0</v>
      </c>
      <c r="G4682" t="n">
        <v>0</v>
      </c>
      <c r="H4682" t="n">
        <v>0</v>
      </c>
      <c r="I4682" t="n">
        <v>0</v>
      </c>
      <c r="J4682" t="n">
        <v>0</v>
      </c>
      <c r="K4682" t="n">
        <v>0</v>
      </c>
      <c r="L4682" s="12" t="n"/>
      <c r="M4682" s="12" t="n"/>
      <c r="N4682" s="12" t="n"/>
      <c r="O4682" s="12" t="n"/>
    </row>
    <row r="4683" hidden="1">
      <c r="A4683" s="11" t="n">
        <v>46170</v>
      </c>
      <c r="B4683" t="inlineStr">
        <is>
          <t>Lorena Dias de Araujo</t>
        </is>
      </c>
      <c r="C4683" t="inlineStr">
        <is>
          <t>Técnico II</t>
        </is>
      </c>
      <c r="D4683" t="n">
        <v>0</v>
      </c>
      <c r="E4683" t="n">
        <v>0</v>
      </c>
      <c r="F4683" t="n">
        <v>0</v>
      </c>
      <c r="G4683" t="n">
        <v>0</v>
      </c>
      <c r="H4683" t="n">
        <v>0</v>
      </c>
      <c r="I4683" t="n">
        <v>0</v>
      </c>
      <c r="J4683" t="n">
        <v>0</v>
      </c>
      <c r="K4683" t="n">
        <v>0</v>
      </c>
      <c r="L4683" s="12" t="n"/>
      <c r="M4683" s="12" t="n"/>
      <c r="N4683" s="12" t="n"/>
      <c r="O4683" s="12" t="n"/>
    </row>
    <row r="4684" hidden="1">
      <c r="A4684" s="11" t="n">
        <v>46170</v>
      </c>
      <c r="B4684" t="inlineStr">
        <is>
          <t>Lucas Luiz Romero</t>
        </is>
      </c>
      <c r="C4684" t="inlineStr">
        <is>
          <t>Técnico III</t>
        </is>
      </c>
      <c r="D4684" t="n">
        <v>0</v>
      </c>
      <c r="E4684" t="n">
        <v>0</v>
      </c>
      <c r="F4684" t="n">
        <v>0</v>
      </c>
      <c r="G4684" t="n">
        <v>0</v>
      </c>
      <c r="H4684" t="n">
        <v>0</v>
      </c>
      <c r="I4684" t="n">
        <v>0</v>
      </c>
      <c r="J4684" t="n">
        <v>0</v>
      </c>
      <c r="K4684" t="n">
        <v>0</v>
      </c>
      <c r="L4684" s="12" t="n"/>
      <c r="M4684" s="12" t="n"/>
      <c r="N4684" s="12" t="n"/>
      <c r="O4684" s="12" t="n"/>
    </row>
    <row r="4685" hidden="1">
      <c r="A4685" s="11" t="n">
        <v>46170</v>
      </c>
      <c r="B4685" t="inlineStr">
        <is>
          <t>Luiz Fernando de Carvalho Junior</t>
        </is>
      </c>
      <c r="C4685" t="inlineStr">
        <is>
          <t>Técnico I</t>
        </is>
      </c>
      <c r="D4685" t="n">
        <v>0</v>
      </c>
      <c r="E4685" t="n">
        <v>0</v>
      </c>
      <c r="F4685" t="n">
        <v>0</v>
      </c>
      <c r="G4685" t="n">
        <v>0</v>
      </c>
      <c r="H4685" t="n">
        <v>0</v>
      </c>
      <c r="I4685" t="n">
        <v>0</v>
      </c>
      <c r="J4685" t="n">
        <v>0</v>
      </c>
      <c r="K4685" t="n">
        <v>0</v>
      </c>
      <c r="L4685" s="12" t="n"/>
      <c r="M4685" s="12" t="n"/>
      <c r="N4685" s="12" t="n"/>
      <c r="O4685" s="12" t="n"/>
    </row>
    <row r="4686" hidden="1">
      <c r="A4686" s="11" t="n">
        <v>46170</v>
      </c>
      <c r="B4686" t="inlineStr">
        <is>
          <t>Matheus Farias De Souza</t>
        </is>
      </c>
      <c r="C4686" t="inlineStr">
        <is>
          <t>Técnico III</t>
        </is>
      </c>
      <c r="D4686" t="n">
        <v>0</v>
      </c>
      <c r="E4686" t="n">
        <v>0</v>
      </c>
      <c r="F4686" t="n">
        <v>0</v>
      </c>
      <c r="G4686" t="n">
        <v>0</v>
      </c>
      <c r="H4686" t="n">
        <v>0</v>
      </c>
      <c r="I4686" t="n">
        <v>0</v>
      </c>
      <c r="J4686" t="n">
        <v>0</v>
      </c>
      <c r="K4686" t="n">
        <v>0</v>
      </c>
      <c r="L4686" s="12" t="n"/>
      <c r="M4686" s="12" t="n"/>
      <c r="N4686" s="12" t="n"/>
      <c r="O4686" s="12" t="n"/>
    </row>
    <row r="4687" hidden="1">
      <c r="A4687" s="11" t="n">
        <v>46170</v>
      </c>
      <c r="B4687" t="inlineStr">
        <is>
          <t>Maysa Victoria Dias Moura</t>
        </is>
      </c>
      <c r="C4687" t="inlineStr">
        <is>
          <t>Técnico III</t>
        </is>
      </c>
      <c r="D4687" t="n">
        <v>0</v>
      </c>
      <c r="E4687" t="n">
        <v>0</v>
      </c>
      <c r="F4687" t="n">
        <v>0</v>
      </c>
      <c r="G4687" t="n">
        <v>0</v>
      </c>
      <c r="H4687" t="n">
        <v>0</v>
      </c>
      <c r="I4687" t="n">
        <v>0</v>
      </c>
      <c r="J4687" t="n">
        <v>0</v>
      </c>
      <c r="K4687" t="n">
        <v>0</v>
      </c>
      <c r="L4687" s="12" t="n"/>
      <c r="M4687" s="12" t="n"/>
      <c r="N4687" s="12" t="n"/>
      <c r="O4687" s="12" t="n"/>
    </row>
    <row r="4688" hidden="1">
      <c r="A4688" s="11" t="n">
        <v>46170</v>
      </c>
      <c r="B4688" t="inlineStr">
        <is>
          <t>Patrícia Karla de Sousa Araújo</t>
        </is>
      </c>
      <c r="C4688" t="inlineStr">
        <is>
          <t>Técnico II</t>
        </is>
      </c>
      <c r="D4688" t="n">
        <v>0</v>
      </c>
      <c r="E4688" t="n">
        <v>0</v>
      </c>
      <c r="F4688" t="n">
        <v>0</v>
      </c>
      <c r="G4688" t="n">
        <v>0</v>
      </c>
      <c r="H4688" t="n">
        <v>0</v>
      </c>
      <c r="I4688" t="n">
        <v>0</v>
      </c>
      <c r="J4688" t="n">
        <v>0</v>
      </c>
      <c r="K4688" t="n">
        <v>0</v>
      </c>
      <c r="L4688" s="12" t="n"/>
      <c r="M4688" s="12" t="n"/>
      <c r="N4688" s="12" t="n"/>
      <c r="O4688" s="12" t="n"/>
    </row>
    <row r="4689" hidden="1">
      <c r="A4689" s="11" t="n">
        <v>46170</v>
      </c>
      <c r="B4689" t="inlineStr">
        <is>
          <t>Raane Batista Matos</t>
        </is>
      </c>
      <c r="C4689" t="inlineStr">
        <is>
          <t>Técnico I</t>
        </is>
      </c>
      <c r="D4689" t="n">
        <v>0</v>
      </c>
      <c r="E4689" t="n">
        <v>0</v>
      </c>
      <c r="F4689" t="n">
        <v>0</v>
      </c>
      <c r="G4689" t="n">
        <v>0</v>
      </c>
      <c r="H4689" t="n">
        <v>0</v>
      </c>
      <c r="I4689" t="n">
        <v>0</v>
      </c>
      <c r="J4689" t="n">
        <v>0</v>
      </c>
      <c r="K4689" t="n">
        <v>0</v>
      </c>
      <c r="L4689" s="12" t="n"/>
      <c r="M4689" s="12" t="n"/>
      <c r="N4689" s="12" t="n"/>
      <c r="O4689" s="12" t="n"/>
    </row>
    <row r="4690" hidden="1">
      <c r="A4690" s="11" t="n">
        <v>46170</v>
      </c>
      <c r="B4690" t="inlineStr">
        <is>
          <t>Rafael Gomes de Morais</t>
        </is>
      </c>
      <c r="C4690" t="inlineStr">
        <is>
          <t>Técnico III</t>
        </is>
      </c>
      <c r="D4690" t="n">
        <v>0</v>
      </c>
      <c r="E4690" t="n">
        <v>0</v>
      </c>
      <c r="F4690" t="n">
        <v>0</v>
      </c>
      <c r="G4690" t="n">
        <v>0</v>
      </c>
      <c r="H4690" t="n">
        <v>0</v>
      </c>
      <c r="I4690" t="n">
        <v>0</v>
      </c>
      <c r="J4690" t="n">
        <v>0</v>
      </c>
      <c r="K4690" t="n">
        <v>0</v>
      </c>
      <c r="L4690" s="12" t="n"/>
      <c r="M4690" s="12" t="n"/>
      <c r="N4690" s="12" t="n"/>
      <c r="O4690" s="12" t="n"/>
    </row>
    <row r="4691" hidden="1">
      <c r="A4691" s="11" t="n">
        <v>46170</v>
      </c>
      <c r="B4691" t="inlineStr">
        <is>
          <t>Sara Maria Monteiro Lopes</t>
        </is>
      </c>
      <c r="C4691" t="inlineStr">
        <is>
          <t>Técnico I</t>
        </is>
      </c>
      <c r="D4691" t="n">
        <v>0</v>
      </c>
      <c r="E4691" t="n">
        <v>0</v>
      </c>
      <c r="F4691" t="n">
        <v>0</v>
      </c>
      <c r="G4691" t="n">
        <v>0</v>
      </c>
      <c r="H4691" t="n">
        <v>0</v>
      </c>
      <c r="I4691" t="n">
        <v>0</v>
      </c>
      <c r="J4691" t="n">
        <v>0</v>
      </c>
      <c r="K4691" t="n">
        <v>0</v>
      </c>
      <c r="L4691" s="12" t="n"/>
      <c r="M4691" s="12" t="n"/>
      <c r="N4691" s="12" t="n"/>
      <c r="O4691" s="12" t="n"/>
    </row>
    <row r="4692" hidden="1">
      <c r="A4692" s="11" t="n">
        <v>46170</v>
      </c>
      <c r="B4692" t="inlineStr">
        <is>
          <t>Sarah Steffanie de Lima Borges</t>
        </is>
      </c>
      <c r="C4692" t="inlineStr">
        <is>
          <t>Técnico III</t>
        </is>
      </c>
      <c r="D4692" t="n">
        <v>0</v>
      </c>
      <c r="E4692" t="n">
        <v>0</v>
      </c>
      <c r="F4692" t="n">
        <v>0</v>
      </c>
      <c r="G4692" t="n">
        <v>0</v>
      </c>
      <c r="H4692" t="n">
        <v>0</v>
      </c>
      <c r="I4692" t="n">
        <v>0</v>
      </c>
      <c r="J4692" t="n">
        <v>0</v>
      </c>
      <c r="K4692" t="n">
        <v>0</v>
      </c>
      <c r="L4692" s="12" t="n"/>
      <c r="M4692" s="12" t="n"/>
      <c r="N4692" s="12" t="n"/>
      <c r="O4692" s="12" t="n"/>
    </row>
  </sheetData>
  <autoFilter ref="A1:O4692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5" dateTimeGrouping="day"/>
        <dateGroupItem year="2026" month="5" day="26" dateTimeGrouping="day"/>
        <dateGroupItem year="2026" month="5" day="27" dateTimeGrouping="day"/>
      </filters>
    </filterColumn>
    <filterColumn colId="1" hiddenButton="0" showButton="1">
      <filters>
        <filter val="Alisson de Freitas Silva"/>
      </filters>
    </filterColumn>
    <filterColumn colId="2" hiddenButton="0" showButton="1">
      <filters>
        <filter val="Técnico I"/>
        <filter val="Técnico II"/>
        <filter val="Técnico III"/>
      </filters>
    </filterColumn>
    <sortState ref="A544:O4615">
      <sortCondition ref="A1:A4692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2026-05-28T14:46:58Z</dcterms:modified>
  <cp:lastModifiedBy>Esther Queiroz Supervisora Folha</cp:lastModifiedBy>
</cp:coreProperties>
</file>